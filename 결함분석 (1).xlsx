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1. file trans\"/>
    </mc:Choice>
  </mc:AlternateContent>
  <xr:revisionPtr revIDLastSave="0" documentId="13_ncr:1_{5D1EC18B-6160-43D7-B3E5-AA6F7678C385}" xr6:coauthVersionLast="47" xr6:coauthVersionMax="47" xr10:uidLastSave="{00000000-0000-0000-0000-000000000000}"/>
  <bookViews>
    <workbookView xWindow="-120" yWindow="-16320" windowWidth="29040" windowHeight="15720" activeTab="3" xr2:uid="{00000000-000D-0000-FFFF-FFFF00000000}"/>
  </bookViews>
  <sheets>
    <sheet name="Sheet2" sheetId="4" r:id="rId1"/>
    <sheet name="Sheet3" sheetId="5" r:id="rId2"/>
    <sheet name="UIUX 점검" sheetId="1" r:id="rId3"/>
    <sheet name="분석요약" sheetId="2" r:id="rId4"/>
    <sheet name="Sheet1" sheetId="3" r:id="rId5"/>
  </sheets>
  <definedNames>
    <definedName name="ExternalData_1" localSheetId="2">'UIUX 점검'!$A$1:$T$655</definedName>
    <definedName name="list">Sheet2!$A$5:$G$8</definedName>
  </definedNames>
  <calcPr calcId="191029"/>
  <pivotCaches>
    <pivotCache cacheId="266" r:id="rId6"/>
    <pivotCache cacheId="268"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3" l="1"/>
  <c r="L4" i="3"/>
  <c r="L5" i="3"/>
  <c r="L6" i="3"/>
  <c r="L3" i="3"/>
  <c r="G9" i="3" l="1"/>
  <c r="C9" i="3"/>
  <c r="D9" i="3"/>
  <c r="E9" i="3"/>
  <c r="F9" i="3"/>
  <c r="B9" i="3"/>
  <c r="C8" i="3"/>
  <c r="D8" i="3"/>
  <c r="E8" i="3"/>
  <c r="F8" i="3"/>
  <c r="B8" i="3"/>
  <c r="K4" i="3"/>
  <c r="K5" i="3"/>
  <c r="K6" i="3"/>
  <c r="K3" i="3"/>
  <c r="I4" i="3"/>
  <c r="I5" i="3"/>
  <c r="I6" i="3"/>
  <c r="K7" i="3"/>
  <c r="I3" i="3"/>
  <c r="H4" i="3"/>
  <c r="N4" i="3" s="1"/>
  <c r="H5" i="3"/>
  <c r="M5" i="3" s="1"/>
  <c r="H6" i="3"/>
  <c r="H3" i="3"/>
  <c r="B19" i="2"/>
  <c r="C19" i="2" s="1"/>
  <c r="B18" i="2"/>
  <c r="C18" i="2" s="1"/>
  <c r="B17" i="2"/>
  <c r="C17" i="2" s="1"/>
  <c r="B16" i="2"/>
  <c r="C16" i="2" s="1"/>
  <c r="B15" i="2"/>
  <c r="C15" i="2" s="1"/>
  <c r="B14" i="2"/>
  <c r="C14" i="2" s="1"/>
  <c r="E13" i="2"/>
  <c r="F13" i="2" s="1"/>
  <c r="B13" i="2"/>
  <c r="C13" i="2" s="1"/>
  <c r="E12" i="2"/>
  <c r="F12" i="2" s="1"/>
  <c r="B12" i="2"/>
  <c r="C12" i="2" s="1"/>
  <c r="E11" i="2"/>
  <c r="F11" i="2" s="1"/>
  <c r="B11" i="2"/>
  <c r="C11" i="2" s="1"/>
  <c r="E10" i="2"/>
  <c r="F10" i="2" s="1"/>
  <c r="B10" i="2"/>
  <c r="C10" i="2" s="1"/>
  <c r="E9" i="2"/>
  <c r="F9" i="2" s="1"/>
  <c r="B9" i="2"/>
  <c r="C9" i="2" s="1"/>
  <c r="E8" i="2"/>
  <c r="F8" i="2" s="1"/>
  <c r="B8" i="2"/>
  <c r="C8" i="2" s="1"/>
  <c r="E7" i="2"/>
  <c r="F7" i="2" s="1"/>
  <c r="B7" i="2"/>
  <c r="C7" i="2" s="1"/>
  <c r="E6" i="2"/>
  <c r="F6" i="2" s="1"/>
  <c r="B6" i="2"/>
  <c r="C6" i="2" s="1"/>
  <c r="E5" i="2"/>
  <c r="F5" i="2" s="1"/>
  <c r="B5" i="2"/>
  <c r="B20" i="2" s="1"/>
  <c r="N3" i="3" l="1"/>
  <c r="J6" i="3"/>
  <c r="J5" i="3"/>
  <c r="I8" i="3"/>
  <c r="J4" i="3"/>
  <c r="N6" i="3"/>
  <c r="J3" i="3"/>
  <c r="M6" i="3"/>
  <c r="M4" i="3"/>
  <c r="M3" i="3"/>
  <c r="N5" i="3"/>
  <c r="K8" i="3"/>
  <c r="H8" i="3"/>
  <c r="F14" i="2"/>
  <c r="C5" i="2"/>
  <c r="C20" i="2" s="1"/>
  <c r="E14" i="2"/>
  <c r="J8" i="3" l="1"/>
  <c r="N8" i="3"/>
  <c r="M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4C7A70-5966-4F95-8C37-2C9EC79C8AB8}" keepAlive="1" name="쿼리 - uiuxIteration1_1_테스트 결함_202605081101" description="통합 문서의 'uiuxIteration1_1_테스트 결함_202605081101' 쿼리에 대한 연결입니다." type="5" refreshedVersion="8" background="1" saveData="1">
    <dbPr connection="Provider=Microsoft.Mashup.OleDb.1;Data Source=$Workbook$;Location=&quot;uiuxIteration1_1_테스트 결함_202605081101&quot;;Extended Properties=&quot;&quot;" command="SELECT * FROM [uiuxIteration1_1_테스트 결함_202605081101]"/>
  </connection>
</connections>
</file>

<file path=xl/sharedStrings.xml><?xml version="1.0" encoding="utf-8"?>
<sst xmlns="http://schemas.openxmlformats.org/spreadsheetml/2006/main" count="15041" uniqueCount="2508">
  <si>
    <t>시나리오ID</t>
  </si>
  <si>
    <t>테스트차수</t>
  </si>
  <si>
    <t>단계</t>
  </si>
  <si>
    <t>업무모듈명</t>
  </si>
  <si>
    <t>결함ID</t>
  </si>
  <si>
    <t>결함내용</t>
  </si>
  <si>
    <t>테스트단계</t>
  </si>
  <si>
    <t>PL</t>
  </si>
  <si>
    <t>개발자</t>
  </si>
  <si>
    <t>테스터</t>
  </si>
  <si>
    <t>기능유형</t>
  </si>
  <si>
    <t>결함구분</t>
  </si>
  <si>
    <t>결함유형</t>
  </si>
  <si>
    <t>결함상태</t>
  </si>
  <si>
    <t>담당자</t>
  </si>
  <si>
    <t>심각도</t>
  </si>
  <si>
    <t>조치상태</t>
  </si>
  <si>
    <t>결함등록일</t>
  </si>
  <si>
    <t>결함수정일시</t>
  </si>
  <si>
    <t>기각사유</t>
  </si>
  <si>
    <t>결함패턴_대분류</t>
  </si>
  <si>
    <t>결함패턴_중분류</t>
  </si>
  <si>
    <t>결함사유_요약</t>
  </si>
  <si>
    <t>결함사유_상세</t>
  </si>
  <si>
    <t>기각사유_분석</t>
  </si>
  <si>
    <t>기각사유_분류</t>
  </si>
  <si>
    <t>조치권고</t>
  </si>
  <si>
    <t>UT-GO12705S</t>
  </si>
  <si>
    <t>2-1차</t>
  </si>
  <si>
    <t>공항운영(GO)</t>
  </si>
  <si>
    <t>DEF-00205</t>
  </si>
  <si>
    <t>기준일자 기준으로 검색해도 운항일자 날짜가 다름
ex) 2025-05-15 : 기준일자 =&gt; 운항일자=&gt;20250605</t>
  </si>
  <si>
    <t>개발자테스트</t>
  </si>
  <si>
    <t>신문호</t>
  </si>
  <si>
    <t>김경준</t>
  </si>
  <si>
    <t>3자테스터공통</t>
  </si>
  <si>
    <t>Online</t>
  </si>
  <si>
    <t>결함</t>
  </si>
  <si>
    <t>데이터</t>
  </si>
  <si>
    <t>결함검토요청</t>
  </si>
  <si>
    <t>Major</t>
  </si>
  <si>
    <t/>
  </si>
  <si>
    <t>날짜/기간 처리</t>
  </si>
  <si>
    <t>기준일자/조회일자 불일치</t>
  </si>
  <si>
    <t>기준일자 기준으로 검색해도 운항일자 날짜가 다름</t>
  </si>
  <si>
    <t>기준일자 기준으로 검색해도 운항일자 날짜가 다름 ex) 2025-05-15 : 기준일자 =&gt; 운항일자=&gt;20250605</t>
  </si>
  <si>
    <t>날짜 컴포넌트 표준화, 기준일자-운항일자 등 필드 매핑 점검 및 기간 가드 추가</t>
  </si>
  <si>
    <t>UT-GO41701S</t>
  </si>
  <si>
    <t>2-2차</t>
  </si>
  <si>
    <t>DEF-00225</t>
  </si>
  <si>
    <t>운영년월의 년도입력간 validator 필요. 9999년도 이런식으로 입력이 가능합니다.</t>
  </si>
  <si>
    <t>개선/변경</t>
  </si>
  <si>
    <t>기능</t>
  </si>
  <si>
    <t>Minor</t>
  </si>
  <si>
    <t>날짜 입력 유효성</t>
  </si>
  <si>
    <t>UT-GO11950S</t>
  </si>
  <si>
    <t>DEF-00226</t>
  </si>
  <si>
    <t>주간 실적조회 엑셀 다운로드가 되지 않음(잘못올렸습니다 죄송합니다)</t>
  </si>
  <si>
    <t>Critical</t>
  </si>
  <si>
    <t>다운로드/출력</t>
  </si>
  <si>
    <t>엑셀 다운로드 오류</t>
  </si>
  <si>
    <t>엑셀/PDF 공통 출력 모듈 점검, 컬럼 매핑·서식 검증 및 예외 처리</t>
  </si>
  <si>
    <t>DEF-00228</t>
  </si>
  <si>
    <t>일일 실적조회의 연간 그래프간 데이터가 존재하지 않을때 사용자가 이해가게끔 표시할수 있어야 할거 같습니다</t>
  </si>
  <si>
    <t>UI</t>
  </si>
  <si>
    <t>시각화/그래프 표시</t>
  </si>
  <si>
    <t>무데이터 표시 미흡</t>
  </si>
  <si>
    <t>차트 공통 컴포넌트 점검, 무데이터 처리 및 축/범례 표준화</t>
  </si>
  <si>
    <t>DEF-00229</t>
  </si>
  <si>
    <t>일일 실적조희의 그래프 버튼의 미동작</t>
  </si>
  <si>
    <t>차트 표시 오류</t>
  </si>
  <si>
    <t>UT-GO11960S</t>
  </si>
  <si>
    <t>DEF-00233</t>
  </si>
  <si>
    <t>일자부분에 다른 페이지와 다르게 required 빨간 표시가 안되어있음</t>
  </si>
  <si>
    <t>날짜 표시/포맷</t>
  </si>
  <si>
    <t>UT-GO13303S</t>
  </si>
  <si>
    <t>DEF-00192</t>
  </si>
  <si>
    <t>빈 엑셀양식 다운로드 후 양식대로 데이터 삽입해도 업로드 실패하였습니다 발생</t>
  </si>
  <si>
    <t>박정구</t>
  </si>
  <si>
    <t>UT-GO12909S</t>
  </si>
  <si>
    <t>DEF-00195</t>
  </si>
  <si>
    <t>12909S 테스트 시험내용과 화면이 일치하지않음</t>
  </si>
  <si>
    <t>문서화</t>
  </si>
  <si>
    <t>데이터 정합성/매핑</t>
  </si>
  <si>
    <t>데이터 정합성</t>
  </si>
  <si>
    <t>원천 데이터-화면 매핑 재검증, 집계 로직 단위 테스트 보강</t>
  </si>
  <si>
    <t>UT-GO12511S</t>
  </si>
  <si>
    <t>DEF-00196</t>
  </si>
  <si>
    <t>화면 우측 상단의 Search 버튼과 주기 선택 이 겹침.
화면을 축소하면.. 화면이 더 일그러짐..</t>
  </si>
  <si>
    <t>축/눈금 표시</t>
  </si>
  <si>
    <t>화면 우측 상단의 Search 버튼과 주기 선택 이 겹침.</t>
  </si>
  <si>
    <t>화면 우측 상단의 Search 버튼과 주기 선택 이 겹침. 화면을 축소하면.. 화면이 더 일그러짐..</t>
  </si>
  <si>
    <t>UT-GO12507S</t>
  </si>
  <si>
    <t>DEF-00197</t>
  </si>
  <si>
    <t xml:space="preserve">Search로는 동작하지만 최초 load시 서버 오류입니다. 관리자에게 문의하세요 발생
</t>
  </si>
  <si>
    <t>조회 조건/검색 결과 불일치</t>
  </si>
  <si>
    <t>조회 조건 처리</t>
  </si>
  <si>
    <t>Search로는 동작하지만 최초 load시 서버 오류입니다. 관리자에게 문의하세요 발생</t>
  </si>
  <si>
    <t>조회 SQL/조건 매핑 재검토, 정렬·필터 기본값 정의서와 일치화</t>
  </si>
  <si>
    <t>UT-GO11961S</t>
  </si>
  <si>
    <t>DEF-00253</t>
  </si>
  <si>
    <t>날짜가 9999-01-01 ~ 9999-02-01 이여도 데이터가 표출됨</t>
  </si>
  <si>
    <t>UT-GO11963S</t>
  </si>
  <si>
    <t>DEF-00255</t>
  </si>
  <si>
    <t>월간 실적 조회 간 날짜를 종료일자 날짜를 지정하지 않아도 검색이 가능함</t>
  </si>
  <si>
    <t>기간 범위 처리</t>
  </si>
  <si>
    <t>DEF-00275</t>
  </si>
  <si>
    <t>조건에 의한 조회 Test에서.. 항로를 선택 조회하였지만. 전체 항로 선택과 동일한 결과 조회됨.</t>
  </si>
  <si>
    <t>DEF-00279</t>
  </si>
  <si>
    <t>화면 크기를 일부 축소하면.. 아래 화면처럼.. 상단 화면이 일그러짐.</t>
  </si>
  <si>
    <t>DEF-00284</t>
  </si>
  <si>
    <t>지연사유 선택과 무관하게 전체가 조회됨.</t>
  </si>
  <si>
    <t>UT-GO12903S</t>
  </si>
  <si>
    <t>DEF-00285</t>
  </si>
  <si>
    <t>국토부기준 노선구분은 combo 박스인데 눌렀을때 아무 리스트도 뜨지 않음 공통코드가 없는지 확인이 필요할 것 같습니다</t>
  </si>
  <si>
    <t>기타</t>
  </si>
  <si>
    <t>기타 검토</t>
  </si>
  <si>
    <t>국토부기준 노선구분은 combo 박스인데 눌렀을때 아무 리스트도 뜨지 않음 공통코드가 없는지 확인이 필요…</t>
  </si>
  <si>
    <t>담당 PL과 결함 성격 재정의 후 분류 보완</t>
  </si>
  <si>
    <t>UT-PM10301S</t>
  </si>
  <si>
    <t>2-3차</t>
  </si>
  <si>
    <t>예측관리(PM)</t>
  </si>
  <si>
    <t>DEF-00286</t>
  </si>
  <si>
    <t>캘린더에 날짜를 클릭해도 캘린더가 닫히지 않고 캘린더 TYPE이 다름</t>
  </si>
  <si>
    <t>임소정</t>
  </si>
  <si>
    <t>염희석</t>
  </si>
  <si>
    <t>DEF-00287</t>
  </si>
  <si>
    <t>화물터미널주기현황 클릭하면.. 아무런 조회조건 입력 영역없이 조회 버튼만 존재하고.. 조회버튼 클릭하면.. 오늘자 현황이 조회됨.
만일 날자 지정없이 오늘자만 조회하는 기능이라면. 조회버튼은 불필요할듯.. 아니면, 날자 선택 기능이 누락됨.</t>
  </si>
  <si>
    <t>인터페이스</t>
  </si>
  <si>
    <t>화물터미널주기현황 클릭하면.. 아무런 조회조건 입력 영역없이 조회 버튼만 존재하고.. 조회버튼 클릭하면.…</t>
  </si>
  <si>
    <t>화물터미널주기현황 클릭하면.. 아무런 조회조건 입력 영역없이 조회 버튼만 존재하고.. 조회버튼 클릭하면.. 오늘자 현황이 조회됨. 만일 날자 지정없이 오늘자만 조회하는 기능이라면. 조회버튼은 불필요할듯.. 아니면, 날자 선택 기능이 누락됨.</t>
  </si>
  <si>
    <t>DEF-00288</t>
  </si>
  <si>
    <t>1. 2026-04-28로 정상 조회 후 
2. 데이터가 없는 날짜 조회
  - 아래 시뮬레이션 요약 그래프에 데이터가 남아 있음
3. 상태 그대로 시뮬레이션 요약 밑에 출국장을 변경
4. 2026-04-28로 정상 조회
5. 시뮬레이션 요약에 데이터 조회 안됨.</t>
  </si>
  <si>
    <t>1. 2026-04-28로 정상 조회 후</t>
  </si>
  <si>
    <t>1. 2026-04-28로 정상 조회 후  2. 데이터가 없는 날짜 조회   - 아래 시뮬레이션 요약 그래프에 데이터가 남아 있음 3. 상태 그대로 시뮬레이션 요약 밑에 출국장을 변경 4. 2026-04-28로 정상 조회 5. 시뮬레이션 요약에 데…</t>
  </si>
  <si>
    <t>UT-GO12516S</t>
  </si>
  <si>
    <t>DEF-00291</t>
  </si>
  <si>
    <t>출도착, 조회조건에 전체라는 default 값이 있는 콤보박스들은 최초 load시에 전체값이 떠야할것 같습니다.</t>
  </si>
  <si>
    <t>출도착, 조회조건에 전체라는 default 값이 있는 콤보박스들은 최초 load시에 전체값이 떠야할것 같…</t>
  </si>
  <si>
    <t>DEF-00293</t>
  </si>
  <si>
    <t xml:space="preserve">다운로드 받은 업로드 양식 파일의 각 필드별 입력이 필요한 형식의 예시가 제시되어야 함. </t>
  </si>
  <si>
    <t>프로세스</t>
  </si>
  <si>
    <t>파일 출력/다운로드</t>
  </si>
  <si>
    <t>다운로드 받은 업로드 양식 파일의 각 필드별 입력이 필요한 형식의 예시가 제시되어야 함.</t>
  </si>
  <si>
    <t>UT-PM10302S</t>
  </si>
  <si>
    <t>DEF-00294</t>
  </si>
  <si>
    <t>기준일자 없이 조회가 됨
- 필수값 체크 확인 필요</t>
  </si>
  <si>
    <t>pmtbd1</t>
  </si>
  <si>
    <t>기준일자 없이 조회가 됨</t>
  </si>
  <si>
    <t>기준일자 없이 조회가 됨 - 필수값 체크 확인 필요</t>
  </si>
  <si>
    <t>UT-GO61602S</t>
  </si>
  <si>
    <t>DEF-00306</t>
  </si>
  <si>
    <t>화면 상단의 숫자 필드 값 수정 가능한데.. 이후 어떤 액션을 할 수 있는지.. 모호함. 우측 조회 버튼은 자동 갱신 주기 변경 수행 여부의 버튼으로만 보임.</t>
  </si>
  <si>
    <t>화면 상단의 숫자 필드 값 수정 가능한데.. 이후 어떤 액션을 할 수 있는지.. 모호함. 우측 조회 버튼…</t>
  </si>
  <si>
    <t>UT-PM10305S</t>
  </si>
  <si>
    <t>DEF-00313</t>
  </si>
  <si>
    <t xml:space="preserve">전주에 대한 데이터 표시 안됨.
</t>
  </si>
  <si>
    <t>pmtbd2</t>
  </si>
  <si>
    <t>전주에 대한 데이터 표시 안됨.</t>
  </si>
  <si>
    <t>UT-GO62401S</t>
  </si>
  <si>
    <t>DEF-00186</t>
  </si>
  <si>
    <t>조건에 따른 조회결과가 표출되지 않음.</t>
  </si>
  <si>
    <t>UT-GO11951S</t>
  </si>
  <si>
    <t>DEF-00187</t>
  </si>
  <si>
    <t>각 입력 필드값의 유효성 점검이 이루어지는지 의문임..
대부분의 값이 제한없이 입력 저장되는데..
무의미한 숫자값이 제한 없이 입력 저장됨</t>
  </si>
  <si>
    <t>입력 검증/유효성</t>
  </si>
  <si>
    <t>입력값 유효성</t>
  </si>
  <si>
    <t>각 입력 필드값의 유효성 점검이 이루어지는지 의문임..</t>
  </si>
  <si>
    <t>각 입력 필드값의 유효성 점검이 이루어지는지 의문임.. 대부분의 값이 제한없이 입력 저장되는데.. 무의미한 숫자값이 제한 없이 입력 저장됨</t>
  </si>
  <si>
    <t>프론트/백엔드 양측에 입력 유효성 검증 추가 및 공통 validator 적용</t>
  </si>
  <si>
    <t>UT-GO41301S</t>
  </si>
  <si>
    <t>1-1차</t>
  </si>
  <si>
    <t>DEF-00208</t>
  </si>
  <si>
    <t xml:space="preserve">search 이후, 드롭다운을 default 값(전체)으로 변경해야 할 것 같습니다. </t>
  </si>
  <si>
    <t>search 이후, 드롭다운을 default 값(전체)으로 변경해야 할 것 같습니다.</t>
  </si>
  <si>
    <t>DEF-00283</t>
  </si>
  <si>
    <t>최초 Load시 서버 오류 문구가 발생합니다.</t>
  </si>
  <si>
    <t>메시지/가이드 부족</t>
  </si>
  <si>
    <t>문구/오타</t>
  </si>
  <si>
    <t>UX 가이드라인에 따라 표준 안내·툴팁 문구 적용, 무데이터/오류 메시지 정비</t>
  </si>
  <si>
    <t>UT-GO23701S</t>
  </si>
  <si>
    <t>1-2차</t>
  </si>
  <si>
    <t>DEF-00319</t>
  </si>
  <si>
    <t xml:space="preserve">집계연도가 빈값일때 통계 생성을 누르면 로딩이 됩니다. 
이후 집계 완료 팝업이 뜹니다. </t>
  </si>
  <si>
    <t>메시지 표시</t>
  </si>
  <si>
    <t>집계연도가 빈값일때 통계 생성을 누르면 로딩이 됩니다.</t>
  </si>
  <si>
    <t>집계연도가 빈값일때 통계 생성을 누르면 로딩이 됩니다.  이후 집계 완료 팝업이 뜹니다.</t>
  </si>
  <si>
    <t>DEF-00320</t>
  </si>
  <si>
    <t>스크롤로 내려가긴하는데 스크롤 표시가없어서 사용자가 아래에 데이터가 더 존재하는지 확인하기 어려운거 같습니다</t>
  </si>
  <si>
    <t>UT-PM10306S</t>
  </si>
  <si>
    <t>DEF-00325</t>
  </si>
  <si>
    <t>1. 터미널 T1 번으로 조회하면 아이랜드 C에 데이터가 존재
2. 터미널 T2 로 변경 후 조회 
3. 표보기 또는 차트보기로 이동 후 맵보기로 왔을 때 데이터 사라짐
4. 데이터가 없는 상태에서 아이랜드 코드 클릭 시 차트보기로 이동 함.</t>
  </si>
  <si>
    <t>pmtbd3</t>
  </si>
  <si>
    <t>1. 터미널 T1 번으로 조회하면 아이랜드 C에 데이터가 존재</t>
  </si>
  <si>
    <t>1. 터미널 T1 번으로 조회하면 아이랜드 C에 데이터가 존재 2. 터미널 T2 로 변경 후 조회  3. 표보기 또는 차트보기로 이동 후 맵보기로 왔을 때 데이터 사라짐 4. 데이터가 없는 상태에서 아이랜드 코드 클릭 시 차트보기로 이동 함.</t>
  </si>
  <si>
    <t>UT-GO62301S</t>
  </si>
  <si>
    <t>DEF-00185</t>
  </si>
  <si>
    <t>UT-GO41206M</t>
  </si>
  <si>
    <t>DEF-00370</t>
  </si>
  <si>
    <t>엑셀 내 화물 단위 명시 누락</t>
  </si>
  <si>
    <t>DEF-00377</t>
  </si>
  <si>
    <t>조건에 주기장 정보 입력시
from ~ to
1 ~ ==&gt; 유효한 범위가 아님
  ~ 9==&gt; 조회는 되나 결과는 이상</t>
  </si>
  <si>
    <t>조건에 주기장 정보 입력시</t>
  </si>
  <si>
    <t>조건에 주기장 정보 입력시 from ~ to 1 ~ ==&gt; 유효한 범위가 아님   ~ 9==&gt; 조회는 되나 결과는 이상</t>
  </si>
  <si>
    <t>UT-PM20101S</t>
  </si>
  <si>
    <t>DEF-00433</t>
  </si>
  <si>
    <t xml:space="preserve">차트이미지가 잘립니다.
승객 단위인데 결과 라인이 음수로 내려가는게 문제인것같습니다 </t>
  </si>
  <si>
    <t>차트이미지가 잘립니다.</t>
  </si>
  <si>
    <t>차트이미지가 잘립니다. 승객 단위인데 결과 라인이 음수로 내려가는게 문제인것같습니다</t>
  </si>
  <si>
    <t>UT-PM20159S</t>
  </si>
  <si>
    <t>DEF-00437</t>
  </si>
  <si>
    <t>+ 버튼으로 그래프 비교를 할경우 화면 비율 100% 상태에서 승객수 기존 , 시뮬레이션 글자가 짤림</t>
  </si>
  <si>
    <t>노세찬</t>
  </si>
  <si>
    <t>DEF-00438</t>
  </si>
  <si>
    <t xml:space="preserve">하단 데이터는 어떤 데이터인지 예상이 되지 않습니다. 
데이터에 대한 안내가 필요해보입니다. </t>
  </si>
  <si>
    <t>안내 메시지 부재</t>
  </si>
  <si>
    <t>하단 데이터는 어떤 데이터인지 예상이 되지 않습니다.</t>
  </si>
  <si>
    <t>하단 데이터는 어떤 데이터인지 예상이 되지 않습니다.  데이터에 대한 안내가 필요해보입니다.</t>
  </si>
  <si>
    <t>UT-PM20160S</t>
  </si>
  <si>
    <t>DEF-00439</t>
  </si>
  <si>
    <t>+ 버튼으로 그래프 비교를 할경우 화면 비율 100% 상태에서 환승검색대 갯수 글자 짤림 ,  승객수 그래프 하단 기존 , 시뮬레이션 글자가 짤림</t>
  </si>
  <si>
    <t>+ 버튼으로 그래프 비교를 할경우 화면 비율 100% 상태에서 환승검색대 갯수 글자 짤림 ,  승객수 그…</t>
  </si>
  <si>
    <t>UT-PM20136M</t>
  </si>
  <si>
    <t>DEF-00474</t>
  </si>
  <si>
    <t xml:space="preserve">테스트케이스 엑셀과 UI 가 다릅니다. Config 자료가 정상 복사버튼 없음
완료 되어있지만 아직 ui 상에는 안보임 </t>
  </si>
  <si>
    <t>테스트케이스 엑셀과 UI 가 다릅니다. Config 자료가 정상 복사버튼 없음</t>
  </si>
  <si>
    <t>테스트케이스 엑셀과 UI 가 다릅니다. Config 자료가 정상 복사버튼 없음 완료 되어있지만 아직 ui 상에는 안보임</t>
  </si>
  <si>
    <t>UT-FSSG170S</t>
  </si>
  <si>
    <t>항공보안(FS)</t>
  </si>
  <si>
    <t>DEF-00502</t>
  </si>
  <si>
    <t xml:space="preserve">데이터 수정 후 저장 전 엑셀 다운로드를 누른 결과입니다.
수정된 (저장되지 않은) 데이터가 엑셀에 그대로 나옵니다.
수정된 필드가 있다면 엑셀 다운로드를 막아야 할것같습니다. </t>
  </si>
  <si>
    <t>데이터 수정 후 저장 전 엑셀 다운로드를 누른 결과입니다.</t>
  </si>
  <si>
    <t>데이터 수정 후 저장 전 엑셀 다운로드를 누른 결과입니다. 수정된 (저장되지 않은) 데이터가 엑셀에 그대로 나옵니다. 수정된 필드가 있다면 엑셀 다운로드를 막아야 할것같습니다.</t>
  </si>
  <si>
    <t>UT-FSEX020S</t>
  </si>
  <si>
    <t>DEF-00503</t>
  </si>
  <si>
    <t>최대 입력 확인 필요</t>
  </si>
  <si>
    <t>DEF-00508</t>
  </si>
  <si>
    <t xml:space="preserve">숫자/영문만 입력할 수 있도록 input 유효성 검사가 필요해 보입니다. 
또는 아래 사진 팝업 확인 후 데이터 위반 필드에 포커스가 가면 좋을것 같습니다. </t>
  </si>
  <si>
    <t>입력 문자 제한</t>
  </si>
  <si>
    <t>숫자/영문만 입력할 수 있도록 input 유효성 검사가 필요해 보입니다.</t>
  </si>
  <si>
    <t>숫자/영문만 입력할 수 있도록 input 유효성 검사가 필요해 보입니다.  또는 아래 사진 팝업 확인 후 데이터 위반 필드에 포커스가 가면 좋을것 같습니다.</t>
  </si>
  <si>
    <t>DEF-00512</t>
  </si>
  <si>
    <t xml:space="preserve">input 필드에 대해 잘못된 값이라면 border 색상 변경 또는 입력값 무효화 등 이 필요해보입니다. </t>
  </si>
  <si>
    <t>화면 레이아웃/정렬/가독성</t>
  </si>
  <si>
    <t>색상/배경</t>
  </si>
  <si>
    <t>input 필드에 대해 잘못된 값이라면 border 색상 변경 또는 입력값 무효화 등 이 필요해보입니다.</t>
  </si>
  <si>
    <t>디자인 시스템(GNB/그리드/타이포) 준수 점검, 잘림·정렬 보정</t>
  </si>
  <si>
    <t>UT-FSEX080S</t>
  </si>
  <si>
    <t>DEF-00537</t>
  </si>
  <si>
    <t>[X_1] row 삭제 후 일괄등록 시, 신규 일괄등록한 row의 피해현황 출/도착 데이터에 삭제했던 row에 등록된 피해현황 출/도착 데이터가 매핑되어 데이터가 오염됨.
[재현 절차 (스크린샷)]
1. 피해현황 출/도착을 입력하기 위한 선행조건인 운항통제를 '운항중단'으로 설정 후, 출/도착에 각각 데이터를 입력한 뒤 등록
2. 1. 에서 등록했던 row 삭제
3. 신규 일괄등록
4. 신규 일괄등록된 데이터에 2. 에서 삭제했던(1. 에서 등록했던) row의 피해현황 출/도착 값이 매핑되어 데이터가 오염됨</t>
  </si>
  <si>
    <t>[X_1] row 삭제 후 일괄등록 시, 신규 일괄등록한 row의 피해현황 출/도착 데이터에 삭제했던 r…</t>
  </si>
  <si>
    <t>[X_1] row 삭제 후 일괄등록 시, 신규 일괄등록한 row의 피해현황 출/도착 데이터에 삭제했던 row에 등록된 피해현황 출/도착 데이터가 매핑되어 데이터가 오염됨.  [재현 절차 (스크린샷)] 1. 피해현황 출/도착을 입력하기 위한 선행조건…</t>
  </si>
  <si>
    <t>UT-FSEX040M</t>
  </si>
  <si>
    <t>DEF-00541</t>
  </si>
  <si>
    <t>신규로 팝업을 오픈하고 내용 작성 후 저장. 해당 상태에서 다시 저장 버튼 누르면 "기존의 자료와 식별자/키가 중복되었습니다." 알림창이 뜨고 저장이 안됨.
(신규로 오픈된 팝업에서 저장 후 팝업이 오픈되어 있는 상태로 유지되어 다시 저장을 하면 다시 신규로 저장하는 프로세스로 인지하는 듯 합니다.)</t>
  </si>
  <si>
    <t>신규로 팝업을 오픈하고 내용 작성 후 저장. 해당 상태에서 다시 저장 버튼 누르면 "기존의 자료와 식별자…</t>
  </si>
  <si>
    <t>신규로 팝업을 오픈하고 내용 작성 후 저장. 해당 상태에서 다시 저장 버튼 누르면 "기존의 자료와 식별자/키가 중복되었습니다." 알림창이 뜨고 저장이 안됨. (신규로 오픈된 팝업에서 저장 후 팝업이 오픈되어 있는 상태로 유지되어 다시 저장을 하면 …</t>
  </si>
  <si>
    <t>UT-FSEX070S</t>
  </si>
  <si>
    <t>DEF-00544</t>
  </si>
  <si>
    <t>입력 최대값 확인 필요</t>
  </si>
  <si>
    <t>UT-PM10511S</t>
  </si>
  <si>
    <t>DEF-00569</t>
  </si>
  <si>
    <t>시뮬레이션 결과를 확인할 수 없어 테스트 진행 불가(Cast Express관련)</t>
  </si>
  <si>
    <t>개선요청/정책반영</t>
  </si>
  <si>
    <t>개선/변경 요청</t>
  </si>
  <si>
    <t>차기 반영 일감으로 등록 후 우선순위 협의, 정책 가이드 반영</t>
  </si>
  <si>
    <t>DEF-00328</t>
  </si>
  <si>
    <t>우측하단 인쇄 버튼이 PRINT 와 같이 영문으로 표시됨. 전체적으로 일관성 맞춤 필요함.</t>
  </si>
  <si>
    <t>인쇄/프린트</t>
  </si>
  <si>
    <t>UT-GO41204M</t>
  </si>
  <si>
    <t>DEF-00356</t>
  </si>
  <si>
    <t>여러번 시도했지만 에러가 뜹니다.. (요약보고 구)</t>
  </si>
  <si>
    <t>예외처리/오류 대응</t>
  </si>
  <si>
    <t>시스템 오류/예외</t>
  </si>
  <si>
    <t>전역 에러 핸들러 점검, 사용자 친화적 오류 메시지 노출</t>
  </si>
  <si>
    <t>UT-GO41218M</t>
  </si>
  <si>
    <t>DEF-00383</t>
  </si>
  <si>
    <t>샘플 다운로드 후 엑셀 업로드가 1회만 가능합니다.
2번째 부터 서버오류 팝업이 뜹니다. 
1회 업로드 이후 동작에 대해 아래와 같은 방법도 좋을것같습니다. 
1. 업로드 버튼 disable 
2. 팝업 내용 변경 (업로드 횟수를 초과했습니다. 등)
3. 이전 업로드 파일 clear 후 늘 새로운 내용 덮어쓰기</t>
  </si>
  <si>
    <t>샘플 다운로드 후 엑셀 업로드가 1회만 가능합니다.</t>
  </si>
  <si>
    <t>샘플 다운로드 후 엑셀 업로드가 1회만 가능합니다. 2번째 부터 서버오류 팝업이 뜹니다.   1회 업로드 이후 동작에 대해 아래와 같은 방법도 좋을것같습니다.  1. 업로드 버튼 disable  2. 팝업 내용 변경 (업로드 횟수를 초과했습니다. …</t>
  </si>
  <si>
    <t>UT-PM10402S</t>
  </si>
  <si>
    <t>DEF-00385</t>
  </si>
  <si>
    <t>UT-PM10401S 에 등록된 운항편 전체 비율로 수정에 대한 불러오기 버튼 클릭과 관련된 내용 확인 필요</t>
  </si>
  <si>
    <t>상태값/버튼 동작</t>
  </si>
  <si>
    <t>버튼 동작 오류</t>
  </si>
  <si>
    <t>버튼/상태 컴포넌트 표준 적용, 활성·비활성 조건 명세화</t>
  </si>
  <si>
    <t>DEF-00387</t>
  </si>
  <si>
    <t>야간, 주간 모두 조회가 잘 되지 않습니다.. 
조회가 되는 특별한 조건이 있는걸까요 ?</t>
  </si>
  <si>
    <t>야간, 주간 모두 조회가 잘 되지 않습니다..</t>
  </si>
  <si>
    <t>야간, 주간 모두 조회가 잘 되지 않습니다..  조회가 되는 특별한 조건이 있는걸까요 ?</t>
  </si>
  <si>
    <t>UT-PM10401S</t>
  </si>
  <si>
    <t>DEF-00389</t>
  </si>
  <si>
    <t>- 출구장 수정 부분에 시간 설정 후 현재상태 저장 안됨.</t>
  </si>
  <si>
    <t>상태값 처리</t>
  </si>
  <si>
    <t>UT-PM10105S</t>
  </si>
  <si>
    <t>DEF-00407</t>
  </si>
  <si>
    <t>시작일자나 종료일자  누락시에도 조회가 된다.
(필수입력값이므로 조회가 되면 안됨)</t>
  </si>
  <si>
    <t>시작일자나 종료일자  누락시에도 조회가 된다.</t>
  </si>
  <si>
    <t>시작일자나 종료일자  누락시에도 조회가 된다. (필수입력값이므로 조회가 되면 안됨)</t>
  </si>
  <si>
    <t>UT-GO61202S</t>
  </si>
  <si>
    <t>DEF-00409</t>
  </si>
  <si>
    <t>아이콘 크기 조절가능한 이유가 궁금해요ㅕ</t>
  </si>
  <si>
    <t>폰트/크기</t>
  </si>
  <si>
    <t>UT-GO52803S</t>
  </si>
  <si>
    <t>DEF-00428</t>
  </si>
  <si>
    <t>테스트케이스 엑셀 파일이 없습니다.</t>
  </si>
  <si>
    <t>신규</t>
  </si>
  <si>
    <t>UT-GO52804S</t>
  </si>
  <si>
    <t>DEF-00429</t>
  </si>
  <si>
    <t>UT-PM20156S</t>
  </si>
  <si>
    <t>DEF-00431</t>
  </si>
  <si>
    <t xml:space="preserve">그래프 비교 시 x 축이 정확하게 보이지 않습니다! </t>
  </si>
  <si>
    <t>그래프 비교 시 x 축이 정확하게 보이지 않습니다!</t>
  </si>
  <si>
    <t>UT-PM20157S</t>
  </si>
  <si>
    <t>DEF-00432</t>
  </si>
  <si>
    <t xml:space="preserve">  + 버튼으로 그래프 비교를 할경우 화면 비율 100% 상태에서 승객수  
기존 , 시뮬레이션 글자가 짤림 </t>
  </si>
  <si>
    <t>+ 버튼으로 그래프 비교를 할경우 화면 비율 100% 상태에서 승객수</t>
  </si>
  <si>
    <t>+ 버튼으로 그래프 비교를 할경우 화면 비율 100% 상태에서 승객수   기존 , 시뮬레이션 글자가 짤림</t>
  </si>
  <si>
    <t>UT-PM10106S</t>
  </si>
  <si>
    <t>DEF-00445</t>
  </si>
  <si>
    <t xml:space="preserve">예측관리 -&gt; 입력정보 관리 카테고리 안에 연계데이터 상태 상세 관리 항목은 없음 </t>
  </si>
  <si>
    <t>예측관리 -&gt; 입력정보 관리 카테고리 안에 연계데이터 상태 상세 관리 항목은 없음</t>
  </si>
  <si>
    <t>UT-PM20106M</t>
  </si>
  <si>
    <t>DEF-00446</t>
  </si>
  <si>
    <t xml:space="preserve">창을 줄였을때 스크롤이 생기지 않습니다. </t>
  </si>
  <si>
    <t>창을 줄였을때 스크롤이 생기지 않습니다.</t>
  </si>
  <si>
    <t>UT-GO12707S</t>
  </si>
  <si>
    <t>DEF-00449</t>
  </si>
  <si>
    <t>검색 조건 정렬 필요</t>
  </si>
  <si>
    <t>정렬 오류</t>
  </si>
  <si>
    <t>DEF-00453</t>
  </si>
  <si>
    <t>시간대별 상세 셀 색상이 통일돼야할것같아요</t>
  </si>
  <si>
    <t>UT-FSQB140S</t>
  </si>
  <si>
    <t>DEF-00454</t>
  </si>
  <si>
    <t>포기물품 기증일자 선택시 하단 [포기물품 기증현황] 항목에 상세 내용 display 하는데 속도가 느리네요. (3~4초 )</t>
  </si>
  <si>
    <t>성능</t>
  </si>
  <si>
    <t>포기물품 기증일자 선택시 하단 [포기물품 기증현황] 항목에 상세 내용 display 하는데 속도가 느리네…</t>
  </si>
  <si>
    <t>UT-PM10201S</t>
  </si>
  <si>
    <t>DEF-00455</t>
  </si>
  <si>
    <t xml:space="preserve">UI 변경으로 인한 단위테스트 수정 </t>
  </si>
  <si>
    <t>레이아웃/UI</t>
  </si>
  <si>
    <t>UI 변경으로 인한 단위테스트 수정</t>
  </si>
  <si>
    <t>UT-PM10202S</t>
  </si>
  <si>
    <t>DEF-00456</t>
  </si>
  <si>
    <t>운영시간 조회 데이터가 없어서 데이터 증적후 재 테스트</t>
  </si>
  <si>
    <t>UT-GO12910S</t>
  </si>
  <si>
    <t>DEF-00457</t>
  </si>
  <si>
    <t>1 일평균(명)의 전주와 금주에 빨간색 폰트가 맞는지 확인 필요
2. 0.0 인데 빨간색 상향 표시 확인 필요
3. 국제여객과 일평균에 대해서 증감율 병합이 맞는지 확인 필요
4. 왼쪽 테두리 없음.
5. 오타 수정(날자 =&gt; 날짜)
6. 증감율 환승율만 계산되는 것 같아 보임.</t>
  </si>
  <si>
    <t>1 일평균(명)의 전주와 금주에 빨간색 폰트가 맞는지 확인 필요</t>
  </si>
  <si>
    <t>1 일평균(명)의 전주와 금주에 빨간색 폰트가 맞는지 확인 필요 2. 0.0 인데 빨간색 상향 표시 확인 필요 3. 국제여객과 일평균에 대해서 증감율 병합이 맞는지 확인 필요 4. 왼쪽 테두리 없음. 5. 오타 수정(날자 =&gt; 날짜) 6. 증감율 …</t>
  </si>
  <si>
    <t>UT-PM20107M</t>
  </si>
  <si>
    <t>DEF-00459</t>
  </si>
  <si>
    <t xml:space="preserve">첫번째 사진에서 데이터가 없을 때 '조회된 데이터가 없습니다.' 가 뜨지 않습니다. </t>
  </si>
  <si>
    <t>첫번째 사진에서 데이터가 없을 때 '조회된 데이터가 없습니다.' 가 뜨지 않습니다.</t>
  </si>
  <si>
    <t>DEF-00478</t>
  </si>
  <si>
    <t xml:space="preserve">단위테스트 증적이랑  현재 ui 화면 버튼이 다름 </t>
  </si>
  <si>
    <t>단위테스트 증적이랑  현재 ui 화면 버튼이 다름</t>
  </si>
  <si>
    <t>UT-FSEX090M</t>
  </si>
  <si>
    <t>DEF-00480</t>
  </si>
  <si>
    <t>[S_3] '일자' 필드를 수정하면 다른 어떤 필드를 수정하든 수정하지 않든 정상적으로 수정이 가능하지만, '일자' 필드를 수정하지 않은 상태로 다른 어떤 필드든 수정 시 데이터 제약조건 위반 에러가 표출되며 수정되지 않음</t>
  </si>
  <si>
    <t>[S_3] '일자' 필드를 수정하면 다른 어떤 필드를 수정하든 수정하지 않든 정상적으로 수정이 가능하지만…</t>
  </si>
  <si>
    <t>UT-PM10309S</t>
  </si>
  <si>
    <t>DEF-00007</t>
  </si>
  <si>
    <t>캡처 이미지처럼 글자수 때문에 디자인이 깨지는 현상 발생.</t>
  </si>
  <si>
    <t>입력 길이 제한</t>
  </si>
  <si>
    <t>DEF-00198</t>
  </si>
  <si>
    <t>우측 상단의 15분 이상, 16분 이상 선택에 따른 조회 결과가 동일함..</t>
  </si>
  <si>
    <t>UT-GO11965S</t>
  </si>
  <si>
    <t>DEF-00260</t>
  </si>
  <si>
    <t>기간지정 일일 최대수송실적 조회간 9999년도로 조회하면 2026년으로 조회 막아야할거같습니다</t>
  </si>
  <si>
    <t>UT-GO21401S</t>
  </si>
  <si>
    <t>DEF-00264</t>
  </si>
  <si>
    <t>수하물 실적예측정보/등록 수정간 데이터 길이 제한이 걸려있지않음 무한대로 입력가능함</t>
  </si>
  <si>
    <t>DEF-00298</t>
  </si>
  <si>
    <t>환승장 탭을 선택한 뒤 조회버튼 클릭 시 다시 입국장 탭 선택됨.</t>
  </si>
  <si>
    <t>DEF-00301</t>
  </si>
  <si>
    <t>아래와 같이 기존 Data 조회하여. Upload 양식에 기입하고 Upload 시도하였지만. 파일 업로드 실패함.</t>
  </si>
  <si>
    <t>아래와 같이 기존 Data 조회하여. Upload 양식에 기입하고 Upload 시도하였지만. 파일 업로드…</t>
  </si>
  <si>
    <t>UT-GO23801S</t>
  </si>
  <si>
    <t>DEF-00302</t>
  </si>
  <si>
    <t xml:space="preserve">엑셀 다운 시 일자 항목 데이터 확인이 필요할것같습니다. </t>
  </si>
  <si>
    <t>엑셀 다운 시 일자 항목 데이터 확인이 필요할것같습니다.</t>
  </si>
  <si>
    <t>UT-PM10303S</t>
  </si>
  <si>
    <t>DEF-00303</t>
  </si>
  <si>
    <t>!! 해당 결함 그냥 결함 완료 처리 부탁드립니다.!!
해당 결함은 시나리오ID : UT-PM10304S에 동일하게 작성 했습니다.
세로 스크롤이 그리드의 오른쪽 끝에만 표시됨.
 - 그리드에서 세로 스크롤이 표시되는 곳을 벗어나면 스크롤이 보이지 않음.</t>
  </si>
  <si>
    <t>!! 해당 결함 그냥 결함 완료 처리 부탁드립니다.!!</t>
  </si>
  <si>
    <t>!! 해당 결함 그냥 결함 완료 처리 부탁드립니다.!! 해당 결함은 시나리오ID : UT-PM10304S에 동일하게 작성 했습니다.  세로 스크롤이 그리드의 오른쪽 끝에만 표시됨.  - 그리드에서 세로 스크롤이 표시되는 곳을 벗어나면 스크롤이 보이…</t>
  </si>
  <si>
    <t>DEF-00304</t>
  </si>
  <si>
    <t>엑셀 내 합계 행 데이터 표현도 확인해야할것같아요</t>
  </si>
  <si>
    <t>UT-PM10311S</t>
  </si>
  <si>
    <t>DEF-00008</t>
  </si>
  <si>
    <t>맵보기, 표보기에는 데이터가 있지만 차트보기에서는 아무것도 안나옵니다.</t>
  </si>
  <si>
    <t>UT-GO12906S</t>
  </si>
  <si>
    <t>DEF-00024</t>
  </si>
  <si>
    <t>조건에 따른 조회결과가 표출되지 않음. (2025.06.10, 13:00, Grade : 전체)</t>
  </si>
  <si>
    <t>UT-GO12510S</t>
  </si>
  <si>
    <t>DEF-00025</t>
  </si>
  <si>
    <t>상단 검색창에서 "LCC균등배정실적", "LCC" 검색을 시도했으나, 결과를 제공하지 못함(실제 계류장운영팀 폴더에는 존재하고 있음)</t>
  </si>
  <si>
    <t>상단 검색창에서 "LCC균등배정실적", "LCC" 검색을 시도했으나, 결과를 제공하지 못함(실제 계류장운…</t>
  </si>
  <si>
    <t>UT-GO12912S</t>
  </si>
  <si>
    <t>DEF-00026</t>
  </si>
  <si>
    <t>[S-2]조건에 따른 조회결과가 표출되지 않음. (2025.06.10, 13:00, Grade : 전체)</t>
  </si>
  <si>
    <t>UT-PM10304S</t>
  </si>
  <si>
    <t>DEF-00312</t>
  </si>
  <si>
    <t>세로 스크롤이 그리드의 오른쪽 끝에만 표시됨.
 - 그리드에서 세로 스크롤이 표시되는 곳을 벗어나면 스크롤이 보이지 않음.</t>
  </si>
  <si>
    <t>세로 스크롤이 그리드의 오른쪽 끝에만 표시됨.</t>
  </si>
  <si>
    <t>세로 스크롤이 그리드의 오른쪽 끝에만 표시됨.  - 그리드에서 세로 스크롤이 표시되는 곳을 벗어나면 스크롤이 보이지 않음.</t>
  </si>
  <si>
    <t>UT-GO62201S</t>
  </si>
  <si>
    <t>DEF-00326</t>
  </si>
  <si>
    <t>아래 화면과 같이 선택일시 목록 아래를 클릭하면.. 선택 불필요한 영역까지 선택됨</t>
  </si>
  <si>
    <t>선택/체크 동작</t>
  </si>
  <si>
    <t>UT-PM10308S</t>
  </si>
  <si>
    <t>DEF-00330</t>
  </si>
  <si>
    <t>시작 시간 또는 종료 시간이 "0" 인 데이터는 그리드에 표시 되지 않음.
- 표보기에서 셀프백드랍 기준 시간 5:60분 부터인데 차트보기에서는 6:30분부터 표시됨.  데이터가 "0" 5:30, 6:00 는 표시되지 않고 있음.</t>
  </si>
  <si>
    <t>시작 시간 또는 종료 시간이 "0" 인 데이터는 그리드에 표시 되지 않음.</t>
  </si>
  <si>
    <t>시작 시간 또는 종료 시간이 "0" 인 데이터는 그리드에 표시 되지 않음. - 표보기에서 셀프백드랍 기준 시간 5:60분 부터인데 차트보기에서는 6:30분부터 표시됨.  데이터가 "0" 5:30, 6:00 는 표시되지 않고 있음.</t>
  </si>
  <si>
    <t>DEF-00333</t>
  </si>
  <si>
    <t>우측 화면 하단의 인쇄 버튼 명칭의 PRINT로 일관성 확인 필요. 현재는 화면별로 혼재되어 있음.</t>
  </si>
  <si>
    <t>UT-GO31419S</t>
  </si>
  <si>
    <t>DEF-00336</t>
  </si>
  <si>
    <t xml:space="preserve">테이블 스크롤이 이상합니다. 
또한 중간 구분선은 왜 있는지 잘 모르겠습니다. </t>
  </si>
  <si>
    <t>gotbd4</t>
  </si>
  <si>
    <t>테이블 스크롤이 이상합니다.</t>
  </si>
  <si>
    <t>테이블 스크롤이 이상합니다.  또한 중간 구분선은 왜 있는지 잘 모르겠습니다.</t>
  </si>
  <si>
    <t>DEF-00338</t>
  </si>
  <si>
    <t xml:space="preserve">아이콘이 잘린걸까요 ,,? </t>
  </si>
  <si>
    <t>아이콘이 잘린걸까요 ,,?</t>
  </si>
  <si>
    <t>DEF-00340</t>
  </si>
  <si>
    <t>창을 줄이면 테이블 내 스크롤이 보이지 않습니다. 
합계는 어떤 데이터에 대한 합계인지 알 수 없습니다.  (0편 0편 등 .. )</t>
  </si>
  <si>
    <t>집계/계산 오류</t>
  </si>
  <si>
    <t>창을 줄이면 테이블 내 스크롤이 보이지 않습니다.</t>
  </si>
  <si>
    <t>창을 줄이면 테이블 내 스크롤이 보이지 않습니다.  합계는 어떤 데이터에 대한 합계인지 알 수 없습니다.  (0편 0편 등 .. )</t>
  </si>
  <si>
    <t>DEF-00341</t>
  </si>
  <si>
    <t xml:space="preserve">데이터가 1건인데 th 에 order 가 있습니다. </t>
  </si>
  <si>
    <t>데이터가 1건인데 th 에 order 가 있습니다.</t>
  </si>
  <si>
    <t>DEF-00342</t>
  </si>
  <si>
    <t>해당 테스트 이전에 등록된 결함 해결 됐는데 처리상태 미변경으로 인해 완료 처리 불가능.
해당 시나리오 테스트 "정상" 완료</t>
  </si>
  <si>
    <t>해당 테스트 이전에 등록된 결함 해결 됐는데 처리상태 미변경으로 인해 완료 처리 불가능.</t>
  </si>
  <si>
    <t>해당 테스트 이전에 등록된 결함 해결 됐는데 처리상태 미변경으로 인해 완료 처리 불가능.  해당 시나리오 테스트 "정상" 완료</t>
  </si>
  <si>
    <t>UT-PM10310S</t>
  </si>
  <si>
    <t>DEF-00344</t>
  </si>
  <si>
    <t>세로 스크롤이 그리드의 오른쪽 끝에만 표시됨. 
- 그리드에서 세로 스크롤이 표시되는 곳을 벗어나면 스크롤이 보이지 않음.</t>
  </si>
  <si>
    <t>UT-GO31420M</t>
  </si>
  <si>
    <t>DEF-00345</t>
  </si>
  <si>
    <t xml:space="preserve">조회된 데이터가 없을때, NO DATA 가 뜨지 않습니다. </t>
  </si>
  <si>
    <t>조회된 데이터가 없을때, NO DATA 가 뜨지 않습니다.</t>
  </si>
  <si>
    <t>DEF-00346</t>
  </si>
  <si>
    <t xml:space="preserve">스크롤이 동작하지 않습니다. 
-&gt; 테이블 헤더에서 스크롤을 하면 아래 셀 스크롤이 됩니다 ! 그러나 수정해야할것같습니다 .. </t>
  </si>
  <si>
    <t>스크롤이 동작하지 않습니다.</t>
  </si>
  <si>
    <t>스크롤이 동작하지 않습니다.  -&gt; 테이블 헤더에서 스크롤을 하면 아래 셀 스크롤이 됩니다 ! 그러나 수정해야할것같습니다 ..</t>
  </si>
  <si>
    <t>DEF-00177</t>
  </si>
  <si>
    <t>수하물 실척예측정보 등록간 양식대로 입력하였으나 데이터 제약조건 위반 발생</t>
  </si>
  <si>
    <t>DEF-00347</t>
  </si>
  <si>
    <t>페이지별로 SearchForm이 검색조건에 의해 사이즈가 커졌을떄
각 페이지마다 Search의 위치가 다름 위?아래? 일관성이 필요해보임</t>
  </si>
  <si>
    <t>페이지별로 SearchForm이 검색조건에 의해 사이즈가 커졌을떄</t>
  </si>
  <si>
    <t>페이지별로 SearchForm이 검색조건에 의해 사이즈가 커졌을떄 각 페이지마다 Search의 위치가 다름 위?아래? 일관성이 필요해보임</t>
  </si>
  <si>
    <t>DEF-00348</t>
  </si>
  <si>
    <t xml:space="preserve">어떤 데이터에 대한 합계인지 모르겠습니다. </t>
  </si>
  <si>
    <t>어떤 데이터에 대한 합계인지 모르겠습니다.</t>
  </si>
  <si>
    <t>DEF-00349</t>
  </si>
  <si>
    <t>화면 사이즈를 조금 줄이면 그리드의 가로 스크롤이 밖으로 빠지고 안에 안에 그리드 내용의 사이즈에 대한 스크롤이 생김.
그로 인해 상단 타이틀과 내용에 대한 그리드 틀이 깨짐</t>
  </si>
  <si>
    <t>화면 사이즈를 조금 줄이면 그리드의 가로 스크롤이 밖으로 빠지고 안에 안에 그리드 내용의 사이즈에 대한 …</t>
  </si>
  <si>
    <t>화면 사이즈를 조금 줄이면 그리드의 가로 스크롤이 밖으로 빠지고 안에 안에 그리드 내용의 사이즈에 대한 스크롤이 생김. 그로 인해 상단 타이틀과 내용에 대한 그리드 틀이 깨짐</t>
  </si>
  <si>
    <t>DEF-00350</t>
  </si>
  <si>
    <t xml:space="preserve">윗쪽 셀은 정렬에 영향을 받지 않는데 의도를 이해하지못했습니다. </t>
  </si>
  <si>
    <t>윗쪽 셀은 정렬에 영향을 받지 않는데 의도를 이해하지못했습니다.</t>
  </si>
  <si>
    <t>DEF-00351</t>
  </si>
  <si>
    <t xml:space="preserve">창의 크기에 따라 스크롤이 생기지 않습니다. </t>
  </si>
  <si>
    <t>창의 크기에 따라 스크롤이 생기지 않습니다.</t>
  </si>
  <si>
    <t>DEF-00352</t>
  </si>
  <si>
    <t>타이틀 정렬(중앙 정렬 필요)</t>
  </si>
  <si>
    <t>UT-FSEX060M</t>
  </si>
  <si>
    <t>DEF-00353</t>
  </si>
  <si>
    <t>단위테스트 자료 없음</t>
  </si>
  <si>
    <t>DEF-00354</t>
  </si>
  <si>
    <t>맵보기에서 터미널 T1을 선택하고 조회 후 차트보기로 이동 시 차트가 보여지지 않음.</t>
  </si>
  <si>
    <t>DEF-00355</t>
  </si>
  <si>
    <t>테스트 결과서 내용과 개발된 프로그램이 다름 차트 확인 필요</t>
  </si>
  <si>
    <t>DEF-00357</t>
  </si>
  <si>
    <t>캘린더 날자 선택 시 input에 날짜가 적용되지만 캘린더 팝업이 닫히지 않음.</t>
  </si>
  <si>
    <t>DEF-00366</t>
  </si>
  <si>
    <t>보안검색대 수정에서 시 분 선택 시 input에는 값이 저장되지만 선태 select box 가 남아 있음.</t>
  </si>
  <si>
    <t>DEF-00367</t>
  </si>
  <si>
    <t>시작 시간이 종료 시간보다 느린데 현재상태 저장 됨.</t>
  </si>
  <si>
    <t>DEF-00368</t>
  </si>
  <si>
    <t>엑셀 저장 시 숫자 단위 확인 필요</t>
  </si>
  <si>
    <t>UT-GO41211S</t>
  </si>
  <si>
    <t>DEF-00372</t>
  </si>
  <si>
    <t xml:space="preserve">어떤 데이터가 검색되는지 알 수 없습니다 </t>
  </si>
  <si>
    <t>어떤 데이터가 검색되는지 알 수 없습니다</t>
  </si>
  <si>
    <t>DEF-00375</t>
  </si>
  <si>
    <t xml:space="preserve">테스트 시나리오 대로 2025-06-19, 2020-11-02 검색을 했지만 [주차장 사용현황] 데이터가 없어 확인하지 못했습니다. </t>
  </si>
  <si>
    <t>테스트 시나리오 대로 2025-06-19, 2020-11-02 검색을 했지만 [주차장 사용현황] 데이터가…</t>
  </si>
  <si>
    <t>테스트 시나리오 대로 2025-06-19, 2020-11-02 검색을 했지만 [주차장 사용현황] 데이터가 없어 확인하지 못했습니다.</t>
  </si>
  <si>
    <t>DEF-00673</t>
  </si>
  <si>
    <t>[X_1] 피크타임 항목이 제대로 계산되지 않는 것 같습니다 (날짜에 관계없이 모두 0시로 표기됩니다).</t>
  </si>
  <si>
    <t>DEF-00674</t>
  </si>
  <si>
    <t>[C_1] 매월 셋째, 넷째, 다섯번째 주 일요일의 피크타임, 단기 주차율, 장기 주차율 텍스트가 다른 날짜의 텍스트와 스타일이 상이합니다.</t>
  </si>
  <si>
    <t>[C_1] 매월 셋째, 넷째, 다섯번째 주 일요일의 피크타임, 단기 주차율, 장기 주차율 텍스트가 다른 …</t>
  </si>
  <si>
    <t>DEF-00676</t>
  </si>
  <si>
    <t xml:space="preserve">①최초 화면전체 모드 기준 표 보기에는 하단 좌우스크롤바 1개,
② 화면크기 조정후 스크롤바 2개 생성,
③ 다시 전체 화면 모드로 전환했지만, 하단 좌우스크롤 2개 유지 
</t>
  </si>
  <si>
    <t>①최초 화면전체 모드 기준 표 보기에는 하단 좌우스크롤바 1개,</t>
  </si>
  <si>
    <t>①최초 화면전체 모드 기준 표 보기에는 하단 좌우스크롤바 1개, ② 화면크기 조정후 스크롤바 2개 생성, ③ 다시 전체 화면 모드로 전환했지만, 하단 좌우스크롤 2개 유지</t>
  </si>
  <si>
    <t>DEF-00678</t>
  </si>
  <si>
    <t xml:space="preserve">출시, 입시 입력값이 잘 못 됐을 때 안내 메세지에 어떤 입력 항목에 대한 메세지 인지 알 수가 없으며, 확인 버튼 클리 후 문제된 항목으로 focus 처리가 안됨.
</t>
  </si>
  <si>
    <t>출시, 입시 입력값이 잘 못 됐을 때 안내 메세지에 어떤 입력 항목에 대한 메세지 인지 알 수가 없으며,…</t>
  </si>
  <si>
    <t>출시, 입시 입력값이 잘 못 됐을 때 안내 메세지에 어떤 입력 항목에 대한 메세지 인지 알 수가 없으며, 확인 버튼 클리 후 문제된 항목으로 focus 처리가 안됨.</t>
  </si>
  <si>
    <t>UT-PM10405S</t>
  </si>
  <si>
    <t>DEF-00686</t>
  </si>
  <si>
    <t xml:space="preserve">①아일랜드 G의 셀프체크인 키오스크를 24시까지 선택하고 저장
②시뮬레이션 다시 불러오면 저장 이전 상태로 복구됨
</t>
  </si>
  <si>
    <t>①아일랜드 G의 셀프체크인 키오스크를 24시까지 선택하고 저장</t>
  </si>
  <si>
    <t>①아일랜드 G의 셀프체크인 키오스크를 24시까지 선택하고 저장 ②시뮬레이션 다시 불러오면 저장 이전 상태로 복구됨</t>
  </si>
  <si>
    <t>UT-GO42101S</t>
  </si>
  <si>
    <t>DEF-00705</t>
  </si>
  <si>
    <t>[S_1-1] 종료일자 미입력 시에도 '시작일자' 항목은 필수 입력항목이라는 alert이 표출됩니다.</t>
  </si>
  <si>
    <t>DEF-00721</t>
  </si>
  <si>
    <t>[C_10] [C_12] 날짜 포맷이 서로 상이합니다 (YYYY-MM-DD, YYYYMMDD, YYYY/MM/DD).</t>
  </si>
  <si>
    <t>[C_10] [C_12] 날짜 포맷이 서로 상이합니다 (YYYY-MM-DD, YYYYMMDD, YYYY/…</t>
  </si>
  <si>
    <t>UT-PM20129S</t>
  </si>
  <si>
    <t>DEF-00723</t>
  </si>
  <si>
    <t>화면의 첫 째 필드에 커셔가 Set focus되어 있지 않음.</t>
  </si>
  <si>
    <t>UT-GO12904S</t>
  </si>
  <si>
    <t>DEF-00725</t>
  </si>
  <si>
    <t>[C_1] 보고서상에 'YY.MM.DD. HH시 기준 작성' 란은 있으나, 시간(HH)이 들어갈 위치에 값이 없는데, 수기로 기재하도록 남겨둔 것인지 누락된 것인지 확인해 주시면 감사하겠습니다.</t>
  </si>
  <si>
    <t>[C_1] 보고서상에 'YY.MM.DD. HH시 기준 작성' 란은 있으나, 시간(HH)이 들어갈 위치에 …</t>
  </si>
  <si>
    <t>UT-GO12908S</t>
  </si>
  <si>
    <t>DEF-00728</t>
  </si>
  <si>
    <t>[C_1] 요일이 들어갈 위치로 보이나 값이 누락됨</t>
  </si>
  <si>
    <t>DEF-00729</t>
  </si>
  <si>
    <t>[X_1] 검색 컴포넌트에는 보고서 조회기준'일시' 라고 되어 있으나 '일'은 설정 불가하고 시간만 설정 가능합니다.</t>
  </si>
  <si>
    <t>[X_1] 검색 컴포넌트에는 보고서 조회기준'일시' 라고 되어 있으나 '일'은 설정 불가하고 시간만 설정…</t>
  </si>
  <si>
    <t>UT-PM10307S</t>
  </si>
  <si>
    <t>DEF-00321</t>
  </si>
  <si>
    <t>차트보기 또는 맵보기 이동 후 다시 표보기로 오면 아일랜드 코드 사라짐.</t>
  </si>
  <si>
    <t>UT-GO11101S</t>
  </si>
  <si>
    <t>DEF-00322</t>
  </si>
  <si>
    <t xml:space="preserve">GD 항목에 데이터가 있지 않은데 초기 스크롤이 생깁니다. </t>
  </si>
  <si>
    <t>GD 항목에 데이터가 있지 않은데 초기 스크롤이 생깁니다.</t>
  </si>
  <si>
    <t>DEF-00331</t>
  </si>
  <si>
    <t>테스트 결과서 내용과 개발된 프로그램이 다름
차트 확인 필요</t>
  </si>
  <si>
    <t>테스트 결과서 내용과 개발된 프로그램이 다름</t>
  </si>
  <si>
    <t>DEF-00332</t>
  </si>
  <si>
    <t>테스트 결과 내용과 개발된 프로그램이 다름</t>
  </si>
  <si>
    <t>DEF-00334</t>
  </si>
  <si>
    <t xml:space="preserve">통계 생성 버튼을 눌러야 데이터들이 뜨니 해당 페이지 내 search 버튼의 기능에 대해 알 수 없습니다. </t>
  </si>
  <si>
    <t>통계 생성 버튼을 눌러야 데이터들이 뜨니 해당 페이지 내 search 버튼의 기능에 대해 알 수 없습니다.</t>
  </si>
  <si>
    <t>UT-GO41202M</t>
  </si>
  <si>
    <t>DEF-00358</t>
  </si>
  <si>
    <t xml:space="preserve">모든 input에 0을 입력한 후 저장하니 저장이 됐습니다. </t>
  </si>
  <si>
    <t>모든 input에 0을 입력한 후 저장하니 저장이 됐습니다.</t>
  </si>
  <si>
    <t>DEF-00359</t>
  </si>
  <si>
    <t>전일이 당일을 기준로 전일 고정되어 있음.</t>
  </si>
  <si>
    <t>DEF-00360</t>
  </si>
  <si>
    <t>아이콘 확인 필요.
해당 아이콘은 파일 다운로드 아이콘으로 보임.</t>
  </si>
  <si>
    <t>아이콘 확인 필요.</t>
  </si>
  <si>
    <t>아이콘 확인 필요. 해당 아이콘은 파일 다운로드 아이콘으로 보임.</t>
  </si>
  <si>
    <t>DEF-00364</t>
  </si>
  <si>
    <t xml:space="preserve">운항편 전체 비율로 수정에 값을 입력 후 상위 부분에 다시 "불러오기"를 수행할 경우 운항편 수와 여객 수가 입력된 운항편 전체 비율로 수정이 적용되지 않은 상태로 불러 오기가 됨. </t>
  </si>
  <si>
    <t>운항편 전체 비율로 수정에 값을 입력 후 상위 부분에 다시 "불러오기"를 수행할 경우 운항편 수와 여객 …</t>
  </si>
  <si>
    <t>운항편 전체 비율로 수정에 값을 입력 후 상위 부분에 다시 "불러오기"를 수행할 경우 운항편 수와 여객 수가 입력된 운항편 전체 비율로 수정이 적용되지 않은 상태로 불러 오기가 됨.</t>
  </si>
  <si>
    <t>DEF-00390</t>
  </si>
  <si>
    <t>UT-PM10401S 에 등록된 시간 선택과 갯수 입력 최대값 검증 확인 필요</t>
  </si>
  <si>
    <t>UT-PM10501S</t>
  </si>
  <si>
    <t>DEF-00391</t>
  </si>
  <si>
    <t>입력값들에 대한 비활성화 처리가 됐는데 운영시간은 수정 가능함</t>
  </si>
  <si>
    <t>활성/비활성 처리</t>
  </si>
  <si>
    <t>UT-GO12505S</t>
  </si>
  <si>
    <t>DEF-00402</t>
  </si>
  <si>
    <t>"접이현시간가 없는 경우에는" 오타로 보임
"접이현시간이 없는 경우에는" 으로 수정 필요해 보임.</t>
  </si>
  <si>
    <t>용어/라벨/문구</t>
  </si>
  <si>
    <t>오타</t>
  </si>
  <si>
    <t>"접이현시간가 없는 경우에는" 오타로 보임</t>
  </si>
  <si>
    <t>"접이현시간가 없는 경우에는" 오타로 보임 "접이현시간이 없는 경우에는" 으로 수정 필요해 보임.</t>
  </si>
  <si>
    <t>용어집 기준으로 라벨 일괄 정비, 오타/표기 표준 적용</t>
  </si>
  <si>
    <t>UT-GO41901S</t>
  </si>
  <si>
    <t>DEF-00403</t>
  </si>
  <si>
    <t xml:space="preserve">출도착지 데이터가 동일합니다. 
</t>
  </si>
  <si>
    <t>출도착지 데이터가 동일합니다.</t>
  </si>
  <si>
    <t>DEF-00378</t>
  </si>
  <si>
    <t>9999 년도로 검색은 가능하나 목표리스트는 2100년이 최대 입력치입니다. 
통일이 필요할것같습니다</t>
  </si>
  <si>
    <t>9999 년도로 검색은 가능하나 목표리스트는 2100년이 최대 입력치입니다.</t>
  </si>
  <si>
    <t>9999 년도로 검색은 가능하나 목표리스트는 2100년이 최대 입력치입니다.  통일이 필요할것같습니다</t>
  </si>
  <si>
    <t>DEF-00379</t>
  </si>
  <si>
    <t>입력 최대값 검증 필요</t>
  </si>
  <si>
    <t>DEF-00381</t>
  </si>
  <si>
    <t>단위 구분 필요.</t>
  </si>
  <si>
    <t>UT-GO12503S</t>
  </si>
  <si>
    <t>DEF-00392</t>
  </si>
  <si>
    <t>조회된 모든 건수가 계산 불가입니다. 검증이 필요할것같아요</t>
  </si>
  <si>
    <t>UT-GO12504S</t>
  </si>
  <si>
    <t>DEF-00393</t>
  </si>
  <si>
    <t xml:space="preserve">엑셀 내 글씨체 조정이 필요할것같습니다 </t>
  </si>
  <si>
    <t>엑셀 내 글씨체 조정이 필요할것같습니다</t>
  </si>
  <si>
    <t>UT-GO12508S</t>
  </si>
  <si>
    <t>DEF-00395</t>
  </si>
  <si>
    <t xml:space="preserve">지연인 건에 대해서만 표출이 되고 있는건지 궁금합니다.
TW302 편을 예로 STA 와 ATA 차이를 보았을때 정말 지연이 맞는지 알수없습니다.
단지 데이터 표출을 위한 가짜 데이터일까요 ,,? 
조치 방안
1. 지연시간 단위 명시
2. STD/STA 와 ATD/ATA 날짜가 다르다면 ATD/ATA 의 날짜 명시
+ 출발/도착 을 구분하고 있으니, 테이블 헤더 내 목적지 -&gt; 목적지/출발지 로 변경하는건 어떠신가요 ?
</t>
  </si>
  <si>
    <t>지연인 건에 대해서만 표출이 되고 있는건지 궁금합니다.</t>
  </si>
  <si>
    <t>지연인 건에 대해서만 표출이 되고 있는건지 궁금합니다.  TW302 편을 예로 STA 와 ATA 차이를 보았을때 정말 지연이 맞는지 알수없습니다. 단지 데이터 표출을 위한 가짜 데이터일까요 ,,?   조치 방안 1. 지연시간 단위 명시 2. STD…</t>
  </si>
  <si>
    <t>DEF-00397</t>
  </si>
  <si>
    <t>엑셀 템플릿이 깨집니다.</t>
  </si>
  <si>
    <t>UT-GO61101S</t>
  </si>
  <si>
    <t>DEF-00404</t>
  </si>
  <si>
    <t>조회된 데이터와 print 데이터가 다릅니다.</t>
  </si>
  <si>
    <t>UT-GO12805S</t>
  </si>
  <si>
    <t>DEF-00405</t>
  </si>
  <si>
    <t>날짜 형식 확인</t>
  </si>
  <si>
    <t>UT-GO61501S</t>
  </si>
  <si>
    <t>DEF-00415</t>
  </si>
  <si>
    <t xml:space="preserve">차트 내 데이터가 겹쳐 식별이 어렵습니다. </t>
  </si>
  <si>
    <t>차트 내 데이터가 겹쳐 식별이 어렵습니다.</t>
  </si>
  <si>
    <t>DEF-00416</t>
  </si>
  <si>
    <t>조회 데이터에 활주로 방향 명시 하면 좋을것같습니다.  (다운로드 문서 포함)</t>
  </si>
  <si>
    <t>DEF-00417</t>
  </si>
  <si>
    <t>데이터가 있는 날 단일 조회 결과입니다. 명확하게 보여주기에 한계가 있어보입니다</t>
  </si>
  <si>
    <t>UT-FSQA130S</t>
  </si>
  <si>
    <t>DEF-00738</t>
  </si>
  <si>
    <t>추가 확인 결과 상세내역 수정시 입력 일시를 수정하여 저장하였는데.. 수정된 일자로 정렬되지 않음.
특별물품정보관리의 경우 입력일자를 변경 저장하면,, 수정된 날자로 정렬되어 목록에 표줄됨.</t>
  </si>
  <si>
    <t>추가 확인 결과 상세내역 수정시 입력 일시를 수정하여 저장하였는데.. 수정된 일자로 정렬되지 않음.</t>
  </si>
  <si>
    <t>추가 확인 결과 상세내역 수정시 입력 일시를 수정하여 저장하였는데.. 수정된 일자로 정렬되지 않음. 특별물품정보관리의 경우 입력일자를 변경 저장하면,, 수정된 날자로 정렬되어 목록에 표줄됨.</t>
  </si>
  <si>
    <t>UT-PM20153S</t>
  </si>
  <si>
    <t>DEF-00739</t>
  </si>
  <si>
    <t xml:space="preserve">①시뮬레이션 결과와 기존승객예고결과의 첫번째 시간대(0H~1H)의 상세 시간대가 다름
</t>
  </si>
  <si>
    <t>①시뮬레이션 결과와 기존승객예고결과의 첫번째 시간대(0H~1H)의 상세 시간대가 다름</t>
  </si>
  <si>
    <t>DEF-00740</t>
  </si>
  <si>
    <t>[C_2] 검색 컴포넌트의 필수 필드에 대한 일관된 스타일 적용 필요</t>
  </si>
  <si>
    <t>필수 입력 누락</t>
  </si>
  <si>
    <t>DEF-00741</t>
  </si>
  <si>
    <t>[C_1] 검색 컴포넌트의 '기준일자' 필드, '지연/결항' 필드 정렬 필요</t>
  </si>
  <si>
    <t>DEF-00742</t>
  </si>
  <si>
    <t>[C_1] '조회기간' 필드, '국토부기준 노선구분' 필드 정렬 필요</t>
  </si>
  <si>
    <t>DEF-00743</t>
  </si>
  <si>
    <t>[C_12] 조회조건 중 날짜의 입력포맷과 조회결과 항목중 날짜관련 항목의 출력포맷이 일치하지 않음</t>
  </si>
  <si>
    <t>UT-PM20154S</t>
  </si>
  <si>
    <t>DEF-00745</t>
  </si>
  <si>
    <t xml:space="preserve">①체크인카운터별 출국장 이용 가중치 입력 화면- 체크인카운터 정렬 확인 필요
</t>
  </si>
  <si>
    <t>①체크인카운터별 출국장 이용 가중치 입력 화면- 체크인카운터 정렬 확인 필요</t>
  </si>
  <si>
    <t>UT-GO12101S</t>
  </si>
  <si>
    <t>DEF-00746</t>
  </si>
  <si>
    <t>[C_1] 오타: '회'수 → '횟'수</t>
  </si>
  <si>
    <t>UT-PM20155S</t>
  </si>
  <si>
    <t>DEF-00747</t>
  </si>
  <si>
    <t>엑셀 저장 기능 불안정..
5번 시도해서 엑셀 저장 기능 확인함.</t>
  </si>
  <si>
    <t>엑셀 저장 기능 불안정..</t>
  </si>
  <si>
    <t>엑셀 저장 기능 불안정.. 5번 시도해서 엑셀 저장 기능 확인함.</t>
  </si>
  <si>
    <t>DEF-00750</t>
  </si>
  <si>
    <t>[C_1] '13-1.결항현황(2023~)' 보고서 내 소제목 넘버링 수정 필요</t>
  </si>
  <si>
    <t>UT-GO11952M</t>
  </si>
  <si>
    <t>DEF-00764</t>
  </si>
  <si>
    <t>[X_1] 수송실적 섹션의 값들은 데이터가 없는 것인지, 집계가 잘못 되고 있는 것인지 확인 필요</t>
  </si>
  <si>
    <t>UT-GO12807S</t>
  </si>
  <si>
    <t>DEF-00765</t>
  </si>
  <si>
    <t>UT-PM30103M</t>
  </si>
  <si>
    <t>DEF-00769</t>
  </si>
  <si>
    <t>시스템에러로 테스트 불가</t>
  </si>
  <si>
    <t>DEF-00771</t>
  </si>
  <si>
    <t>[C_1] 엑셀 저장 시, 페이지마다 헤더 영역이 정상적으로 반복되거나 맨 위에 한 줄만 나타나야 할 것 같지만 '순번'만 반복되고 이외의 헤더는 반복되지 않음</t>
  </si>
  <si>
    <t>[C_1] 엑셀 저장 시, 페이지마다 헤더 영역이 정상적으로 반복되거나 맨 위에 한 줄만 나타나야 할 것…</t>
  </si>
  <si>
    <t>UT-GO51233S</t>
  </si>
  <si>
    <t>DEF-00773</t>
  </si>
  <si>
    <t>[S_1] 단위테스트결과서상 기준일자는 {어제} ~ {오늘}, 정기구분은 '전체', 여객/화물도 '전체'가 default 값이지만 현재 각각 2023-01-01 ~ {오늘}, '정기', '여객'으로 설정되어 있음</t>
  </si>
  <si>
    <t>[S_1] 단위테스트결과서상 기준일자는 {어제} ~ {오늘}, 정기구분은 '전체', 여객/화물도 '전체'…</t>
  </si>
  <si>
    <t>UT-GO51235S</t>
  </si>
  <si>
    <t>DEF-00777</t>
  </si>
  <si>
    <t>[C_12] 조회조건 중 기준일자 입력포맷과 보고서상의 조회기간 출력포맷 불일치</t>
  </si>
  <si>
    <t>DEF-00436</t>
  </si>
  <si>
    <t>DEF-00440</t>
  </si>
  <si>
    <t>직접입력 조회 시 오류</t>
  </si>
  <si>
    <t>DEF-00444</t>
  </si>
  <si>
    <t>도착승객, 환승객에 정렬 기능이 예상과 다르게 동작중인것 같아요!</t>
  </si>
  <si>
    <t>UT-GO51230S</t>
  </si>
  <si>
    <t>DEF-00447</t>
  </si>
  <si>
    <t xml:space="preserve">1. 셀 병합 필요
2. 비율에 대한 단위 표시 필요
</t>
  </si>
  <si>
    <t>1. 셀 병합 필요</t>
  </si>
  <si>
    <t>1. 셀 병합 필요 2. 비율에 대한 단위 표시 필요</t>
  </si>
  <si>
    <t>UT-PM10107S</t>
  </si>
  <si>
    <t>DEF-00448</t>
  </si>
  <si>
    <t>예측관리 -&gt; 입력정보 관리 카테고리 안에 시설물 매핑 관리 항목은 없음</t>
  </si>
  <si>
    <t>데이터 매핑 오류</t>
  </si>
  <si>
    <t>DEF-00500</t>
  </si>
  <si>
    <t>필수으로 표시되어 있는 항목에 대해 필수값 체크 확인 필요
- 접수구분
- 회수여부</t>
  </si>
  <si>
    <t>필수으로 표시되어 있는 항목에 대해 필수값 체크 확인 필요</t>
  </si>
  <si>
    <t>필수으로 표시되어 있는 항목에 대해 필수값 체크 확인 필요 - 접수구분 - 회수여부</t>
  </si>
  <si>
    <t>DEF-00501</t>
  </si>
  <si>
    <t>내용에 생화확 으로 선택한 뒤 확인물품 입력 후 입력한 확인물품을 삭제하지 않은 상태로 다른 내용을 선택 후 저장 시 오류 발생</t>
  </si>
  <si>
    <t>내용에 생화확 으로 선택한 뒤 확인물품 입력 후 입력한 확인물품을 삭제하지 않은 상태로 다른 내용을 선택…</t>
  </si>
  <si>
    <t>DEF-00519</t>
  </si>
  <si>
    <t>최대 입력값 체크 필요</t>
  </si>
  <si>
    <t>UT-FSEX040S</t>
  </si>
  <si>
    <t>DEF-00521</t>
  </si>
  <si>
    <t>그리드의 삭제 상태로 있는 행을 더블클릭하여 업무일지 작성 팝업을 오픈하면 오류 발생</t>
  </si>
  <si>
    <t>UT-PM10506S</t>
  </si>
  <si>
    <t>DEF-00015</t>
  </si>
  <si>
    <t>T1 터미널에서 T2로 변경시 아래 맵보기 정보가 변하지 않습니다.
T2로 넘어가면 T1정보가 그대로 보여지고 아래 시간을 바꿔도 변화가 없습니다.</t>
  </si>
  <si>
    <t>T1 터미널에서 T2로 변경시 아래 맵보기 정보가 변하지 않습니다.</t>
  </si>
  <si>
    <t>T1 터미널에서 T2로 변경시 아래 맵보기 정보가 변하지 않습니다. T2로 넘어가면 T1정보가 그대로 보여지고 아래 시간을 바꿔도 변화가 없습니다.</t>
  </si>
  <si>
    <t>UT-GO42001S</t>
  </si>
  <si>
    <t>DEF-00427</t>
  </si>
  <si>
    <t xml:space="preserve"> 잘못등록했습니다..! 무시해주세요</t>
  </si>
  <si>
    <t>잘못등록했습니다..! 무시해주세요</t>
  </si>
  <si>
    <t>UT-PM30101S</t>
  </si>
  <si>
    <t>DEF-00462</t>
  </si>
  <si>
    <t xml:space="preserve">조회시 에러가 있습니다. 
# 문제 발생 내용
1. 초기 데이터 정상 조회 (문제없었음)
2. 연도별 수요 및 GDP 실적 추가 및 저장 (입력한 데이터 : 2025, 123123, 456456)
3. 서버에러 팝업
4. 리프레시 버튼 -&gt; 서버에러 팝업
5. 이력조회 버튼 -&gt; 이전 이력 더블클릭 -&gt; 서버에러 팝업
6. 카테고리 접근 -&gt; 서버에러 팝업
연도별 수요 및 GDP 실적 저장 전 유효성 검사 또는 권한에 따른 저장 버튼 비활성을 검토해보셔야할것같습니다. </t>
  </si>
  <si>
    <t>조회시 에러가 있습니다.</t>
  </si>
  <si>
    <t>조회시 에러가 있습니다.   # 문제 발생 내용  1. 초기 데이터 정상 조회 (문제없었음) 2. 연도별 수요 및 GDP 실적 추가 및 저장 (입력한 데이터 : 2025, 123123, 456456) 3. 서버에러 팝업 4. 리프레시 버튼 -&gt; 서…</t>
  </si>
  <si>
    <t>UT-PM20135M</t>
  </si>
  <si>
    <t>DEF-00470</t>
  </si>
  <si>
    <t xml:space="preserve">단위테스트 ui 화면과 현재화면 ui 가다름 </t>
  </si>
  <si>
    <t>단위테스트 ui 화면과 현재화면 ui 가다름</t>
  </si>
  <si>
    <t>DEF-00477</t>
  </si>
  <si>
    <t>[C_11] 인원 필드에 0 또는 음수 값을 입력해도 저장 가능</t>
  </si>
  <si>
    <t>UT-PM20143M</t>
  </si>
  <si>
    <t>DEF-00481</t>
  </si>
  <si>
    <t>저장 초기화 가중치불러오기 닫기 버튼 위치 정렬 필요</t>
  </si>
  <si>
    <t>UT-FSQB090S</t>
  </si>
  <si>
    <t>DEF-00485</t>
  </si>
  <si>
    <t>용어에 대한 띄워쓰기 맞춤 필요.</t>
  </si>
  <si>
    <t>용어/명칭 통일</t>
  </si>
  <si>
    <t>UT-FSEX021S</t>
  </si>
  <si>
    <t>DEF-00487</t>
  </si>
  <si>
    <t xml:space="preserve">페이지 첫 진입 시 첫 필드(조회년월) 포커스가 필요합니다. </t>
  </si>
  <si>
    <t>페이지 첫 진입 시 첫 필드(조회년월) 포커스가 필요합니다.</t>
  </si>
  <si>
    <t>DEF-00488</t>
  </si>
  <si>
    <t xml:space="preserve">sort 기준 확인 필요.
</t>
  </si>
  <si>
    <t>sort 기준 확인 필요.</t>
  </si>
  <si>
    <t>DEF-00517</t>
  </si>
  <si>
    <t>DEF-00518</t>
  </si>
  <si>
    <t>DEF-00756</t>
  </si>
  <si>
    <t xml:space="preserve">[C_11] 현행 시스템에서 가용성 및 운영목표에 음이 아닌 정수값만 입력 가능하지만,
• 셔틀트레인 대시보드 리포트(UT-GO11952M)의 서비스 가용성 섹션에는 해당 값들이 항상 소수점 아래 셋째 자리까지 표시되고 있기 때문에 소수점 아래 셋째 자리까지 입력 가능하도록 하거나, 정수로 표시되도록 통일 필요
• 증적과 상이 (증적상 소수 단위 값 입력 가능)
</t>
  </si>
  <si>
    <t>[C_11] 현행 시스템에서 가용성 및 운영목표에 음이 아닌 정수값만 입력 가능하지만,</t>
  </si>
  <si>
    <t>[C_11] 현행 시스템에서 가용성 및 운영목표에 음이 아닌 정수값만 입력 가능하지만, • 셔틀트레인 대시보드 리포트(UT-GO11952M)의 서비스 가용성 섹션에는 해당 값들이 항상 소수점 아래 셋째 자리까지 표시되고 있기 때문에 소수점 아래 셋…</t>
  </si>
  <si>
    <t>UT-PM20130S</t>
  </si>
  <si>
    <t>DEF-00776</t>
  </si>
  <si>
    <t>조회 종료 버튼을 상태에 따라.. 클릭 가능 또는 Disable 상태로 바꿔주길 바람.
아래 화면과 같이.. 조회(Search) 클릭하면.. 타이머 작동중으로.. 주기적인 갱신이 이루어지며.. 이를 중단하는 것이 조회 중지 버튼임. 그런데.. 조회 중지 상태인데도 조회중지 버튼은 여전히 클릭 가능 상태임. 버튼을 클릭 가능할때와 불필요할때를 구분하여 전환 표시해 주길 바람.. Search 버튼 처럼..</t>
  </si>
  <si>
    <t>조회 종료 버튼을 상태에 따라.. 클릭 가능 또는 Disable 상태로 바꿔주길 바람.</t>
  </si>
  <si>
    <t>조회 종료 버튼을 상태에 따라.. 클릭 가능 또는 Disable 상태로 바꿔주길 바람. 아래 화면과 같이.. 조회(Search) 클릭하면.. 타이머 작동중으로.. 주기적인 갱신이 이루어지며.. 이를 중단하는 것이 조회 중지 버튼임. 그런데.. 조회…</t>
  </si>
  <si>
    <t>UT-GO52510S</t>
  </si>
  <si>
    <t>DEF-00778</t>
  </si>
  <si>
    <t>DEF-00779</t>
  </si>
  <si>
    <t>UT-GO12938S</t>
  </si>
  <si>
    <t>DEF-00031</t>
  </si>
  <si>
    <t>DEF-00044</t>
  </si>
  <si>
    <t>표 하단  문구에서 날자를 날짜로 변경필요
표 기간에 기간입력 필요
표의 왼쪽 외곽선 필요</t>
  </si>
  <si>
    <t>표 하단  문구에서 날자를 날짜로 변경필요</t>
  </si>
  <si>
    <t>표 하단  문구에서 날자를 날짜로 변경필요 표 기간에 기간입력 필요 표의 왼쪽 외곽선 필요</t>
  </si>
  <si>
    <t>UT-GO11962S</t>
  </si>
  <si>
    <t>DEF-00160</t>
  </si>
  <si>
    <t xml:space="preserve">월단위실적 조회에 현재년도가 없음(2026) 없음에 따라 디폴트로 나오지않음
</t>
  </si>
  <si>
    <t>월단위실적 조회에 현재년도가 없음(2026) 없음에 따라 디폴트로 나오지않음</t>
  </si>
  <si>
    <t>DEF-00162</t>
  </si>
  <si>
    <t>전월 버튼을 클릭하였을때 2026년이 존재하지 않아서 Search 불가능</t>
  </si>
  <si>
    <t>UT-FSEX080M</t>
  </si>
  <si>
    <t>DEF-00542</t>
  </si>
  <si>
    <t>[C_7] 수동 입력 시 허용 입력 범위 이외의 값을 UI에서 입력할 수 없도록 막아둔 필드들(일자의 경우 1899년 이전, 위치의 경우 0~999 이외의 값 등)이 일괄등록 시에는 값 보정 또는 적절한 validation alert이 없음.</t>
  </si>
  <si>
    <t>[C_7] 수동 입력 시 허용 입력 범위 이외의 값을 UI에서 입력할 수 없도록 막아둔 필드들(일자의 경…</t>
  </si>
  <si>
    <t>DEF-00549</t>
  </si>
  <si>
    <t>그리드 테두리 확인
 - 같은 값에 대한 병합 처리로 보임.
 - 병합 처리가 빈 값에 대해서는 적용되지 않아야 할 것으로 보이며, 같은 값에 대한 병합 시 내용이 가운데 정렬을 하여 병합된 것을 인지 시켜줘야 할 것 같음.</t>
  </si>
  <si>
    <t>그리드 테두리 확인</t>
  </si>
  <si>
    <t>그리드 테두리 확인  - 같은 값에 대한 병합 처리로 보임.  - 병합 처리가 빈 값에 대해서는 적용되지 않아야 할 것으로 보이며, 같은 값에 대한 병합 시 내용이 가운데 정렬을 하여 병합된 것을 인지 시켜줘야 할 것 같음.</t>
  </si>
  <si>
    <t>UT-PM10205S</t>
  </si>
  <si>
    <t>DEF-00647</t>
  </si>
  <si>
    <t>1. UT-PM10201S 확인 결과 : 화면과 시나리오파일상의 증적화면과 상이하여 테스트 진행불가</t>
  </si>
  <si>
    <t>양우상</t>
  </si>
  <si>
    <t>UT-PM10206S</t>
  </si>
  <si>
    <t>DEF-00649</t>
  </si>
  <si>
    <t>1. 테스트데이터가 확인 안되어 테스트진행 불가</t>
  </si>
  <si>
    <t>UT-GO12512S</t>
  </si>
  <si>
    <t>DEF-00650</t>
  </si>
  <si>
    <t>[C_5] 문구 수정이 필요해 보입니다. '시작일' → '운항일자', '종료일' → '조회일자'</t>
  </si>
  <si>
    <t>DEF-00651</t>
  </si>
  <si>
    <t>UT-GO12902S</t>
  </si>
  <si>
    <t>DEF-00652</t>
  </si>
  <si>
    <t>[X_1] 조회 불가로 인해 확인 불가</t>
  </si>
  <si>
    <t>DEF-00654</t>
  </si>
  <si>
    <t>- 데이터가 없는 날짜 선택 : 
 ① 요약파트 막대그래프 생성,
 ②체크인카운터 파트 “대기인원 undefined 명“ 출력 &amp; “매우혼잡”&lt;-4개탭 모두 에러</t>
  </si>
  <si>
    <t>- 데이터가 없는 날짜 선택 :</t>
  </si>
  <si>
    <t>- 데이터가 없는 날짜 선택 :   ① 요약파트 막대그래프 생성,  ②체크인카운터 파트 “대기인원 undefined 명“ 출력 &amp; “매우혼잡”&lt;-4개탭 모두 에러</t>
  </si>
  <si>
    <t>UT-FSQA040S</t>
  </si>
  <si>
    <t>DEF-00656</t>
  </si>
  <si>
    <t>검토요청 사유를 길게 입력 후 저장 버튼 클릭함. 서버 오류 발생</t>
  </si>
  <si>
    <t>DEF-00657</t>
  </si>
  <si>
    <t>DEF-00658</t>
  </si>
  <si>
    <t xml:space="preserve">1. 처리시간 비교 – 범례없음 &amp; 비교대상 없음
</t>
  </si>
  <si>
    <t>범례 표시</t>
  </si>
  <si>
    <t>1. 처리시간 비교 – 범례없음 &amp; 비교대상 없음</t>
  </si>
  <si>
    <t>DEF-00659</t>
  </si>
  <si>
    <t>[C_1] 검색 컴포넌트 내 '기준일자', '전체/통계기준' 필드 정렬 필요</t>
  </si>
  <si>
    <t>DEF-00665</t>
  </si>
  <si>
    <t xml:space="preserve">- 하단 좌우 스크롤바가 두개 보임(화면은 모니터기준 전체화면, 26-4-23)
</t>
  </si>
  <si>
    <t>권한/접근/노출</t>
  </si>
  <si>
    <t>권한/노출 제어</t>
  </si>
  <si>
    <t>- 하단 좌우 스크롤바가 두개 보임(화면은 모니터기준 전체화면, 26-4-23)</t>
  </si>
  <si>
    <t>권한 매트릭스 재확인, 메뉴/버튼 노출 규칙 일치화</t>
  </si>
  <si>
    <t>DEF-00666</t>
  </si>
  <si>
    <t>[S_1]
• 주단위별 검색 → 매월 1일~5일 선택 시, 
• 기준일자 시작일 필드가 {종료일-6}일로 정상적으로 계산되지 않고 두달여 뒤의 날짜로 잘못 계산되어, 
• 결과적으로 시작일 &gt; 종료일이 되기 때문에 조회가 불가능해집니다. 
(초기 페이지 로드 시에는 정상, 직접 날짜 선택 시 발생하는 에러)</t>
  </si>
  <si>
    <t>[S_1]</t>
  </si>
  <si>
    <t>[S_1] • 주단위별 검색 → 매월 1일~5일 선택 시,  • 기준일자 시작일 필드가 {종료일-6}일로 정상적으로 계산되지 않고 두달여 뒤의 날짜로 잘못 계산되어,  • 결과적으로 시작일 &gt; 종료일이 되기 때문에 조회가 불가능해집니다.  (초기 …</t>
  </si>
  <si>
    <t>UT-GO23802S</t>
  </si>
  <si>
    <t>DEF-00667</t>
  </si>
  <si>
    <t xml:space="preserve">화면 로딩시 DEFAULT 값 설정이 누락
</t>
  </si>
  <si>
    <t>화면 로딩시 DEFAULT 값 설정이 누락</t>
  </si>
  <si>
    <t>UT-GO21302S</t>
  </si>
  <si>
    <t>DEF-00668</t>
  </si>
  <si>
    <t>조회시 오류 발생</t>
  </si>
  <si>
    <t>DEF-00670</t>
  </si>
  <si>
    <t>DEF-00671</t>
  </si>
  <si>
    <t>[X_1] 엑셀 다운로드 시, 기준연도에 해당하는 column에 값이 없습니다 (엑셀 파일을 열 때 첨부한 이미지와 같이 에러 메시지가 뜹니다).</t>
  </si>
  <si>
    <t>[X_1] 엑셀 다운로드 시, 기준연도에 해당하는 column에 값이 없습니다 (엑셀 파일을 열 때 첨부…</t>
  </si>
  <si>
    <t>DEF-00672</t>
  </si>
  <si>
    <t>[X_1] 단위테스트결과서 1/2차 시험결과 및 증적 일부 누락</t>
  </si>
  <si>
    <t>DEF-00679</t>
  </si>
  <si>
    <t xml:space="preserve">①시뮬레이션 모니터링 우측 상단에 “기준일자＂가 없음.
②사용자시뮬레이션을 진행했지만, 상태가 “대기중＂으로만 표시됨. 번호 2의 경우 38시간이 경과했지만, 대기중 상태
</t>
  </si>
  <si>
    <t>①시뮬레이션 모니터링 우측 상단에 “기준일자＂가 없음.</t>
  </si>
  <si>
    <t>①시뮬레이션 모니터링 우측 상단에 “기준일자＂가 없음. ②사용자시뮬레이션을 진행했지만, 상태가 “대기중＂으로만 표시됨. 번호 2의 경우 38시간이 경과했지만, 대기중 상태</t>
  </si>
  <si>
    <t>DEF-00681</t>
  </si>
  <si>
    <t>[X_1] 주간실적의 2번째 테이블에는 전년 동기 이용객이 조회되거나 {현재연도-1}년의 이용객이 조회되어야 할 것 같지만, 테이블 헤더 영역에 날짜가 없고 이용객이 모두 0으로 조회되고 있습니다.</t>
  </si>
  <si>
    <t>[X_1] 주간실적의 2번째 테이블에는 전년 동기 이용객이 조회되거나 {현재연도-1}년의 이용객이 조회되…</t>
  </si>
  <si>
    <t>DEF-00682</t>
  </si>
  <si>
    <t>[X_2] {현재연도-2}년 이하의 연도로 조회 시 주간 실적조회의 2, 3번째 테이블이 각각 {조회연도-1}년, {조회연도}로 변경되어 조회되어야 할 것 같지만 연도가 변경되지 않고,
연도가 변경되지 않는 게 맞다고 하더라도 2026-05-05의 이용객이 존재하지만 주간실적조회의 세 번째 테이블상엔 0으로 조회됩니다.</t>
  </si>
  <si>
    <t>[X_2] {현재연도-2}년 이하의 연도로 조회 시 주간 실적조회의 2, 3번째 테이블이 각각 {조회연도…</t>
  </si>
  <si>
    <t>[X_2] {현재연도-2}년 이하의 연도로 조회 시 주간 실적조회의 2, 3번째 테이블이 각각 {조회연도-1}년, {조회연도}로 변경되어 조회되어야 할 것 같지만 연도가 변경되지 않고, 연도가 변경되지 않는 게 맞다고 하더라도 2026-05-05의…</t>
  </si>
  <si>
    <t>UT-PM10404S</t>
  </si>
  <si>
    <t>DEF-00684</t>
  </si>
  <si>
    <t>- 운영시간 상태 수정 후 저장
  1. 다른 아일랜드 상태에 그대로 적용됨
  2. 저장 후 동일 일자의 동일 아일랜드 상태 확인해보면 저장전 상태로 복구된 상태임.</t>
  </si>
  <si>
    <t>- 운영시간 상태 수정 후 저장</t>
  </si>
  <si>
    <t>- 운영시간 상태 수정 후 저장   1. 다른 아일랜드 상태에 그대로 적용됨   2. 저장 후 동일 일자의 동일 아일랜드 상태 확인해보면 저장전 상태로 복구된 상태임.</t>
  </si>
  <si>
    <t>DEF-00687</t>
  </si>
  <si>
    <t>[C_15] (UT-GO11961S~11965S 공통) 검색 컴포넌트에서, 다중 조건으로 조회하는 것이 아닌 단일 조건으로 조회하는 기능이므로 Checkbox가 아닌 Radio button을 사용하는 것이 적절할 것 같습니다.</t>
  </si>
  <si>
    <t>[C_15] (UT-GO11961S~11965S 공통) 검색 컴포넌트에서, 다중 조건으로 조회하는 것이 …</t>
  </si>
  <si>
    <t>UT-FSQB150S</t>
  </si>
  <si>
    <t>DEF-00688</t>
  </si>
  <si>
    <t>아래 화면의 조회 기간의 제한이 없는데.. 10년 이상 긴 기간으로 조회하면.. 아래 화면처럼.. Loading 화면이 5분 이상 지속됨.. 조회 기간 제한이 필요함.</t>
  </si>
  <si>
    <t>아래 화면의 조회 기간의 제한이 없는데.. 10년 이상 긴 기간으로 조회하면.. 아래 화면처럼.. Loa…</t>
  </si>
  <si>
    <t>DEF-00689</t>
  </si>
  <si>
    <t>[X_1] '일일/주간 실적'의 '탑승동 누계'와 '누계 실적'의 '탑승동 누계'가 상이합니다.</t>
  </si>
  <si>
    <t>UT-PM10502S</t>
  </si>
  <si>
    <t>DEF-00690</t>
  </si>
  <si>
    <t xml:space="preserve">①체크인카운터가 A~N까지 순서대로 정렬되지 않음.(D 아일랜드는 빠져있음)
</t>
  </si>
  <si>
    <t>①체크인카운터가 A~N까지 순서대로 정렬되지 않음.(D 아일랜드는 빠져있음)</t>
  </si>
  <si>
    <t>DEF-00694</t>
  </si>
  <si>
    <t>UT-GO11964S</t>
  </si>
  <si>
    <t>DEF-00695</t>
  </si>
  <si>
    <t>[X_1] 조회년도 dropdown에 2026년이 존재하지 않음('&gt;' 버튼을 통해서 선택은 가능)</t>
  </si>
  <si>
    <t>DEF-00696</t>
  </si>
  <si>
    <t>[X_1] 순위 dropdown의 item으로 1위~500위가 각각 7개씩 존재합니다.</t>
  </si>
  <si>
    <t>UT-PM10503S</t>
  </si>
  <si>
    <t>DEF-00698</t>
  </si>
  <si>
    <t>테트스용 데이터가 이전 검증 당시 데이터 대비 너무 적은듯 하여, 적절한 테스트가 이뤄지진 못해다고 판단됨.</t>
  </si>
  <si>
    <t>DEF-00701</t>
  </si>
  <si>
    <t>[C_5] 삭제 confirm 문구 수정 필요</t>
  </si>
  <si>
    <t>DEF-00706</t>
  </si>
  <si>
    <t xml:space="preserve">- 그래프 비교시 기존VS시뮬레이션 숫자가 겹쳐져서 식별이 안됨.
- 그래프비교 – 화면크기 조정시 일부 잘림(화면배율50%까지는 보임.67%부터 잘림, 노트북에서는 더 높은 배율에서도 잘림))
- 합계행 분리됨(배율 낮추면 분리됨)
</t>
  </si>
  <si>
    <t>- 그래프 비교시 기존VS시뮬레이션 숫자가 겹쳐져서 식별이 안됨.</t>
  </si>
  <si>
    <t>- 그래프 비교시 기존VS시뮬레이션 숫자가 겹쳐져서 식별이 안됨. - 그래프비교 – 화면크기 조정시 일부 잘림(화면배율50%까지는 보임.67%부터 잘림, 노트북에서는 더 높은 배율에서도 잘림)) - 합계행 분리됨(배율 낮추면 분리됨)</t>
  </si>
  <si>
    <t>UT-GO21309S</t>
  </si>
  <si>
    <t>DEF-00772</t>
  </si>
  <si>
    <t>[S_1] 단위테스트결과서상에는 조회기간 default 값이 '한 달 전 ~ 오늘' 이라고 되어있으나 이틀 전 ~ 오늘로 동작</t>
  </si>
  <si>
    <t>[S_1] 단위테스트결과서상에는 조회기간 default 값이 '한 달 전 ~ 오늘' 이라고 되어있으나 이…</t>
  </si>
  <si>
    <t>DEF-00164</t>
  </si>
  <si>
    <t>조회년도를 선택할떄 현재년도가 없음(2026)</t>
  </si>
  <si>
    <t>DEF-00180</t>
  </si>
  <si>
    <t>메뉴는 익일 터미널 계획이라 조회기준일자가 익일로 나오는게 맞는건지
테스트 시나리오에는 디폴트가 현재일자로 나와있음</t>
  </si>
  <si>
    <t>메뉴는 익일 터미널 계획이라 조회기준일자가 익일로 나오는게 맞는건지</t>
  </si>
  <si>
    <t>메뉴는 익일 터미널 계획이라 조회기준일자가 익일로 나오는게 맞는건지 테스트 시나리오에는 디폴트가 현재일자로 나와있음</t>
  </si>
  <si>
    <t>DEF-00188</t>
  </si>
  <si>
    <t>입력 필드의 년도 값의 입력 필드 유효성 점검이 이루어 지지 않음.
예로, 1200년, 2200년 입력 저장됨..</t>
  </si>
  <si>
    <t>입력 필드의 년도 값의 입력 필드 유효성 점검이 이루어 지지 않음.</t>
  </si>
  <si>
    <t>입력 필드의 년도 값의 입력 필드 유효성 점검이 이루어 지지 않음. 예로, 1200년, 2200년 입력 저장됨..</t>
  </si>
  <si>
    <t>UT-FSQA032S</t>
  </si>
  <si>
    <t>DEF-00216</t>
  </si>
  <si>
    <t>단위테스트 2. 조회된 데이터를 대상으로 엑셀저장 기능 정상 작동 여부 확인  --&gt; 조회된 화면에서 기타 다른 검색 및 터미널 검색 진행후 엑셀 파일 요청시 불러오지 못함..   조회시 타 기능 사용안하면 엑셀 불러옴.</t>
  </si>
  <si>
    <t>단위테스트 2. 조회된 데이터를 대상으로 엑셀저장 기능 정상 작동 여부 확인  --&gt; 조회된 화면에서 기…</t>
  </si>
  <si>
    <t>UT-FSQA033S</t>
  </si>
  <si>
    <t>DEF-00217</t>
  </si>
  <si>
    <t>UT-FSQA034S</t>
  </si>
  <si>
    <t>DEF-00218</t>
  </si>
  <si>
    <t>DEF-00259</t>
  </si>
  <si>
    <t>조회년도에 현재년도가 존재하지않음(2026년)</t>
  </si>
  <si>
    <t>DEF-00289</t>
  </si>
  <si>
    <t>1. 상단 좌측의 레이블 글자가 가려서 보이지 않음.
2. 좌우 스크롤, 상하 스크롤 이 화면을 일부 가림. 상하 좌우 스크롤 영역을 제외한 화면에 표시되도록 조절 필요함</t>
  </si>
  <si>
    <t>1. 상단 좌측의 레이블 글자가 가려서 보이지 않음.</t>
  </si>
  <si>
    <t>1. 상단 좌측의 레이블 글자가 가려서 보이지 않음. 2. 좌우 스크롤, 상하 스크롤 이 화면을 일부 가림. 상하 좌우 스크롤 영역을 제외한 화면에 표시되도록 조절 필요함</t>
  </si>
  <si>
    <t>DEF-00292</t>
  </si>
  <si>
    <t>각 페이지마다 엑셀 다운로드 버튼의 위치가 다름.
어느 페이지는 searchform 밖에, 어느 페이지는 안에 위치하는데
통일성이 필요해보임</t>
  </si>
  <si>
    <t>각 페이지마다 엑셀 다운로드 버튼의 위치가 다름.</t>
  </si>
  <si>
    <t>각 페이지마다 엑셀 다운로드 버튼의 위치가 다름. 어느 페이지는 searchform 밖에, 어느 페이지는 안에 위치하는데 통일성이 필요해보임</t>
  </si>
  <si>
    <t>DEF-00295</t>
  </si>
  <si>
    <t>조회되는 데이터 없음</t>
  </si>
  <si>
    <t>DEF-00296</t>
  </si>
  <si>
    <t xml:space="preserve">테스트케이스 엑셀 파일이 없습니다. </t>
  </si>
  <si>
    <t>UT-GO21312S</t>
  </si>
  <si>
    <t>DEF-00297</t>
  </si>
  <si>
    <t xml:space="preserve">테스트 케이스 엑셀이 없습니다. </t>
  </si>
  <si>
    <t>테스트 케이스 엑셀이 없습니다.</t>
  </si>
  <si>
    <t>DEF-00708</t>
  </si>
  <si>
    <t>[S_3] 조회 결과가 없더라도 경고메시지가 표출되지는 않습니다(단위시험케이스 #3 예상 결과와 상이).</t>
  </si>
  <si>
    <t>DEF-00709</t>
  </si>
  <si>
    <t>[X_1] 값 수정 후 저장 버튼을 누르면 DB 접근 중 문제가 발생했다는 alert가 표출되며 저장이 불가능합니다.</t>
  </si>
  <si>
    <t>[X_1] 값 수정 후 저장 버튼을 누르면 DB 접근 중 문제가 발생했다는 alert가 표출되며 저장이 …</t>
  </si>
  <si>
    <t>DEF-00710</t>
  </si>
  <si>
    <t>[C_5] 신규 등록 시 보고일자가 중복되는 경우 등록할 수 없도록 구현된 것으로 보이나, 데이터 제약조건 위반이라는 메시지만 표출되어 사용성 측면에서 보완이 필요합니다.</t>
  </si>
  <si>
    <t>[C_5] 신규 등록 시 보고일자가 중복되는 경우 등록할 수 없도록 구현된 것으로 보이나, 데이터 제약조…</t>
  </si>
  <si>
    <t>DEF-00711</t>
  </si>
  <si>
    <t>[X_2] 신규 등록 시 '저장' 버튼을 눌러 실제로 저장에 성공했음에도, 저장되었다는 안내 메시지도 없고, '+' 플래그가 없어지지 않아 마치 저장되지 않은 것처럼 느껴집니다.</t>
  </si>
  <si>
    <t>[X_2] 신규 등록 시 '저장' 버튼을 눌러 실제로 저장에 성공했음에도, 저장되었다는 안내 메시지도 없…</t>
  </si>
  <si>
    <t>DEF-00009</t>
  </si>
  <si>
    <t>시간 범위 변경하여 저장 후 재조회하면 저장 안됨.</t>
  </si>
  <si>
    <t>UT-PM10509S</t>
  </si>
  <si>
    <t>DEF-00018</t>
  </si>
  <si>
    <t>대기인원이 3자리수까지 증가할때 줄바꿈으로 인해 아래로 밀리는 현상 발생.</t>
  </si>
  <si>
    <t>DEF-00019</t>
  </si>
  <si>
    <t>차트보기에 아무것도 나오지 않습니다. T1, T2 둘다 조회 안됨.</t>
  </si>
  <si>
    <t>UT-GO12506S</t>
  </si>
  <si>
    <t>DEF-00020</t>
  </si>
  <si>
    <t>저장버튼 후 제공되는 여러 형식 파일간 상이(프로그램에서 제공하는 화면에서도 상이)
 - 첫페이지 여러 셀에 -100%가 입력되어 있는데, 파일 형식별로 모두 상이
 - 글자 크기를 협의하든지 해서 일관성 있게 맞출 필요가 있어 보임
 - 모든 출력물 하단에 페이지 번호 없음
 - "show notice"에러 동일</t>
  </si>
  <si>
    <t>저장버튼 후 제공되는 여러 형식 파일간 상이(프로그램에서 제공하는 화면에서도 상이)</t>
  </si>
  <si>
    <t>저장버튼 후 제공되는 여러 형식 파일간 상이(프로그램에서 제공하는 화면에서도 상이)  - 첫페이지 여러 셀에 -100%가 입력되어 있는데, 파일 형식별로 모두 상이  - 글자 크기를 협의하든지 해서 일관성 있게 맞출 필요가 있어 보임  - 모든 출…</t>
  </si>
  <si>
    <t>UT-GO12940S</t>
  </si>
  <si>
    <t>DEF-00023</t>
  </si>
  <si>
    <t>[S_2] 조건에 따른 조회결과가 표출되지 않음.
(2025.06.10, 13:00, Grade  : 전체)</t>
  </si>
  <si>
    <t>[S_2] 조건에 따른 조회결과가 표출되지 않음.</t>
  </si>
  <si>
    <t>[S_2] 조건에 따른 조회결과가 표출되지 않음. (2025.06.10, 13:00, Grade  : 전체)</t>
  </si>
  <si>
    <t>DEF-00712</t>
  </si>
  <si>
    <t>[X_3] 삭제 버튼('-') 클릭 시 테이블에 '-' 형태의 삭제 플래그가 표시되지 않고 row가 바로 없어져서 삭제된 것처럼 느껴지지만, 이는 화면상에서만 사라진 것이고 실제로는 저장 버튼까지 눌러야 삭제되기 때문에 사용자 관점에서는 혼동의 여지가 있습니다 (타 메뉴의 삭제 프로세스와도 상이하여 일관성이 떨어집니다).</t>
  </si>
  <si>
    <t>[X_3] 삭제 버튼('-') 클릭 시 테이블에 '-' 형태의 삭제 플래그가 표시되지 않고 row가 바로…</t>
  </si>
  <si>
    <t>[X_3] 삭제 버튼('-') 클릭 시 테이블에 '-' 형태의 삭제 플래그가 표시되지 않고 row가 바로 없어져서 삭제된 것처럼 느껴지지만, 이는 화면상에서만 사라진 것이고 실제로는 저장 버튼까지 눌러야 삭제되기 때문에 사용자 관점에서는 혼동의 여…</t>
  </si>
  <si>
    <t>DEF-00713</t>
  </si>
  <si>
    <t>[C_1] 같은 레벨(같은 성격)의 필드명임에도 글씨 크기가 서로 상이합니다 (빨간색 row ↔ 주황색 row)</t>
  </si>
  <si>
    <t>[C_1] 같은 레벨(같은 성격)의 필드명임에도 글씨 크기가 서로 상이합니다 (빨간색 row ↔ 주황색 …</t>
  </si>
  <si>
    <t>DEF-00714</t>
  </si>
  <si>
    <t xml:space="preserve">①기간 설정 오류(시작일이 종료일 전)에 따른 에러메시지가 없음
</t>
  </si>
  <si>
    <t>①기간 설정 오류(시작일이 종료일 전)에 따른 에러메시지가 없음</t>
  </si>
  <si>
    <t>DEF-00715</t>
  </si>
  <si>
    <t>[C_5] [C_15]
• 신규 등록 시 터미널 구분이 T1 또는 T2가 아닌 경우 등록할 수 없도록 구현된 것으로 보이나, 데이터 제약조건 위반이라는 메시지만 표출되어 사용성 측면에서 보완이 필요합니다.
• 또한 T1 또는 T2만 입력할 수 있으므로 radio button이나 combobox를 사용하는 것이 더 적절할 것 같고,
• UI상 T1과 T2 컴포넌트가 분리되어 있으므로 아예 터미널 구분란을 없애고 T1 컴포넌트에서는 T1 CRUD만, T2 컴포넌트에서는 T2 CRUD만 수행하도록 하는 것이 좋을 것 같습니다.</t>
  </si>
  <si>
    <t>[C_5] [C_15]</t>
  </si>
  <si>
    <t>[C_5] [C_15] • 신규 등록 시 터미널 구분이 T1 또는 T2가 아닌 경우 등록할 수 없도록 구현된 것으로 보이나, 데이터 제약조건 위반이라는 메시지만 표출되어 사용성 측면에서 보완이 필요합니다.  • 또한 T1 또는 T2만 입력할 수 있…</t>
  </si>
  <si>
    <t>DEF-00716</t>
  </si>
  <si>
    <t>메뉴가 확인 불가</t>
  </si>
  <si>
    <t>DEF-00720</t>
  </si>
  <si>
    <t>[C_1] 집계 행 내 정렬 방식 상이</t>
  </si>
  <si>
    <t>DEF-00722</t>
  </si>
  <si>
    <t>[C_18] '출발/도착', '여객/화물', '터미널' combobox에는 '전체' 항목이 기본값으로 설정되어 있으나 '국토부기준 노선구분', '대상 국가' combobox의 기본값은 공백입니다 (조회 수행 시 실제로는 전체 노선, 전체 국가에 대해 검색되지만).</t>
  </si>
  <si>
    <t>[C_18] '출발/도착', '여객/화물', '터미널' combobox에는 '전체' 항목이 기본값으로 설…</t>
  </si>
  <si>
    <t>[C_18] '출발/도착', '여객/화물', '터미널' combobox에는 '전체' 항목이 기본값으로 설정되어 있으나 '국토부기준 노선구분', '대상 국가' combobox의 기본값은 공백입니다 (조회 수행 시 실제로는 전체 노선, 전체 국가에 대…</t>
  </si>
  <si>
    <t>DEF-00724</t>
  </si>
  <si>
    <t>UT-PM20133M</t>
  </si>
  <si>
    <t>DEF-00726</t>
  </si>
  <si>
    <t>-승객예고모니터링-승객예약입력정보는 데이터가 없어 확인 불가.</t>
  </si>
  <si>
    <t>UT-GO12907S</t>
  </si>
  <si>
    <t>DEF-00727</t>
  </si>
  <si>
    <t>[S_2] 주기장 점유율 및 주기대수, 장기주기 항공기 대수 란에 값이 없습니다.</t>
  </si>
  <si>
    <t>DEF-00027</t>
  </si>
  <si>
    <t>문서 양식의 표준 확인하여 보완필요</t>
  </si>
  <si>
    <t>문서/요건 불일치</t>
  </si>
  <si>
    <t>요건/문서 불일치</t>
  </si>
  <si>
    <t>요건정의서·UI정의서 갱신 후 형상관리, 변경이력 동기화</t>
  </si>
  <si>
    <t>UT-GO12937S</t>
  </si>
  <si>
    <t>DEF-00028</t>
  </si>
  <si>
    <t>UT-PM20147S</t>
  </si>
  <si>
    <t>DEF-00730</t>
  </si>
  <si>
    <t>시나리오 증적 이미지와 실제 테스트중 조회결과가 상이함.</t>
  </si>
  <si>
    <t>UT-GO52520S</t>
  </si>
  <si>
    <t>DEF-00731</t>
  </si>
  <si>
    <t>[C_1] 보고서상에 여객 0명의 경우 '-'로 표기되고, 결/회항 0편의 경우 '0편'으로 표기되어 표기 형식 통일이 필요합니다.</t>
  </si>
  <si>
    <t>라벨/표기</t>
  </si>
  <si>
    <t>[C_1] 보고서상에 여객 0명의 경우 '-'로 표기되고, 결/회항 0편의 경우 '0편'으로 표기되어 표…</t>
  </si>
  <si>
    <t>DEF-00732</t>
  </si>
  <si>
    <t>[C_1] '계류장관리소 조' 는 보고서 출력 후 수기로 기재하도록 값 없이 남겨둔 것인지, 누락된 것인지 확인해 주시면 감사하겠습니다.</t>
  </si>
  <si>
    <t>[C_1] '계류장관리소 조' 는 보고서 출력 후 수기로 기재하도록 값 없이 남겨둔 것인지, 누락된 것인…</t>
  </si>
  <si>
    <t>UT-PM20149S</t>
  </si>
  <si>
    <t>DEF-00733</t>
  </si>
  <si>
    <t xml:space="preserve">①화면에 찍힌 숫자가 PDF파일에서 일부 사라짐(1,367,729   → 1,367,72) 
</t>
  </si>
  <si>
    <t>PDF 출력 오류</t>
  </si>
  <si>
    <t>①화면에 찍힌 숫자가 PDF파일에서 일부 사라짐(1,367,729   → 1,367,72)</t>
  </si>
  <si>
    <t>UT-GO12901S</t>
  </si>
  <si>
    <t>DEF-00734</t>
  </si>
  <si>
    <t>[C_2] 검색 컴포넌트의 필수 필드에 대한 일관된 스타일 적용 필요
• '출도착구분' 필드는 default로 '도착'이 설정되어 있는데,
• 타 메뉴에서 이와 같이 combobox에 default 값이 설정된 경우 '조회라벨 필수' 스타일을 사용하고 있음.</t>
  </si>
  <si>
    <t>[C_2] 검색 컴포넌트의 필수 필드에 대한 일관된 스타일 적용 필요 • '출도착구분' 필드는 default로 '도착'이 설정되어 있는데, • 타 메뉴에서 이와 같이 combobox에 default 값이 설정된 경우 '조회라벨 필수' 스타일을 사용…</t>
  </si>
  <si>
    <t>DEF-00735</t>
  </si>
  <si>
    <t>아래 화면과 같이 조회하여 나타나는 목록의 정열 순서가 일정하지 않음..
입력일자 26.4.27 이후 25.1.5 이후에는 25.8.25. 이후 과거순임.
즉, 2번째 25.1.5 는 왜??</t>
  </si>
  <si>
    <t>아래 화면과 같이 조회하여 나타나는 목록의 정열 순서가 일정하지 않음..</t>
  </si>
  <si>
    <t>아래 화면과 같이 조회하여 나타나는 목록의 정열 순서가 일정하지 않음.. 입력일자 26.4.27 이후 25.1.5 이후에는 25.8.25. 이후 과거순임. 즉, 2번째 25.1.5 는 왜??</t>
  </si>
  <si>
    <t>UT-PM10101S</t>
  </si>
  <si>
    <t>DEF-00748</t>
  </si>
  <si>
    <t xml:space="preserve">①조회시간 오류 입력했지만, 운항일 전체 자료 출력됨.
</t>
  </si>
  <si>
    <t>①조회시간 오류 입력했지만, 운항일 전체 자료 출력됨.</t>
  </si>
  <si>
    <t>DEF-00749</t>
  </si>
  <si>
    <t>[X_1] '17-1. 항공사별 취항실적'의 집계 row에 값이 집계되고 있지 않음</t>
  </si>
  <si>
    <t>DEF-00751</t>
  </si>
  <si>
    <t>[C_7] 같은 작성일자로 다건 등록이 가능하며, 이후 해당 row 단건 삭제 시 그 작성일자로 등록된 모든 row가 한 번에 삭제됨. 같은 날짜로 다건 등록이 가능하면 대시보드 모달(UT-GO11952M)에서도 비정상적인 그래프가 표출되어 같은 작성일자 등록 제한 필요</t>
  </si>
  <si>
    <t>[C_7] 같은 작성일자로 다건 등록이 가능하며, 이후 해당 row 단건 삭제 시 그 작성일자로 등록된 …</t>
  </si>
  <si>
    <t>[C_7] 같은 작성일자로 다건 등록이 가능하며, 이후 해당 row 단건 삭제 시 그 작성일자로 등록된 모든 row가 한 번에 삭제됨. 같은 날짜로 다건 등록이 가능하면 대시보드 모달(UT-GO11952M)에서도 비정상적인 그래프가 표출되어 같은 …</t>
  </si>
  <si>
    <t>UT-PM10104S</t>
  </si>
  <si>
    <t>DEF-00752</t>
  </si>
  <si>
    <t>CPSI, Xovis정보탭으로 이동시 첫번째 셀에 Set focus 필요</t>
  </si>
  <si>
    <t>UT-FSQA010S</t>
  </si>
  <si>
    <t>DEF-00754</t>
  </si>
  <si>
    <t xml:space="preserve">엑셀 다운로드후 화면페이지 코드명에없는 코드명도 엑셀에 기입 </t>
  </si>
  <si>
    <t>엑셀 다운로드후 화면페이지 코드명에없는 코드명도 엑셀에 기입</t>
  </si>
  <si>
    <t>DEF-00755</t>
  </si>
  <si>
    <t>[X_1] 운행 연도 미입력 시 해당 란을 비워두는 것이 아니라 무조건 0으로 채워지는데, 이는 대시보드 리포트 모달(UT-GO11952M)의 bar chart에 잘못된 기본값 연도로 x축이 구성되는 결과를 초래함
(UT-GO11952M 증적상 x축에 하나의 연도만 존재했던 것과도 상이)</t>
  </si>
  <si>
    <t>[X_1] 운행 연도 미입력 시 해당 란을 비워두는 것이 아니라 무조건 0으로 채워지는데, 이는 대시보드…</t>
  </si>
  <si>
    <t>[X_1] 운행 연도 미입력 시 해당 란을 비워두는 것이 아니라 무조건 0으로 채워지는데, 이는 대시보드 리포트 모달(UT-GO11952M)의 bar chart에 잘못된 기본값 연도로 x축이 구성되는 결과를 초래함  (UT-GO11952M 증적상 …</t>
  </si>
  <si>
    <t>DEF-00758</t>
  </si>
  <si>
    <t>[C_12] 연도에 천 단위 ,</t>
  </si>
  <si>
    <t>DEF-00759</t>
  </si>
  <si>
    <t>화면의 첫 째 필드에 커셔가 Set focus 필요</t>
  </si>
  <si>
    <t>DEF-00761</t>
  </si>
  <si>
    <t>[C_1] 자원 운용률 소제목 누락</t>
  </si>
  <si>
    <t>DEF-00762</t>
  </si>
  <si>
    <t>(결함 오등록으로 인해 기각 부탁드립니다)</t>
  </si>
  <si>
    <t>DEF-00763</t>
  </si>
  <si>
    <t>[S_1] 운행거리 Bar chart에 값이 표시되지 않음</t>
  </si>
  <si>
    <t>DEF-00780</t>
  </si>
  <si>
    <t>[X_1] 검색 컴포넌트의 항로 dropdown에 빈 item 존재</t>
  </si>
  <si>
    <t>UT-FSQA031S</t>
  </si>
  <si>
    <t>DEF-00151</t>
  </si>
  <si>
    <t xml:space="preserve">- 엑셀저장 1회 후 2회부터는 엑셀 파일을 다운로드받지 못하는 현상 발생
  창을 닫고 다시 열어도 한번만 성공
- 다운로드가 안되는 상태에서, 날짜 변경후 자료가 변경되어도 다운로드 안됨
</t>
  </si>
  <si>
    <t>- 엑셀저장 1회 후 2회부터는 엑셀 파일을 다운로드받지 못하는 현상 발생</t>
  </si>
  <si>
    <t>- 엑셀저장 1회 후 2회부터는 엑셀 파일을 다운로드받지 못하는 현상 발생   창을 닫고 다시 열어도 한번만 성공  - 다운로드가 안되는 상태에서, 날짜 변경후 자료가 변경되어도 다운로드 안됨</t>
  </si>
  <si>
    <t>DEF-00182</t>
  </si>
  <si>
    <t xml:space="preserve">최초 load시 [ERS-18000] 요청한 문서를 실행하는데 실패했습니다(java.lang.Exception) 발생함
</t>
  </si>
  <si>
    <t>최초 load시 [ERS-18000] 요청한 문서를 실행하는데 실패했습니다(java.lang.Except…</t>
  </si>
  <si>
    <t>최초 load시 [ERS-18000] 요청한 문서를 실행하는데 실패했습니다(java.lang.Exception) 발생함</t>
  </si>
  <si>
    <t>UT-GO62101S</t>
  </si>
  <si>
    <t>DEF-00183</t>
  </si>
  <si>
    <t>DEF-00184</t>
  </si>
  <si>
    <t>조회조건 값 기준으로 발생시간과 전문내용이 표시되지 않음</t>
  </si>
  <si>
    <t>DEF-00201</t>
  </si>
  <si>
    <t>Test 결과서에서 확인된 기간의 조회시 데이타 조회되지 않음.
기간 선택의 예외처리는 정상 확인됨</t>
  </si>
  <si>
    <t>Test 결과서에서 확인된 기간의 조회시 데이타 조회되지 않음.</t>
  </si>
  <si>
    <t>Test 결과서에서 확인된 기간의 조회시 데이타 조회되지 않음. 기간 선택의 예외처리는 정상 확인됨</t>
  </si>
  <si>
    <t>UT-GO12702S</t>
  </si>
  <si>
    <t>DEF-00203</t>
  </si>
  <si>
    <t>보고서 날짜칸 밑 어떤 조건을 넣어도 전체라는 문구가 표시? 의도인지 확인필요</t>
  </si>
  <si>
    <t>DEF-00204</t>
  </si>
  <si>
    <t>메뉴 선택 초기 화면으로 나타나는 기간 설정으로 조회되지 않음(12개월 초과). 초기 제공 기간을 12개월로 제시되길 바람.</t>
  </si>
  <si>
    <t>메뉴 선택 초기 화면으로 나타나는 기간 설정으로 조회되지 않음(12개월 초과). 초기 제공 기간을 12개…</t>
  </si>
  <si>
    <t>DEF-00207</t>
  </si>
  <si>
    <t>12개월 기간 조회만 가능한데.. 3/3부터 4월말가지 조회됨.
다른 메뉴에서는 해당 기간 조회하면 12개월 초과 조회불가 메시지 나타남..
12개월 기간 처리가 메뉴마다 일관성이 부족함. 전체적으로 확인 필요함.</t>
  </si>
  <si>
    <t>12개월 기간 조회만 가능한데.. 3/3부터 4월말가지 조회됨.</t>
  </si>
  <si>
    <t>12개월 기간 조회만 가능한데.. 3/3부터 4월말가지 조회됨. 다른 메뉴에서는 해당 기간 조회하면 12개월 초과 조회불가 메시지 나타남.. 12개월 기간 처리가 메뉴마다 일관성이 부족함. 전체적으로 확인 필요함.</t>
  </si>
  <si>
    <t>UT-GO41403S</t>
  </si>
  <si>
    <t>DEF-00212</t>
  </si>
  <si>
    <t xml:space="preserve">전체적으로 보고서양식 클릭 후 search 를 하면 데이터가 변경되지 않는 문제가 있습니다. 대체적으로 하계 보고서양식 클릭 후 발생하는것 같습니다. 
문제 시나리오 (간헐적)
- 보고서양식 &gt; 설/추석 탭 클릭 &gt;  일자 또는 시간 변경 &gt; search
시나리오대로 반복하다보면 첨부 이미지와 같이 데이터가 업데이트 되지 않는 현상을 볼 수 있습니다. </t>
  </si>
  <si>
    <t>전체적으로 보고서양식 클릭 후 search 를 하면 데이터가 변경되지 않는 문제가 있습니다. 대체적으로 …</t>
  </si>
  <si>
    <t>전체적으로 보고서양식 클릭 후 search 를 하면 데이터가 변경되지 않는 문제가 있습니다. 대체적으로 하계 보고서양식 클릭 후 발생하는것 같습니다.   문제 시나리오 (간헐적) - 보고서양식 &gt; 설/추석 탭 클릭 &gt;  일자 또는 시간 변경 &gt; s…</t>
  </si>
  <si>
    <t>DEF-00268</t>
  </si>
  <si>
    <t>좌측에서 "항로 및 운항실적"을 클릭하면, 화면과 같이 서ㅓ버오류 메시지 나타남. 확인 클릭 후 조회를 클릭하면.. 정상 수행되기는 하지만. 처음 화면 열릴때는 동일한 현상 나타남.</t>
  </si>
  <si>
    <t>좌측에서 "항로 및 운항실적"을 클릭하면, 화면과 같이 서ㅓ버오류 메시지 나타남. 확인 클릭 후 조회를 …</t>
  </si>
  <si>
    <t>DEF-00269</t>
  </si>
  <si>
    <t>시작 일자를 2026년 만 입력하고 조회하면. 아래 화면처럼 불필요한 메시지 나타나고.. 1개월 초과할 수 없다는 메시지 나타남.</t>
  </si>
  <si>
    <t>시작 일자를 2026년 만 입력하고 조회하면. 아래 화면처럼 불필요한 메시지 나타나고.. 1개월 초과할 …</t>
  </si>
  <si>
    <t>UT-GO41601S</t>
  </si>
  <si>
    <t>DEF-00270</t>
  </si>
  <si>
    <t xml:space="preserve">테스트 가능한 데이터가 없어 테스트를 할 수 없습니다. 
유효성 검사는 완료했습니다. </t>
  </si>
  <si>
    <t>테스트 가능한 데이터가 없어 테스트를 할 수 없습니다.</t>
  </si>
  <si>
    <t>테스트 가능한 데이터가 없어 테스트를 할 수 없습니다.  유효성 검사는 완료했습니다.</t>
  </si>
  <si>
    <t>DEF-00272</t>
  </si>
  <si>
    <t>파일 업로드 오른쪽에 저장버튼이 있어서 터미널(행 데이터)에 대한 데이터 저장이 아니라
파일 업로드 후 저장 버튼으로 헷갈릴 가능성이 있는거 같습니다</t>
  </si>
  <si>
    <t>파일 업로드 오른쪽에 저장버튼이 있어서 터미널(행 데이터)에 대한 데이터 저장이 아니라</t>
  </si>
  <si>
    <t>파일 업로드 오른쪽에 저장버튼이 있어서 터미널(행 데이터)에 대한 데이터 저장이 아니라 파일 업로드 후 저장 버튼으로 헷갈릴 가능성이 있는거 같습니다</t>
  </si>
  <si>
    <t>DEF-00276</t>
  </si>
  <si>
    <t>파일선택칸에 Text 입력가능이 가능합니다. 되는게 맞는지 의도확인 부탁드립니다</t>
  </si>
  <si>
    <t>DEF-00278</t>
  </si>
  <si>
    <t>데시보드 클릭하여 처음 나타나는 화면이 우측으로 치우쳐 나타남. 이후 화면 최대화를 하면. 중앙으로 위치함.</t>
  </si>
  <si>
    <t>DEF-00308</t>
  </si>
  <si>
    <t>엑셀 숫자 데이터 확인 필요</t>
  </si>
  <si>
    <t>DEF-00315</t>
  </si>
  <si>
    <t>주간실적조회에서 &lt;&gt; 로 날짜 변경후 Search시 해당 조회일자에 맞게 검색이 안되는거같습니다</t>
  </si>
  <si>
    <t>DEF-00316</t>
  </si>
  <si>
    <t>테스트 결과서 순번 8번
 - 맵 내부 버튼 클릭시 표보기 항목으로 이동하지 않고 차트보기로 이동 됨.</t>
  </si>
  <si>
    <t>테스트 결과서 순번 8번</t>
  </si>
  <si>
    <t>테스트 결과서 순번 8번  - 맵 내부 버튼 클릭시 표보기 항목으로 이동하지 않고 차트보기로 이동 됨.</t>
  </si>
  <si>
    <t>DEF-00317</t>
  </si>
  <si>
    <t>1. 아래 화면과 같이 시간 선택 시작 ~ 끝 시간을 수정 후 다음 액션할 버튼이 없음.
2. 선택일시 목록에서 선택 후 다음 액션 버튼이 없음.</t>
  </si>
  <si>
    <t>1. 아래 화면과 같이 시간 선택 시작 ~ 끝 시간을 수정 후 다음 액션할 버튼이 없음.</t>
  </si>
  <si>
    <t>1. 아래 화면과 같이 시간 선택 시작 ~ 끝 시간을 수정 후 다음 액션할 버튼이 없음. 2. 선택일시 목록에서 선택 후 다음 액션 버튼이 없음.</t>
  </si>
  <si>
    <t>DEF-00323</t>
  </si>
  <si>
    <t>발생일자에 required 빨간 표시가 없음(ui)</t>
  </si>
  <si>
    <t>DEF-00339</t>
  </si>
  <si>
    <t>맵 하단에 넘버 없는 행이 존재</t>
  </si>
  <si>
    <t>DEF-00399</t>
  </si>
  <si>
    <t>문맥 상 횟수가 적절해 보입니다. .</t>
  </si>
  <si>
    <t>DEF-00400</t>
  </si>
  <si>
    <t>표준 알림창으로 변경 필요</t>
  </si>
  <si>
    <t>DEF-00401</t>
  </si>
  <si>
    <t xml:space="preserve">팝업 UI 통일성이 없는것 같아요.
다른 페이지의 조회 없음 팝업과 다릅니다. </t>
  </si>
  <si>
    <t>팝업 UI 통일성이 없는것 같아요.</t>
  </si>
  <si>
    <t>팝업 UI 통일성이 없는것 같아요. 다른 페이지의 조회 없음 팝업과 다릅니다.</t>
  </si>
  <si>
    <t>UT-GO61201S</t>
  </si>
  <si>
    <t>DEF-00408</t>
  </si>
  <si>
    <t xml:space="preserve">검색 아이콘, 아이콘들 크기 조정이 가능한 이유가 궁금합니다. </t>
  </si>
  <si>
    <t>검색 아이콘, 아이콘들 크기 조정이 가능한 이유가 궁금합니다.</t>
  </si>
  <si>
    <t>DEF-00411</t>
  </si>
  <si>
    <t xml:space="preserve">창을 줄이면 데이터가 보이지 않습니다. </t>
  </si>
  <si>
    <t>창을 줄이면 데이터가 보이지 않습니다.</t>
  </si>
  <si>
    <t>DEF-00413</t>
  </si>
  <si>
    <t>UT-GO61401S</t>
  </si>
  <si>
    <t>DEF-00414</t>
  </si>
  <si>
    <t xml:space="preserve">조회 날짜 클릭 &gt; 결과가 없는 경우 : 테스트 케이스와는 다르게 경고메시지가 표출되지 않습니다. </t>
  </si>
  <si>
    <t>조회 날짜 클릭 &gt; 결과가 없는 경우 : 테스트 케이스와는 다르게 경고메시지가 표출되지 않습니다.</t>
  </si>
  <si>
    <t>DEF-00434</t>
  </si>
  <si>
    <t>데이터가 많이 겹쳐 한눈에 확인하기 어렵습니다.</t>
  </si>
  <si>
    <t>UT-PM20158S</t>
  </si>
  <si>
    <t>DEF-00435</t>
  </si>
  <si>
    <t>DEF-00441</t>
  </si>
  <si>
    <t xml:space="preserve">클릭을 해도 아무런 이벤트가 발생하지 않습니다. 
클릭 실행 시간은 그래프 아래 현재시간에 표시된 시간 1~2분 이내인것 같습니다.
간헐적이라 여러 테스트 해봤는데, 금일 날짜 기준 2026-04-27, 2026-04-28 데이터 조회 후 해당 버튼 클릭하면 발생 하는것 같습니다. </t>
  </si>
  <si>
    <t>클릭을 해도 아무런 이벤트가 발생하지 않습니다.</t>
  </si>
  <si>
    <t>클릭을 해도 아무런 이벤트가 발생하지 않습니다.  클릭 실행 시간은 그래프 아래 현재시간에 표시된 시간 1~2분 이내인것 같습니다.  간헐적이라 여러 테스트 해봤는데, 금일 날짜 기준 2026-04-27, 2026-04-28 데이터 조회 후 해당 …</t>
  </si>
  <si>
    <t>UT-FSQA020S</t>
  </si>
  <si>
    <t>DEF-00442</t>
  </si>
  <si>
    <t>보안검색 운영일지 조회시 
"조회결과가 없습니다" ALERT 메세지가 뜨고 LOADING 이미지가 뜸</t>
  </si>
  <si>
    <t>보안검색 운영일지 조회시</t>
  </si>
  <si>
    <t>보안검색 운영일지 조회시  "조회결과가 없습니다" ALERT 메세지가 뜨고 LOADING 이미지가 뜸</t>
  </si>
  <si>
    <t>DEF-00450</t>
  </si>
  <si>
    <t xml:space="preserve">진입 시 첫 번째 요소(예고일) 포커스가 되지 않습니다. </t>
  </si>
  <si>
    <t>진입 시 첫 번째 요소(예고일) 포커스가 되지 않습니다.</t>
  </si>
  <si>
    <t>DEF-00451</t>
  </si>
  <si>
    <t>DEF-00452</t>
  </si>
  <si>
    <t>다른 페이지는 "조회된 데이터가 없습니다." 가 표시되지만 참고사항 페이지는 표시되지 않음.</t>
  </si>
  <si>
    <t>DEF-00458</t>
  </si>
  <si>
    <t xml:space="preserve">창을 줄였을때, 데이터가 다 보이지 않습니다. </t>
  </si>
  <si>
    <t>창을 줄였을때, 데이터가 다 보이지 않습니다.</t>
  </si>
  <si>
    <t>DEF-00475</t>
  </si>
  <si>
    <t>[S_3-1] [C_7] '검측장소'가 UI상 필수 필드로 설정되어있지만 값 미입력 시에도 등록 가능</t>
  </si>
  <si>
    <t>DEF-00491</t>
  </si>
  <si>
    <t xml:space="preserve">1. 전신검색 웗별 현황 조회의 조회일자의 날짜 구분 필요
2. 적발기간의 시작일이 더 늦은데 전신 검색 월별 현황 조회가 됨.
</t>
  </si>
  <si>
    <t>1. 전신검색 웗별 현황 조회의 조회일자의 날짜 구분 필요</t>
  </si>
  <si>
    <t>1. 전신검색 웗별 현황 조회의 조회일자의 날짜 구분 필요 2. 적발기간의 시작일이 더 늦은데 전신 검색 월별 현황 조회가 됨.</t>
  </si>
  <si>
    <t>UT-FSEY080S</t>
  </si>
  <si>
    <t>DEF-00494</t>
  </si>
  <si>
    <t>[C_4] 합계 column(근무자별 연간 출동현황 합계), 합계 row(월별 출동현황 합계)가 실제 합과 불일치</t>
  </si>
  <si>
    <t>[C_4] 합계 column(근무자별 연간 출동현황 합계), 합계 row(월별 출동현황 합계)가 실제 합…</t>
  </si>
  <si>
    <t>UT-FSQB170S</t>
  </si>
  <si>
    <t>DEF-00496</t>
  </si>
  <si>
    <t>[X_1] 단위테스트결과서 증적 누락</t>
  </si>
  <si>
    <t>UT-FSEY020S</t>
  </si>
  <si>
    <t>DEF-00560</t>
  </si>
  <si>
    <t>1. 숫자 천단위 표시 추가
2. 날짜 간격 수정 yyyy-mm-dd 형식으로 띄어쓰기 제거</t>
  </si>
  <si>
    <t>1. 숫자 천단위 표시 추가</t>
  </si>
  <si>
    <t>1. 숫자 천단위 표시 추가 2. 날짜 간격 수정 yyyy-mm-dd 형식으로 띄어쓰기 제거</t>
  </si>
  <si>
    <t>DEF-00648</t>
  </si>
  <si>
    <t>[X_1] 조회조건에 해당하는 데이터를 찾을 수 없을 때 표출되는 alert의 UI 형식이 타 alert UI와 상이</t>
  </si>
  <si>
    <t>[X_1] 조회조건에 해당하는 데이터를 찾을 수 없을 때 표출되는 alert의 UI 형식이 타 alert…</t>
  </si>
  <si>
    <t>DEF-00680</t>
  </si>
  <si>
    <t>[S_1] 일일 실적은 페이지 초기 로드 시 조회가 수행되지만, 주간 실적은 페이지 초기 로드 시 조회가 수행되지 않습니다.</t>
  </si>
  <si>
    <t>[S_1] 일일 실적은 페이지 초기 로드 시 조회가 수행되지만, 주간 실적은 페이지 초기 로드 시 조회가…</t>
  </si>
  <si>
    <t>DEF-00685</t>
  </si>
  <si>
    <t>[C_1] 오타: 탑승동 개항우 → 탑승동 개항' 후'</t>
  </si>
  <si>
    <t>UT-PM10504S</t>
  </si>
  <si>
    <t>DEF-00692</t>
  </si>
  <si>
    <t xml:space="preserve">①최초 화면전체 모드 기준 표 보기에는 하단 좌우스크롤바 1개, ② 화면크기 조정후 스크롤바 2개 생성, ③ 다시 전체 화면 모드로 전환했지만, 하단 좌우스크롤 2개 유지 
</t>
  </si>
  <si>
    <t>①최초 화면전체 모드 기준 표 보기에는 하단 좌우스크롤바 1개, ② 화면크기 조정후 스크롤바 2개 생성,…</t>
  </si>
  <si>
    <t>DEF-00697</t>
  </si>
  <si>
    <t>[C_1] '소'송 → '수'송</t>
  </si>
  <si>
    <t>DEF-00699</t>
  </si>
  <si>
    <t>[X_1] 검색된 결과가 없을 때 좌측 하단 건수에도 '0'건이 표시되면 좋을 것 같습니다.</t>
  </si>
  <si>
    <t>UT-FSQB050S</t>
  </si>
  <si>
    <t>DEF-00700</t>
  </si>
  <si>
    <t>아래 화면처럼.. 동일 조회 기간의 환승 건수가 품목별 적발현황 Tab과 장소별 적발현황 Tab의 건수가 일치하지 않음.
총 건수나 품목별 총수는 동일해야 하는데.. 불일치 함.</t>
  </si>
  <si>
    <t>아래 화면처럼.. 동일 조회 기간의 환승 건수가 품목별 적발현황 Tab과 장소별 적발현황 Tab의 건수가…</t>
  </si>
  <si>
    <t>아래 화면처럼.. 동일 조회 기간의 환승 건수가 품목별 적발현황 Tab과 장소별 적발현황 Tab의 건수가 일치하지 않음. 총 건수나 품목별 총수는 동일해야 하는데.. 불일치 함.</t>
  </si>
  <si>
    <t>DEF-00702</t>
  </si>
  <si>
    <t>[S_6] 삭제 시 리스트는 갱신되지만 건수는 갱신되지 않고 있습니다.</t>
  </si>
  <si>
    <t>DEF-00707</t>
  </si>
  <si>
    <t xml:space="preserve">- 합계행 분리됨(배율 낮추면 분리됨) -&gt; PM 전반적으로 검토해야할 사안인듯.
-합계오류(기존승객예고 결과) : 화면, 엑셀 두개 다 오류, 엑셀의 시뮬레이션결과, 셔틀트레인시트내 합계는 맞음
</t>
  </si>
  <si>
    <t>- 합계행 분리됨(배율 낮추면 분리됨) -&gt; PM 전반적으로 검토해야할 사안인듯.</t>
  </si>
  <si>
    <t>- 합계행 분리됨(배율 낮추면 분리됨) -&gt; PM 전반적으로 검토해야할 사안인듯. -합계오류(기존승객예고 결과) : 화면, 엑셀 두개 다 오류, 엑셀의 시뮬레이션결과, 셔틀트레인시트내 합계는 맞음</t>
  </si>
  <si>
    <t>DEF-00736</t>
  </si>
  <si>
    <t>[X_1] '대상 국가'를 선택하지 않고 검색했을 때, 전체 국가에 대해 검색될 것처럼 기대되지만 어떤 국가에 대해서도 검색되지 않기 때문에 사용자 입장에서 마치 데이터가 없는 것처럼 느껴집니다. 어차피 국가를 선택해야 데이터가 조회되기 때문에, 이 필드를 선택 필드로 둘 것이 아니라 필수 필드로 설정하는 것은 어떨지 건의드립니다.</t>
  </si>
  <si>
    <t>[X_1] '대상 국가'를 선택하지 않고 검색했을 때, 전체 국가에 대해 검색될 것처럼 기대되지만 어떤 …</t>
  </si>
  <si>
    <t>[X_1] '대상 국가'를 선택하지 않고 검색했을 때, 전체 국가에 대해 검색될 것처럼 기대되지만 어떤 국가에 대해서도 검색되지 않기 때문에 사용자 입장에서 마치 데이터가 없는 것처럼 느껴집니다. 어차피 국가를 선택해야 데이터가 조회되기 때문에, …</t>
  </si>
  <si>
    <t>DEF-00737</t>
  </si>
  <si>
    <t>[C_1] 천 단위 , 필요</t>
  </si>
  <si>
    <t>DEF-00753</t>
  </si>
  <si>
    <t xml:space="preserve">①동일한 검색어(“741”)를  운항편명에 입력한 후에 SPS는 검색되지만, CPSI에서는 검색결과가 제시되지 않음.
</t>
  </si>
  <si>
    <t>①동일한 검색어(“741”)를  운항편명에 입력한 후에 SPS는 검색되지만, CPSI에서는 검색결과가 제…</t>
  </si>
  <si>
    <t>①동일한 검색어(“741”)를  운항편명에 입력한 후에 SPS는 검색되지만, CPSI에서는 검색결과가 제시되지 않음.</t>
  </si>
  <si>
    <t>DEF-00760</t>
  </si>
  <si>
    <t>[C_1] 모달상에는 DST, 대시보드 화면상에는 DSP로 기재되어 있음</t>
  </si>
  <si>
    <t>UT-GO12808S</t>
  </si>
  <si>
    <t>DEF-00766</t>
  </si>
  <si>
    <t>[C_4] 조회된 데이터가 없을 때, 결항 소제목에도 '0'편 기재 필요 (현재 지연(0편)과 상이)</t>
  </si>
  <si>
    <t>DEF-00767</t>
  </si>
  <si>
    <t>UT-PM30102M</t>
  </si>
  <si>
    <t>DEF-00768</t>
  </si>
  <si>
    <t>시스템에러로 테스트불가</t>
  </si>
  <si>
    <t>UT-PM30104S</t>
  </si>
  <si>
    <t>DEF-00770</t>
  </si>
  <si>
    <t>UT-GO51234S</t>
  </si>
  <si>
    <t>DEF-00774</t>
  </si>
  <si>
    <t>UT-GO51236S</t>
  </si>
  <si>
    <t>DEF-00775</t>
  </si>
  <si>
    <t>DEF-00001</t>
  </si>
  <si>
    <t>데이터 있는 날짜(26-04-02)에서 없는 날짜(26-04-25)로 선택 시 아래 그림처럼 시뮬레이션 요약 그래프 생기는 현상.
alert창 닫은 후에도 그래프 남아있음.</t>
  </si>
  <si>
    <t>데이터 있는 날짜(26-04-02)에서 없는 날짜(26-04-25)로 선택 시 아래 그림처럼 시뮬레이션 …</t>
  </si>
  <si>
    <t>데이터 있는 날짜(26-04-02)에서 없는 날짜(26-04-25)로 선택 시 아래 그림처럼 시뮬레이션 요약 그래프 생기는 현상. alert창 닫은 후에도 그래프 남아있음.</t>
  </si>
  <si>
    <t>DEF-00002</t>
  </si>
  <si>
    <t>터미널, 아일랜드를 바꿔서 검색해도 데이터가 없습니다.</t>
  </si>
  <si>
    <t>DEF-00006</t>
  </si>
  <si>
    <t>Reporting 공통결함
 - 엑셀 저장 후 파일을 열었을 때(내용은 다 채워짐)
 - 4-5번행 : 낮은 가독성(일부 가림)
 - 출력시 왼편 쏠림 및 한페이지에 맞춤 안됨</t>
  </si>
  <si>
    <t>Reporting 공통결함</t>
  </si>
  <si>
    <t>Reporting 공통결함  - 엑셀 저장 후 파일을 열었을 때(내용은 다 채워짐)  - 4-5번행 : 낮은 가독성(일부 가림)  - 출력시 왼편 쏠림 및 한페이지에 맞춤 안됨</t>
  </si>
  <si>
    <t>DEF-00034</t>
  </si>
  <si>
    <t>동일일자 기준으로 운항편 목록비교 탭에서 검색되는 운항편이 운항편별 변경이력 탭에서는 검색되지 않음.</t>
  </si>
  <si>
    <t>DEF-00005</t>
  </si>
  <si>
    <t>아일랜드 버튼을 클릭하면 표보기가 아니라 차트보기로 넘어갑니다.</t>
  </si>
  <si>
    <t>DEF-00013</t>
  </si>
  <si>
    <t>상단 프린터아이콘 출력의 의미 확인 어려움..(화면도, 콘텐츠도 아닌 애매한 출력물 제공)
모든 출력물 하단에 페이지번호 없음</t>
  </si>
  <si>
    <t>상단 프린터아이콘 출력의 의미 확인 어려움..(화면도, 콘텐츠도 아닌 애매한 출력물 제공)</t>
  </si>
  <si>
    <t>상단 프린터아이콘 출력의 의미 확인 어려움..(화면도, 콘텐츠도 아닌 애매한 출력물 제공)  모든 출력물 하단에 페이지번호 없음</t>
  </si>
  <si>
    <t>DEF-00029</t>
  </si>
  <si>
    <t xml:space="preserve">AOMS에서도 표 안의 숫자들이 우측에 밀착되어있음. 작업화면이나, 출력화면에서는 더 밀착되어 있는 것으로 보임.
!!!!여백 조정 가능하면 적용 필요(파워포인트도 검토)
페이지 하단에 페이지번호 없음
</t>
  </si>
  <si>
    <t>AOMS에서도 표 안의 숫자들이 우측에 밀착되어있음. 작업화면이나, 출력화면에서는 더 밀착되어 있는 것으…</t>
  </si>
  <si>
    <t>AOMS에서도 표 안의 숫자들이 우측에 밀착되어있음. 작업화면이나, 출력화면에서는 더 밀착되어 있는 것으로 보임.  !!!!여백 조정 가능하면 적용 필요(파워포인트도 검토) 페이지 하단에 페이지번호 없음</t>
  </si>
  <si>
    <t>UT-GO12939S</t>
  </si>
  <si>
    <t>DEF-00030</t>
  </si>
  <si>
    <t>DEF-00010</t>
  </si>
  <si>
    <t>Reporting 공통결함 의심
 - 상단 종모양의 "show notice"클릭 후 관련 창이 오른쪽 하단에서 확인(가운데에서 뜨게해줄 필요)</t>
  </si>
  <si>
    <t>Reporting 공통결함 의심</t>
  </si>
  <si>
    <t>Reporting 공통결함 의심  - 상단 종모양의 "show notice"클릭 후 관련 창이 오른쪽 하단에서 확인(가운데에서 뜨게해줄 필요)</t>
  </si>
  <si>
    <t>UT-GO14001S</t>
  </si>
  <si>
    <t>DEF-00049</t>
  </si>
  <si>
    <t>공항운영 대시보드는 현재 검색이 안되고, 좌측 카테고리 트리에서도 확인안됨(시나리오 파일에도 테스트 결과는 없음, 아마도 개발중인듯..)</t>
  </si>
  <si>
    <t>검색 결과 불일치</t>
  </si>
  <si>
    <t>공항운영 대시보드는 현재 검색이 안되고, 좌측 카테고리 트리에서도 확인안됨(시나리오 파일에도 테스트 결과…</t>
  </si>
  <si>
    <t>UT-GO14002S</t>
  </si>
  <si>
    <t>DEF-00050</t>
  </si>
  <si>
    <t>대시보드 관련 화면에서 확인안됨.</t>
  </si>
  <si>
    <t>DEF-00038</t>
  </si>
  <si>
    <t>출력시 왼쪽 쏠림현상.
화면단위로 한페이지에 들어가지 않음(45페이지 -&gt; 90페이지)
문서하단 페이지번호 확인</t>
  </si>
  <si>
    <t>출력시 왼쪽 쏠림현상.</t>
  </si>
  <si>
    <t>출력시 왼쪽 쏠림현상. 화면단위로 한페이지에 들어가지 않음(45페이지 -&gt; 90페이지) 문서하단 페이지번호 확인</t>
  </si>
  <si>
    <t>DEF-00042</t>
  </si>
  <si>
    <t>조건에 따른 조회결과가 표출되지 않음. (2025.06.19, 18:00)</t>
  </si>
  <si>
    <t>DEF-00043</t>
  </si>
  <si>
    <t xml:space="preserve">엑셀 출력시 한페이지 단위로 출력 지원안됨.
중앙정렬도 안됨.
화면 하단 페이지번호 </t>
  </si>
  <si>
    <t>엑셀 출력시 한페이지 단위로 출력 지원안됨.</t>
  </si>
  <si>
    <t>엑셀 출력시 한페이지 단위로 출력 지원안됨. 중앙정렬도 안됨. 화면 하단 페이지번호</t>
  </si>
  <si>
    <t>DEF-00159</t>
  </si>
  <si>
    <t>시작일자, 종료일잘 각각 칸을 비웠을떄 모두 조회일자 항목을 필수 입력항목입니다 라고 표시되는데 각 항목에 맞는 문구로 변경 필요.</t>
  </si>
  <si>
    <t>시작일자, 종료일잘 각각 칸을 비웠을떄 모두 조회일자 항목을 필수 입력항목입니다 라고 표시되는데 각 항목…</t>
  </si>
  <si>
    <t>DEF-00175</t>
  </si>
  <si>
    <t xml:space="preserve">조건에 따른 조회결과가 표출되지 않음. </t>
  </si>
  <si>
    <t>DEF-00181</t>
  </si>
  <si>
    <t>메뉴 최초 들어갔을떄와 초기화 버튼 클릭시 서버 오류입니다 발생합니다</t>
  </si>
  <si>
    <t>DEF-00224</t>
  </si>
  <si>
    <t>엑셀이 저장 1회 이상은 되지 않습니다.
- 엑셀 저장 2번째 &gt; 우측 그래프 활성화 , 엑셀저장 안됨</t>
  </si>
  <si>
    <t>결함등록기각</t>
  </si>
  <si>
    <t>처리완료하였습니다. 개발서버 기준 (26년 04월 30일 오전에 확인가능합니다.)
DEF-00222 결함과 같은 내용이므로 기각합니다.</t>
  </si>
  <si>
    <t>엑셀이 저장 1회 이상은 되지 않습니다.</t>
  </si>
  <si>
    <t>엑셀이 저장 1회 이상은 되지 않습니다. - 엑셀 저장 2번째 &gt; 우측 그래프 활성화 , 엑셀저장 안됨</t>
  </si>
  <si>
    <t>기각사유: 처리완료하였습니다. 개발서버 기준 (26년 04월 30일 오전에 확인가능합니다.)
DEF-00222 결함과 같은 내용이므로… → 기타 기각 성격으로 판단</t>
  </si>
  <si>
    <t>기타 기각</t>
  </si>
  <si>
    <t>DEF-00271</t>
  </si>
  <si>
    <t>테스트 결과서 없음.</t>
  </si>
  <si>
    <t>UT-PM10201S 입국장 운영시간 설정 관리
UT-PM10202S 입국장 운영시간 조회
UT-PM10203S 출국장 운영시간 설정 관리
UT-PM10204S 출국장 운영시간 조회
UT-PM10205S 환승장 운영시간 설정 관리
UT-PM10206S 환승장 운영시간 조회
메뉴들은 UT-PM10201S 운영시간설정관리, UT-PM10202S 운영시간조회 메뉴로 통합되었습니다.</t>
  </si>
  <si>
    <t>기각사유: UT-PM10201S 입국장 운영시간 설정 관리
UT-PM10202S 입국장 운영시간 조회
UT-PM10203S 출국장 운… → 기타 기각 성격으로 판단</t>
  </si>
  <si>
    <t>DEF-00273</t>
  </si>
  <si>
    <t>다른 페이지에서는 버튼이 '저장' 입니다. (통일성)</t>
  </si>
  <si>
    <t>둘다 표준 버튼입니다.</t>
  </si>
  <si>
    <t>기각사유: 둘다 표준 버튼입니다. → 기타 기각 성격으로 판단</t>
  </si>
  <si>
    <t>DEF-00277</t>
  </si>
  <si>
    <t xml:space="preserve">영원히 조회되지 않습니다.. 2026-04-28 10:00 </t>
  </si>
  <si>
    <t>정상작동중</t>
  </si>
  <si>
    <t>영원히 조회되지 않습니다.. 2026-04-28 10:00</t>
  </si>
  <si>
    <t>기각사유: 정상작동중 → 정상동작/스펙대로 성격으로 판단</t>
  </si>
  <si>
    <t>정상동작/스펙대로</t>
  </si>
  <si>
    <t>DEF-00309</t>
  </si>
  <si>
    <t>기준일자 선택이 필수 입력이 조건이 아님. 필수여야 할거 같음.</t>
  </si>
  <si>
    <t>처리완료하였습니다. 개발서버 기준 (26년 04월 30일 오전에 확인가능합니다.)
DEF-00307 결함과 같은 내용이므로 기각합니다.</t>
  </si>
  <si>
    <t>기각사유: 처리완료하였습니다. 개발서버 기준 (26년 04월 30일 오전에 확인가능합니다.)
DEF-00307 결함과 같은 내용이므로… → 기타 기각 성격으로 판단</t>
  </si>
  <si>
    <t>UT-CASY011S(A)</t>
  </si>
  <si>
    <t>공통관리(AOMS-CA)</t>
  </si>
  <si>
    <t>DEF-00396</t>
  </si>
  <si>
    <t>1. 시나리오-순번1- 관리자 로그인을 위한 ID/PW 입력화면 확인 안됨. 입력없이 좌측에 “조직도선택”이 확인됨.
2. 초기화버튼을 눌렀지만, 그림과 같이 선택된 행들이 선택해제가 되지 않음
3. SMS 전송 현황(상세)-조회기간 10일 제약(시나리오 순번31) 위반
4. 시나리오 순번 39번 관련 조회결과가 없는 경우 경고메시지 표출되지 않음.
5. 전송대상자를 지우고 전송시작을 실행했는데, 실행되버림</t>
  </si>
  <si>
    <t>김명준</t>
  </si>
  <si>
    <t>정연준</t>
  </si>
  <si>
    <t>로그인 -&gt; CA 모듈 선택 -&gt; 좌측 메뉴 SMS 관리 메뉴를 선택-&gt; 조직도 확인하는 시나리오로 정상입니다</t>
  </si>
  <si>
    <t>1. 시나리오-순번1- 관리자 로그인을 위한 ID/PW 입력화면 확인 안됨. 입력없이 좌측에 “조직도선택…</t>
  </si>
  <si>
    <t>1. 시나리오-순번1- 관리자 로그인을 위한 ID/PW 입력화면 확인 안됨. 입력없이 좌측에 “조직도선택”이 확인됨. 2. 초기화버튼을 눌렀지만, 그림과 같이 선택된 행들이 선택해제가 되지 않음 3. SMS 전송 현황(상세)-조회기간 10일 제약(…</t>
  </si>
  <si>
    <t>기각사유: 로그인 -&gt; CA 모듈 선택 -&gt; 좌측 메뉴 SMS 관리 메뉴를 선택-&gt; 조직도 확인하는 시나리오로 정상입니다 → 정상동작/스펙대로 성격으로 판단</t>
  </si>
  <si>
    <t>UT-CASY047S(A)</t>
  </si>
  <si>
    <t>DEF-00412</t>
  </si>
  <si>
    <t xml:space="preserve">1. 최대조회기간 제한(8일) 위반(시나리오 순번3 관련 화면)
</t>
  </si>
  <si>
    <t>최민지</t>
  </si>
  <si>
    <t>단위테스트 후 공항공사 요청으로 검색 기간 변경함 정상입니다.</t>
  </si>
  <si>
    <t>1. 최대조회기간 제한(8일) 위반(시나리오 순번3 관련 화면)</t>
  </si>
  <si>
    <t>기각사유: 단위테스트 후 공항공사 요청으로 검색 기간 변경함 정상입니다. → 정상동작/스펙대로 성격으로 판단</t>
  </si>
  <si>
    <t>UT-CARF037S(A)</t>
  </si>
  <si>
    <t>DEF-00486</t>
  </si>
  <si>
    <t>코드리스트나, 코드 종류에 신규추가,삭제 +,- 버튼이 없음
권한문제로 막혀있나요?</t>
  </si>
  <si>
    <t>김태훈</t>
  </si>
  <si>
    <t>동일 건으로 공항공사 요청사항 수정중이로 결함등록기각 으로 변경하겠습니다.</t>
  </si>
  <si>
    <t>코드리스트나, 코드 종류에 신규추가,삭제 +,- 버튼이 없음</t>
  </si>
  <si>
    <t>코드리스트나, 코드 종류에 신규추가,삭제 +,- 버튼이 없음 권한문제로 막혀있나요?</t>
  </si>
  <si>
    <t>기각사유: 동일 건으로 공항공사 요청사항 수정중이로 결함등록기각 으로 변경하겠습니다. → 중복 성격으로 판단</t>
  </si>
  <si>
    <t>중복</t>
  </si>
  <si>
    <t>DEF-00498</t>
  </si>
  <si>
    <t xml:space="preserve">창을 줄이면 업무처리실적리스트에 가로스크롤이 생기지 않습니다. </t>
  </si>
  <si>
    <t>전체화면 기준으로 개발 되었으며 넥사크로는 컴포넌트별로 위치나 크기등의 설정을 하므로 창 너비에 따른 개발이 어려움.</t>
  </si>
  <si>
    <t>창을 줄이면 업무처리실적리스트에 가로스크롤이 생기지 않습니다.</t>
  </si>
  <si>
    <t>기각사유: 전체화면 기준으로 개발 되었으며 넥사크로는 컴포넌트별로 위치나 크기등의 설정을 하므로 창 너비에 따른 개발이 어려움. → 기타 기각 성격으로 판단</t>
  </si>
  <si>
    <t>UT-CASY033S(A)</t>
  </si>
  <si>
    <t>DEF-00513</t>
  </si>
  <si>
    <t>화면배율을 크게하면 체크박스가 넘어감</t>
  </si>
  <si>
    <t>공통 퍼블로 퍼블 담당자에게 전달 하겠습니다.</t>
  </si>
  <si>
    <t>기각사유: 공통 퍼블로 퍼블 담당자에게 전달 하겠습니다. → 기타 기각 성격으로 판단</t>
  </si>
  <si>
    <t>DEF-00514</t>
  </si>
  <si>
    <t xml:space="preserve">오타가 있습니다. </t>
  </si>
  <si>
    <t>오타가 아닌 공통코드에 저장된 데이터임.</t>
  </si>
  <si>
    <t>오타가 있습니다.</t>
  </si>
  <si>
    <t>기각사유: 오타가 아닌 공통코드에 저장된 데이터임. → 기타 기각 성격으로 판단</t>
  </si>
  <si>
    <t>UT-CAMN012M(A)</t>
  </si>
  <si>
    <t>DEF-00522</t>
  </si>
  <si>
    <t>프로그램 사용 사유 등록 팝업은 어디서 확인할수 있나요..?</t>
  </si>
  <si>
    <t>단위 시험 이후 타 모듈에서 사용하는 팝업으로 해당 모듈에서 가능합니다.</t>
  </si>
  <si>
    <t>기각사유: 단위 시험 이후 타 모듈에서 사용하는 팝업으로 해당 모듈에서 가능합니다. → 기타 기각 성격으로 판단</t>
  </si>
  <si>
    <t>UT-CASY003S(A)</t>
  </si>
  <si>
    <t>DEF-00530</t>
  </si>
  <si>
    <t>항공통계포털사용자 -&gt; 공식통계 -&gt; 운항 같이 하위 메뉴를 눌렀을떄 
Menu ID 길이는 8입니다라는 alert가 항상 뜸 의도된건가요?</t>
  </si>
  <si>
    <t>Menu ID 8자로 등록 해야하나 해당(항공통계포털) 모듈에서 TEST를 위해 7자리를 입력하여 해당 Alert 표출하고 있는 것은 정상입니다.</t>
  </si>
  <si>
    <t>항공통계포털사용자 -&gt; 공식통계 -&gt; 운항 같이 하위 메뉴를 눌렀을떄</t>
  </si>
  <si>
    <t>항공통계포털사용자 -&gt; 공식통계 -&gt; 운항 같이 하위 메뉴를 눌렀을떄  Menu ID 길이는 8입니다라는 alert가 항상 뜸 의도된건가요?</t>
  </si>
  <si>
    <t>기각사유: Menu ID 8자로 등록 해야하나 해당(항공통계포털) 모듈에서 TEST를 위해 7자리를 입력하여 해당 Alert 표출하고… → 정상동작/스펙대로 성격으로 판단</t>
  </si>
  <si>
    <t>UT-FSEY040S</t>
  </si>
  <si>
    <t>DEF-00567</t>
  </si>
  <si>
    <t>-조회기간과 서식상 기간 불일치
-조회기간(23-04-20~25-12-31)외 기간(2022년)이 표출됨.</t>
  </si>
  <si>
    <t>현업 요구사항에 의한 검색 조건 변경이 있었으며 조회 종료일자의 연도 기준 4개년도 조회임.</t>
  </si>
  <si>
    <t>-조회기간과 서식상 기간 불일치</t>
  </si>
  <si>
    <t>-조회기간과 서식상 기간 불일치 -조회기간(23-04-20~25-12-31)외 기간(2022년)이 표출됨.</t>
  </si>
  <si>
    <t>기각사유: 현업 요구사항에 의한 검색 조건 변경이 있었으며 조회 종료일자의 연도 기준 4개년도 조회임. → 기타 기각 성격으로 판단</t>
  </si>
  <si>
    <t>DEF-00004</t>
  </si>
  <si>
    <t>데이터가 없어서 테스트 불가합니다.</t>
  </si>
  <si>
    <t>PL 공석으로 인한 준비 미비.
04월 24일 금요일부터 재테스트 가능하도록 세팅 완료
DEF-00003 과 같은 내용의 결함이므로 기각처리했습니다.</t>
  </si>
  <si>
    <t>기각사유: PL 공석으로 인한 준비 미비.
04월 24일 금요일부터 재테스트 가능하도록 세팅 완료
DEF-00003 과 같은 내용의 … → 기타 기각 성격으로 판단</t>
  </si>
  <si>
    <t>DEF-00011</t>
  </si>
  <si>
    <t>데이터가 없어서 테스트 불가.</t>
  </si>
  <si>
    <t>DEF-00012</t>
  </si>
  <si>
    <t>UT-PM10505S</t>
  </si>
  <si>
    <t>DEF-00014</t>
  </si>
  <si>
    <t>데이터가 없어서 테스트 불가함</t>
  </si>
  <si>
    <t>UT-CASY038S(A)</t>
  </si>
  <si>
    <t>DEF-00084</t>
  </si>
  <si>
    <t xml:space="preserve">AOMS 화면 우측 상단의 엑셀 클릭후 다운로드받은 파일을 확인 후 인쇄화면 전환시 여백문제(좌측쏠림)는 없지만, 1개 페이지가 3개로 분리됨( 가로방향 전환 및 1페이지 맞춤 설정 지원 가능여부확인 필요)
</t>
  </si>
  <si>
    <t>엑셀 다운로드 시 3000천건 이상을 다운받아 한페이지요 표출하려면 동일 현상 발생함. 조회 조건 변경 후 테스트 하면 해당 현상 발생 안함</t>
  </si>
  <si>
    <t>AOMS 화면 우측 상단의 엑셀 클릭후 다운로드받은 파일을 확인 후 인쇄화면 전환시 여백문제(좌측쏠림)는…</t>
  </si>
  <si>
    <t>AOMS 화면 우측 상단의 엑셀 클릭후 다운로드받은 파일을 확인 후 인쇄화면 전환시 여백문제(좌측쏠림)는 없지만, 1개 페이지가 3개로 분리됨( 가로방향 전환 및 1페이지 맞춤 설정 지원 가능여부확인 필요)</t>
  </si>
  <si>
    <t>기각사유: 엑셀 다운로드 시 3000천건 이상을 다운받아 한페이지요 표출하려면 동일 현상 발생함. 조회 조건 변경 후 테스트 하면 해… → 중복 성격으로 판단</t>
  </si>
  <si>
    <t>UT-CASY039S(A)</t>
  </si>
  <si>
    <t>DEF-00090</t>
  </si>
  <si>
    <t xml:space="preserve">엑셀파일의 시나리오 순번 5,6번 확인 불가 : _x000B_“ERRLOG”, “TRACELOG” 두 버튼 모두 활성화되지 않아 확인 불가
</t>
  </si>
  <si>
    <t>Error Log 및 Trace Log 없을 경우 비 활성화는 정상 입니다.</t>
  </si>
  <si>
    <t>엑셀파일의 시나리오 순번 5,6번 확인 불가 : _x000B_“ERRLOG”, “TRACELOG” 두 버튼 모두 활…</t>
  </si>
  <si>
    <t>엑셀파일의 시나리오 순번 5,6번 확인 불가 : _x000B_“ERRLOG”, “TRACELOG” 두 버튼 모두 활성화되지 않아 확인 불가</t>
  </si>
  <si>
    <t>기각사유: Error Log 및 Trace Log 없을 경우 비 활성화는 정상 입니다. → 정상동작/스펙대로 성격으로 판단</t>
  </si>
  <si>
    <t>UT-CARF013S(A)</t>
  </si>
  <si>
    <t>DEF-00103</t>
  </si>
  <si>
    <t>수정 기능은 작동하나 추가, 삭제 버튼이 없어서 테스트 불가.</t>
  </si>
  <si>
    <t>AOMS는 수정기능만 가능으로 정상 입니다.</t>
  </si>
  <si>
    <t>기각사유: AOMS는 수정기능만 가능으로 정상 입니다. → 정상동작/스펙대로 성격으로 판단</t>
  </si>
  <si>
    <t>UT-CARF014S(A)</t>
  </si>
  <si>
    <t>DEF-00104</t>
  </si>
  <si>
    <t>수정은 가능하나 추가, 삭제 버튼이 없어서 테스트 불가.</t>
  </si>
  <si>
    <t>UT-FSQA021S</t>
  </si>
  <si>
    <t>DEF-00147</t>
  </si>
  <si>
    <t>-엑셀파일 분할 출력됨(출력용지방향 가로설정, 및 화면 맟춤필요)</t>
  </si>
  <si>
    <t>해당 내용은 엑셀 기능임. 개발 가능 영역이 아님</t>
  </si>
  <si>
    <t>기각사유: 해당 내용은 엑셀 기능임. 개발 가능 영역이 아님 → 기타 기각 성격으로 판단</t>
  </si>
  <si>
    <t>UT-PM10103S</t>
  </si>
  <si>
    <t>DEF-00156</t>
  </si>
  <si>
    <t>데이터 0건일 때 no data 뜨지 않음</t>
  </si>
  <si>
    <t>처리완료하였습니다. 개발서버 기준 (26년 04월 30일 오전에 확인가능합니다.)
DEF-00154 결함과 같은 내용이므로 기각합니다.</t>
  </si>
  <si>
    <t>기각사유: 처리완료하였습니다. 개발서버 기준 (26년 04월 30일 오전에 확인가능합니다.)
DEF-00154 결함과 같은 내용이므로… → 기타 기각 성격으로 판단</t>
  </si>
  <si>
    <t>UT-PM20141M</t>
  </si>
  <si>
    <t>DEF-00174</t>
  </si>
  <si>
    <t>테스트케이스 엑셀과 UI 다름.
Config 자료가 정상 복사버튼 없음.</t>
  </si>
  <si>
    <t>공사측 개선/변경 사항으로 변경된 내용으로 테스트케이스는 업데이트 하지 못한 상태입니다.
일정상 테스트 스크립트를 수정할 여유가 없기 때문에
UI 디자인과 관련된 내용으로 테스트 해주시면 감사하겠습니다.</t>
  </si>
  <si>
    <t>테스트케이스 엑셀과 UI 다름.</t>
  </si>
  <si>
    <t>테스트케이스 엑셀과 UI 다름. Config 자료가 정상 복사버튼 없음.</t>
  </si>
  <si>
    <t>기각사유: 공사측 개선/변경 사항으로 변경된 내용으로 테스트케이스는 업데이트 하지 못한 상태입니다.
일정상 테스트 스크립트를 수정할 … → 정상동작/스펙대로 성격으로 판단</t>
  </si>
  <si>
    <t>DEF-00163</t>
  </si>
  <si>
    <t>UT-TopFrame(A)</t>
  </si>
  <si>
    <t>DEF-00534</t>
  </si>
  <si>
    <t>아래 화면처럼 각 화면 창 우측 상단의 Screen full 버튼을 클릭하면, 해당 화면이 넓게 열려야는데,, 아래 화면처럼.. AOMS 시스템 화면이 Full Screen으로 바뀌고, 해당 화면의 크기는 변동없이 유지됨.
이후 화면  Screen standard 버튼을 클릭하면 시스템 화면이 이전 화면으로  원복됨</t>
  </si>
  <si>
    <t xml:space="preserve">화면 분할(2~3) 후 Screen Full 기능은 해당 이미지 처럼 동작 하는 것으로 설정되어 있어 정상입니다. </t>
  </si>
  <si>
    <t>아래 화면처럼 각 화면 창 우측 상단의 Screen full 버튼을 클릭하면, 해당 화면이 넓게 열려야는…</t>
  </si>
  <si>
    <t>아래 화면처럼 각 화면 창 우측 상단의 Screen full 버튼을 클릭하면, 해당 화면이 넓게 열려야는데,, 아래 화면처럼.. AOMS 시스템 화면이 Full Screen으로 바뀌고, 해당 화면의 크기는 변동없이 유지됨. 이후 화면  Screen…</t>
  </si>
  <si>
    <t>기각사유: 화면 분할(2~3) 후 Screen Full 기능은 해당 이미지 처럼 동작 하는 것으로 설정되어 있어 정상입니다. → 정상동작/스펙대로 성격으로 판단</t>
  </si>
  <si>
    <t>UT-CASY014S(A)</t>
  </si>
  <si>
    <t>DEF-00540</t>
  </si>
  <si>
    <t>아래 화면처럼 우측 상세 화면의 입력 및 콤보 필드의 크기와 바탕 디자인의 크기가 불일치 함.
또한, 화면 축소시 고정 Text 등 화면 축소에 따른 화면 이동 축소가 불가하여 화면이 일그러짐</t>
  </si>
  <si>
    <t>공통 퍼블로 퍼블 담당자에게 말씀드리겠습니다.</t>
  </si>
  <si>
    <t>아래 화면처럼 우측 상세 화면의 입력 및 콤보 필드의 크기와 바탕 디자인의 크기가 불일치 함.</t>
  </si>
  <si>
    <t>아래 화면처럼 우측 상세 화면의 입력 및 콤보 필드의 크기와 바탕 디자인의 크기가 불일치 함. 또한, 화면 축소시 고정 Text 등 화면 축소에 따른 화면 이동 축소가 불가하여 화면이 일그러짐</t>
  </si>
  <si>
    <t>기각사유: 공통 퍼블로 퍼블 담당자에게 말씀드리겠습니다. → 기타 기각 성격으로 판단</t>
  </si>
  <si>
    <t>UT-CARF020S(A)</t>
  </si>
  <si>
    <t>DEF-00546</t>
  </si>
  <si>
    <t>시나리오(UT-A_CARF020S)의 순번 7([저장-다건수정])은 다건 선택이 불가여서 확인이 어렵습니다. 
확인해주세요.</t>
  </si>
  <si>
    <t xml:space="preserve">단위테스트 후 다중 작업 단일 작업 메뉴 확정됨. 해당 메뉴는 단일 메뉴로 다건 선택 불가로 정상입니다. </t>
  </si>
  <si>
    <t>시나리오(UT-A_CARF020S)의 순번 7([저장-다건수정])은 다건 선택이 불가여서 확인이 어렵습니다.</t>
  </si>
  <si>
    <t>시나리오(UT-A_CARF020S)의 순번 7([저장-다건수정])은 다건 선택이 불가여서 확인이 어렵습니다.  확인해주세요.</t>
  </si>
  <si>
    <t>기각사유: 단위테스트 후 다중 작업 단일 작업 메뉴 확정됨. 해당 메뉴는 단일 메뉴로 다건 선택 불가로 정상입니다. → 정상동작/스펙대로 성격으로 판단</t>
  </si>
  <si>
    <t>UT-CASY026S(A)</t>
  </si>
  <si>
    <t>DEF-00547</t>
  </si>
  <si>
    <t>상단 우측의 Search 버튼과 Notice Dept 조회 영역이 겹침</t>
  </si>
  <si>
    <t>공통 퍼블로 퍼블 담당자에서 전달하겠습니다.
테스트 환경 : 창모드 -&gt; 화면 축소 시 메뉴 범위와 서치 범위 겹침</t>
  </si>
  <si>
    <t>기각사유: 공통 퍼블로 퍼블 담당자에서 전달하겠습니다.
테스트 환경 : 창모드 -&gt; 화면 축소 시 메뉴 범위와 서치 범위 겹침 → 기타 기각 성격으로 판단</t>
  </si>
  <si>
    <t>UT-CARF016S(A)</t>
  </si>
  <si>
    <t>DEF-00556</t>
  </si>
  <si>
    <t>조회 조건 입력 필드 IP는 숫자만 입력되고.. 이름 필드는 한글 입력 불가함을 잘못 키인때 안내되길 바람</t>
  </si>
  <si>
    <t>메뉴별 조회조건 다름 한글/영문/숫자 별도 안내 안함</t>
  </si>
  <si>
    <t>기각사유: 메뉴별 조회조건 다름 한글/영문/숫자 별도 안내 안함 → 기타 기각 성격으로 판단</t>
  </si>
  <si>
    <t>UT-CARF018S(A)</t>
  </si>
  <si>
    <t>DEF-00557</t>
  </si>
  <si>
    <t>죄회 조건 입력 필드 값에 한글 키인 불가하면.. 키인 단계에 안내되길 요망</t>
  </si>
  <si>
    <t>DEF-00558</t>
  </si>
  <si>
    <t>화면 우측의 정보 화면의 입력 필드 일부가 화면을 벋어남</t>
  </si>
  <si>
    <t>공통퍼블로 퍼블담당자에게 전달하겠습니다.</t>
  </si>
  <si>
    <t>기각사유: 공통퍼블로 퍼블담당자에게 전달하겠습니다. → 기타 기각 성격으로 판단</t>
  </si>
  <si>
    <t>UT-FSQA060S</t>
  </si>
  <si>
    <t>DEF-00653</t>
  </si>
  <si>
    <t>그리드의 합계 부분이 maxheight에 의해 표출이 저렇게 나옴.
마지막 행 바로 밑에 있어야하지않을까요</t>
  </si>
  <si>
    <t>기존 UI 유지가 고객 요구사항이며 합계 행 하단 표출은 넥사크로 표준임.</t>
  </si>
  <si>
    <t>그리드의 합계 부분이 maxheight에 의해 표출이 저렇게 나옴.</t>
  </si>
  <si>
    <t>그리드의 합계 부분이 maxheight에 의해 표출이 저렇게 나옴. 마지막 행 바로 밑에 있어야하지않을까요</t>
  </si>
  <si>
    <t>기각사유: 기존 UI 유지가 고객 요구사항이며 합계 행 하단 표출은 넥사크로 표준임. → 기타 기각 성격으로 판단</t>
  </si>
  <si>
    <t>UT-FSQA050S</t>
  </si>
  <si>
    <t>DEF-00655</t>
  </si>
  <si>
    <t>합게가 그리드 마지막 행 바로 밑에 존재해야할꺼같습니다</t>
  </si>
  <si>
    <t>UT-FSEX050S</t>
  </si>
  <si>
    <t>DEF-00660</t>
  </si>
  <si>
    <t xml:space="preserve">우측 하단 저장버튼의 필요성을 잘 모르겠습니다 </t>
  </si>
  <si>
    <t>삭제 선택후 저장하는 기능임</t>
  </si>
  <si>
    <t>우측 하단 저장버튼의 필요성을 잘 모르겠습니다</t>
  </si>
  <si>
    <t>기각사유: 삭제 선택후 저장하는 기능임 → 기타 기각 성격으로 판단</t>
  </si>
  <si>
    <t>DEF-00661</t>
  </si>
  <si>
    <t>UT-FSQA180S</t>
  </si>
  <si>
    <t>DEF-00662</t>
  </si>
  <si>
    <t>데이터행과 합계행의 확실한 구분이 필요할거같습니다</t>
  </si>
  <si>
    <t>화면 ID와 결함 내용 불일치.
결함 내용은 환승검색장 승객처리현황조회 화면임.</t>
  </si>
  <si>
    <t>기각사유: 화면 ID와 결함 내용 불일치.
결함 내용은 환승검색장 승객처리현황조회 화면임. → 기타 기각 성격으로 판단</t>
  </si>
  <si>
    <t>DEF-00663</t>
  </si>
  <si>
    <t>T1,t2, 합계 등 값의 중앙정렬이 필요할 것 같습니다</t>
  </si>
  <si>
    <t>기존 UI 유지가 고객 요구사항임</t>
  </si>
  <si>
    <t>기각사유: 기존 UI 유지가 고객 요구사항임 → 기타 기각 성격으로 판단</t>
  </si>
  <si>
    <t>DEF-00664</t>
  </si>
  <si>
    <t>합게 비율의 %가 비어있습니다</t>
  </si>
  <si>
    <t>비율이기 때문에 합계는 무조건 100%이므로 의미 없음. 기존 UI와 동일 유지</t>
  </si>
  <si>
    <t>기각사유: 비율이기 때문에 합계는 무조건 100%이므로 의미 없음. 기존 UI와 동일 유지 → 중복 성격으로 판단</t>
  </si>
  <si>
    <t>UT-FSQA120S</t>
  </si>
  <si>
    <t>DEF-00669</t>
  </si>
  <si>
    <t xml:space="preserve">도착 항공편 날자보다 출발 항공편 날자가 과거 날자로 조회 선택 후 등록 가능함.
논리적으로 도착 날자보다 이후 날자에 출발하는 것이 타당함 </t>
  </si>
  <si>
    <t>도착항공편과 출발항공편은 별도의 항공편임. 논리적인 순서 관계 없음.</t>
  </si>
  <si>
    <t>도착 항공편 날자보다 출발 항공편 날자가 과거 날자로 조회 선택 후 등록 가능함.</t>
  </si>
  <si>
    <t>도착 항공편 날자보다 출발 항공편 날자가 과거 날자로 조회 선택 후 등록 가능함. 논리적으로 도착 날자보다 이후 날자에 출발하는 것이 타당함</t>
  </si>
  <si>
    <t>기각사유: 도착항공편과 출발항공편은 별도의 항공편임. 논리적인 순서 관계 없음. → 기타 기각 성격으로 판단</t>
  </si>
  <si>
    <t>UT-CAMN007M(A)</t>
  </si>
  <si>
    <t>DEF-00683</t>
  </si>
  <si>
    <t xml:space="preserve">그리그와 그리드의 경계선이 없음.
</t>
  </si>
  <si>
    <t>그리드와 그리드 경계선 없는 것은 화면 디자인상 정상입니다.</t>
  </si>
  <si>
    <t>그리그와 그리드의 경계선이 없음.</t>
  </si>
  <si>
    <t>기각사유: 그리드와 그리드 경계선 없는 것은 화면 디자인상 정상입니다. → 정상동작/스펙대로 성격으로 판단</t>
  </si>
  <si>
    <t>UT-FSQB060S</t>
  </si>
  <si>
    <t>DEF-00165</t>
  </si>
  <si>
    <t>메뉴가 보이지 않아 테스트 불가</t>
  </si>
  <si>
    <t>메뉴는 아이디별 권한에 의한것임. 결함이 아니라 아이디로 권한 추가 필요.</t>
  </si>
  <si>
    <t>기각사유: 메뉴는 아이디별 권한에 의한것임. 결함이 아니라 아이디로 권한 추가 필요. → 기타 기각 성격으로 판단</t>
  </si>
  <si>
    <t>DEF-00166</t>
  </si>
  <si>
    <t>검색기간 지정 안내의 기준이 모호함.
25년4/1 ~ 26년5/1을 지정하면.. 12달을 초과할 수 없다함.
25년4/1 ~ 26년4/30을 지정하면.. 정상 조회됨. 이것도 12달을 초과한 것인데..
즉, 12달이라는 표현이 어떤 기간을 의미하는 것인지.. 사용자는 혼돈될 수 있음. 정확하게 하려면, 25년4/1 ~ 25년3/31까지가 12개월임.</t>
  </si>
  <si>
    <t>기존 IIS 기준이라 정상</t>
  </si>
  <si>
    <t>검색기간 지정 안내의 기준이 모호함.</t>
  </si>
  <si>
    <t>검색기간 지정 안내의 기준이 모호함. 25년4/1 ~ 26년5/1을 지정하면.. 12달을 초과할 수 없다함. 25년4/1 ~ 26년4/30을 지정하면.. 정상 조회됨. 이것도 12달을 초과한 것인데.. 즉, 12달이라는 표현이 어떤 기간을 의미하는…</t>
  </si>
  <si>
    <t>기각사유: 기존 IIS 기준이라 정상 → 정상동작/스펙대로 성격으로 판단</t>
  </si>
  <si>
    <t>UT-GO11601S</t>
  </si>
  <si>
    <t>DEF-00215</t>
  </si>
  <si>
    <t xml:space="preserve">조회 기간에 따라 에러가 자주 뜹니다. </t>
  </si>
  <si>
    <t>데이터가 많아 2025-04-01 ~ 2025-04-01 로 검색시 정상작동(운영데이터 이관으로 조건 수정)</t>
  </si>
  <si>
    <t>조회 기간에 따라 에러가 자주 뜹니다.</t>
  </si>
  <si>
    <t>기각사유: 데이터가 많아 2025-04-01 ~ 2025-04-01 로 검색시 정상작동(운영데이터 이관으로 조건 수정) → 정상동작/스펙대로 성격으로 판단</t>
  </si>
  <si>
    <t>UT-CAMN011M(A)</t>
  </si>
  <si>
    <t>DEF-00221</t>
  </si>
  <si>
    <t xml:space="preserve">시나리오 문서 와 일치하는 화면을 찾을 수가 없습니다. </t>
  </si>
  <si>
    <t>푸시메시지 관리 메뉴에서 해당 화면 찾을 수 있어 결함기각등록 하겠습니다.</t>
  </si>
  <si>
    <t>시나리오 문서 와 일치하는 화면을 찾을 수가 없습니다.</t>
  </si>
  <si>
    <t>기각사유: 푸시메시지 관리 메뉴에서 해당 화면 찾을 수 있어 결함기각등록 하겠습니다. → 기타 기각 성격으로 판단</t>
  </si>
  <si>
    <t>UT-GO11701S</t>
  </si>
  <si>
    <t>DEF-00258</t>
  </si>
  <si>
    <t xml:space="preserve">조회되는 데이터가 있는데, 최초 진입 시 결과없음 팝업이 뜹니다. </t>
  </si>
  <si>
    <t>그리드 5개 개별 검색에 대한 팝업임 정상작동</t>
  </si>
  <si>
    <t>조회되는 데이터가 있는데, 최초 진입 시 결과없음 팝업이 뜹니다.</t>
  </si>
  <si>
    <t>기각사유: 그리드 5개 개별 검색에 대한 팝업임 정상작동 → 정상동작/스펙대로 성격으로 판단</t>
  </si>
  <si>
    <t>UT-CASY034S(A)</t>
  </si>
  <si>
    <t>DEF-00261</t>
  </si>
  <si>
    <t xml:space="preserve">조회만 되고 모든 입력창이 비활성화되어 수정이 안됩니다. </t>
  </si>
  <si>
    <t>AOMS에서는 수정 기능만 가능하며, 해당 메뉴는 활성화 된 체크박스(파란삭) 만 수정이 가능하므로 정상입니다, 결함등록기각으로 등록하겠습니다.</t>
  </si>
  <si>
    <t>조회만 되고 모든 입력창이 비활성화되어 수정이 안됩니다.</t>
  </si>
  <si>
    <t>기각사유: AOMS에서는 수정 기능만 가능하며, 해당 메뉴는 활성화 된 체크박스(파란삭) 만 수정이 가능하므로 정상입니다, 결함등록기… → 정상동작/스펙대로 성격으로 판단</t>
  </si>
  <si>
    <t>UT-CASY050S(A)</t>
  </si>
  <si>
    <t>DEF-00100</t>
  </si>
  <si>
    <t>메뉴 확인불가</t>
  </si>
  <si>
    <t xml:space="preserve"> UT-CASY049S(A) ] 접속자 이력, [ UT-CASY050S(A) ] 접속자 현황 단위테스트 후 고객사 요청으로 -&gt; User Session Info 로 통합 관리로 변경 되었습니다. </t>
  </si>
  <si>
    <t>기각사유: UT-CASY049S(A) ] 접속자 이력, [ UT-CASY050S(A) ] 접속자 현황 단위테스트 후 고객사 요청으로 … → 기타 기각 성격으로 판단</t>
  </si>
  <si>
    <t>UT-CARF012S(A)</t>
  </si>
  <si>
    <t>DEF-00101</t>
  </si>
  <si>
    <t>추가, 삭제 기능을 실행할 수 없습니다.
그러나 수정은 가능함.
(기능을 테스트할 버튼이 없음)</t>
  </si>
  <si>
    <t>AOMS는 데이터 수정 기능만 가능으로 정상 기능 입니다.</t>
  </si>
  <si>
    <t>추가, 삭제 기능을 실행할 수 없습니다.</t>
  </si>
  <si>
    <t>추가, 삭제 기능을 실행할 수 없습니다. 그러나 수정은 가능함. (기능을 테스트할 버튼이 없음)</t>
  </si>
  <si>
    <t>기각사유: AOMS는 데이터 수정 기능만 가능으로 정상 기능 입니다. → 정상동작/스펙대로 성격으로 판단</t>
  </si>
  <si>
    <t>DEF-00116</t>
  </si>
  <si>
    <t>Detail 정보 칸에 city가 Readonly처럼 회색이 들어가 있지만 오른쪽 검색팝업으로 검색 후 SAVE하여 수정 가능합니다.</t>
  </si>
  <si>
    <t>검색으로만 가능한 기능으로 정상입니다.</t>
  </si>
  <si>
    <t>Detail 정보 칸에 city가 Readonly처럼 회색이 들어가 있지만 오른쪽 검색팝업으로 검색 후 …</t>
  </si>
  <si>
    <t>기각사유: 검색으로만 가능한 기능으로 정상입니다. → 정상동작/스펙대로 성격으로 판단</t>
  </si>
  <si>
    <t>UT-CARF019S(A)</t>
  </si>
  <si>
    <t>DEF-00117</t>
  </si>
  <si>
    <t>등록, 삭제 버튼이 없어서 테스트 할 수 없습니다.
MOLIT는 저장 가능.</t>
  </si>
  <si>
    <t>AOMS는 수정만 가능으로 정상입니다.
 - 활성화된 부분은 수정 가능</t>
  </si>
  <si>
    <t>등록, 삭제 버튼이 없어서 테스트 할 수 없습니다.</t>
  </si>
  <si>
    <t>등록, 삭제 버튼이 없어서 테스트 할 수 없습니다. MOLIT는 저장 가능.</t>
  </si>
  <si>
    <t>기각사유: AOMS는 수정만 가능으로 정상입니다.
 - 활성화된 부분은 수정 가능 → 정상동작/스펙대로 성격으로 판단</t>
  </si>
  <si>
    <t>DEF-00118</t>
  </si>
  <si>
    <t>등록, 삭제 버튼이 없어서 테스트 할 수 없습니다.
수정기능은 정상 작동합니다.</t>
  </si>
  <si>
    <t>AOMS는 수정만 가능으로 정상입니다.</t>
  </si>
  <si>
    <t>등록, 삭제 버튼이 없어서 테스트 할 수 없습니다. 수정기능은 정상 작동합니다.</t>
  </si>
  <si>
    <t>기각사유: AOMS는 수정만 가능으로 정상입니다. → 정상동작/스펙대로 성격으로 판단</t>
  </si>
  <si>
    <t>UT-CARF021S(A)</t>
  </si>
  <si>
    <t>DEF-00119</t>
  </si>
  <si>
    <t>등록, 삭제 버튼이 없어서 테스트 할 수 없습니다.
수정은 가능합니다.</t>
  </si>
  <si>
    <t>등록, 삭제 버튼이 없어서 테스트 할 수 없습니다. 수정은 가능합니다.</t>
  </si>
  <si>
    <t>DEF-00124</t>
  </si>
  <si>
    <t xml:space="preserve">UT-FSEX080M – 드론탐지현황 일괄등록 메뉴 AOMS에서 확인 안됨.
</t>
  </si>
  <si>
    <t>일괄등록은 메뉴가 아님.</t>
  </si>
  <si>
    <t>UT-FSEX080M – 드론탐지현황 일괄등록 메뉴 AOMS에서 확인 안됨.</t>
  </si>
  <si>
    <t>기각사유: 일괄등록은 메뉴가 아님. → 기타 기각 성격으로 판단</t>
  </si>
  <si>
    <t>DEF-00126</t>
  </si>
  <si>
    <t xml:space="preserve">UT-FSEX080S – 드론탐지현황관리 메뉴 확인안됨.
</t>
  </si>
  <si>
    <t>메뉴 권한 누락 확인 필요. 테스트 계정은 권한 추가하였음</t>
  </si>
  <si>
    <t>UT-FSEX080S – 드론탐지현황관리 메뉴 확인안됨.</t>
  </si>
  <si>
    <t>기각사유: 메뉴 권한 누락 확인 필요. 테스트 계정은 권한 추가하였음 → 기타 기각 성격으로 판단</t>
  </si>
  <si>
    <t>UT-FSQB080S</t>
  </si>
  <si>
    <t>DEF-00136</t>
  </si>
  <si>
    <t>공통체크리스트 : 우측 상단 프린터 실행시 팝업 화면에 데이터 업로드 안됨  FSQB080S/090S/091S/092S동일</t>
  </si>
  <si>
    <t>인쇄는 공통 기능으로 모듈 개발 내에서 처리 불가능</t>
  </si>
  <si>
    <t>공통체크리스트 : 우측 상단 프린터 실행시 팝업 화면에 데이터 업로드 안됨  FSQB080S/090S/0…</t>
  </si>
  <si>
    <t>기각사유: 인쇄는 공통 기능으로 모듈 개발 내에서 처리 불가능 → 기타 기각 성격으로 판단</t>
  </si>
  <si>
    <t>DEF-00137</t>
  </si>
  <si>
    <t>단위테스트결과서 2-3 : 오류날짜 입력 안됨</t>
  </si>
  <si>
    <t>공통 datepicker 개선 변경으로 인함.</t>
  </si>
  <si>
    <t>기각사유: 공통 datepicker 개선 변경으로 인함. → 개선요청 이관 성격으로 판단</t>
  </si>
  <si>
    <t>개선요청 이관</t>
  </si>
  <si>
    <t>DEF-00142</t>
  </si>
  <si>
    <t>-AOMS내 조그만 프린터 클릭후 출력대상 화면의 일부가 출력되지 않음.</t>
  </si>
  <si>
    <t>공통 기능으로 모듈 개발 내에서 처리 불가능</t>
  </si>
  <si>
    <t>기각사유: 공통 기능으로 모듈 개발 내에서 처리 불가능 → 기타 기각 성격으로 판단</t>
  </si>
  <si>
    <t>DEF-00143</t>
  </si>
  <si>
    <t xml:space="preserve">AOMS내 작은 프린터 클릭후 제공되는 출력 화면에서 전체 45페이지중 1~2페이지 일부만 출력되고 나머지는 공란으로 출력되고 있음.
전체 45 페이지중 1~2페이 일부만 인쇄대상 자료가 확인되고 이후 페이지 전부 공란
</t>
  </si>
  <si>
    <t>AOMS내 작은 프린터 클릭후 제공되는 출력 화면에서 전체 45페이지중 1~2페이지 일부만 출력되고 나머…</t>
  </si>
  <si>
    <t>AOMS내 작은 프린터 클릭후 제공되는 출력 화면에서 전체 45페이지중 1~2페이지 일부만 출력되고 나머지는 공란으로 출력되고 있음. 전체 45 페이지중 1~2페이 일부만 인쇄대상 자료가 확인되고 이후 페이지 전부 공란</t>
  </si>
  <si>
    <t>DEF-00087</t>
  </si>
  <si>
    <t xml:space="preserve">시나리오명 “EAI 인터페이스 송신 이력”이 시나리오파일(엑셀) 및 AOMS에는 없음( 엑셀 : ESB 인터페이스 송신 이력, AOMS : ESB Interface Send Hst.
</t>
  </si>
  <si>
    <t>ESB의 기존 시스템 명 EAI로 최도 TMS 등록시 EAI 로 등록됨
EAI 인터페이스 = ESB 인터페이스 이며, 시나리오명 (한글과) AOMS 화면의 영문 표기는 결함/개선 건 아님</t>
  </si>
  <si>
    <t>시나리오명 “EAI 인터페이스 송신 이력”이 시나리오파일(엑셀) 및 AOMS에는 없음( 엑셀 : ESB …</t>
  </si>
  <si>
    <t>시나리오명 “EAI 인터페이스 송신 이력”이 시나리오파일(엑셀) 및 AOMS에는 없음( 엑셀 : ESB 인터페이스 송신 이력, AOMS : ESB Interface Send Hst.</t>
  </si>
  <si>
    <t>기각사유: ESB의 기존 시스템 명 EAI로 최도 TMS 등록시 EAI 로 등록됨
EAI 인터페이스 = ESB 인터페이스 이며, 시나… → 개선요청 이관 성격으로 판단</t>
  </si>
  <si>
    <t>UT-CARF041S(A)</t>
  </si>
  <si>
    <t>DEF-00094</t>
  </si>
  <si>
    <t xml:space="preserve">다운로드한 엑셀파일의 출력시 페이지가 분리안되게(1p-&gt;2p 하는 방안이 있으면 적용 필요
- 용지방향 가로로 전환 
</t>
  </si>
  <si>
    <t>엑셀 다운로드 후 -&gt; 보기 -&gt; 페이지 나누기 미리 보기 -&gt; 페이지 설정 후 출력 1P -&gt; 2P 분기 가능 용지 가로 전환 도 가능함니다.</t>
  </si>
  <si>
    <t>다운로드한 엑셀파일의 출력시 페이지가 분리안되게(1p-&gt;2p 하는 방안이 있으면 적용 필요</t>
  </si>
  <si>
    <t>다운로드한 엑셀파일의 출력시 페이지가 분리안되게(1p-&gt;2p 하는 방안이 있으면 적용 필요 - 용지방향 가로로 전환</t>
  </si>
  <si>
    <t>기각사유: 엑셀 다운로드 후 -&gt; 보기 -&gt; 페이지 나누기 미리 보기 -&gt; 페이지 설정 후 출력 1P -&gt; 2P 분기 가능 용지 가로… → 기타 기각 성격으로 판단</t>
  </si>
  <si>
    <t>UT-CASY049S(A)</t>
  </si>
  <si>
    <t>DEF-00098</t>
  </si>
  <si>
    <t>메뉴가 존재하지 않음.</t>
  </si>
  <si>
    <t>UT-CAMN004M(A)</t>
  </si>
  <si>
    <t>DEF-00099</t>
  </si>
  <si>
    <t>시나리오 순번 2의 예상결과 "2. 조회 후 결과가 없는 경우 경고메시지를 표출한다." 
 : 테스트결과 에러메시지 없음</t>
  </si>
  <si>
    <t>테스트 시나리오 2.  Register Date : 2025-01-01~2025-06-30 메세지 정상 표출 됨</t>
  </si>
  <si>
    <t>시나리오 순번 2의 예상결과 "2. 조회 후 결과가 없는 경우 경고메시지를 표출한다."</t>
  </si>
  <si>
    <t>시나리오 순번 2의 예상결과 "2. 조회 후 결과가 없는 경우 경고메시지를 표출한다."   : 테스트결과 에러메시지 없음</t>
  </si>
  <si>
    <t>기각사유: 테스트 시나리오 2.  Register Date : 2025-01-01~2025-06-30 메세지 정상 표출 됨 → 정상동작/스펙대로 성격으로 판단</t>
  </si>
  <si>
    <t>UT-CARF015S(A)</t>
  </si>
  <si>
    <t>DEF-00105</t>
  </si>
  <si>
    <t>DEF-00107</t>
  </si>
  <si>
    <t>UT-FSEX017S</t>
  </si>
  <si>
    <t>DEF-00109</t>
  </si>
  <si>
    <t>-AOMS 화면내 프린터 클릭 후 출력화면 제공안됨</t>
  </si>
  <si>
    <t>넥사크로 공통기능</t>
  </si>
  <si>
    <t>기각사유: 넥사크로 공통기능 → 기타 기각 성격으로 판단</t>
  </si>
  <si>
    <t>UT-CARF017S(A)</t>
  </si>
  <si>
    <t>DEF-00112</t>
  </si>
  <si>
    <t xml:space="preserve">등록 및 삭제 버튼이 없습니다. </t>
  </si>
  <si>
    <t>AOMS는 수정 기능만 가능으로 정상입니다.</t>
  </si>
  <si>
    <t>등록 및 삭제 버튼이 없습니다.</t>
  </si>
  <si>
    <t>기각사유: AOMS는 수정 기능만 가능으로 정상입니다. → 정상동작/스펙대로 성격으로 판단</t>
  </si>
  <si>
    <t>UT-CARF022S(A)</t>
  </si>
  <si>
    <t>DEF-00120</t>
  </si>
  <si>
    <t>등록, 삭제 버튼이 없어서 테스트 할 수 없습니다.
수정 기능은 정상 작동했습니다.</t>
  </si>
  <si>
    <t>등록, 삭제 버튼이 없어서 테스트 할 수 없습니다. 수정 기능은 정상 작동했습니다.</t>
  </si>
  <si>
    <t>UT-CARF023S(A)</t>
  </si>
  <si>
    <t>DEF-00121</t>
  </si>
  <si>
    <t>UT-FSEY060S</t>
  </si>
  <si>
    <t>DEF-00127</t>
  </si>
  <si>
    <t>- 교육입력시 교육 시작일-종료일 입력하면 산정된 기간 자동 표출
- 이후 기간을 임의로 변경후 저장하면 저장됨.</t>
  </si>
  <si>
    <t>일자는 수정 가능한게 맞는 로직이며 자동 산정 로직이 이번 사업에서 개선된 내용임.</t>
  </si>
  <si>
    <t>- 교육입력시 교육 시작일-종료일 입력하면 산정된 기간 자동 표출</t>
  </si>
  <si>
    <t>- 교육입력시 교육 시작일-종료일 입력하면 산정된 기간 자동 표출 - 이후 기간을 임의로 변경후 저장하면 저장됨.</t>
  </si>
  <si>
    <t>기각사유: 일자는 수정 가능한게 맞는 로직이며 자동 산정 로직이 이번 사업에서 개선된 내용임. → 개선요청 이관 성격으로 판단</t>
  </si>
  <si>
    <t>UT-CASY019S(A)</t>
  </si>
  <si>
    <t>DEF-00128</t>
  </si>
  <si>
    <t xml:space="preserve">초기 LOAD시 당일부터 한달전 사이 이외에 공지사항들도 표시됩니다.
</t>
  </si>
  <si>
    <t xml:space="preserve">1. 초기 LOAD시 나오면 Register Date는 당일을 포함한 1달을 표시됨
2. 초기 LOAD시 나오면 Register Date 조회 조건 아닙니다. 
3. SEARCH버튼을 선택 하면 해당 일정만 조회 됩니다.
</t>
  </si>
  <si>
    <t>초기 LOAD시 당일부터 한달전 사이 이외에 공지사항들도 표시됩니다.</t>
  </si>
  <si>
    <t>기각사유: 1. 초기 LOAD시 나오면 Register Date는 당일을 포함한 1달을 표시됨
2. 초기 LOAD시 나오면 Regis… → 기타 기각 성격으로 판단</t>
  </si>
  <si>
    <t>UT-FSQA022S</t>
  </si>
  <si>
    <t>DEF-00149</t>
  </si>
  <si>
    <t>다운로드받은 엑셀파일이 T1과 동일한 오류</t>
  </si>
  <si>
    <t>해당 내용은 엑셀 기능임</t>
  </si>
  <si>
    <t>기각사유: 해당 내용은 엑셀 기능임 → 기타 기각 성격으로 판단</t>
  </si>
  <si>
    <t>DEF-00152</t>
  </si>
  <si>
    <t>다운로드된 엑셀파일 분할출력(용지방향 : 세로를 가로로 전환하고, 화면맞춤 적용 필요)</t>
  </si>
  <si>
    <t>해당 내용은 엑셀 기능임. 개발 불가능 영역.</t>
  </si>
  <si>
    <t>기각사유: 해당 내용은 엑셀 기능임. 개발 불가능 영역. → 기타 기각 성격으로 판단</t>
  </si>
  <si>
    <t>UT-FSQB120S</t>
  </si>
  <si>
    <t>DEF-00153</t>
  </si>
  <si>
    <t>단위테스트6 : 엑셀아이콘 수정요</t>
  </si>
  <si>
    <t>현업 요구사항</t>
  </si>
  <si>
    <t>기각사유: 현업 요구사항 → 기타 기각 성격으로 판단</t>
  </si>
  <si>
    <t>UT-PM10102S</t>
  </si>
  <si>
    <t>DEF-00155</t>
  </si>
  <si>
    <t>운항 데이터 0건일 때 no data 뜨지 않음</t>
  </si>
  <si>
    <t>DEF-00167</t>
  </si>
  <si>
    <t>테스트케이스 엑셀과 ui 가 달라 테스트 케이스 접근하지 못했습니다..
Config 자료가 정상 복사버튼 없음</t>
  </si>
  <si>
    <t>테스트케이스 엑셀과 ui 가 달라 테스트 케이스 접근하지 못했습니다..</t>
  </si>
  <si>
    <t>테스트케이스 엑셀과 ui 가 달라 테스트 케이스 접근하지 못했습니다.. Config 자료가 정상 복사버튼 없음</t>
  </si>
  <si>
    <t>DEF-00168</t>
  </si>
  <si>
    <t>UT-PM20137M</t>
  </si>
  <si>
    <t>DEF-00169</t>
  </si>
  <si>
    <t>테스트 케이스와 UI 가 다릅니다.
Config 자료가 정상 복사버튼 없음.</t>
  </si>
  <si>
    <t>테스트 케이스와 UI 가 다릅니다.</t>
  </si>
  <si>
    <t>테스트 케이스와 UI 가 다릅니다. Config 자료가 정상 복사버튼 없음.</t>
  </si>
  <si>
    <t>UT-PM20138M</t>
  </si>
  <si>
    <t>DEF-00170</t>
  </si>
  <si>
    <t>테스트케이스와 UI가 다릅니다.
Config 자료가 정상 복사버튼 없음.</t>
  </si>
  <si>
    <t>테스트케이스와 UI가 다릅니다.</t>
  </si>
  <si>
    <t>테스트케이스와 UI가 다릅니다. Config 자료가 정상 복사버튼 없음.</t>
  </si>
  <si>
    <t>UT-PM20139M</t>
  </si>
  <si>
    <t>DEF-00171</t>
  </si>
  <si>
    <t>UT-PM20140M</t>
  </si>
  <si>
    <t>DEF-00172</t>
  </si>
  <si>
    <t>테스트케이스 엑셀과 ui 다름.
Config 자료가 정상 복사버튼 없음.</t>
  </si>
  <si>
    <t>테스트케이스 엑셀과 ui 다름.</t>
  </si>
  <si>
    <t>테스트케이스 엑셀과 ui 다름. Config 자료가 정상 복사버튼 없음.</t>
  </si>
  <si>
    <t>DEF-00173</t>
  </si>
  <si>
    <t>교육현황 입력관리로 명칭 변경됨. (TMS 수정 필요)</t>
  </si>
  <si>
    <t>해당 내용은 교육현황 입력관리의 팝업에 대한 내용임</t>
  </si>
  <si>
    <t>기각사유: 해당 내용은 교육현황 입력관리의 팝업에 대한 내용임 → 기타 기각 성격으로 판단</t>
  </si>
  <si>
    <t>UT-PM20144M</t>
  </si>
  <si>
    <t>DEF-00179</t>
  </si>
  <si>
    <t>UT-PM10204S</t>
  </si>
  <si>
    <t>DEF-00194</t>
  </si>
  <si>
    <t>해당 메뉴가 없습니다.</t>
  </si>
  <si>
    <t>DEF-00210</t>
  </si>
  <si>
    <t xml:space="preserve">차트가 10분단위 조회 값 변경에 따라 시간 범위가 조절 되야 할 것 같은데변하지 않습니다. 어떤 값을 선택 하든 전체 범위를 보여줍니다. </t>
  </si>
  <si>
    <t>3단계 기준의 정책으로 개발된 사항이며, 10분 단위 조회 조건은 그리드에만 적용됩니다.</t>
  </si>
  <si>
    <t>차트가 10분단위 조회 값 변경에 따라 시간 범위가 조절 되야 할 것 같은데변하지 않습니다. 어떤 값을 …</t>
  </si>
  <si>
    <t>차트가 10분단위 조회 값 변경에 따라 시간 범위가 조절 되야 할 것 같은데변하지 않습니다. 어떤 값을 선택 하든 전체 범위를 보여줍니다.</t>
  </si>
  <si>
    <t>기각사유: 3단계 기준의 정책으로 개발된 사항이며, 10분 단위 조회 조건은 그리드에만 적용됩니다. → 정책상 비대상 성격으로 판단</t>
  </si>
  <si>
    <t>정책상 비대상</t>
  </si>
  <si>
    <t>DEF-00211</t>
  </si>
  <si>
    <t xml:space="preserve">차트 이미지 저장 버튼이 없습니다. </t>
  </si>
  <si>
    <t>공사요청사항으로 상단 툴바 기능이 거슬리기 떄문에 제거 요청사항이 있었습니다.</t>
  </si>
  <si>
    <t>차트 이미지 저장 버튼이 없습니다.</t>
  </si>
  <si>
    <t>기각사유: 공사요청사항으로 상단 툴바 기능이 거슬리기 떄문에 제거 요청사항이 있었습니다. → 기타 기각 성격으로 판단</t>
  </si>
  <si>
    <t>DEF-00222</t>
  </si>
  <si>
    <t>처리완료하였습니다. 개발서버 기준 (26년 04월 30일 오전에 확인가능합니다.)</t>
  </si>
  <si>
    <t>기각사유: 처리완료하였습니다. 개발서버 기준 (26년 04월 30일 오전에 확인가능합니다.) → 기타 기각 성격으로 판단</t>
  </si>
  <si>
    <t>DEF-00223</t>
  </si>
  <si>
    <t>UT-CASY052S(A)</t>
  </si>
  <si>
    <t>DEF-00425</t>
  </si>
  <si>
    <t>※ 잘못입력했습니다.(프로그램히스토리 결함등록을 한다는게 잘못입력했습니다.  본 건은 기각 처리해주세요)
1.“Menu Name” 검색시 조회 결과가 없을 때 해당 텍스트 박스에 검색했던 키워드가 살아 있고,  
2. “Program Name” 검색시 조회 결과가 없을 때 해당 텍스트 박스에 검색했던 키워드가 사라짐_x000B_3. 동일한 현상이 제공되는 것이 좋을듯.</t>
  </si>
  <si>
    <t>Program Name 조회 시 조회 결과 없어도 조회했던 Program Name 표출 하고 있습니다. 정상입니다.</t>
  </si>
  <si>
    <t>※ 잘못입력했습니다.(프로그램히스토리 결함등록을 한다는게 잘못입력했습니다.  본 건은 기각 처리해주세요)</t>
  </si>
  <si>
    <t>※ 잘못입력했습니다.(프로그램히스토리 결함등록을 한다는게 잘못입력했습니다.  본 건은 기각 처리해주세요)  1.“Menu Name” 검색시 조회 결과가 없을 때 해당 텍스트 박스에 검색했던 키워드가 살아 있고,   2. “Program Name” …</t>
  </si>
  <si>
    <t>기각사유: Program Name 조회 시 조회 결과 없어도 조회했던 Program Name 표출 하고 있습니다. 정상입니다. → 정상동작/스펙대로 성격으로 판단</t>
  </si>
  <si>
    <t>UT-CASY007S(A)</t>
  </si>
  <si>
    <t>DEF-00460</t>
  </si>
  <si>
    <t>Order가 같았을때 발생하는 문제는 없을까요?</t>
  </si>
  <si>
    <t>Order 발생해도 문제 없습니다.</t>
  </si>
  <si>
    <t>기각사유: Order 발생해도 문제 없습니다. → 기타 기각 성격으로 판단</t>
  </si>
  <si>
    <t>UT-FSQB190S</t>
  </si>
  <si>
    <t>DEF-00471</t>
  </si>
  <si>
    <t>총계 != 휴대 + 위탁</t>
  </si>
  <si>
    <t>기존 보고서와 동일하게 개발되었으며 해당 내용으로 현업테스트를 완료하였음.</t>
  </si>
  <si>
    <t>기각사유: 기존 보고서와 동일하게 개발되었으며 해당 내용으로 현업테스트를 완료하였음. → 중복 성격으로 판단</t>
  </si>
  <si>
    <t>UT-FSEX012S</t>
  </si>
  <si>
    <t>DEF-00472</t>
  </si>
  <si>
    <t>신규사용자 드롭박스에 내용이 없음.</t>
  </si>
  <si>
    <t>신규사용자는 신규로 등록될 데이터가 있을때만 추가 가능</t>
  </si>
  <si>
    <t>기각사유: 신규사용자는 신규로 등록될 데이터가 있을때만 추가 가능 → 기타 기각 성격으로 판단</t>
  </si>
  <si>
    <t>DEF-00473</t>
  </si>
  <si>
    <t xml:space="preserve">휴대수하물 소계만 볼드처리 되어있습니다. </t>
  </si>
  <si>
    <t>휴대수하물 소계만 볼드처리 되어있습니다.</t>
  </si>
  <si>
    <t>UT-FSEX019S</t>
  </si>
  <si>
    <t>DEF-00483</t>
  </si>
  <si>
    <t>월의 첫 월요일이 있는 주를 1주차로 보는걸까요 ?
주차의 기간 또는 기준이 명시되면 좋을 것 같습니다.</t>
  </si>
  <si>
    <t>현업 요구사항에 의해 기존에 존재하던 보고서는 별도의 요청 없이 수정할 수 없음</t>
  </si>
  <si>
    <t>월의 첫 월요일이 있는 주를 1주차로 보는걸까요 ?</t>
  </si>
  <si>
    <t>월의 첫 월요일이 있는 주를 1주차로 보는걸까요 ? 주차의 기간 또는 기준이 명시되면 좋을 것 같습니다.</t>
  </si>
  <si>
    <t>기각사유: 현업 요구사항에 의해 기존에 존재하던 보고서는 별도의 요청 없이 수정할 수 없음 → 기타 기각 성격으로 판단</t>
  </si>
  <si>
    <t>UT-PM10109S</t>
  </si>
  <si>
    <t>DEF-00189</t>
  </si>
  <si>
    <t xml:space="preserve">입력정보관리 - 시뮬레이션 실행관리 메뉴가 미노출 </t>
  </si>
  <si>
    <t>해당 메뉴는 넥사크로에서 리액트로 전환 요청이 있었고, 관련된 테스트 준비들은 26년 7월에 별도로 진행될 예정입니다.</t>
  </si>
  <si>
    <t>입력정보관리 - 시뮬레이션 실행관리 메뉴가 미노출</t>
  </si>
  <si>
    <t>기각사유: 해당 메뉴는 넥사크로에서 리액트로 전환 요청이 있었고, 관련된 테스트 준비들은 26년 7월에 별도로 진행될 예정입니다. → 기타 기각 성격으로 판단</t>
  </si>
  <si>
    <t>DEF-00190</t>
  </si>
  <si>
    <t xml:space="preserve">메뉴가 없습니다. </t>
  </si>
  <si>
    <t>메뉴가 없습니다.</t>
  </si>
  <si>
    <t>DEF-00158</t>
  </si>
  <si>
    <t>UT-CASY032S(A)</t>
  </si>
  <si>
    <t>DEF-00257</t>
  </si>
  <si>
    <t xml:space="preserve">역할정책 매핑정보 관리 메뉴를 찾을 수 없음.
정확한 메뉴 경로명 필요 </t>
  </si>
  <si>
    <t>DEF-00254 건과 동일 건으로 결함등록 기각 등록하겠습니다.</t>
  </si>
  <si>
    <t>역할정책 매핑정보 관리 메뉴를 찾을 수 없음.</t>
  </si>
  <si>
    <t>역할정책 매핑정보 관리 메뉴를 찾을 수 없음. 정확한 메뉴 경로명 필요</t>
  </si>
  <si>
    <t>기각사유: DEF-00254 건과 동일 건으로 결함등록 기각 등록하겠습니다. → 중복 성격으로 판단</t>
  </si>
  <si>
    <t>DEF-00299</t>
  </si>
  <si>
    <t>- UT-A_CASY038S(EAI 인터페이스 수신 이력)과 같이 기간 정의 없이 조회를 클릭하면 처리되어 결과 제공함.</t>
  </si>
  <si>
    <t>기간 정의 없이 조회 불가 확인
결함등록기각으로 등록하갰습니다.</t>
  </si>
  <si>
    <t>- UT-A_CASY038S(EAI 인터페이스 수신 이력)과 같이 기간 정의 없이 조회를 클릭하면 처리되…</t>
  </si>
  <si>
    <t>기각사유: 기간 정의 없이 조회 불가 확인
결함등록기각으로 등록하갰습니다. → 기타 기각 성격으로 판단</t>
  </si>
  <si>
    <t>UT-CARF031S(A)</t>
  </si>
  <si>
    <t>DEF-00300</t>
  </si>
  <si>
    <t>Cancel Code 초기값이 없음.</t>
  </si>
  <si>
    <t>운항지연에 대한 분류 메뉴로 Cancel은 별도의 메뉴에서 확인 가능하므로 결함등록기각으로 등록하겠습니다.</t>
  </si>
  <si>
    <t>기각사유: 운항지연에 대한 분류 메뉴로 Cancel은 별도의 메뉴에서 확인 가능하므로 결함등록기각으로 등록하겠습니다. → 기타 기각 성격으로 판단</t>
  </si>
  <si>
    <t>DEF-00021</t>
  </si>
  <si>
    <t>테스트 결과서가 없습니다.</t>
  </si>
  <si>
    <t>메뉴 통합으로 인해 [UT-PM10201S] 로 테스트 부탁드립니다.</t>
  </si>
  <si>
    <t>기각사유: 메뉴 통합으로 인해 [UT-PM10201S] 로 테스트 부탁드립니다. → 기타 기각 성격으로 판단</t>
  </si>
  <si>
    <t>DEF-00022</t>
  </si>
  <si>
    <t>메뉴 통합으로 인해 [UT-PM10202S] 로 테스트 부탁드립니다.</t>
  </si>
  <si>
    <t>기각사유: 메뉴 통합으로 인해 [UT-PM10202S] 로 테스트 부탁드립니다. → 기타 기각 성격으로 판단</t>
  </si>
  <si>
    <t>UT-CAMN006S(A)</t>
  </si>
  <si>
    <t>DEF-00092</t>
  </si>
  <si>
    <t>아이디가 다른 My Task 결과를 가져옵니다.
IDTTEST08아이디로 처음 접속한 후 로그아웃 후 IDTTEST01로 접속했으나 My Data 정보는 잘 가져오지만 My Task는 Reload를 눌러도 안바뀝니다.</t>
  </si>
  <si>
    <t xml:space="preserve">부서에서 작성된 데이터를 불러오며, 테스트 시 ​IDTTEST08과 IDTTEST01은 부서가 TEST팀(41000029)같아 동일한 데이터가 노출되는것이 정상입니다. </t>
  </si>
  <si>
    <t>아이디가 다른 My Task 결과를 가져옵니다.</t>
  </si>
  <si>
    <t>아이디가 다른 My Task 결과를 가져옵니다. IDTTEST08아이디로 처음 접속한 후 로그아웃 후 IDTTEST01로 접속했으나 My Data 정보는 잘 가져오지만 My Task는 Reload를 눌러도 안바뀝니다.</t>
  </si>
  <si>
    <t>기각사유: 부서에서 작성된 데이터를 불러오며, 테스트 시 ​IDTTEST08과 IDTTEST01은 부서가 TEST팀(41000029)… → 중복 성격으로 판단</t>
  </si>
  <si>
    <t>UT-CASY040S(A)</t>
  </si>
  <si>
    <t>DEF-00093</t>
  </si>
  <si>
    <t xml:space="preserve">시나리오명 상이
시나리오명 “EAI 메시지 모니터링”이 시나리오파일(엑셀) 및 AOMS에는 없음( 엑셀 : ESB 메시지 모니터링, AOMS : ESB Message Monitoring
</t>
  </si>
  <si>
    <t>시나리오명 상이</t>
  </si>
  <si>
    <t>시나리오명 상이 시나리오명 “EAI 메시지 모니터링”이 시나리오파일(엑셀) 및 AOMS에는 없음( 엑셀 : ESB 메시지 모니터링, AOMS : ESB Message Monitoring</t>
  </si>
  <si>
    <t>DEF-00106</t>
  </si>
  <si>
    <t>- 다른 보고서형식의 출력물들은 상단의 정보가 각 페이지마다 있는데, “포기물품 검색 일자별 조회(신규)”에는 없음
-엑셀파일의 출력시 페이지단위로 출력되지 않음(원본 2페이지 엑셀은 4페이지)
-AOMS 화면 프린트 시도하면, 출력할 내용이 아예 없음.</t>
  </si>
  <si>
    <t>보고서는 현업과 협의된 내용임. 인쇄는 공통 기능으로 모듈 개발 내에서 처리 불가능</t>
  </si>
  <si>
    <t>- 다른 보고서형식의 출력물들은 상단의 정보가 각 페이지마다 있는데, “포기물품 검색 일자별 조회(신규)…</t>
  </si>
  <si>
    <t>- 다른 보고서형식의 출력물들은 상단의 정보가 각 페이지마다 있는데, “포기물품 검색 일자별 조회(신규)”에는 없음 -엑셀파일의 출력시 페이지단위로 출력되지 않음(원본 2페이지 엑셀은 4페이지) -AOMS 화면 프린트 시도하면, 출력할 내용이 아예…</t>
  </si>
  <si>
    <t>기각사유: 보고서는 현업과 협의된 내용임. 인쇄는 공통 기능으로 모듈 개발 내에서 처리 불가능 → 협의/보류 성격으로 판단</t>
  </si>
  <si>
    <t>협의/보류</t>
  </si>
  <si>
    <t>DEF-00311</t>
  </si>
  <si>
    <t>기준일자 선택이 필수조건이 아님.</t>
  </si>
  <si>
    <t>DEF-00335</t>
  </si>
  <si>
    <t>미래일자 조회 시 결과가 출력 됨</t>
  </si>
  <si>
    <t>정상</t>
  </si>
  <si>
    <t>기각사유: 정상 → 정상동작/스펙대로 성격으로 판단</t>
  </si>
  <si>
    <t>UT-GO11201S</t>
  </si>
  <si>
    <t>DEF-00337</t>
  </si>
  <si>
    <t>항공기 정보 국내인데, 국가는 폴란드로 설정</t>
  </si>
  <si>
    <t xml:space="preserve">기존 화면과 동일하게 동작 </t>
  </si>
  <si>
    <t>기각사유: 기존 화면과 동일하게 동작 → 중복 성격으로 판단</t>
  </si>
  <si>
    <t>DEF-00108</t>
  </si>
  <si>
    <t>-제공되는 엑셀파일이 페이지단위로출력되지 않음(10페이지 -&gt; 20페이지)
-엑셀파일 출력시 2번째페이지부터는 상단 여백이 없고, 문서 제목 없음
-AOMS 화면내 프린트 버튼 클릭후 출력 미리보기 화면에 출력물내용없음.</t>
  </si>
  <si>
    <t>엑셀, 넥사크로 공통 기능 문제</t>
  </si>
  <si>
    <t>-제공되는 엑셀파일이 페이지단위로출력되지 않음(10페이지 -&gt; 20페이지)</t>
  </si>
  <si>
    <t>-제공되는 엑셀파일이 페이지단위로출력되지 않음(10페이지 -&gt; 20페이지) -엑셀파일 출력시 2번째페이지부터는 상단 여백이 없고, 문서 제목 없음 -AOMS 화면내 프린트 버튼 클릭후 출력 미리보기 화면에 출력물내용없음.</t>
  </si>
  <si>
    <t>기각사유: 엑셀, 넥사크로 공통 기능 문제 → 기타 기각 성격으로 판단</t>
  </si>
  <si>
    <t>DEF-00138</t>
  </si>
  <si>
    <t>단위테스트_3 : 신규사용자 저장기능 안됨</t>
  </si>
  <si>
    <t>신규사용자가 존재할 경우에만 저장 가능</t>
  </si>
  <si>
    <t>기각사유: 신규사용자가 존재할 경우에만 저장 가능 → 기타 기각 성격으로 판단</t>
  </si>
  <si>
    <t>UT-FSEX060S</t>
  </si>
  <si>
    <t>DEF-00140</t>
  </si>
  <si>
    <t>단위테스트_2-3 : 오류 날짜 입력 안됨</t>
  </si>
  <si>
    <t>공통 datepicker 변경 개선으로 인한 내용.</t>
  </si>
  <si>
    <t>기각사유: 공통 datepicker 변경 개선으로 인한 내용. → 개선요청 이관 성격으로 판단</t>
  </si>
  <si>
    <t>DEF-00141</t>
  </si>
  <si>
    <t>단위테스트_2-3 오류날짜 입력안됨 /5-1,2,3 입력창 비활성화 / 7. 엑셀버튼 모양 수정요</t>
  </si>
  <si>
    <t>- 공통 datepicker 변경 개선으로 인한 내용.
- 현업 테스트 단계에서 화면 변경 발생. 아직 개발 진행 중
- 현업 요청.</t>
  </si>
  <si>
    <t>기각사유: - 공통 datepicker 변경 개선으로 인한 내용.
- 현업 테스트 단계에서 화면 변경 발생. 아직 개발 진행 중
- … → 개선요청 이관 성격으로 판단</t>
  </si>
  <si>
    <t>UT-PM20142M</t>
  </si>
  <si>
    <t>DEF-00176</t>
  </si>
  <si>
    <t>DEF-00178</t>
  </si>
  <si>
    <t>UT-CASY016S(A)</t>
  </si>
  <si>
    <t>DEF-00371</t>
  </si>
  <si>
    <t>우측 상단의 Search 버튼과 문자열 겹침</t>
  </si>
  <si>
    <t>공통 퍼블(CSS) 부분이며, 해당 내용 퍼블 담당에게 내용 전달 하겠습니다.</t>
  </si>
  <si>
    <t>기각사유: 공통 퍼블(CSS) 부분이며, 해당 내용 퍼블 담당에게 내용 전달 하겠습니다. → 기타 기각 성격으로 판단</t>
  </si>
  <si>
    <t>UT-CASY030S(A)</t>
  </si>
  <si>
    <t>DEF-00373</t>
  </si>
  <si>
    <t>아래 화면처럼. 부서명 입력 필드 옆 Search 버튼과 겹침.</t>
  </si>
  <si>
    <t>공통 퍼블(CSS)부분으로 화면 크기 과도하게 줄이면 발상합니다.
해당 내용 퍼블 담당에게 전달 하겠습니다.</t>
  </si>
  <si>
    <t>기각사유: 공통 퍼블(CSS)부분으로 화면 크기 과도하게 줄이면 발상합니다.
해당 내용 퍼블 담당에게 전달 하겠습니다. → 기타 기각 성격으로 판단</t>
  </si>
  <si>
    <t>UT-CASY029S(A)</t>
  </si>
  <si>
    <t>DEF-00374</t>
  </si>
  <si>
    <t xml:space="preserve">Menu Search - Menu Path 에서 분류를 선택 한 후 상단의 Search 버튼을누르면 분류 필터가 무시되고 전체 검색이 됩니다.  
Search 실행시 Menu Search 부분의 분류선택을 초기화 하거나, 해당 조건의 필터가 적용되도록 수정이 필요하다고 생각합니다. </t>
  </si>
  <si>
    <t>조회 조건 없이 Search 버튼 선택 시 전체 검색 되는 것은 프로세스상 정상 로직 입니다,</t>
  </si>
  <si>
    <t>필터 동작 오류</t>
  </si>
  <si>
    <t>Menu Search - Menu Path 에서 분류를 선택 한 후 상단의 Search 버튼을누르면 분류…</t>
  </si>
  <si>
    <t>Menu Search - Menu Path 에서 분류를 선택 한 후 상단의 Search 버튼을누르면 분류 필터가 무시되고 전체 검색이 됩니다.    Search 실행시 Menu Search 부분의 분류선택을 초기화 하거나, 해당 조건의 필터가 적용…</t>
  </si>
  <si>
    <t>기각사유: 조회 조건 없이 Search 버튼 선택 시 전체 검색 되는 것은 프로세스상 정상 로직 입니다, → 정상동작/스펙대로 성격으로 판단</t>
  </si>
  <si>
    <t>UT-CAMN001S(A)</t>
  </si>
  <si>
    <t>DEF-00361</t>
  </si>
  <si>
    <t>ID 입력시 키보드가 한글이면 입력이 안되는데, 사용자가 한글,영어 구분이 안되서 한글키에 대한 안내문이나 문구가 필요할 것 같습니다</t>
  </si>
  <si>
    <t>ID는 영문 기본값으로 별도의 한글 입력시 안내 문구 표출 미정입니다.</t>
  </si>
  <si>
    <t>ID 입력시 키보드가 한글이면 입력이 안되는데, 사용자가 한글,영어 구분이 안되서 한글키에 대한 안내문이…</t>
  </si>
  <si>
    <t>기각사유: ID는 영문 기본값으로 별도의 한글 입력시 안내 문구 표출 미정입니다. → 기타 기각 성격으로 판단</t>
  </si>
  <si>
    <t>DEF-00362</t>
  </si>
  <si>
    <t>검측지원현황 입력관리 화면에서 신규등록 권한이 없어서 테스트 불가</t>
  </si>
  <si>
    <t>권한은 아이디별로 설정 필요. 결함 아님.</t>
  </si>
  <si>
    <t>기각사유: 권한은 아이디별로 설정 필요. 결함 아님. → 기타 기각 성격으로 판단</t>
  </si>
  <si>
    <t>UT-CASY004S(A)</t>
  </si>
  <si>
    <t>DEF-00382</t>
  </si>
  <si>
    <t>아래 화면처럼 파라미터 이름 입력 영역과 Search 버튼이 겹침</t>
  </si>
  <si>
    <t xml:space="preserve">공통 퍼블(CSS)영역으로 담당자에게 해당 사항 전달하겠습니다.
결함등록기각으로 변경처리함. </t>
  </si>
  <si>
    <t>기각사유: 공통 퍼블(CSS)영역으로 담당자에게 해당 사항 전달하겠습니다.
결함등록기각으로 변경처리함. → 기타 기각 성격으로 판단</t>
  </si>
  <si>
    <t>UT-CASY037S(A)</t>
  </si>
  <si>
    <t>DEF-00376</t>
  </si>
  <si>
    <t>아래 화면처럼. User Y/N 선택 영역과 Search 버튼 겹침</t>
  </si>
  <si>
    <t xml:space="preserve">공통 퍼블로 테스트 환경 -&gt; 화면사이즈 창모드 / 화면 줄이면 메뉴 및 아이콘 배치로 인해 겹침 현상 발생 </t>
  </si>
  <si>
    <t>기각사유: 공통 퍼블로 테스트 환경 -&gt; 화면사이즈 창모드 / 화면 줄이면 메뉴 및 아이콘 배치로 인해 겹침 현상 발생 → 기타 기각 성격으로 판단</t>
  </si>
  <si>
    <t>UT-FSQA030S</t>
  </si>
  <si>
    <t>DEF-00398</t>
  </si>
  <si>
    <t>T2 조회 한후 엑셀로 다운로드한 엑셀 문서에는 T1 자료가 다운로드 됨</t>
  </si>
  <si>
    <t>해당 엑셀 다운로드는 T1, T2 전체에 대한 엑셀 다운로드임</t>
  </si>
  <si>
    <t>기각사유: 해당 엑셀 다운로드는 T1, T2 전체에 대한 엑셀 다운로드임 → 기타 기각 성격으로 판단</t>
  </si>
  <si>
    <t>DEF-00418</t>
  </si>
  <si>
    <t>엑셀저장 버튼 클릭시 그래프  비교 화면이 나타남</t>
  </si>
  <si>
    <t>DEF-00419</t>
  </si>
  <si>
    <t>엑셀저장 버튼 클릭시 그래프 비교 화면이 표시됨.</t>
  </si>
  <si>
    <t>DEF-00424</t>
  </si>
  <si>
    <t>종료일자가 현재일자보다 클수 없는 경우가 존재할수있나요?</t>
  </si>
  <si>
    <t>종료일자가 현재 일자보다 크게 입력 할 경우 (종료일자가 현재일자보다 빠를 수 없습니다.) 팝업 메시지 발생으로 정상입니다.</t>
  </si>
  <si>
    <t>기각사유: 종료일자가 현재 일자보다 크게 입력 할 경우 (종료일자가 현재일자보다 빠를 수 없습니다.) 팝업 메시지 발생으로 정상입니다. → 정상동작/스펙대로 성격으로 판단</t>
  </si>
  <si>
    <t>DEF-00443</t>
  </si>
  <si>
    <t xml:space="preserve">화면 하단 [저장] 버튼 표준 미준수 ( * 표준 :  Save)  </t>
  </si>
  <si>
    <t>저장도 표준임.</t>
  </si>
  <si>
    <t>화면 하단 [저장] 버튼 표준 미준수 ( * 표준 :  Save)</t>
  </si>
  <si>
    <t>기각사유: 저장도 표준임. → 기타 기각 성격으로 판단</t>
  </si>
  <si>
    <t>DEF-00461</t>
  </si>
  <si>
    <t>나머지는 다 한글을 가져오고,Interface Message Module의 Module ID는 공통코드의 영문값을 가져오는거 같은데, 의도된 사항인지 궁금합니다.</t>
  </si>
  <si>
    <t>모듈명 (국문,한글) 표출에 대한 내용은 설계에 의한 의도된 것으로 정상입니다.</t>
  </si>
  <si>
    <t>나머지는 다 한글을 가져오고,Interface Message Module의 Module ID는 공통코드의…</t>
  </si>
  <si>
    <t>기각사유: 모듈명 (국문,한글) 표출에 대한 내용은 설계에 의한 의도된 것으로 정상입니다. → 정상동작/스펙대로 성격으로 판단</t>
  </si>
  <si>
    <t>DEF-00465</t>
  </si>
  <si>
    <t>조회된 데이터 없음 표시 필요</t>
  </si>
  <si>
    <t>기존 로직 상 요일을 데이터로 뽑고 있어 처리 불가능함.</t>
  </si>
  <si>
    <t>기각사유: 기존 로직 상 요일을 데이터로 뽑고 있어 처리 불가능함. → 기타 기각 성격으로 판단</t>
  </si>
  <si>
    <t>DEF-00468</t>
  </si>
  <si>
    <t>조회조건에 register Date가 존재하지않는데 일부로 지우신거면 기각하시면 될 것 같습니다</t>
  </si>
  <si>
    <t>해당 팝업은 조회 조건에 Date는 미 포함으로 정상입니다.</t>
  </si>
  <si>
    <t>기각사유: 해당 팝업은 조회 조건에 Date는 미 포함으로 정상입니다. → 정상동작/스펙대로 성격으로 판단</t>
  </si>
  <si>
    <t>DEF-00469</t>
  </si>
  <si>
    <t xml:space="preserve">DEF-00106 결함 관련해서 4/29일자로 저도 확인해봤는데, 한페이지에 모든열 맞추기 하면 되지 않을까요 ? </t>
  </si>
  <si>
    <t>화면과 관련 없는 내용으로 보임</t>
  </si>
  <si>
    <t>DEF-00106 결함 관련해서 4/29일자로 저도 확인해봤는데, 한페이지에 모든열 맞추기 하면 되지 않…</t>
  </si>
  <si>
    <t>DEF-00106 결함 관련해서 4/29일자로 저도 확인해봤는데, 한페이지에 모든열 맞추기 하면 되지 않을까요 ?</t>
  </si>
  <si>
    <t>기각사유: 화면과 관련 없는 내용으로 보임 → 기타 기각 성격으로 판단</t>
  </si>
  <si>
    <t>DEF-00495</t>
  </si>
  <si>
    <t>테스트했던 UT-FSEX017S/UT-FSEX018S 와  UT-FSEY060S 테스트 메뉴, 내용이 다른게 없습니다</t>
  </si>
  <si>
    <t>EX017,018은 보고서에 대한 내용이며 EY060은 화면에 대한 내용임</t>
  </si>
  <si>
    <t>테스트했던 UT-FSEX017S/UT-FSEX018S 와  UT-FSEY060S 테스트 메뉴, 내용이 다…</t>
  </si>
  <si>
    <t>기각사유: EX017,018은 보고서에 대한 내용이며 EY060은 화면에 대한 내용임 → 기타 기각 성격으로 판단</t>
  </si>
  <si>
    <t>UT-CARF036S(A)</t>
  </si>
  <si>
    <t>DEF-00499</t>
  </si>
  <si>
    <t xml:space="preserve">1. 저장된 엑셀파일에 Remark English Name 정보가 누락되어 있음
</t>
  </si>
  <si>
    <t>엑셀파일 저장은 AS-IS와 동일하게 구성하여 정상입니다.</t>
  </si>
  <si>
    <t>1. 저장된 엑셀파일에 Remark English Name 정보가 누락되어 있음</t>
  </si>
  <si>
    <t>기각사유: 엑셀파일 저장은 AS-IS와 동일하게 구성하여 정상입니다. → 중복 성격으로 판단</t>
  </si>
  <si>
    <t>DEF-00552</t>
  </si>
  <si>
    <t>조회 조건 입력필드 터미널 Name과 ID 영역의 조건 입력시.. 키보드가 한글입력 모드에서는 키인해도 반응이 없음. 영문모드로 키인 하라든가.. 뭔가 매시지가 필요함</t>
  </si>
  <si>
    <t>검색 메뉴별 한글/영어 검색 조건이 다르며, 해당 조건은 AS-IS 및 설계서 기반으로 되어 있어 정상입니다.</t>
  </si>
  <si>
    <t>조회 조건 입력필드 터미널 Name과 ID 영역의 조건 입력시.. 키보드가 한글입력 모드에서는 키인해도 …</t>
  </si>
  <si>
    <t>기각사유: 검색 메뉴별 한글/영어 검색 조건이 다르며, 해당 조건은 AS-IS 및 설계서 기반으로 되어 있어 정상입니다. → 정상동작/스펙대로 성격으로 판단</t>
  </si>
  <si>
    <t>UT-PM10508S</t>
  </si>
  <si>
    <t>DEF-00016</t>
  </si>
  <si>
    <t>데이터가 없어서 테스트 불가</t>
  </si>
  <si>
    <t>UT-PM10507S</t>
  </si>
  <si>
    <t>DEF-00017</t>
  </si>
  <si>
    <t>UT-CASY051S(A)</t>
  </si>
  <si>
    <t>DEF-00426</t>
  </si>
  <si>
    <t xml:space="preserve">1.“Menu Name” 검색시 조회 결과가 없을 때 해당 텍스트 박스에 검색했던 키워드가 살아 있고,  
2. “Program Name” 검색시 조회 결과가 없을 때 해당 텍스트 박스에 검색했던 키워드가 사라짐_x000B_3. 동일한 현상이 제공되는 것이 좋을듯.
</t>
  </si>
  <si>
    <t xml:space="preserve">Menu Name 검색 후 조회 결과 없을 시 조회 했던 내용 표출 하는 것은 정상 입니다. </t>
  </si>
  <si>
    <t>1.“Menu Name” 검색시 조회 결과가 없을 때 해당 텍스트 박스에 검색했던 키워드가 살아 있고,</t>
  </si>
  <si>
    <t>1.“Menu Name” 검색시 조회 결과가 없을 때 해당 텍스트 박스에 검색했던 키워드가 살아 있고,   2. “Program Name” 검색시 조회 결과가 없을 때 해당 텍스트 박스에 검색했던 키워드가 사라짐_x000B_3. 동일한 현상이 제공되는 것이 …</t>
  </si>
  <si>
    <t>기각사유: Menu Name 검색 후 조회 결과 없을 시 조회 했던 내용 표출 하는 것은 정상 입니다. → 정상동작/스펙대로 성격으로 판단</t>
  </si>
  <si>
    <t>DEF-00430</t>
  </si>
  <si>
    <t xml:space="preserve">1. 시나리오에 제공된 기간(2025-08-08~2025-08-09)이 아닌 다른 기간으로 변경해도 조회오류 발생(시나리오 순번 2)
</t>
  </si>
  <si>
    <t>단위테스트 후 코드값 규정화 되어 해당 테스트 기간 코드값은 현재 사용 불가로 이미지 파일 처점 나오는 것이 정상입니다.</t>
  </si>
  <si>
    <t>1. 시나리오에 제공된 기간(2025-08-08~2025-08-09)이 아닌 다른 기간으로 변경해도 조회…</t>
  </si>
  <si>
    <t>1. 시나리오에 제공된 기간(2025-08-08~2025-08-09)이 아닌 다른 기간으로 변경해도 조회오류 발생(시나리오 순번 2)</t>
  </si>
  <si>
    <t>기각사유: 단위테스트 후 코드값 규정화 되어 해당 테스트 기간 코드값은 현재 사용 불가로 이미지 파일 처점 나오는 것이 정상입니다. → 정상동작/스펙대로 성격으로 판단</t>
  </si>
  <si>
    <t>UT-CASY006S(A)</t>
  </si>
  <si>
    <t>DEF-00463</t>
  </si>
  <si>
    <t>interface Message List에서 + 버튼으로 신규추가 한 후 Detail에서 Module, Job Table Name에서 +를 누르면 선택이 그대로 남아있어서 다음 List의  +,- 버튼이 interface message detail에서 진행중인 작업이 있습니다가 뜹니다.
(Detail의 Module, Job Table Name을 건드리면 리스트에서 행을 뺀후 +를 눌러도 막힌다는 뜻)</t>
  </si>
  <si>
    <t>추가 / 삭제 작업이 SAVE 완료되지 않은 상태로 추가 등 작업을 하면 해당 메시지 표출 되는 것은 정상입니다.</t>
  </si>
  <si>
    <t>interface Message List에서 + 버튼으로 신규추가 한 후 Detail에서 Module, …</t>
  </si>
  <si>
    <t>interface Message List에서 + 버튼으로 신규추가 한 후 Detail에서 Module, Job Table Name에서 +를 누르면 선택이 그대로 남아있어서 다음 List의  +,- 버튼이 interface message detail…</t>
  </si>
  <si>
    <t>기각사유: 추가 / 삭제 작업이 SAVE 완료되지 않은 상태로 추가 등 작업을 하면 해당 메시지 표출 되는 것은 정상입니다. → 정상동작/스펙대로 성격으로 판단</t>
  </si>
  <si>
    <t>UT-CAMN016M(A)</t>
  </si>
  <si>
    <t>DEF-00466</t>
  </si>
  <si>
    <t>Save시 15자 안내를 해주긴하지만 안내문구에 6~15자로 안내했으면 maxlength 15자로 막는게 좋을 것 같습니다.
(의도된거면 무시해도될것 같습니다)</t>
  </si>
  <si>
    <t>패스워드 안내 6~15자 안내로 정상입니다.</t>
  </si>
  <si>
    <t>Save시 15자 안내를 해주긴하지만 안내문구에 6~15자로 안내했으면 maxlength 15자로 막는게…</t>
  </si>
  <si>
    <t>Save시 15자 안내를 해주긴하지만 안내문구에 6~15자로 안내했으면 maxlength 15자로 막는게 좋을 것 같습니다. (의도된거면 무시해도될것 같습니다)</t>
  </si>
  <si>
    <t>기각사유: 패스워드 안내 6~15자 안내로 정상입니다. → 정상동작/스펙대로 성격으로 판단</t>
  </si>
  <si>
    <t>UT-CARF032S(A)</t>
  </si>
  <si>
    <t>DEF-00484</t>
  </si>
  <si>
    <t xml:space="preserve">1. 저장된 엑셀파일에  PageNo 정보가 누락되어 있음(Thumbnail Image정보도 누락)
</t>
  </si>
  <si>
    <t>엑셀파일 다운로드는 AS-IS의 출력 결과와 동일하게 개발되어 정상입니다.</t>
  </si>
  <si>
    <t>1. 저장된 엑셀파일에  PageNo 정보가 누락되어 있음(Thumbnail Image정보도 누락)</t>
  </si>
  <si>
    <t>기각사유: 엑셀파일 다운로드는 AS-IS의 출력 결과와 동일하게 개발되어 정상입니다. → 중복 성격으로 판단</t>
  </si>
  <si>
    <t>DEF-00489</t>
  </si>
  <si>
    <t xml:space="preserve">없는 일자에 대해 요일 정보는 빈 값 표출이 필요합니다. </t>
  </si>
  <si>
    <t>화면이 아닌 보고서에서 해당 로직은 구현이 어려우며 보고서는 별도의 요구사항이 없는 경우 수정 불가능함.</t>
  </si>
  <si>
    <t>없는 일자에 대해 요일 정보는 빈 값 표출이 필요합니다.</t>
  </si>
  <si>
    <t>기각사유: 화면이 아닌 보고서에서 해당 로직은 구현이 어려우며 보고서는 별도의 요구사항이 없는 경우 수정 불가능함. → 기타 기각 성격으로 판단</t>
  </si>
  <si>
    <t>DEF-00493</t>
  </si>
  <si>
    <t>1. 2페이지부터 상단 공백 생김.
2. 월별 날짜 포멧 혹인 필요.</t>
  </si>
  <si>
    <t>보고서는 현업의 요구사항이 없는 경우 임의 수정 불가.</t>
  </si>
  <si>
    <t>1. 2페이지부터 상단 공백 생김.</t>
  </si>
  <si>
    <t>1. 2페이지부터 상단 공백 생김. 2. 월별 날짜 포멧 혹인 필요.</t>
  </si>
  <si>
    <t>기각사유: 보고서는 현업의 요구사항이 없는 경우 임의 수정 불가. → 기타 기각 성격으로 판단</t>
  </si>
  <si>
    <t>DEF-00515</t>
  </si>
  <si>
    <t>버튼 기능명 필요</t>
  </si>
  <si>
    <t>엑셀 저장버튼은 기존유지가 요구사항임</t>
  </si>
  <si>
    <t>기각사유: 엑셀 저장버튼은 기존유지가 요구사항임 → 기타 기각 성격으로 판단</t>
  </si>
  <si>
    <t>UT-CARF027S(A)</t>
  </si>
  <si>
    <t>DEF-00757</t>
  </si>
  <si>
    <t>필수값 체크 확인 필요</t>
  </si>
  <si>
    <t xml:space="preserve">운항지연정보의 필수 값은 -&gt; PAS Reason의 데이터를 사용 하는데. 필수값 공백은 원 데이터 PAS Reason에 값이 없어 공백으로 표시되는 것은 정상입니다. </t>
  </si>
  <si>
    <t>기각사유: 운항지연정보의 필수 값은 -&gt; PAS Reason의 데이터를 사용 하는데. 필수값 공백은 원 데이터 PAS Reason에 … → 정상동작/스펙대로 성격으로 판단</t>
  </si>
  <si>
    <t>DEF-00091</t>
  </si>
  <si>
    <t xml:space="preserve">AOMS 화면 우측 상단의 엑셀 클릭후 다운로드받은 파일을 확인 후 인쇄화면 전환시 여백문제는 없지만, 1개 페이지가 3개로 분리됨( 가로방향 전환 및 1페이지 맞춤 설정 지원 가능여부확인 필요)
</t>
  </si>
  <si>
    <t>AOMS 화면 우측 상단의 엑셀 클릭후 다운로드받은 파일을 확인 후 인쇄화면 전환시 여백문제는 없지만, …</t>
  </si>
  <si>
    <t>AOMS 화면 우측 상단의 엑셀 클릭후 다운로드받은 파일을 확인 후 인쇄화면 전환시 여백문제는 없지만, 1개 페이지가 3개로 분리됨( 가로방향 전환 및 1페이지 맞춤 설정 지원 가능여부확인 필요)</t>
  </si>
  <si>
    <t>UT-CARF040S(A)</t>
  </si>
  <si>
    <t>DEF-00130</t>
  </si>
  <si>
    <t>에러 내역이 없어서 해결관련 테스트를 하지 못했습니다.</t>
  </si>
  <si>
    <t xml:space="preserve">UT-CARF40S는 Check List 단위시험 시나리오 이며 첨부된 이미지의 ESB Massage Monitor은 ERROR 메시지 없을 시 미 표출 되는 것이 정상 화면으로 기각 등록 하겠습니다. </t>
  </si>
  <si>
    <t>기각사유: UT-CARF40S는 Check List 단위시험 시나리오 이며 첨부된 이미지의 ESB Massage Monitor은 ER… → 정상동작/스펙대로 성격으로 판단</t>
  </si>
  <si>
    <t>DEF-00131</t>
  </si>
  <si>
    <t xml:space="preserve">-엑셀파일 출력용지 : Letter (A4로 변경하면 1페이지로 출력)
-엑셀 표 제목 : 셀병합 재검토필요(맨 왼쪽열은 빈 공간으로 두고(출력범위에서는 제외되어야할 듯)
- AOMS 화면내 프린터 클릭후 출력화면에 종료시간 칼럼 이후 자료 확인 불가
</t>
  </si>
  <si>
    <t>엑셀 관련 내용은 엑셀의 기능임. 
인쇄는 공통 기능으로 모듈 개발 내에서 처리 불가능</t>
  </si>
  <si>
    <t>-엑셀파일 출력용지 : Letter (A4로 변경하면 1페이지로 출력)</t>
  </si>
  <si>
    <t>-엑셀파일 출력용지 : Letter (A4로 변경하면 1페이지로 출력) -엑셀 표 제목 : 셀병합 재검토필요(맨 왼쪽열은 빈 공간으로 두고(출력범위에서는 제외되어야할 듯) - AOMS 화면내 프린터 클릭후 출력화면에 종료시간 칼럼 이후 자료 확인 불가</t>
  </si>
  <si>
    <t>기각사유: 엑셀 관련 내용은 엑셀의 기능임. 
인쇄는 공통 기능으로 모듈 개발 내에서 처리 불가능 → 기타 기각 성격으로 판단</t>
  </si>
  <si>
    <t>DEF-00134</t>
  </si>
  <si>
    <t>우측상단 계정신청안내 앞 아이콘 하단부 짤립니다.</t>
  </si>
  <si>
    <t>아이콘 디자인입니다.</t>
  </si>
  <si>
    <t>기각사유: 아이콘 디자인입니다. → 기타 기각 성격으로 판단</t>
  </si>
  <si>
    <t>DEF-00135</t>
  </si>
  <si>
    <t>브라우저 확대축소 시 Notice, FAQ만 크기가 변동됩니다.
두번째 사진처럼 끝라인이 일치하지 않습니다.</t>
  </si>
  <si>
    <t>AOMS CA 부분에서 퍼블 담당자에서 해당 현상 전달 하겠습니다.
- AOMS-CA에서는 결함등록기각함.</t>
  </si>
  <si>
    <t>브라우저 확대축소 시 Notice, FAQ만 크기가 변동됩니다.</t>
  </si>
  <si>
    <t>브라우저 확대축소 시 Notice, FAQ만 크기가 변동됩니다. 두번째 사진처럼 끝라인이 일치하지 않습니다.</t>
  </si>
  <si>
    <t>기각사유: AOMS CA 부분에서 퍼블 담당자에서 해당 현상 전달 하겠습니다.
- AOMS-CA에서는 결함등록기각함. → 기타 기각 성격으로 판단</t>
  </si>
  <si>
    <t>DEF-00139</t>
  </si>
  <si>
    <t>단위테스트_2-5 오류 날짜 입력 안됨</t>
  </si>
  <si>
    <t>날짜 컴포넌트 변경됨. 정상</t>
  </si>
  <si>
    <t>기각사유: 날짜 컴포넌트 변경됨. 정상 → 정상동작/스펙대로 성격으로 판단</t>
  </si>
  <si>
    <t>DEF-00157</t>
  </si>
  <si>
    <t>UT-GO11901S</t>
  </si>
  <si>
    <t>DEF-00161</t>
  </si>
  <si>
    <t>집계기간을 지정 후 엑셀다운로드 클릭하여 다운로드 함.
다운로드 목록에 나타남. 이후 엑셀파일 열기를 하여 Excel 파일을 내용을 확인하고.. Excel 파일을 닫음.
이후 집계 기간을 바꾸거나 동일하게 하고 엑셀다운로드 클릭하면.. 다운로드 진행되지 않음.
김포제출자료생성 화면을 닫고.. 죄측 메뉴 클릭하여 화면 열고.. 다시 진행하면, 엑셀 다운로드 됨. 그렇치만, 이때도 엑셀파일 조회 이후에 다시 다운로드 수행하면 다운로드 수행되지 않음</t>
  </si>
  <si>
    <t>현재 정상작동중 좀더 상세한 설명 필요</t>
  </si>
  <si>
    <t>집계기간을 지정 후 엑셀다운로드 클릭하여 다운로드 함.</t>
  </si>
  <si>
    <t>집계기간을 지정 후 엑셀다운로드 클릭하여 다운로드 함. 다운로드 목록에 나타남. 이후 엑셀파일 열기를 하여 Excel 파일을 내용을 확인하고.. Excel 파일을 닫음. 이후 집계 기간을 바꾸거나 동일하게 하고 엑셀다운로드 클릭하면.. 다운로드 진…</t>
  </si>
  <si>
    <t>기각사유: 현재 정상작동중 좀더 상세한 설명 필요 → 정상동작/스펙대로 성격으로 판단</t>
  </si>
  <si>
    <t>UT-CAMN014M(A)</t>
  </si>
  <si>
    <t>DEF-00227</t>
  </si>
  <si>
    <t xml:space="preserve">회사 선택후 회사 전화번호 입력의 포메팅이 4-3-4 로 고정되어 있어서 예를들어 010-1234-1234 혹은 031)1234-1234 등의 전화번호 입력이 불가능합니다. </t>
  </si>
  <si>
    <t>숫자 입력 기본값으로 특수 문자 입력 불가입니다.</t>
  </si>
  <si>
    <t>회사 선택후 회사 전화번호 입력의 포메팅이 4-3-4 로 고정되어 있어서 예를들어 010-1234-123…</t>
  </si>
  <si>
    <t>회사 선택후 회사 전화번호 입력의 포메팅이 4-3-4 로 고정되어 있어서 예를들어 010-1234-1234 혹은 031)1234-1234 등의 전화번호 입력이 불가능합니다.</t>
  </si>
  <si>
    <t>기각사유: 숫자 입력 기본값으로 특수 문자 입력 불가입니다. → 기타 기각 성격으로 판단</t>
  </si>
  <si>
    <t>UT-CASY017M(A)</t>
  </si>
  <si>
    <t>DEF-00231</t>
  </si>
  <si>
    <t>해당 메뉴를 찾을 수가 없음.</t>
  </si>
  <si>
    <t>외부사용자등록은 외부 시스템에서 등록 되도록 변경됨
단위테스트 시 외부 모듈과 연계가 불가로 임시로 외부 사용자 등록 메뉴 만들어 테스트진행 하였음</t>
  </si>
  <si>
    <t>기각사유: 외부사용자등록은 외부 시스템에서 등록 되도록 변경됨
단위테스트 시 외부 모듈과 연계가 불가로 임시로 외부 사용자 등록 메뉴… → 기타 기각 성격으로 판단</t>
  </si>
  <si>
    <t>UT-PM20126S</t>
  </si>
  <si>
    <t>DEF-00232</t>
  </si>
  <si>
    <t>처리완료하였습니다. 개발서버 기준 (26년 04월 30일 오전에 확인가능합니다.)
DEF-00237 결함과 같은 내용이므로 기각합니다.</t>
  </si>
  <si>
    <t>기각사유: 처리완료하였습니다. 개발서버 기준 (26년 04월 30일 오전에 확인가능합니다.)
DEF-00237 결함과 같은 내용이므로… → 기타 기각 성격으로 판단</t>
  </si>
  <si>
    <t>DEF-00234</t>
  </si>
  <si>
    <t>UT-PM10203S</t>
  </si>
  <si>
    <t>DEF-00193</t>
  </si>
  <si>
    <t>DEF-00199</t>
  </si>
  <si>
    <t>결함아님.</t>
  </si>
  <si>
    <t>결함아님</t>
  </si>
  <si>
    <t>기각사유: 결함아님 → 기타 기각 성격으로 판단</t>
  </si>
  <si>
    <t>DEF-00200</t>
  </si>
  <si>
    <t>DEF-00236</t>
  </si>
  <si>
    <t>DEF-00238</t>
  </si>
  <si>
    <t>처리완료하였습니다. 개발서버 기준 (26년 04월 30일 오전에 확인가능합니다.)
DEF-00237 결함과 같은 내용이므로 기각합니다</t>
  </si>
  <si>
    <t>DEF-00239</t>
  </si>
  <si>
    <t>DEF-00240</t>
  </si>
  <si>
    <t>DEF-00241</t>
  </si>
  <si>
    <t>DEF-00242</t>
  </si>
  <si>
    <t>DEF-00243</t>
  </si>
  <si>
    <t>DEF-00244</t>
  </si>
  <si>
    <t>DEF-00245</t>
  </si>
  <si>
    <t>DEF-00246</t>
  </si>
  <si>
    <t>DEF-00247</t>
  </si>
  <si>
    <t>DEF-00248</t>
  </si>
  <si>
    <t>DEF-00249</t>
  </si>
  <si>
    <t>DEF-00250</t>
  </si>
  <si>
    <t>DEF-00251</t>
  </si>
  <si>
    <t>DEF-00256</t>
  </si>
  <si>
    <t xml:space="preserve">편명 입력 시 숫자만 입력 가능합니다.
하지만 조회된 데이터는 영문 + 숫자 조합도 있으니 영문 입력도 가능해야하지 않을까요 ? </t>
  </si>
  <si>
    <t>테스트시 한영키 확인필요 영문은 정상작동중</t>
  </si>
  <si>
    <t>편명 입력 시 숫자만 입력 가능합니다.</t>
  </si>
  <si>
    <t>편명 입력 시 숫자만 입력 가능합니다.  하지만 조회된 데이터는 영문 + 숫자 조합도 있으니 영문 입력도 가능해야하지 않을까요 ?</t>
  </si>
  <si>
    <t>기각사유: 테스트시 한영키 확인필요 영문은 정상작동중 → 정상동작/스펙대로 성격으로 판단</t>
  </si>
  <si>
    <t>DEF-00274</t>
  </si>
  <si>
    <t xml:space="preserve">창을 줄이면 해당 테이블 가로 스크롤이 생기지 않아 확인할 수 없습니다. </t>
  </si>
  <si>
    <t>전체 스크롤이 생겨 확인가능 정상작동</t>
  </si>
  <si>
    <t>창을 줄이면 해당 테이블 가로 스크롤이 생기지 않아 확인할 수 없습니다.</t>
  </si>
  <si>
    <t>기각사유: 전체 스크롤이 생겨 확인가능 정상작동 → 정상동작/스펙대로 성격으로 판단</t>
  </si>
  <si>
    <t>DEF-00305</t>
  </si>
  <si>
    <t xml:space="preserve">1. 송신메시지, 수신메시지 클릭해도 에러내역에 출력되는 내역이 출력되지 않음.
</t>
  </si>
  <si>
    <t xml:space="preserve">미처리건수 와 에러 내역은 다른 메시지 출력으로 에러 내역이 없으면 메시지 미 표출이 정상입니다. </t>
  </si>
  <si>
    <t>1. 송신메시지, 수신메시지 클릭해도 에러내역에 출력되는 내역이 출력되지 않음.</t>
  </si>
  <si>
    <t>기각사유: 미처리건수 와 에러 내역은 다른 메시지 출력으로 에러 내역이 없으면 메시지 미 표출이 정상입니다. → 정상동작/스펙대로 성격으로 판단</t>
  </si>
  <si>
    <t>DEF-00310</t>
  </si>
  <si>
    <t xml:space="preserve"> 1.기준일자 선택이 필수 입력이 조건이 아님. 필수여야 할거 같음.</t>
  </si>
  <si>
    <t>1.기준일자 선택이 필수 입력이 조건이 아님. 필수여야 할거 같음.</t>
  </si>
  <si>
    <t>DEF-00209</t>
  </si>
  <si>
    <t xml:space="preserve">테스트결과서 없음. </t>
  </si>
  <si>
    <t>UT-PM30102R 테스트 문서로 확인부탁드립니다.
문서자체가 없을시 별도로 연락부탁드립니다. 010-2990-2820</t>
  </si>
  <si>
    <t>테스트결과서 없음.</t>
  </si>
  <si>
    <t>기각사유: UT-PM30102R 테스트 문서로 확인부탁드립니다.
문서자체가 없을시 별도로 연락부탁드립니다. 010-2990-2820 → 기타 기각 성격으로 판단</t>
  </si>
  <si>
    <t>DEF-00214</t>
  </si>
  <si>
    <t>F12 기능키 클릭으로 조회조건의 일자 항목에 FOCUS 이동 되지 않습니다. 
다른 컴퓨터로도 확인해봐야 할것같습니다.</t>
  </si>
  <si>
    <t>웹브라우저 환경이라 INPUT 박스에 FOCUS 해놓은 상태에서 눌러야 동작함</t>
  </si>
  <si>
    <t>F12 기능키 클릭으로 조회조건의 일자 항목에 FOCUS 이동 되지 않습니다.</t>
  </si>
  <si>
    <t>F12 기능키 클릭으로 조회조건의 일자 항목에 FOCUS 이동 되지 않습니다.  다른 컴퓨터로도 확인해봐야 할것같습니다.</t>
  </si>
  <si>
    <t>기각사유: 웹브라우저 환경이라 INPUT 박스에 FOCUS 해놓은 상태에서 눌러야 동작함 → 기타 기각 성격으로 판단</t>
  </si>
  <si>
    <t>DEF-00262</t>
  </si>
  <si>
    <t>하단 'SAVE' 버튼 다른 페이지들은 '저장' 입니다. (관리자 분이 UI 통일성도 잡으라 하셔서 적어요 ^^,,)</t>
  </si>
  <si>
    <t>둘다 표준임</t>
  </si>
  <si>
    <t>하단 'SAVE' 버튼 다른 페이지들은 '저장' 입니다. (관리자 분이 UI 통일성도 잡으라 하셔서 적어…</t>
  </si>
  <si>
    <t>기각사유: 둘다 표준임 → 기타 기각 성격으로 판단</t>
  </si>
  <si>
    <t>UT-GO11102M</t>
  </si>
  <si>
    <t>DEF-00263</t>
  </si>
  <si>
    <t>저장 , SAVE둘다 표준임</t>
  </si>
  <si>
    <t>기각사유: 저장 , SAVE둘다 표준임 → 기타 기각 성격으로 판단</t>
  </si>
  <si>
    <t>DEF-00281</t>
  </si>
  <si>
    <t>DEF-00314</t>
  </si>
  <si>
    <t>1. 기준일자가 필수입력 사항으로 표시 안됨</t>
  </si>
  <si>
    <t>DEF-00327</t>
  </si>
  <si>
    <t>GD error 사유 입력 후 저장을 하면 행검색이 됩니다. 이후 저장 결과 팝업이 뜹니다.
저장과 함께 데이터를 재 로딩 하는 것 같은데, 저장에 대한 팝업만 떠야할것같아요</t>
  </si>
  <si>
    <t>현재 정상작동중</t>
  </si>
  <si>
    <t>GD error 사유 입력 후 저장을 하면 행검색이 됩니다. 이후 저장 결과 팝업이 뜹니다.</t>
  </si>
  <si>
    <t>GD error 사유 입력 후 저장을 하면 행검색이 됩니다. 이후 저장 결과 팝업이 뜹니다. 저장과 함께 데이터를 재 로딩 하는 것 같은데, 저장에 대한 팝업만 떠야할것같아요</t>
  </si>
  <si>
    <t>기각사유: 현재 정상작동중 → 정상동작/스펙대로 성격으로 판단</t>
  </si>
  <si>
    <t>DEF-00329</t>
  </si>
  <si>
    <t>F8은 현재 포커스 된 FLT에 대한 에러 조회라는 것을 가독성있게 할 필요가 있을것같습니다.
Ctrl + F8 과 F8 조회차이를 한눈에 알기 어렵습니다.
또한 function key 가 노트북에 따라 동작 하지 않는다 하니 테스트를 해보셔야 할것같습니다.</t>
  </si>
  <si>
    <t>현재화면은 현업요청에따라 기존 IIS와 모두 동일하게 구성되게 해야함</t>
  </si>
  <si>
    <t>F8은 현재 포커스 된 FLT에 대한 에러 조회라는 것을 가독성있게 할 필요가 있을것같습니다.</t>
  </si>
  <si>
    <t>F8은 현재 포커스 된 FLT에 대한 에러 조회라는 것을 가독성있게 할 필요가 있을것같습니다. Ctrl + F8 과 F8 조회차이를 한눈에 알기 어렵습니다. 또한 function key 가 노트북에 따라 동작 하지 않는다 하니 테스트를 해보셔야 할…</t>
  </si>
  <si>
    <t>기각사유: 현재화면은 현업요청에따라 기존 IIS와 모두 동일하게 구성되게 해야함 → 중복 성격으로 판단</t>
  </si>
  <si>
    <t>UT-FSQA170S</t>
  </si>
  <si>
    <t>DEF-00369</t>
  </si>
  <si>
    <t>기각요청</t>
  </si>
  <si>
    <t>기각사유: 기각요청 → 기타 기각 성격으로 판단</t>
  </si>
  <si>
    <t>UT-CASY035S(A)</t>
  </si>
  <si>
    <t>DEF-00394</t>
  </si>
  <si>
    <t>아래 화면과 같이 Request 사유 상세 영역 입력 불가임.
Save 버튼 클릭하면, 요청 사유는 필수 입력이라는 메시지 나타나며.. 진행 불가함. 좌측에서 2개 항목을 우측으로 이동 후 하나를 좌측으로 이동하면.. 입력 사유 영역이 입력 불가로 바뀜</t>
  </si>
  <si>
    <t>값 입력 되는것 확인됨 결함등록기각으로 등록하겠습니다.</t>
  </si>
  <si>
    <t>아래 화면과 같이 Request 사유 상세 영역 입력 불가임.</t>
  </si>
  <si>
    <t>아래 화면과 같이 Request 사유 상세 영역 입력 불가임. Save 버튼 클릭하면, 요청 사유는 필수 입력이라는 메시지 나타나며.. 진행 불가함. 좌측에서 2개 항목을 우측으로 이동 후 하나를 좌측으로 이동하면.. 입력 사유 영역이 입력 불가로…</t>
  </si>
  <si>
    <t>기각사유: 값 입력 되는것 확인됨 결함등록기각으로 등록하겠습니다. → 기타 기각 성격으로 판단</t>
  </si>
  <si>
    <t>DEF-00423</t>
  </si>
  <si>
    <t>화면에는 조회기간이 특정일(시작일/종료일 구조가 아님)만 입력 가능한데, 테스트 시나리오 및 증적에는 기간 관련 자료가 있음</t>
  </si>
  <si>
    <t>단위테스트 후 공항공사 요청으로 1일치 조회 조건으로 변경되어 시작일 종료일 조회에서 날짜 조회로 변경 함 정상입니다.</t>
  </si>
  <si>
    <t>화면에는 조회기간이 특정일(시작일/종료일 구조가 아님)만 입력 가능한데, 테스트 시나리오 및 증적에는 기…</t>
  </si>
  <si>
    <t>기각사유: 단위테스트 후 공항공사 요청으로 1일치 조회 조건으로 변경되어 시작일 종료일 조회에서 날짜 조회로 변경 함 정상입니다. → 정상동작/스펙대로 성격으로 판단</t>
  </si>
  <si>
    <t>DEF-00476</t>
  </si>
  <si>
    <t>화면 배율을 눌리면 Search 버튼이 영역을 침범함 반응형 불가?인가요</t>
  </si>
  <si>
    <t>DEF-00506</t>
  </si>
  <si>
    <t>[C_4] 총계 row에서 휴대수하물의 경우 정상적으로 집계하고 있으나 위탁수하물, 총계는 집계하고 있지 않음</t>
  </si>
  <si>
    <t>기존과 동일.</t>
  </si>
  <si>
    <t>[C_4] 총계 row에서 휴대수하물의 경우 정상적으로 집계하고 있으나 위탁수하물, 총계는 집계하고 있지…</t>
  </si>
  <si>
    <t>기각사유: 기존과 동일. → 중복 성격으로 판단</t>
  </si>
  <si>
    <t>DEF-00510</t>
  </si>
  <si>
    <t xml:space="preserve">1. 저장된 엑셀파일의 열 순서가 화면상의 순서와 상이(고객 요청사항이 아니면, 맞출 필요가 있어보임, 이름도 상이)
</t>
  </si>
  <si>
    <t>엑셀파일의 순서는 기존 AS-IS의 순서와 동일하게 설정되어 있습니다.</t>
  </si>
  <si>
    <t>1. 저장된 엑셀파일의 열 순서가 화면상의 순서와 상이(고객 요청사항이 아니면, 맞출 필요가 있어보임, …</t>
  </si>
  <si>
    <t>1. 저장된 엑셀파일의 열 순서가 화면상의 순서와 상이(고객 요청사항이 아니면, 맞출 필요가 있어보임, 이름도 상이)</t>
  </si>
  <si>
    <t>기각사유: 엑셀파일의 순서는 기존 AS-IS의 순서와 동일하게 설정되어 있습니다. → 중복 성격으로 판단</t>
  </si>
  <si>
    <t>DEF-00516</t>
  </si>
  <si>
    <t xml:space="preserve">풀 내 print 버튼을 누르면 보이는 미리보기 화면입니다. 많이 깨집니다 </t>
  </si>
  <si>
    <t>풀 내 print 버튼을 누르면 보이는 미리보기 화면입니다. 많이 깨집니다</t>
  </si>
  <si>
    <t>DEF-00520</t>
  </si>
  <si>
    <t xml:space="preserve">진행중인 건에 대해서는 조회가 되지 않는건지 궁금합니다.
조회일자가 시작일자를 기준으로한다면 해당 내용에 대해 페이지에 명시가 돼야한다 생각합니다. </t>
  </si>
  <si>
    <t>현업에서 수정 없이 기존 로직 유지를 요구함.</t>
  </si>
  <si>
    <t>진행중인 건에 대해서는 조회가 되지 않는건지 궁금합니다.</t>
  </si>
  <si>
    <t>진행중인 건에 대해서는 조회가 되지 않는건지 궁금합니다. 조회일자가 시작일자를 기준으로한다면 해당 내용에 대해 페이지에 명시가 돼야한다 생각합니다.</t>
  </si>
  <si>
    <t>기각사유: 현업에서 수정 없이 기존 로직 유지를 요구함. → 기타 기각 성격으로 판단</t>
  </si>
  <si>
    <t>DEF-00526</t>
  </si>
  <si>
    <t>자동 계산일자에 대한 로직 확인 필요
날짜 수정 시 시작/종료에 대한 기간 일이 계산 되지만 일을 수정했을 때는 시작 또는 종료 일이 변경이 되지 않음. 그러다 보니 일을 수정하게 되면 입력된 시간/종료 의 기간과 다른 값을 저장할 수 있음.</t>
  </si>
  <si>
    <t>일수는 직접 입력하는 로직이 정상. 자동 계산은 추가 개선 기능임.</t>
  </si>
  <si>
    <t>자동 계산일자에 대한 로직 확인 필요</t>
  </si>
  <si>
    <t>자동 계산일자에 대한 로직 확인 필요 날짜 수정 시 시작/종료에 대한 기간 일이 계산 되지만 일을 수정했을 때는 시작 또는 종료 일이 변경이 되지 않음. 그러다 보니 일을 수정하게 되면 입력된 시간/종료 의 기간과 다른 값을 저장할 수 있음.</t>
  </si>
  <si>
    <t>기각사유: 일수는 직접 입력하는 로직이 정상. 자동 계산은 추가 개선 기능임. → 정상동작/스펙대로 성격으로 판단</t>
  </si>
  <si>
    <t>UT-TabFrame(A)</t>
  </si>
  <si>
    <t>DEF-00533</t>
  </si>
  <si>
    <t>화면 4개 Open 상태에서 상단 Tab 기능 우측의 "3 Tile"을 클릭하면.. 아래 화면처럼 Cascade 형태로 배치됨. 화면 3개와 4개 일때 다르게 동작함.</t>
  </si>
  <si>
    <t xml:space="preserve">해당 메뉴 분할 종류에 따라 (3~4)표현 되는 방식이 다른것은 정상입니다.
</t>
  </si>
  <si>
    <t>화면 4개 Open 상태에서 상단 Tab 기능 우측의 "3 Tile"을 클릭하면.. 아래 화면처럼 Cas…</t>
  </si>
  <si>
    <t>기각사유: 해당 메뉴 분할 종류에 따라 (3~4)표현 되는 방식이 다른것은 정상입니다. → 정상동작/스펙대로 성격으로 판단</t>
  </si>
  <si>
    <t>UT-CASY005S(A)</t>
  </si>
  <si>
    <t>DEF-00535</t>
  </si>
  <si>
    <t>파라미터 관리 화면 하단의 좌우 스크로바가 불필요한데.. 존재하며 기능 동작하지 않음</t>
  </si>
  <si>
    <t>화면 분할 후 사이즈 줄이면 화면 크기로 인해 스크롤 나타는 것은 정상입니다.</t>
  </si>
  <si>
    <t>기각사유: 화면 분할 후 사이즈 줄이면 화면 크기로 인해 스크롤 나타는 것은 정상입니다. → 정상동작/스펙대로 성격으로 판단</t>
  </si>
  <si>
    <t>DEF-00536</t>
  </si>
  <si>
    <t>화면 크기 축소시 상단의 Search 버튼이 가려짐. 하단의 Save 버튼은 정상적으로 이동됨. 하단의 좌우 스크로에 의해 이동되지도 않음</t>
  </si>
  <si>
    <t>공통 퍼블로 화면 비율(마우스로) 작게 조정 시 상단 서치 부분과 하단 저장의 위치가 달라 안보이는 것은 정상입니다. (상단 메뉴로 인한 범위 설정 다름)</t>
  </si>
  <si>
    <t>화면 크기 축소시 상단의 Search 버튼이 가려짐. 하단의 Save 버튼은 정상적으로 이동됨. 하단의 …</t>
  </si>
  <si>
    <t>기각사유: 공통 퍼블로 화면 비율(마우스로) 작게 조정 시 상단 서치 부분과 하단 저장의 위치가 달라 안보이는 것은 정상입니다. (상… → 정상동작/스펙대로 성격으로 판단</t>
  </si>
  <si>
    <t>UT-FSEY070S</t>
  </si>
  <si>
    <t>DEF-00545</t>
  </si>
  <si>
    <t>[X_1] 29, 30, 31일이 없는 월에도 항상 일자와 요일이 표기되어 있음</t>
  </si>
  <si>
    <t>기존 로직 유지</t>
  </si>
  <si>
    <t>기각사유: 기존 로직 유지 → 기타 기각 성격으로 판단</t>
  </si>
  <si>
    <t>UT-CARF007S(A)</t>
  </si>
  <si>
    <t>DEF-00548</t>
  </si>
  <si>
    <t>화면 일부 축소시 우측 상세 화면의 하단에 불필요한 좌우 스크롤 바가 나타남.</t>
  </si>
  <si>
    <t>공통 퍼블로 창모드 -&gt; 화면크기는 화면의 메뉴 구성에 따라 크기 줄일 시 스크롤 생성되는 것은 정상입니다.</t>
  </si>
  <si>
    <t>기각사유: 공통 퍼블로 창모드 -&gt; 화면크기는 화면의 메뉴 구성에 따라 크기 줄일 시 스크롤 생성되는 것은 정상입니다. → 정상동작/스펙대로 성격으로 판단</t>
  </si>
  <si>
    <t>DEF-00550</t>
  </si>
  <si>
    <t xml:space="preserve">1. 화면 배율 100%임에도 불구하고 하단의 “SAVE”버튼이 일부 잘려서 보여짐. (90%에서는 잘 보임, 110%에서는 더 가려짐) 
 – 테스트환경(노트북(1920*1080) 
 - 연결된 모니터에서는 100%에서는 잘 보임
※ 적정 화면 크기에 대한 합의가 있다면 패쓰..
  그러나, 노트북이라도 100%에서 잘리는게 보이면 조금...... 
</t>
  </si>
  <si>
    <t>공통 퍼블로 퍼블담당자에게 전달겠습니다.
동일한 규격의 노트북 + 모니터에서 정상 표출 됩니다.</t>
  </si>
  <si>
    <t>1. 화면 배율 100%임에도 불구하고 하단의 “SAVE”버튼이 일부 잘려서 보여짐. (90%에서는 잘 …</t>
  </si>
  <si>
    <t>1. 화면 배율 100%임에도 불구하고 하단의 “SAVE”버튼이 일부 잘려서 보여짐. (90%에서는 잘 보임, 110%에서는 더 가려짐)   – 테스트환경(노트북(1920*1080)   - 연결된 모니터에서는 100%에서는 잘 보임 ※ 적정 화면 …</t>
  </si>
  <si>
    <t>기각사유: 공통 퍼블로 퍼블담당자에게 전달겠습니다.
동일한 규격의 노트북 + 모니터에서 정상 표출 됩니다. → 중복 성격으로 판단</t>
  </si>
  <si>
    <t>DEF-00551</t>
  </si>
  <si>
    <t>조회 조건 입력 필드인 케로셀ID 또는 Exit ID 영역에 입력시.. 자판이 한글입력 모드에서는 키인해도 반응이 없음. 영문모드로 전환 후 입력하라든가.. 뭔가 안내 메시지가 필요함.</t>
  </si>
  <si>
    <t>해당기능 영문 입력만 가능한 메뉴이며, 한글 입력불가 등 메시지 표출 팝업 미사용으로 정상입니다.</t>
  </si>
  <si>
    <t>조회 조건 입력 필드인 케로셀ID 또는 Exit ID 영역에 입력시.. 자판이 한글입력 모드에서는 키인해…</t>
  </si>
  <si>
    <t>기각사유: 해당기능 영문 입력만 가능한 메뉴이며, 한글 입력불가 등 메시지 표출 팝업 미사용으로 정상입니다. → 정상동작/스펙대로 성격으로 판단</t>
  </si>
  <si>
    <t>DEF-00553</t>
  </si>
  <si>
    <t>출구ID 조건 입력시.. 키보드가 한글 입력모드에서는 키인해도 반응이 없음. 영문모드로 키인하라던가 뭔가 메시지 필요할듯..</t>
  </si>
  <si>
    <t>출구ID 조건 입력시.. 키보드가 한글 입력모드에서는 키인해도 반응이 없음. 영문모드로 키인하라던가 뭔가…</t>
  </si>
  <si>
    <t>DEF-00554</t>
  </si>
  <si>
    <t>조회 조건 입력 필드인 IP는 숫자만 입력 가능하고.. 케로셀 번호 필드는 한글 입력 불가한 것을 키인할때.. 잘못 입력되면 안내되길 바람</t>
  </si>
  <si>
    <t xml:space="preserve">검색 조건에 따라 영문/한글/숫자만 입력 되도록 되어 있습니다.
별도의 메세지 표출 예정 없음 </t>
  </si>
  <si>
    <t>조회 조건 입력 필드인 IP는 숫자만 입력 가능하고.. 케로셀 번호 필드는 한글 입력 불가한 것을 키인할…</t>
  </si>
  <si>
    <t>기각사유: 검색 조건에 따라 영문/한글/숫자만 입력 되도록 되어 있습니다.
별도의 메세지 표출 예정 없음 → 기타 기각 성격으로 판단</t>
  </si>
  <si>
    <t>DEF-00555</t>
  </si>
  <si>
    <t>조회 조건 입력 필드에 한글 입력 불가함을 키인 잘못할때 안내되길 바람</t>
  </si>
  <si>
    <t>DEF-00559</t>
  </si>
  <si>
    <t>동일한 ICAO Code가 입력되어도 중복에러가 발생하지 않음(IATA Code와 ICAO Code는 중복되지 않아야하는 공항명칭 룰인지 확인 필요)</t>
  </si>
  <si>
    <t>AS-IS 동일하게 IATA, ICAO Code 중복 체크를 하고 있어 정상입니다.</t>
  </si>
  <si>
    <t>동일한 ICAO Code가 입력되어도 중복에러가 발생하지 않음(IATA Code와 ICAO Code는 중…</t>
  </si>
  <si>
    <t>기각사유: AS-IS 동일하게 IATA, ICAO Code 중복 체크를 하고 있어 정상입니다. → 중복 성격으로 판단</t>
  </si>
  <si>
    <t>UT-FSEY050S</t>
  </si>
  <si>
    <t>DEF-00561</t>
  </si>
  <si>
    <t>검색조건 기간이 시작년월일 ~ 종료년월일 이지만 조회되는 내용은 종료년월일의 년에 대한 데이터를 조회 함.
검색조건 조회기간에 대해 조정이 필요해 보임.</t>
  </si>
  <si>
    <t>현업 요구사항에 의한 변경이며 내용에 대한 문구 작성되어있음</t>
  </si>
  <si>
    <t>검색조건 기간이 시작년월일 ~ 종료년월일 이지만 조회되는 내용은 종료년월일의 년에 대한 데이터를 조회 함.</t>
  </si>
  <si>
    <t>검색조건 기간이 시작년월일 ~ 종료년월일 이지만 조회되는 내용은 종료년월일의 년에 대한 데이터를 조회 함. 검색조건 조회기간에 대해 조정이 필요해 보임.</t>
  </si>
  <si>
    <t>기각사유: 현업 요구사항에 의한 변경이며 내용에 대한 문구 작성되어있음 → 기타 기각 성격으로 판단</t>
  </si>
  <si>
    <t>DEF-00562</t>
  </si>
  <si>
    <t>현업 요구사항에 의한 검색 조건 변경이 있었음. 해당 내용은 현업 요구사항임</t>
  </si>
  <si>
    <t>기각사유: 현업 요구사항에 의한 검색 조건 변경이 있었음. 해당 내용은 현업 요구사항임 → 기타 기각 성격으로 판단</t>
  </si>
  <si>
    <t>DEF-00563</t>
  </si>
  <si>
    <t>[X_1] 같은 합계 성격의 column이지만, 기내반입 금지물품 적발 현황의 합계 셀은 색상이 설정되지 않음</t>
  </si>
  <si>
    <t>보고서는 현업에서 협의한 내용이므로 별도의 요구사항이 존재하지 않으면 기존 UI를 유지하는게 요구사항임</t>
  </si>
  <si>
    <t>[X_1] 같은 합계 성격의 column이지만, 기내반입 금지물품 적발 현황의 합계 셀은 색상이 설정되지…</t>
  </si>
  <si>
    <t>기각사유: 보고서는 현업에서 협의한 내용이므로 별도의 요구사항이 존재하지 않으면 기존 UI를 유지하는게 요구사항임 → 협의/보류 성격으로 판단</t>
  </si>
  <si>
    <t>UT-CASY002S(A)</t>
  </si>
  <si>
    <t>DEF-00384</t>
  </si>
  <si>
    <t>아래 화면처럼 Y/N 입력 영역과 Search 버튼이 겹침</t>
  </si>
  <si>
    <t>DEF-00386</t>
  </si>
  <si>
    <t>우측 하단의 Save 버튼과 문자열 겹침</t>
  </si>
  <si>
    <t>텍스트 잘림/겹침</t>
  </si>
  <si>
    <t>DEF-00388</t>
  </si>
  <si>
    <t xml:space="preserve">title은 최대 글자수를 초과시 입력 자체가 안되는데,
context는  글자수를 초과 입력이 허용되고 저장시 alert 이 뜸
</t>
  </si>
  <si>
    <t>헤당 글자수 입력할때마다 Bytes 관련
1차 Bytes 숫자료 사용자에게 알림
2차 저장시 Bytes 초가 알림으로 정상입니다.</t>
  </si>
  <si>
    <t>title은 최대 글자수를 초과시 입력 자체가 안되는데,</t>
  </si>
  <si>
    <t>title은 최대 글자수를 초과시 입력 자체가 안되는데, context는  글자수를 초과 입력이 허용되고 저장시 alert 이 뜸</t>
  </si>
  <si>
    <t>기각사유: 헤당 글자수 입력할때마다 Bytes 관련
1차 Bytes 숫자료 사용자에게 알림
2차 저장시 Bytes 초가 알림으로 정상… → 정상동작/스펙대로 성격으로 판단</t>
  </si>
  <si>
    <t>DEF-00406</t>
  </si>
  <si>
    <t xml:space="preserve">아이템 삭제가 진행되지 않습니다.
List1, List2 동일.
검색된 아이템을 포커스 한 후 - 버튼으로 삭제 선택을 하고 SAVE 버튼을 누르면 잠깐 체크한 아이템이 사라지는데 저장완료 ALERT 의 확인버튼을 누르면 다시 나타납니다. 
DB 에서 삭제 처리가 제대로 안되는것 같습니다. </t>
  </si>
  <si>
    <t xml:space="preserve">List 1, List 2 등 AOMS 에서 (-) 삭제선택 -&gt; Save시 데이터 지워졌다 다시 나타나는 상황은 AOMS는 삭제의 개념(DB 데이터삭제) 가 아닌 (-) 삭제선택 -&gt; Save시 Use Y/N 이 Y-&gt;N으로 변경되도록 하는 기능으로 정삭 작동입니다. </t>
  </si>
  <si>
    <t>아이템 삭제가 진행되지 않습니다.</t>
  </si>
  <si>
    <t>아이템 삭제가 진행되지 않습니다.  List1, List2 동일. 검색된 아이템을 포커스 한 후 - 버튼으로 삭제 선택을 하고 SAVE 버튼을 누르면 잠깐 체크한 아이템이 사라지는데 저장완료 ALERT 의 확인버튼을 누르면 다시 나타납니다.   D…</t>
  </si>
  <si>
    <t>기각사유: List 1, List 2 등 AOMS 에서 (-) 삭제선택 -&gt; Save시 데이터 지워졌다 다시 나타나는 상황은 AOMS… → 기타 기각 성격으로 판단</t>
  </si>
  <si>
    <t>DEF-00420</t>
  </si>
  <si>
    <t>엑셀 저장 버튼 클릭시 그래프 비교 화면이 나타남.
(엑셀 파일은 다운이 안됨)</t>
  </si>
  <si>
    <t>엑셀 저장 버튼 클릭시 그래프 비교 화면이 나타남.</t>
  </si>
  <si>
    <t>엑셀 저장 버튼 클릭시 그래프 비교 화면이 나타남. (엑셀 파일은 다운이 안됨)</t>
  </si>
  <si>
    <t>DEF-00421</t>
  </si>
  <si>
    <t>엑셀저장 버튼 클릭시 그래프 비교화면이 나타남(엑셀파일은 저장이 안됨)</t>
  </si>
  <si>
    <t>DEF-00422</t>
  </si>
  <si>
    <t>엑셀저장 버튼 클릭시 그래프 비교 화면이 나타남.(엑셀파일은 저장 안됨)</t>
  </si>
  <si>
    <t>DEF-00509</t>
  </si>
  <si>
    <t xml:space="preserve">수정버튼을 눌러야 체크되어 있는 것이 보임. </t>
  </si>
  <si>
    <t>조치요청</t>
  </si>
  <si>
    <t>수정버튼을 눌러야 체크되어 있는 것이 보임.</t>
  </si>
  <si>
    <t>DEF-00122</t>
  </si>
  <si>
    <t>-페이지번호 누락
-MS-WORD파일 출력 에러(용지크기 오류, 출력대상 오류)
-엑셀파일 출력(용지 확인, 1페이지-&gt; 2페이지 조정)
-다운로드받은 각 파일들 왼쪽에 쏠림현상(출력대상 내용이 많지만, 좌우 여백 고려할 필요-&gt;관련 기능이 있다면 좌측여백 조정 지원 필요) 
-AOMS화면 프린터 클릭 출력후 화면에서 출력내용 없음.</t>
  </si>
  <si>
    <t>-페이지번호 누락</t>
  </si>
  <si>
    <t>-페이지번호 누락 -MS-WORD파일 출력 에러(용지크기 오류, 출력대상 오류) -엑셀파일 출력(용지 확인, 1페이지-&gt; 2페이지 조정) -다운로드받은 각 파일들 왼쪽에 쏠림현상(출력대상 내용이 많지만, 좌우 여백 고려할 필요-&gt;관련 기능이 있다면…</t>
  </si>
  <si>
    <t>DEF-00113</t>
  </si>
  <si>
    <t>-페이지 하단 페이지 번호 누락
-다운로드받은 엑셀파일 출력 용지 방향을 세로로 설정 필요(1페이지가 2페이지로 출력됨)
-AOMS화면내 출력내용의 왼편으로 쏠림(셀크기 조정 기능이 있다면 적용 필요)
-AOMS화면내 프린터 클릭후 출력내용이 안 보임.
-AOMS 화면내 시기 선택 관련 다른 화면과 상이(다만, 본 화면은 년/월 선택조건)</t>
  </si>
  <si>
    <t>-페이지 하단 페이지 번호 누락</t>
  </si>
  <si>
    <t>-페이지 하단 페이지 번호 누락 -다운로드받은 엑셀파일 출력 용지 방향을 세로로 설정 필요(1페이지가 2페이지로 출력됨) -AOMS화면내 출력내용의 왼편으로 쏠림(셀크기 조정 기능이 있다면 적용 필요) -AOMS화면내 프린터 클릭후 출력내용이 안 …</t>
  </si>
  <si>
    <t>UT-CASY001S(A)</t>
  </si>
  <si>
    <t>DEF-00144</t>
  </si>
  <si>
    <t xml:space="preserve">보여지는 Message List에는 없지만 데이터는 있을 경우 중복데이터 오류메시지가 아닌 서버오류 메시지가 나옵니다. </t>
  </si>
  <si>
    <t xml:space="preserve">최종확인    </t>
  </si>
  <si>
    <t>보여지는 Message List에는 없지만 데이터는 있을 경우 중복데이터 오류메시지가 아닌 서버오류 메시…</t>
  </si>
  <si>
    <t>보여지는 Message List에는 없지만 데이터는 있을 경우 중복데이터 오류메시지가 아닌 서버오류 메시지가 나옵니다.</t>
  </si>
  <si>
    <t>DEF-00150</t>
  </si>
  <si>
    <t>보여지는 List에는 없지만 데이터는 있을 경우 중복데이터 오류메시지가 아닌 서버오류 메시지가 나옵니다.
데이터 조회기능과 생성기능이 같이있는 페이지 경우 같은 오류가 나옵니다.
이 이후 생기는 페이지는 결함으로 올리지 않겠습니다.
같은 종류의 페이지 확인 부탁드립니다.</t>
  </si>
  <si>
    <t>보여지는 List에는 없지만 데이터는 있을 경우 중복데이터 오류메시지가 아닌 서버오류 메시지가 나옵니다.</t>
  </si>
  <si>
    <t>보여지는 List에는 없지만 데이터는 있을 경우 중복데이터 오류메시지가 아닌 서버오류 메시지가 나옵니다.  데이터 조회기능과 생성기능이 같이있는 페이지 경우 같은 오류가 나옵니다. 이 이후 생기는 페이지는 결함으로 올리지 않겠습니다. 같은 종류의 …</t>
  </si>
  <si>
    <t>DEF-00380</t>
  </si>
  <si>
    <t>아래의 첫화면에서 아래로 스크롤하면.. 내용만 스크롤 되지 않고.. 화면 전체가 올라가서.. 상단 Search 버튼은 사라지고.. 하단의 Save 버튼은 함께 따라 올라옴</t>
  </si>
  <si>
    <t>아래의 첫화면에서 아래로 스크롤하면.. 내용만 스크롤 되지 않고.. 화면 전체가 올라가서.. 상단 Sea…</t>
  </si>
  <si>
    <t>UT-CAMN002M(A)</t>
  </si>
  <si>
    <t>DEF-00096</t>
  </si>
  <si>
    <t>로그인중 OTP 인증 불가로 테스트 진행 불가</t>
  </si>
  <si>
    <t>UT-CASY010S(A)</t>
  </si>
  <si>
    <t>DEF-00125</t>
  </si>
  <si>
    <t>검색창에서 검색을 하지 않은 상태에서는 중복데이터 알림이 나오지만
검색 후 추가를 하면 아래 이미지와 같은 오류메시지가 나옵니다.</t>
  </si>
  <si>
    <t>검색창에서 검색을 하지 않은 상태에서는 중복데이터 알림이 나오지만</t>
  </si>
  <si>
    <t>검색창에서 검색을 하지 않은 상태에서는 중복데이터 알림이 나오지만 검색 후 추가를 하면 아래 이미지와 같은 오류메시지가 나옵니다.</t>
  </si>
  <si>
    <t>DEF-00265</t>
  </si>
  <si>
    <t>공통코드관리 에 해당하는 메뉴를 찾을 수 없습니다. 
영문 메뉴 경로 필요.</t>
  </si>
  <si>
    <t>공통코드관리 에 해당하는 메뉴를 찾을 수 없습니다.</t>
  </si>
  <si>
    <t>공통코드관리 에 해당하는 메뉴를 찾을 수 없습니다.  영문 메뉴 경로 필요.</t>
  </si>
  <si>
    <t>DEF-00235</t>
  </si>
  <si>
    <t>UT-CAMN015M(A)</t>
  </si>
  <si>
    <t>DEF-00230</t>
  </si>
  <si>
    <t>파일첨부  팝업 메뉴를 찾을 수가 없음.</t>
  </si>
  <si>
    <t>DEF-00523</t>
  </si>
  <si>
    <t>Company Type readonly로 막아놓을꺼면 빈칸으로 남겨두거나, 삭제하면 좋을것 같습니다</t>
  </si>
  <si>
    <t>확인요청</t>
  </si>
  <si>
    <t>확인대기</t>
  </si>
  <si>
    <t>DEF-00528</t>
  </si>
  <si>
    <t>program descripton validator 걸렸을때 undefined의 길이라고 뜹니다</t>
  </si>
  <si>
    <t>DEF-00529</t>
  </si>
  <si>
    <t>[X_1] 필수 필드들 중, '탐지/식별 구분', '운항통제', '단계' 필드에는 양식에 나열된 값 뿐 아니라 '해당없음' 항목도 입력 가능하므로 양식에도 이를 반영하면 좋을 것 같습니다.</t>
  </si>
  <si>
    <t>[X_1] 필수 필드들 중, '탐지/식별 구분', '운항통제', '단계' 필드에는 양식에 나열된 값 뿐 …</t>
  </si>
  <si>
    <t>DEF-00543</t>
  </si>
  <si>
    <t>이미지 미리보기 팝업에서 닫기 버튼 위치 조정을 하여 가로스크로 제거 피료</t>
  </si>
  <si>
    <t>UT-CARF004S(A)</t>
  </si>
  <si>
    <t>DEF-00703</t>
  </si>
  <si>
    <t>시작, 종료 일자 안내 메시자 나오지만 입력 가능하고 저장도 처리 됨.</t>
  </si>
  <si>
    <t>DEF-00704</t>
  </si>
  <si>
    <t>입력된 건은 - 삭제 처리가 안됨.</t>
  </si>
  <si>
    <t>DEF-00003</t>
  </si>
  <si>
    <t>데이터가 없어서 테스트가 불가합니다.</t>
  </si>
  <si>
    <t>UT-FSEX018S</t>
  </si>
  <si>
    <t>DEF-00111</t>
  </si>
  <si>
    <t>엑셀 파일 화면 및 출력화면 하단에 페이지번호 누락
이전 "훈련현황 조회" 와 마찬가지로 AOMS화면내 프린터 클릭시 출력할 내용이 안 보임</t>
  </si>
  <si>
    <t>엑셀 파일 화면 및 출력화면 하단에 페이지번호 누락</t>
  </si>
  <si>
    <t>엑셀 파일 화면 및 출력화면 하단에 페이지번호 누락 이전 "훈련현황 조회" 와 마찬가지로 AOMS화면내 프린터 클릭시 출력할 내용이 안 보임</t>
  </si>
  <si>
    <t>UT-CASY008S(A)</t>
  </si>
  <si>
    <t>DEF-00148</t>
  </si>
  <si>
    <t xml:space="preserve">보여지는 List에는 없지만 데이터는 있을 경우 중복데이터 오류메시지가 아닌 서버오류 메시지가 나옵니다. </t>
  </si>
  <si>
    <t>DEF-00191</t>
  </si>
  <si>
    <t>DEF-00237</t>
  </si>
  <si>
    <t xml:space="preserve">화면의 첫 째 필드(날짜)에 커셔가 Set focus되어 있지 않음. </t>
  </si>
  <si>
    <t>화면의 첫 째 필드(날짜)에 커셔가 Set focus되어 있지 않음.</t>
  </si>
  <si>
    <t>UT-CASY028S(A)</t>
  </si>
  <si>
    <t>DEF-00252</t>
  </si>
  <si>
    <t xml:space="preserve">역할그룹관리 에 해당하는 메뉴를 찾을 수가 없음. 
접근 경로명 정보 필요. </t>
  </si>
  <si>
    <t>역할그룹관리 에 해당하는 메뉴를 찾을 수가 없음.</t>
  </si>
  <si>
    <t>역할그룹관리 에 해당하는 메뉴를 찾을 수가 없음.  접근 경로명 정보 필요.</t>
  </si>
  <si>
    <t>DEF-00280</t>
  </si>
  <si>
    <t xml:space="preserve">오타 같습니다. </t>
  </si>
  <si>
    <t>오타 같습니다.</t>
  </si>
  <si>
    <t>DEF-00318</t>
  </si>
  <si>
    <t>화면 로딩시 아래와 같은 오류가 뜸. 
(포기물품 정보의 근무지가 근무지 자회사 매핑정보와 일치하는 데이터가 없습니다.)</t>
  </si>
  <si>
    <t>화면 로딩시 아래와 같은 오류가 뜸.</t>
  </si>
  <si>
    <t>화면 로딩시 아래와 같은 오류가 뜸.  (포기물품 정보의 근무지가 근무지 자회사 매핑정보와 일치하는 데이터가 없습니다.)</t>
  </si>
  <si>
    <t>UT-CAMN005M(A)</t>
  </si>
  <si>
    <t>DEF-00467</t>
  </si>
  <si>
    <t>최초로그인 계정 알려주시면 그떄 다시 테스트 해보겠습니다!</t>
  </si>
  <si>
    <t>DEF-00504</t>
  </si>
  <si>
    <t>최대 입려값 확인 필요</t>
  </si>
  <si>
    <t>DEF-00505</t>
  </si>
  <si>
    <t>최대 입력값 확인 필요</t>
  </si>
  <si>
    <t>DEF-00507</t>
  </si>
  <si>
    <t>DEF-00511</t>
  </si>
  <si>
    <t>데이터가 0인 상태에서 Count 영역을 지운후 Save치면 변경된 내용이 없다는 alert가 표시</t>
  </si>
  <si>
    <t>DEF-00524</t>
  </si>
  <si>
    <t>[S_9] '시간(b-a)' 필드는 세부내용의 하위 필드가 아닌 탐지/식별 시간의 하위 필드이기 때문에 셀 병합이 잘못되었음.</t>
  </si>
  <si>
    <t>[S_9] '시간(b-a)' 필드는 세부내용의 하위 필드가 아닌 탐지/식별 시간의 하위 필드이기 때문에 …</t>
  </si>
  <si>
    <t>UT-TitleFrame(A)</t>
  </si>
  <si>
    <t>DEF-00525</t>
  </si>
  <si>
    <t xml:space="preserve">X버튼의 미동작입니다. X버튼은 무슨 기능을 하는건가요? </t>
  </si>
  <si>
    <t>X버튼의 미동작입니다. X버튼은 무슨 기능을 하는건가요?</t>
  </si>
  <si>
    <t>UT-CARF010S(A)</t>
  </si>
  <si>
    <t>DEF-00527</t>
  </si>
  <si>
    <t xml:space="preserve">1. 화면에서 CCTY → CCTV로 변경 필요
-&gt;엑셀에서는 CCTV로 입력되어 있음.
</t>
  </si>
  <si>
    <t>1. 화면에서 CCTY → CCTV로 변경 필요</t>
  </si>
  <si>
    <t>1. 화면에서 CCTY → CCTV로 변경 필요 -&gt;엑셀에서는 CCTV로 입력되어 있음.</t>
  </si>
  <si>
    <t>DEF-00531</t>
  </si>
  <si>
    <t>[X_2] '세부내용' 누락</t>
  </si>
  <si>
    <t>DEF-00568</t>
  </si>
  <si>
    <t xml:space="preserve">-점검 현황 자료와 점검 상세현황 조회 자료간 불일치
-점검 상세현황조회에는 조회기간이 없음.
</t>
  </si>
  <si>
    <t>-점검 현황 자료와 점검 상세현황 조회 자료간 불일치</t>
  </si>
  <si>
    <t>-점검 현황 자료와 점검 상세현황 조회 자료간 불일치 -점검 상세현황조회에는 조회기간이 없음.</t>
  </si>
  <si>
    <t>DEF-00482</t>
  </si>
  <si>
    <t>"4. 노선별 실적" 조회시 오류발생함</t>
  </si>
  <si>
    <t>DEF-00213</t>
  </si>
  <si>
    <t>하단 그리드 조회 조건에 맞는 데이터 없음 2022-09-20 ~ 2022-09-30</t>
  </si>
  <si>
    <t>UT-GO12304M</t>
  </si>
  <si>
    <t>DEF-00266</t>
  </si>
  <si>
    <t xml:space="preserve">그룹명 입력에 길이 제한이 있는것같기는 하나, 최대치 입력 후 저장을 누르면 오류가 납니다. </t>
  </si>
  <si>
    <t>그룹명 입력에 길이 제한이 있는것같기는 하나, 최대치 입력 후 저장을 누르면 오류가 납니다.</t>
  </si>
  <si>
    <t>UT-GO12305M</t>
  </si>
  <si>
    <t>DEF-00267</t>
  </si>
  <si>
    <t>DEF-00307</t>
  </si>
  <si>
    <t>DEF-00343</t>
  </si>
  <si>
    <t>프로그램 관리에서 프로그램 id는 영문+숫자만 입력 가능한데,
메유 관리에서 프로그램은 국문 입력이 돔</t>
  </si>
  <si>
    <t>프로그램 관리에서 프로그램 id는 영문+숫자만 입력 가능한데,</t>
  </si>
  <si>
    <t>프로그램 관리에서 프로그램 id는 영문+숫자만 입력 가능한데, 메유 관리에서 프로그램은 국문 입력이 돔</t>
  </si>
  <si>
    <t>DEF-00129</t>
  </si>
  <si>
    <t>- AOMS프린터버튼클릭후출력내용없음
-문서 하단 페이지번호 누락
- 워드파일 출력화면에 문서의 일부출력. &amp; 페이지종류가 "사용자 지정"
- 엑셀파일 출력화면 화면 분할됨. &amp; 페이지 종류가 "Letter"로 지정됨</t>
  </si>
  <si>
    <t>- AOMS프린터버튼클릭후출력내용없음</t>
  </si>
  <si>
    <t>- AOMS프린터버튼클릭후출력내용없음 -문서 하단 페이지번호 누락 - 워드파일 출력화면에 문서의 일부출력. &amp; 페이지종류가 "사용자 지정" - 엑셀파일 출력화면 화면 분할됨. &amp; 페이지 종류가 "Letter"로 지정됨</t>
  </si>
  <si>
    <t>DEF-00365</t>
  </si>
  <si>
    <t>비밀번호 유효일이 적용된 계정, 사번 계정 등을 모르겠어서 테스트가 불가능합니다..혹시라도 알려주시면 다시 테스트해보겠습니다</t>
  </si>
  <si>
    <t>비밀번호 유효일이 적용된 계정, 사번 계정 등을 모르겠어서 테스트가 불가능합니다..혹시라도 알려주시면 다…</t>
  </si>
  <si>
    <t>UT-FSQA210S</t>
  </si>
  <si>
    <t>DEF-00675</t>
  </si>
  <si>
    <t>등록된 승객 정보에 남 여 구분되어 있는데.. 목록에는 승객 성별 나타나지 않음.</t>
  </si>
  <si>
    <t>DEF-00693</t>
  </si>
  <si>
    <t>수정 시 오류 뜸. 최대 입력값 확인 필요.</t>
  </si>
  <si>
    <t>UT-CARF006S(A)</t>
  </si>
  <si>
    <t>DEF-00718</t>
  </si>
  <si>
    <t>정상 조회 후 조회 값이 없는 조회조건 입력 후 잔존해 있는 데이터 수정 후 저장하면 오류 발생</t>
  </si>
  <si>
    <t>UT-FSQA052S</t>
  </si>
  <si>
    <t>DEF-00363</t>
  </si>
  <si>
    <t>단위테스트 6. 행추가 후 저장은 되나 포기물품리스트에 업데이트 안됨 전,후 사진 참조                                                                                  단위테스트 7. 행 내용 수정후 저장은 되나 데이터 변경 안됨, 사진 전후 참조</t>
  </si>
  <si>
    <t>단위테스트 6. 행추가 후 저장은 되나 포기물품리스트에 업데이트 안됨 전,후 사진 참조          …</t>
  </si>
  <si>
    <t>단위테스트 6. 행추가 후 저장은 되나 포기물품리스트에 업데이트 안됨 전,후 사진 참조                                                                                  단위테스트 7.…</t>
  </si>
  <si>
    <t>UT-CARF011S(A)</t>
  </si>
  <si>
    <t>DEF-00744</t>
  </si>
  <si>
    <t>0.24 와 같이 1 미만의 소수점으로 입력 시 .24 식으로 앞에 0이 보이지 않음.</t>
  </si>
  <si>
    <t>DEF-00479</t>
  </si>
  <si>
    <t>PDF 로 저장 시 줄내림으로 되어 있는 금액 짤림.
월의 열 크기를 조정 또는 다들 방법을 활용하여 줄내림 되는 금액 열에 대한 열 크기 조절 필요.</t>
  </si>
  <si>
    <t>PDF 로 저장 시 줄내림으로 되어 있는 금액 짤림.</t>
  </si>
  <si>
    <t>PDF 로 저장 시 줄내림으로 되어 있는 금액 짤림. 월의 열 크기를 조정 또는 다들 방법을 활용하여 줄내림 되는 금액 열에 대한 열 크기 조절 필요.</t>
  </si>
  <si>
    <t>DEF-00464</t>
  </si>
  <si>
    <t>천 단위 표시</t>
  </si>
  <si>
    <t>UT-CARF001S(A)</t>
  </si>
  <si>
    <t>DEF-00132</t>
  </si>
  <si>
    <t>SAVE 버튼이 비활성화 되어 있다.</t>
  </si>
  <si>
    <t>재조치요청</t>
  </si>
  <si>
    <t>DEF-00146</t>
  </si>
  <si>
    <t>DEF-00532</t>
  </si>
  <si>
    <t xml:space="preserve">1. 화면내 오타 추정(확인 필요) : “Permisson” -&gt; “Permission”
</t>
  </si>
  <si>
    <t>1. 화면내 오타 추정(확인 필요) : “Permisson” -&gt; “Permission”</t>
  </si>
  <si>
    <t>DEF-00538</t>
  </si>
  <si>
    <t>우측 Push Message 상세 화면의 입력 및 콤보 영역과 바탕 다자인 크기가 불일치함.
또한, 화면 축소시 고정 text 표출 등 화면이 일그러짐</t>
  </si>
  <si>
    <t>우측 Push Message 상세 화면의 입력 및 콤보 영역과 바탕 다자인 크기가 불일치함.</t>
  </si>
  <si>
    <t>우측 Push Message 상세 화면의 입력 및 콤보 영역과 바탕 다자인 크기가 불일치함. 또한, 화면 축소시 고정 text 표출 등 화면이 일그러짐</t>
  </si>
  <si>
    <t>DEF-00539</t>
  </si>
  <si>
    <t>[X_3] '시간(b-a)' 필드는 세부내용의 하위 필드가 아닌 탐지/식별 시간의 하위 필드이기 때문에 셀 병합이 잘못되었음.</t>
  </si>
  <si>
    <t>[X_3] '시간(b-a)' 필드는 세부내용의 하위 필드가 아닌 탐지/식별 시간의 하위 필드이기 때문에 …</t>
  </si>
  <si>
    <t>DEF-00677</t>
  </si>
  <si>
    <t>아래 화면처럼 검색 감독자 인터뷰 및 인터뷰 의견 체크 및 입력하여 등록했는데.. 목록에는 등록된거로 나타나지 않음</t>
  </si>
  <si>
    <t>아래 화면처럼 검색 감독자 인터뷰 및 인터뷰 의견 체크 및 입력하여 등록했는데.. 목록에는 등록된거로 나…</t>
  </si>
  <si>
    <t>DEF-00691</t>
  </si>
  <si>
    <t>2026-04-27 터미널구분 전체 데이터 조회하면 T2 인천국제공항보안 데이터값이 뜨지만 T2 똑같은날짜에 조회하면 데이터값이 뜨지않습니다.</t>
  </si>
  <si>
    <t>2026-04-27 터미널구분 전체 데이터 조회하면 T2 인천국제공항보안 데이터값이 뜨지만 T2 똑같은날…</t>
  </si>
  <si>
    <t>DEF-00220</t>
  </si>
  <si>
    <t>단위테스트 7. 모든 검색버트, 입력창 활성화 안되어 있음(11~12번 테스트 안됨)</t>
  </si>
  <si>
    <t>DEF-00290</t>
  </si>
  <si>
    <t xml:space="preserve">1. Date 정보를 입력하지 않았는데, 오류 메시지가 바로 뜨지 않고, 실행(Loading)되고, 결과물이 출력됨
</t>
  </si>
  <si>
    <t>1. Date 정보를 입력하지 않았는데, 오류 메시지가 바로 뜨지 않고, 실행(Loading)되고, 결과…</t>
  </si>
  <si>
    <t>1. Date 정보를 입력하지 않았는데, 오류 메시지가 바로 뜨지 않고, 실행(Loading)되고, 결과물이 출력됨</t>
  </si>
  <si>
    <t>UT-FSEX090S</t>
  </si>
  <si>
    <t>DEF-00717</t>
  </si>
  <si>
    <t>아래 화면 우측 하단의 신규, 저장, 삭제 버튼이 클릭되지 않음.</t>
  </si>
  <si>
    <t>UT-CARF008S(A)</t>
  </si>
  <si>
    <t>DEF-00719</t>
  </si>
  <si>
    <t xml:space="preserve">Gate No 은 숫자만 가능한 것 같은데... 정렬 시 문자열로 정렬이 됨.
</t>
  </si>
  <si>
    <t>Gate No 은 숫자만 가능한 것 같은데... 정렬 시 문자열로 정렬이 됨.</t>
  </si>
  <si>
    <t>UT-CASY070M(A)</t>
  </si>
  <si>
    <t>DEF-00071</t>
  </si>
  <si>
    <t>우측 상단 프린터 아이콘 클릭 후 제공되는 출력화면에는 소스화면에서 제공되는 테이블의 일부(TYPE)까지만 출력되고, NULL 이후로는 출력되지 않음.</t>
  </si>
  <si>
    <t>우측 상단 프린터 아이콘 클릭 후 제공되는 출력화면에는 소스화면에서 제공되는 테이블의 일부(TYPE)까지…</t>
  </si>
  <si>
    <t>DEF-00075</t>
  </si>
  <si>
    <t>시나리오명 상이(TSM-엑셀-AOMS)</t>
  </si>
  <si>
    <t>DEF-00081</t>
  </si>
  <si>
    <t>시나리오(엑셀파일) 순번 5번 에러로그 조회 기능을 위한 UI없음.
시나리오(엑셀파일) 순번 6번 확인을 위해서는 "TRACE LOG" 버튼을 눌러야하지만 비활성화되어 있음.</t>
  </si>
  <si>
    <t>시나리오(엑셀파일) 순번 5번 에러로그 조회 기능을 위한 UI없음.</t>
  </si>
  <si>
    <t>시나리오(엑셀파일) 순번 5번 에러로그 조회 기능을 위한 UI없음. 시나리오(엑셀파일) 순번 6번 확인을 위해서는 "TRACE LOG" 버튼을 눌러야하지만 비활성화되어 있음.</t>
  </si>
  <si>
    <t>DEF-00102</t>
  </si>
  <si>
    <t>조회시 서버오류가 뜸.</t>
  </si>
  <si>
    <t>DEF-00110</t>
  </si>
  <si>
    <t>엑셀파일 및 출력화면 하단 페이지번호 누락</t>
  </si>
  <si>
    <t>DEF-00114</t>
  </si>
  <si>
    <t>최초 접속 시 USE Y/N에 기본선택이 전체가 아닙니다.
아래 3개는 전체로 나옵니다.</t>
  </si>
  <si>
    <t>최초 접속 시 USE Y/N에 기본선택이 전체가 아닙니다.</t>
  </si>
  <si>
    <t>최초 접속 시 USE Y/N에 기본선택이 전체가 아닙니다. 아래 3개는 전체로 나옵니다.</t>
  </si>
  <si>
    <t>DEF-00115</t>
  </si>
  <si>
    <t>수정후 저장시 수정된 칼럼이 비활성화  됨</t>
  </si>
  <si>
    <t>UT-CASY025S(A)</t>
  </si>
  <si>
    <t>DEF-00095</t>
  </si>
  <si>
    <t>Register Date 범위랑은 상관없이 전부 불러옵니다.
날짜를 선택하여 검색하여도 아래 데이터는 변하지 않습니다.</t>
  </si>
  <si>
    <t>Register Date 범위랑은 상관없이 전부 불러옵니다.</t>
  </si>
  <si>
    <t>Register Date 범위랑은 상관없이 전부 불러옵니다. 날짜를 선택하여 검색하여도 아래 데이터는 변하지 않습니다.</t>
  </si>
  <si>
    <t>DEF-00097</t>
  </si>
  <si>
    <t>검색 기능이 작동하지 않습니다.
날짜와 제목을 설정해도 변함이 없습니다.
(Notice Dept는 검색가능)</t>
  </si>
  <si>
    <t>검색 기능이 작동하지 않습니다.</t>
  </si>
  <si>
    <t>검색 기능이 작동하지 않습니다. 날짜와 제목을 설정해도 변함이 없습니다. (Notice Dept는 검색가능)</t>
  </si>
  <si>
    <t>DEF-00123</t>
  </si>
  <si>
    <t>추가 시 이전에 조회했던 모듈, 테이블, 서브타입 정보가 남아있습니다.
저장 시 같이 저장됩니다. 
오른쪽 하단 SAVE버튼 위치가 이상하게 나옵니다.</t>
  </si>
  <si>
    <t>추가 시 이전에 조회했던 모듈, 테이블, 서브타입 정보가 남아있습니다.</t>
  </si>
  <si>
    <t>추가 시 이전에 조회했던 모듈, 테이블, 서브타입 정보가 남아있습니다. 저장 시 같이 저장됩니다.  오른쪽 하단 SAVE버튼 위치가 이상하게 나옵니다.</t>
  </si>
  <si>
    <t>UT-CARF002S(A)</t>
  </si>
  <si>
    <t>DEF-00133</t>
  </si>
  <si>
    <t>DEF-00145</t>
  </si>
  <si>
    <t>DEF-00154</t>
  </si>
  <si>
    <t>UT-GO12301S</t>
  </si>
  <si>
    <t>DEF-00202</t>
  </si>
  <si>
    <t>조회 시작 월 데이터가 결과에서 제외 됨.
테스트 케이스 예상 : 2025-04 ~ 2025-11 조회 -&gt; 4월 ~ 11월 조회
실제 테스트 : 2025-04 ~ 2025-11 조회 -&gt; 5월 ~ 11월 조회</t>
  </si>
  <si>
    <t>조회 시작 월 데이터가 결과에서 제외 됨.</t>
  </si>
  <si>
    <t>조회 시작 월 데이터가 결과에서 제외 됨. 테스트 케이스 예상 : 2025-04 ~ 2025-11 조회 -&gt; 4월 ~ 11월 조회 실제 테스트 : 2025-04 ~ 2025-11 조회 -&gt; 5월 ~ 11월 조회</t>
  </si>
  <si>
    <t>DEF-00206</t>
  </si>
  <si>
    <t>실행버튼 클릭시 서버오류 발생</t>
  </si>
  <si>
    <t>DEF-00219</t>
  </si>
  <si>
    <t>단위테스트 19. 승인버튼 클리시 데이터 저장  ---&gt; 승인버튼 없음(19~24번 까지 테크트 불가함)</t>
  </si>
  <si>
    <t>DEF-00254</t>
  </si>
  <si>
    <t xml:space="preserve">역할메뉴 매핑정보관리 메뉴를 찾을 수 없음.
경로 정보 필요. </t>
  </si>
  <si>
    <t>역할메뉴 매핑정보관리 메뉴를 찾을 수 없음.</t>
  </si>
  <si>
    <t>역할메뉴 매핑정보관리 메뉴를 찾을 수 없음. 경로 정보 필요.</t>
  </si>
  <si>
    <t>DEF-00282</t>
  </si>
  <si>
    <t xml:space="preserve">-화면 첫번째 필드에 커서가 Set Focus가 되어 있지 않음.
-오타로 추정됨 -&gt; “M: 모달 팝엄”
</t>
  </si>
  <si>
    <t>-화면 첫번째 필드에 커서가 Set Focus가 되어 있지 않음.</t>
  </si>
  <si>
    <t>-화면 첫번째 필드에 커서가 Set Focus가 되어 있지 않음. -오타로 추정됨 -&gt; “M: 모달 팝엄”</t>
  </si>
  <si>
    <t>DEF-00324</t>
  </si>
  <si>
    <t xml:space="preserve">활성화된 코드 목록에 숫자 0 이 있는데, input 에는 숫자 입력이 불가합니다. </t>
  </si>
  <si>
    <t>활성화된 코드 목록에 숫자 0 이 있는데, input 에는 숫자 입력이 불가합니다.</t>
  </si>
  <si>
    <t>DEF-00410</t>
  </si>
  <si>
    <t>테스트 결과서 없음</t>
  </si>
  <si>
    <t>해당 메뉴는 공사담당자와 협의하여 제거했습니다.</t>
  </si>
  <si>
    <t>기각사유: 해당 메뉴는 공사담당자와 협의하여 제거했습니다. → 협의/보류 성격으로 판단</t>
  </si>
  <si>
    <t>DEF-00490</t>
  </si>
  <si>
    <t>Common Code detail의 내용을 수정 후 List에서 다른 행을 선택하면
변경된 데이터가 있습니다. 계속하시겠습니까? 가 뜨는데 취소버튼을 누르면 창이 닫히지 않음</t>
  </si>
  <si>
    <t>Common Code detail의 내용을 수정 후 List에서 다른 행을 선택하면</t>
  </si>
  <si>
    <t>Common Code detail의 내용을 수정 후 List에서 다른 행을 선택하면 변경된 데이터가 있습니다. 계속하시겠습니까? 가 뜨는데 취소버튼을 누르면 창이 닫히지 않음</t>
  </si>
  <si>
    <t>DEF-00492</t>
  </si>
  <si>
    <t>Type Name을 빈값으로 두고 저장했을때 Type Name은 필수입니다 가 아니라 Code Name은 필수입니다로 표시</t>
  </si>
  <si>
    <t>Type Name을 빈값으로 두고 저장했을때 Type Name은 필수입니다 가 아니라 Code Name은…</t>
  </si>
  <si>
    <t>DEF-00497</t>
  </si>
  <si>
    <t>첫 진입 시 첫 필드에 (조회일자) 포커스 필요</t>
  </si>
  <si>
    <t>결함 분석 요약</t>
  </si>
  <si>
    <t>1. 결함패턴_대분류별 건수</t>
  </si>
  <si>
    <t>2. 기각사유_분류별 건수</t>
  </si>
  <si>
    <t>대분류</t>
  </si>
  <si>
    <t>건수</t>
  </si>
  <si>
    <t>비율</t>
  </si>
  <si>
    <t>기각분류</t>
  </si>
  <si>
    <t>오등록/테스터오류</t>
  </si>
  <si>
    <t>요구사항 범위외</t>
  </si>
  <si>
    <t>재현불가</t>
  </si>
  <si>
    <t>합계</t>
  </si>
  <si>
    <t>3. 심각도별 주요 패턴 Top 15</t>
  </si>
  <si>
    <t>4. 업무모듈별 주요 패턴 Top 20</t>
  </si>
  <si>
    <t>업무영역</t>
  </si>
  <si>
    <t>테스트 대상</t>
  </si>
  <si>
    <t>총합계</t>
  </si>
  <si>
    <t>결함조치</t>
  </si>
  <si>
    <t>Itr1-1</t>
  </si>
  <si>
    <t>Itr1-2</t>
  </si>
  <si>
    <t>Itr2-1</t>
  </si>
  <si>
    <t>Itr2-2</t>
  </si>
  <si>
    <t>Itr2-3</t>
  </si>
  <si>
    <t>기각율</t>
  </si>
  <si>
    <t>조치율</t>
  </si>
  <si>
    <t>항공통계포털(AS)</t>
  </si>
  <si>
    <t>행 레이블</t>
  </si>
  <si>
    <t>개수 : 결함ID</t>
  </si>
  <si>
    <t>열 레이블</t>
  </si>
  <si>
    <t>결함 조치 현황</t>
    <phoneticPr fontId="5" type="noConversion"/>
  </si>
  <si>
    <t>조치 중</t>
    <phoneticPr fontId="5" type="noConversion"/>
  </si>
  <si>
    <t xml:space="preserve">조치완료    </t>
    <phoneticPr fontId="5" type="noConversion"/>
  </si>
  <si>
    <t>대상 합계</t>
    <phoneticPr fontId="5" type="noConversion"/>
  </si>
  <si>
    <t>실수행건 합계</t>
    <phoneticPr fontId="5" type="noConversion"/>
  </si>
  <si>
    <t>결함율</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</si>
</sst>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0" formatCode="0.0%"/>
  </numFmts>
  <fonts count="11">
    <font>
      <sz val="11"/>
      <color theme="1"/>
      <name val="맑은 고딕"/>
      <scheme val="minor"/>
    </font>
    <font>
      <sz val="11"/>
      <color rgb="FF000000"/>
      <name val="맑은 고딕"/>
      <family val="3"/>
      <charset val="129"/>
      <scheme val="minor"/>
    </font>
    <font>
      <b/>
      <sz val="16"/>
      <color rgb="FFFFFFFF"/>
      <name val="Aptos Narrow"/>
    </font>
    <font>
      <b/>
      <sz val="12"/>
      <name val="Aptos Narrow"/>
    </font>
    <font>
      <sz val="11"/>
      <name val="맑은 고딕"/>
      <family val="3"/>
      <charset val="129"/>
      <scheme val="minor"/>
    </font>
    <font>
      <sz val="8"/>
      <name val="맑은 고딕"/>
      <family val="3"/>
      <charset val="129"/>
      <scheme val="minor"/>
    </font>
    <font>
      <sz val="11"/>
      <color theme="1"/>
      <name val="맑은 고딕"/>
      <family val="3"/>
      <charset val="129"/>
      <scheme val="minor"/>
    </font>
    <font>
      <sz val="12"/>
      <color rgb="FF000000"/>
      <name val="KoPub돋움체 Medium"/>
      <family val="3"/>
      <charset val="129"/>
    </font>
    <font>
      <b/>
      <sz val="12"/>
      <color rgb="FF000000"/>
      <name val="KoPub돋움체 Medium"/>
      <family val="3"/>
      <charset val="129"/>
    </font>
    <font>
      <strike/>
      <sz val="12"/>
      <color rgb="FF000000"/>
      <name val="KoPub돋움체 Medium"/>
      <family val="3"/>
      <charset val="129"/>
    </font>
    <font>
      <b/>
      <strike/>
      <sz val="12"/>
      <color rgb="FF000000"/>
      <name val="KoPub돋움체 Medium"/>
      <family val="3"/>
      <charset val="129"/>
    </font>
  </fonts>
  <fills count="12">
    <fill>
      <patternFill patternType="none"/>
    </fill>
    <fill>
      <patternFill patternType="gray125"/>
    </fill>
    <fill>
      <patternFill patternType="solid">
        <fgColor theme="9" tint="0.79998168889431442"/>
        <bgColor indexed="65"/>
      </patternFill>
    </fill>
    <fill>
      <patternFill patternType="solid">
        <fgColor rgb="FF1F4E78"/>
      </patternFill>
    </fill>
    <fill>
      <patternFill patternType="solid">
        <fgColor rgb="FFD9E2F3"/>
      </patternFill>
    </fill>
    <fill>
      <patternFill patternType="solid">
        <fgColor theme="9"/>
        <bgColor indexed="64"/>
      </patternFill>
    </fill>
    <fill>
      <patternFill patternType="solid">
        <fgColor rgb="FFE7E6E6"/>
        <bgColor indexed="64"/>
      </patternFill>
    </fill>
    <fill>
      <patternFill patternType="solid">
        <fgColor rgb="FFE2EFDA"/>
        <bgColor indexed="64"/>
      </patternFill>
    </fill>
    <fill>
      <patternFill patternType="solid">
        <fgColor rgb="FFFFF2CC"/>
        <bgColor indexed="64"/>
      </patternFill>
    </fill>
    <fill>
      <patternFill patternType="solid">
        <fgColor rgb="FFDBDBDB"/>
        <bgColor indexed="64"/>
      </patternFill>
    </fill>
    <fill>
      <patternFill patternType="solid">
        <fgColor theme="0" tint="-0.249977111117893"/>
        <bgColor indexed="64"/>
      </patternFill>
    </fill>
    <fill>
      <patternFill patternType="solid">
        <fgColor theme="6" tint="0.59999389629810485"/>
        <bgColor indexed="64"/>
      </patternFill>
    </fill>
  </fills>
  <borders count="10">
    <border>
      <left/>
      <right/>
      <top/>
      <bottom/>
      <diagonal/>
    </border>
    <border>
      <left/>
      <right/>
      <top/>
      <bottom/>
      <diagonal/>
    </border>
    <border>
      <left style="thin">
        <color theme="9" tint="0.19998779259620961"/>
      </left>
      <right/>
      <top style="thin">
        <color theme="9" tint="0.19998779259620961"/>
      </top>
      <bottom style="thin">
        <color theme="9" tint="0.19998779259620961"/>
      </bottom>
      <diagonal/>
    </border>
    <border>
      <left/>
      <right/>
      <top style="thin">
        <color theme="9" tint="0.19998779259620961"/>
      </top>
      <bottom style="thin">
        <color theme="9" tint="0.1999877925962096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1">
      <alignment vertical="center"/>
    </xf>
    <xf numFmtId="9" fontId="6" fillId="0" borderId="0" applyFont="0" applyFill="0" applyBorder="0" applyAlignment="0" applyProtection="0">
      <alignment vertical="center"/>
    </xf>
  </cellStyleXfs>
  <cellXfs count="49">
    <xf numFmtId="0" fontId="0" fillId="0" borderId="1" xfId="0">
      <alignment vertical="center"/>
    </xf>
    <xf numFmtId="49" fontId="0" fillId="0" borderId="1" xfId="0" applyNumberFormat="1">
      <alignment vertical="center"/>
    </xf>
    <xf numFmtId="0" fontId="1" fillId="2" borderId="2" xfId="0" applyFont="1" applyFill="1" applyBorder="1">
      <alignment vertical="center"/>
    </xf>
    <xf numFmtId="0" fontId="1" fillId="0" borderId="2" xfId="0" applyFont="1" applyBorder="1">
      <alignment vertical="center"/>
    </xf>
    <xf numFmtId="22" fontId="1" fillId="2" borderId="3" xfId="0" applyNumberFormat="1" applyFont="1" applyFill="1" applyBorder="1">
      <alignment vertical="center"/>
    </xf>
    <xf numFmtId="22" fontId="1" fillId="0" borderId="3" xfId="0" applyNumberFormat="1" applyFont="1" applyBorder="1">
      <alignment vertical="center"/>
    </xf>
    <xf numFmtId="0" fontId="3" fillId="4" borderId="0" xfId="0" applyFont="1" applyFill="1" applyBorder="1" applyAlignment="1">
      <alignment vertical="top"/>
    </xf>
    <xf numFmtId="49" fontId="4" fillId="0" borderId="0" xfId="0" applyNumberFormat="1" applyFont="1" applyBorder="1" applyAlignment="1">
      <alignment vertical="top"/>
    </xf>
    <xf numFmtId="0" fontId="0" fillId="0" borderId="1" xfId="0">
      <alignment vertical="center"/>
    </xf>
    <xf numFmtId="0" fontId="0" fillId="5" borderId="1" xfId="0" applyFill="1">
      <alignment vertical="center"/>
    </xf>
    <xf numFmtId="49" fontId="0" fillId="5" borderId="1" xfId="0" applyNumberFormat="1" applyFill="1">
      <alignment vertical="center"/>
    </xf>
    <xf numFmtId="0" fontId="2" fillId="3" borderId="0" xfId="0" applyFont="1" applyFill="1" applyBorder="1" applyAlignment="1">
      <alignment horizontal="center" vertical="center"/>
    </xf>
    <xf numFmtId="0" fontId="0" fillId="0" borderId="1" xfId="0">
      <alignment vertical="center"/>
    </xf>
    <xf numFmtId="0" fontId="7" fillId="7" borderId="4" xfId="0" applyFont="1" applyFill="1" applyBorder="1" applyAlignment="1">
      <alignment horizontal="center" vertical="center" wrapText="1" readingOrder="1"/>
    </xf>
    <xf numFmtId="0" fontId="7" fillId="6" borderId="4" xfId="0" applyFont="1" applyFill="1" applyBorder="1" applyAlignment="1">
      <alignment horizontal="center" vertical="center" wrapText="1" readingOrder="1"/>
    </xf>
    <xf numFmtId="0" fontId="7" fillId="8" borderId="4" xfId="0" applyFont="1" applyFill="1" applyBorder="1" applyAlignment="1">
      <alignment horizontal="center"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8" fillId="7" borderId="4" xfId="0" applyFont="1" applyFill="1" applyBorder="1" applyAlignment="1">
      <alignment horizontal="right" vertical="center" wrapText="1" readingOrder="1"/>
    </xf>
    <xf numFmtId="10" fontId="7" fillId="0" borderId="4" xfId="0" applyNumberFormat="1" applyFont="1" applyBorder="1" applyAlignment="1">
      <alignment horizontal="right" vertical="center" wrapText="1" readingOrder="1"/>
    </xf>
    <xf numFmtId="0" fontId="7" fillId="7" borderId="4" xfId="0" applyFont="1" applyFill="1" applyBorder="1" applyAlignment="1">
      <alignment horizontal="left" vertical="center" wrapText="1" readingOrder="1"/>
    </xf>
    <xf numFmtId="0" fontId="7" fillId="7" borderId="4" xfId="0" applyFont="1" applyFill="1" applyBorder="1" applyAlignment="1">
      <alignment horizontal="right" vertical="center" wrapText="1" readingOrder="1"/>
    </xf>
    <xf numFmtId="0" fontId="7" fillId="6" borderId="5" xfId="0" applyFont="1" applyFill="1" applyBorder="1" applyAlignment="1">
      <alignment horizontal="center" vertical="center" wrapText="1" readingOrder="1"/>
    </xf>
    <xf numFmtId="0" fontId="7" fillId="6" borderId="6" xfId="0" applyFont="1" applyFill="1" applyBorder="1" applyAlignment="1">
      <alignment horizontal="center" vertical="center" wrapText="1" readingOrder="1"/>
    </xf>
    <xf numFmtId="0" fontId="7" fillId="7" borderId="7" xfId="0" applyFont="1" applyFill="1" applyBorder="1" applyAlignment="1">
      <alignment horizontal="center" vertical="center" wrapText="1" readingOrder="1"/>
    </xf>
    <xf numFmtId="0" fontId="7" fillId="7" borderId="8" xfId="0" applyFont="1" applyFill="1" applyBorder="1" applyAlignment="1">
      <alignment horizontal="center" vertical="center" wrapText="1" readingOrder="1"/>
    </xf>
    <xf numFmtId="0" fontId="7" fillId="7" borderId="9" xfId="0" applyFont="1" applyFill="1" applyBorder="1" applyAlignment="1">
      <alignment horizontal="center" vertical="center" wrapText="1" readingOrder="1"/>
    </xf>
    <xf numFmtId="0" fontId="7" fillId="6" borderId="8" xfId="0" applyFont="1" applyFill="1" applyBorder="1" applyAlignment="1">
      <alignment horizontal="center" vertical="center" wrapText="1" readingOrder="1"/>
    </xf>
    <xf numFmtId="0" fontId="7" fillId="8" borderId="7" xfId="0" applyFont="1" applyFill="1" applyBorder="1" applyAlignment="1">
      <alignment horizontal="center" vertical="center" wrapText="1" readingOrder="1"/>
    </xf>
    <xf numFmtId="0" fontId="7" fillId="8" borderId="9" xfId="0" applyFont="1" applyFill="1" applyBorder="1" applyAlignment="1">
      <alignment horizontal="center" vertical="center" wrapText="1" readingOrder="1"/>
    </xf>
    <xf numFmtId="0" fontId="0" fillId="0" borderId="1" xfId="0" pivotButton="1">
      <alignment vertical="center"/>
    </xf>
    <xf numFmtId="0" fontId="0" fillId="0" borderId="1" xfId="0" applyAlignment="1">
      <alignment horizontal="left" vertical="center"/>
    </xf>
    <xf numFmtId="0" fontId="0" fillId="0" borderId="1" xfId="0" applyNumberFormat="1">
      <alignment vertical="center"/>
    </xf>
    <xf numFmtId="0" fontId="9" fillId="10" borderId="4" xfId="0" applyFont="1" applyFill="1" applyBorder="1" applyAlignment="1">
      <alignment horizontal="left" vertical="center" wrapText="1" readingOrder="1"/>
    </xf>
    <xf numFmtId="0" fontId="9" fillId="10" borderId="4" xfId="0" applyFont="1" applyFill="1" applyBorder="1" applyAlignment="1">
      <alignment horizontal="right" vertical="center" wrapText="1" readingOrder="1"/>
    </xf>
    <xf numFmtId="0" fontId="10" fillId="10" borderId="4" xfId="0" applyFont="1" applyFill="1" applyBorder="1" applyAlignment="1">
      <alignment horizontal="right" vertical="center" wrapText="1" readingOrder="1"/>
    </xf>
    <xf numFmtId="0" fontId="7" fillId="10" borderId="4" xfId="0" applyFont="1" applyFill="1" applyBorder="1" applyAlignment="1">
      <alignment horizontal="right" vertical="center" wrapText="1" readingOrder="1"/>
    </xf>
    <xf numFmtId="10" fontId="9" fillId="10" borderId="4" xfId="0" applyNumberFormat="1" applyFont="1" applyFill="1" applyBorder="1" applyAlignment="1">
      <alignment horizontal="right" vertical="center" wrapText="1" readingOrder="1"/>
    </xf>
    <xf numFmtId="0" fontId="8" fillId="9" borderId="5" xfId="0" applyFont="1" applyFill="1" applyBorder="1" applyAlignment="1">
      <alignment horizontal="center" vertical="center" wrapText="1" readingOrder="1"/>
    </xf>
    <xf numFmtId="0" fontId="8" fillId="9" borderId="6" xfId="0" applyFont="1" applyFill="1" applyBorder="1" applyAlignment="1">
      <alignment horizontal="center" vertical="center" wrapText="1" readingOrder="1"/>
    </xf>
    <xf numFmtId="10" fontId="8" fillId="8" borderId="5" xfId="0" applyNumberFormat="1" applyFont="1" applyFill="1" applyBorder="1" applyAlignment="1">
      <alignment horizontal="center" vertical="center" wrapText="1" readingOrder="1"/>
    </xf>
    <xf numFmtId="10" fontId="8" fillId="8" borderId="6" xfId="0" applyNumberFormat="1" applyFont="1" applyFill="1" applyBorder="1" applyAlignment="1">
      <alignment horizontal="center" vertical="center" wrapText="1" readingOrder="1"/>
    </xf>
    <xf numFmtId="0" fontId="7" fillId="11" borderId="4" xfId="0" applyFont="1" applyFill="1" applyBorder="1" applyAlignment="1">
      <alignment horizontal="left" vertical="center" wrapText="1" readingOrder="1"/>
    </xf>
    <xf numFmtId="0" fontId="7" fillId="11" borderId="4" xfId="0" applyFont="1" applyFill="1" applyBorder="1" applyAlignment="1">
      <alignment horizontal="right" vertical="center" wrapText="1" readingOrder="1"/>
    </xf>
    <xf numFmtId="0" fontId="8" fillId="11" borderId="4" xfId="0" applyFont="1" applyFill="1" applyBorder="1" applyAlignment="1">
      <alignment horizontal="right" vertical="center" wrapText="1" readingOrder="1"/>
    </xf>
    <xf numFmtId="180" fontId="7" fillId="0" borderId="4" xfId="1" applyNumberFormat="1" applyFont="1" applyBorder="1" applyAlignment="1">
      <alignment horizontal="right" vertical="center" wrapText="1" readingOrder="1"/>
    </xf>
    <xf numFmtId="180" fontId="8" fillId="9" borderId="6" xfId="1" applyNumberFormat="1" applyFont="1" applyFill="1" applyBorder="1" applyAlignment="1">
      <alignment horizontal="center" vertical="center" wrapText="1" readingOrder="1"/>
    </xf>
    <xf numFmtId="180" fontId="8" fillId="9" borderId="5" xfId="1" applyNumberFormat="1" applyFont="1" applyFill="1" applyBorder="1" applyAlignment="1">
      <alignment horizontal="center" vertical="center" wrapText="1" readingOrder="1"/>
    </xf>
    <xf numFmtId="180" fontId="0" fillId="0" borderId="1" xfId="1" applyNumberFormat="1" applyFont="1" applyBorder="1">
      <alignment vertical="center"/>
    </xf>
  </cellXfs>
  <cellStyles count="2">
    <cellStyle name="백분율" xfId="1" builtinId="5"/>
    <cellStyle name="표준" xfId="0" builtinId="0"/>
  </cellStyles>
  <dxfs count="3">
    <dxf>
      <numFmt numFmtId="27" formatCode="yyyy/mm/dd\ h:mm"/>
    </dxf>
    <dxf>
      <numFmt numFmtId="27" formatCode="yyyy/mm/dd\ h:mm"/>
    </dxf>
    <dxf>
      <fill>
        <patternFill patternType="solid">
          <fgColor indexed="64"/>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cat>
            <c:strRef>
              <c:f>분석요약!$K$2:$K$16</c:f>
              <c:strCache>
                <c:ptCount val="15"/>
                <c:pt idx="0">
                  <c:v>조회 조건/검색 결과 불일치</c:v>
                </c:pt>
                <c:pt idx="1">
                  <c:v>다운로드/출력</c:v>
                </c:pt>
                <c:pt idx="2">
                  <c:v>날짜/기간 처리</c:v>
                </c:pt>
                <c:pt idx="3">
                  <c:v>데이터 정합성/매핑</c:v>
                </c:pt>
                <c:pt idx="4">
                  <c:v>개선요청/정책반영</c:v>
                </c:pt>
                <c:pt idx="5">
                  <c:v>상태값/버튼 동작</c:v>
                </c:pt>
                <c:pt idx="6">
                  <c:v>기타</c:v>
                </c:pt>
                <c:pt idx="7">
                  <c:v>시각화/그래프 표시</c:v>
                </c:pt>
                <c:pt idx="8">
                  <c:v>입력 검증/유효성</c:v>
                </c:pt>
                <c:pt idx="9">
                  <c:v>화면 레이아웃/정렬/가독성</c:v>
                </c:pt>
                <c:pt idx="10">
                  <c:v>메시지/가이드 부족</c:v>
                </c:pt>
                <c:pt idx="11">
                  <c:v>용어/라벨/문구</c:v>
                </c:pt>
                <c:pt idx="12">
                  <c:v>예외처리/오류 대응</c:v>
                </c:pt>
                <c:pt idx="13">
                  <c:v>권한/접근/노출</c:v>
                </c:pt>
                <c:pt idx="14">
                  <c:v>문서/요건 불일치</c:v>
                </c:pt>
              </c:strCache>
            </c:strRef>
          </c:cat>
          <c:val>
            <c:numRef>
              <c:f>분석요약!$L$2:$L$16</c:f>
              <c:numCache>
                <c:formatCode>General</c:formatCode>
                <c:ptCount val="15"/>
                <c:pt idx="0">
                  <c:v>110</c:v>
                </c:pt>
                <c:pt idx="1">
                  <c:v>97</c:v>
                </c:pt>
                <c:pt idx="2">
                  <c:v>93</c:v>
                </c:pt>
                <c:pt idx="3">
                  <c:v>57</c:v>
                </c:pt>
                <c:pt idx="4">
                  <c:v>54</c:v>
                </c:pt>
                <c:pt idx="5">
                  <c:v>45</c:v>
                </c:pt>
                <c:pt idx="6">
                  <c:v>42</c:v>
                </c:pt>
                <c:pt idx="7">
                  <c:v>38</c:v>
                </c:pt>
                <c:pt idx="8">
                  <c:v>34</c:v>
                </c:pt>
                <c:pt idx="9">
                  <c:v>30</c:v>
                </c:pt>
                <c:pt idx="10">
                  <c:v>24</c:v>
                </c:pt>
                <c:pt idx="11">
                  <c:v>11</c:v>
                </c:pt>
                <c:pt idx="12">
                  <c:v>11</c:v>
                </c:pt>
                <c:pt idx="13">
                  <c:v>7</c:v>
                </c:pt>
                <c:pt idx="14">
                  <c:v>1</c:v>
                </c:pt>
              </c:numCache>
            </c:numRef>
          </c:val>
          <c:extLst>
            <c:ext xmlns:c16="http://schemas.microsoft.com/office/drawing/2014/chart" uri="{C3380CC4-5D6E-409C-BE32-E72D297353CC}">
              <c16:uniqueId val="{00000000-3F5F-437F-9B9F-600DFD5C761C}"/>
            </c:ext>
          </c:extLst>
        </c:ser>
        <c:ser>
          <c:idx val="1"/>
          <c:order val="1"/>
          <c:spPr>
            <a:solidFill>
              <a:schemeClr val="accent2"/>
            </a:solidFill>
            <a:ln>
              <a:noFill/>
            </a:ln>
            <a:effectLst/>
          </c:spPr>
          <c:invertIfNegative val="0"/>
          <c:cat>
            <c:strRef>
              <c:f>분석요약!$K$2:$K$16</c:f>
              <c:strCache>
                <c:ptCount val="15"/>
                <c:pt idx="0">
                  <c:v>조회 조건/검색 결과 불일치</c:v>
                </c:pt>
                <c:pt idx="1">
                  <c:v>다운로드/출력</c:v>
                </c:pt>
                <c:pt idx="2">
                  <c:v>날짜/기간 처리</c:v>
                </c:pt>
                <c:pt idx="3">
                  <c:v>데이터 정합성/매핑</c:v>
                </c:pt>
                <c:pt idx="4">
                  <c:v>개선요청/정책반영</c:v>
                </c:pt>
                <c:pt idx="5">
                  <c:v>상태값/버튼 동작</c:v>
                </c:pt>
                <c:pt idx="6">
                  <c:v>기타</c:v>
                </c:pt>
                <c:pt idx="7">
                  <c:v>시각화/그래프 표시</c:v>
                </c:pt>
                <c:pt idx="8">
                  <c:v>입력 검증/유효성</c:v>
                </c:pt>
                <c:pt idx="9">
                  <c:v>화면 레이아웃/정렬/가독성</c:v>
                </c:pt>
                <c:pt idx="10">
                  <c:v>메시지/가이드 부족</c:v>
                </c:pt>
                <c:pt idx="11">
                  <c:v>용어/라벨/문구</c:v>
                </c:pt>
                <c:pt idx="12">
                  <c:v>예외처리/오류 대응</c:v>
                </c:pt>
                <c:pt idx="13">
                  <c:v>권한/접근/노출</c:v>
                </c:pt>
                <c:pt idx="14">
                  <c:v>문서/요건 불일치</c:v>
                </c:pt>
              </c:strCache>
            </c:strRef>
          </c:cat>
          <c:val>
            <c:numRef>
              <c:f>분석요약!$M$2:$M$16</c:f>
              <c:numCache>
                <c:formatCode>0.0%</c:formatCode>
                <c:ptCount val="15"/>
                <c:pt idx="0">
                  <c:v>0.16819571865443425</c:v>
                </c:pt>
                <c:pt idx="1">
                  <c:v>0.14831804281345565</c:v>
                </c:pt>
                <c:pt idx="2">
                  <c:v>0.14220183486238533</c:v>
                </c:pt>
                <c:pt idx="3">
                  <c:v>8.7155963302752298E-2</c:v>
                </c:pt>
                <c:pt idx="4">
                  <c:v>8.2568807339449546E-2</c:v>
                </c:pt>
                <c:pt idx="5">
                  <c:v>6.8807339449541288E-2</c:v>
                </c:pt>
                <c:pt idx="6">
                  <c:v>6.4220183486238536E-2</c:v>
                </c:pt>
                <c:pt idx="7">
                  <c:v>5.8103975535168197E-2</c:v>
                </c:pt>
                <c:pt idx="8">
                  <c:v>5.1987767584097858E-2</c:v>
                </c:pt>
                <c:pt idx="9">
                  <c:v>4.5871559633027525E-2</c:v>
                </c:pt>
                <c:pt idx="10">
                  <c:v>3.669724770642202E-2</c:v>
                </c:pt>
                <c:pt idx="11">
                  <c:v>1.6819571865443424E-2</c:v>
                </c:pt>
                <c:pt idx="12">
                  <c:v>1.6819571865443424E-2</c:v>
                </c:pt>
                <c:pt idx="13">
                  <c:v>1.0703363914373088E-2</c:v>
                </c:pt>
                <c:pt idx="14">
                  <c:v>1.5290519877675841E-3</c:v>
                </c:pt>
              </c:numCache>
            </c:numRef>
          </c:val>
          <c:extLst>
            <c:ext xmlns:c16="http://schemas.microsoft.com/office/drawing/2014/chart" uri="{C3380CC4-5D6E-409C-BE32-E72D297353CC}">
              <c16:uniqueId val="{00000001-3F5F-437F-9B9F-600DFD5C761C}"/>
            </c:ext>
          </c:extLst>
        </c:ser>
        <c:dLbls>
          <c:showLegendKey val="0"/>
          <c:showVal val="0"/>
          <c:showCatName val="0"/>
          <c:showSerName val="0"/>
          <c:showPercent val="0"/>
          <c:showBubbleSize val="0"/>
        </c:dLbls>
        <c:gapWidth val="150"/>
        <c:overlap val="100"/>
        <c:axId val="1850213967"/>
        <c:axId val="1850214383"/>
      </c:barChart>
      <c:catAx>
        <c:axId val="185021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50214383"/>
        <c:crosses val="autoZero"/>
        <c:auto val="1"/>
        <c:lblAlgn val="ctr"/>
        <c:lblOffset val="100"/>
        <c:noMultiLvlLbl val="0"/>
      </c:catAx>
      <c:valAx>
        <c:axId val="1850214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50213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cat>
            <c:strRef>
              <c:f>분석요약!$K$2:$K$16</c:f>
              <c:strCache>
                <c:ptCount val="15"/>
                <c:pt idx="0">
                  <c:v>조회 조건/검색 결과 불일치</c:v>
                </c:pt>
                <c:pt idx="1">
                  <c:v>다운로드/출력</c:v>
                </c:pt>
                <c:pt idx="2">
                  <c:v>날짜/기간 처리</c:v>
                </c:pt>
                <c:pt idx="3">
                  <c:v>데이터 정합성/매핑</c:v>
                </c:pt>
                <c:pt idx="4">
                  <c:v>개선요청/정책반영</c:v>
                </c:pt>
                <c:pt idx="5">
                  <c:v>상태값/버튼 동작</c:v>
                </c:pt>
                <c:pt idx="6">
                  <c:v>기타</c:v>
                </c:pt>
                <c:pt idx="7">
                  <c:v>시각화/그래프 표시</c:v>
                </c:pt>
                <c:pt idx="8">
                  <c:v>입력 검증/유효성</c:v>
                </c:pt>
                <c:pt idx="9">
                  <c:v>화면 레이아웃/정렬/가독성</c:v>
                </c:pt>
                <c:pt idx="10">
                  <c:v>메시지/가이드 부족</c:v>
                </c:pt>
                <c:pt idx="11">
                  <c:v>용어/라벨/문구</c:v>
                </c:pt>
                <c:pt idx="12">
                  <c:v>예외처리/오류 대응</c:v>
                </c:pt>
                <c:pt idx="13">
                  <c:v>권한/접근/노출</c:v>
                </c:pt>
                <c:pt idx="14">
                  <c:v>문서/요건 불일치</c:v>
                </c:pt>
              </c:strCache>
            </c:strRef>
          </c:cat>
          <c:val>
            <c:numRef>
              <c:f>분석요약!$L$2:$L$16</c:f>
              <c:numCache>
                <c:formatCode>General</c:formatCode>
                <c:ptCount val="15"/>
                <c:pt idx="0">
                  <c:v>110</c:v>
                </c:pt>
                <c:pt idx="1">
                  <c:v>97</c:v>
                </c:pt>
                <c:pt idx="2">
                  <c:v>93</c:v>
                </c:pt>
                <c:pt idx="3">
                  <c:v>57</c:v>
                </c:pt>
                <c:pt idx="4">
                  <c:v>54</c:v>
                </c:pt>
                <c:pt idx="5">
                  <c:v>45</c:v>
                </c:pt>
                <c:pt idx="6">
                  <c:v>42</c:v>
                </c:pt>
                <c:pt idx="7">
                  <c:v>38</c:v>
                </c:pt>
                <c:pt idx="8">
                  <c:v>34</c:v>
                </c:pt>
                <c:pt idx="9">
                  <c:v>30</c:v>
                </c:pt>
                <c:pt idx="10">
                  <c:v>24</c:v>
                </c:pt>
                <c:pt idx="11">
                  <c:v>11</c:v>
                </c:pt>
                <c:pt idx="12">
                  <c:v>11</c:v>
                </c:pt>
                <c:pt idx="13">
                  <c:v>7</c:v>
                </c:pt>
                <c:pt idx="14">
                  <c:v>1</c:v>
                </c:pt>
              </c:numCache>
            </c:numRef>
          </c:val>
          <c:extLst>
            <c:ext xmlns:c16="http://schemas.microsoft.com/office/drawing/2014/chart" uri="{C3380CC4-5D6E-409C-BE32-E72D297353CC}">
              <c16:uniqueId val="{00000000-3F5F-437F-9B9F-600DFD5C761C}"/>
            </c:ext>
          </c:extLst>
        </c:ser>
        <c:ser>
          <c:idx val="1"/>
          <c:order val="1"/>
          <c:spPr>
            <a:solidFill>
              <a:schemeClr val="accent2"/>
            </a:solidFill>
            <a:ln>
              <a:noFill/>
            </a:ln>
            <a:effectLst/>
          </c:spPr>
          <c:invertIfNegative val="0"/>
          <c:cat>
            <c:strRef>
              <c:f>분석요약!$K$2:$K$16</c:f>
              <c:strCache>
                <c:ptCount val="15"/>
                <c:pt idx="0">
                  <c:v>조회 조건/검색 결과 불일치</c:v>
                </c:pt>
                <c:pt idx="1">
                  <c:v>다운로드/출력</c:v>
                </c:pt>
                <c:pt idx="2">
                  <c:v>날짜/기간 처리</c:v>
                </c:pt>
                <c:pt idx="3">
                  <c:v>데이터 정합성/매핑</c:v>
                </c:pt>
                <c:pt idx="4">
                  <c:v>개선요청/정책반영</c:v>
                </c:pt>
                <c:pt idx="5">
                  <c:v>상태값/버튼 동작</c:v>
                </c:pt>
                <c:pt idx="6">
                  <c:v>기타</c:v>
                </c:pt>
                <c:pt idx="7">
                  <c:v>시각화/그래프 표시</c:v>
                </c:pt>
                <c:pt idx="8">
                  <c:v>입력 검증/유효성</c:v>
                </c:pt>
                <c:pt idx="9">
                  <c:v>화면 레이아웃/정렬/가독성</c:v>
                </c:pt>
                <c:pt idx="10">
                  <c:v>메시지/가이드 부족</c:v>
                </c:pt>
                <c:pt idx="11">
                  <c:v>용어/라벨/문구</c:v>
                </c:pt>
                <c:pt idx="12">
                  <c:v>예외처리/오류 대응</c:v>
                </c:pt>
                <c:pt idx="13">
                  <c:v>권한/접근/노출</c:v>
                </c:pt>
                <c:pt idx="14">
                  <c:v>문서/요건 불일치</c:v>
                </c:pt>
              </c:strCache>
            </c:strRef>
          </c:cat>
          <c:val>
            <c:numRef>
              <c:f>분석요약!$M$2:$M$16</c:f>
              <c:numCache>
                <c:formatCode>0.0%</c:formatCode>
                <c:ptCount val="15"/>
                <c:pt idx="0">
                  <c:v>0.16819571865443425</c:v>
                </c:pt>
                <c:pt idx="1">
                  <c:v>0.14831804281345565</c:v>
                </c:pt>
                <c:pt idx="2">
                  <c:v>0.14220183486238533</c:v>
                </c:pt>
                <c:pt idx="3">
                  <c:v>8.7155963302752298E-2</c:v>
                </c:pt>
                <c:pt idx="4">
                  <c:v>8.2568807339449546E-2</c:v>
                </c:pt>
                <c:pt idx="5">
                  <c:v>6.8807339449541288E-2</c:v>
                </c:pt>
                <c:pt idx="6">
                  <c:v>6.4220183486238536E-2</c:v>
                </c:pt>
                <c:pt idx="7">
                  <c:v>5.8103975535168197E-2</c:v>
                </c:pt>
                <c:pt idx="8">
                  <c:v>5.1987767584097858E-2</c:v>
                </c:pt>
                <c:pt idx="9">
                  <c:v>4.5871559633027525E-2</c:v>
                </c:pt>
                <c:pt idx="10">
                  <c:v>3.669724770642202E-2</c:v>
                </c:pt>
                <c:pt idx="11">
                  <c:v>1.6819571865443424E-2</c:v>
                </c:pt>
                <c:pt idx="12">
                  <c:v>1.6819571865443424E-2</c:v>
                </c:pt>
                <c:pt idx="13">
                  <c:v>1.0703363914373088E-2</c:v>
                </c:pt>
                <c:pt idx="14">
                  <c:v>1.5290519877675841E-3</c:v>
                </c:pt>
              </c:numCache>
            </c:numRef>
          </c:val>
          <c:extLst>
            <c:ext xmlns:c16="http://schemas.microsoft.com/office/drawing/2014/chart" uri="{C3380CC4-5D6E-409C-BE32-E72D297353CC}">
              <c16:uniqueId val="{00000001-3F5F-437F-9B9F-600DFD5C761C}"/>
            </c:ext>
          </c:extLst>
        </c:ser>
        <c:dLbls>
          <c:showLegendKey val="0"/>
          <c:showVal val="0"/>
          <c:showCatName val="0"/>
          <c:showSerName val="0"/>
          <c:showPercent val="0"/>
          <c:showBubbleSize val="0"/>
        </c:dLbls>
        <c:gapWidth val="150"/>
        <c:overlap val="100"/>
        <c:axId val="1850213967"/>
        <c:axId val="1850214383"/>
      </c:barChart>
      <c:catAx>
        <c:axId val="185021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50214383"/>
        <c:crosses val="autoZero"/>
        <c:auto val="1"/>
        <c:lblAlgn val="ctr"/>
        <c:lblOffset val="100"/>
        <c:noMultiLvlLbl val="0"/>
      </c:catAx>
      <c:valAx>
        <c:axId val="1850214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50213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1338262</xdr:colOff>
      <xdr:row>10</xdr:row>
      <xdr:rowOff>142875</xdr:rowOff>
    </xdr:from>
    <xdr:to>
      <xdr:col>8</xdr:col>
      <xdr:colOff>14287</xdr:colOff>
      <xdr:row>25</xdr:row>
      <xdr:rowOff>28575</xdr:rowOff>
    </xdr:to>
    <xdr:graphicFrame macro="">
      <xdr:nvGraphicFramePr>
        <xdr:cNvPr id="6" name="차트 5">
          <a:extLst>
            <a:ext uri="{FF2B5EF4-FFF2-40B4-BE49-F238E27FC236}">
              <a16:creationId xmlns:a16="http://schemas.microsoft.com/office/drawing/2014/main" id="{C6B9B159-043E-43BF-9980-FE15581E6E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433387</xdr:colOff>
      <xdr:row>19</xdr:row>
      <xdr:rowOff>28575</xdr:rowOff>
    </xdr:from>
    <xdr:to>
      <xdr:col>14</xdr:col>
      <xdr:colOff>100012</xdr:colOff>
      <xdr:row>33</xdr:row>
      <xdr:rowOff>104775</xdr:rowOff>
    </xdr:to>
    <xdr:graphicFrame macro="">
      <xdr:nvGraphicFramePr>
        <xdr:cNvPr id="7" name="차트 6">
          <a:extLst>
            <a:ext uri="{FF2B5EF4-FFF2-40B4-BE49-F238E27FC236}">
              <a16:creationId xmlns:a16="http://schemas.microsoft.com/office/drawing/2014/main" id="{45C7FD85-7BDF-43CF-A742-39AB38C3A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IS-IDT-N-0063-U" refreshedDate="46150.645772222226" createdVersion="7" refreshedVersion="7" minRefreshableVersion="3" recordCount="654" xr:uid="{17C981FE-D595-427E-B797-784486287B7C}">
  <cacheSource type="worksheet">
    <worksheetSource name="uiuxIteration1_1_테스트_결함_202605081101"/>
  </cacheSource>
  <cacheFields count="20">
    <cacheField name="시나리오ID" numFmtId="0">
      <sharedItems/>
    </cacheField>
    <cacheField name="테스트차수" numFmtId="0">
      <sharedItems/>
    </cacheField>
    <cacheField name="단계" numFmtId="0">
      <sharedItems containsSemiMixedTypes="0" containsString="0" containsNumber="1" containsInteger="1" minValue="1" maxValue="1"/>
    </cacheField>
    <cacheField name="업무모듈명" numFmtId="0">
      <sharedItems count="4">
        <s v="공항운영(GO)"/>
        <s v="예측관리(PM)"/>
        <s v="항공보안(FS)"/>
        <s v="공통관리(AOMS-CA)"/>
      </sharedItems>
    </cacheField>
    <cacheField name="결함ID" numFmtId="0">
      <sharedItems/>
    </cacheField>
    <cacheField name="결함내용" numFmtId="0">
      <sharedItems longText="1"/>
    </cacheField>
    <cacheField name="테스트단계" numFmtId="0">
      <sharedItems/>
    </cacheField>
    <cacheField name="PL" numFmtId="0">
      <sharedItems/>
    </cacheField>
    <cacheField name="개발자" numFmtId="0">
      <sharedItems/>
    </cacheField>
    <cacheField name="테스터" numFmtId="0">
      <sharedItems/>
    </cacheField>
    <cacheField name="기능유형" numFmtId="0">
      <sharedItems/>
    </cacheField>
    <cacheField name="결함구분" numFmtId="0">
      <sharedItems/>
    </cacheField>
    <cacheField name="결함유형" numFmtId="0">
      <sharedItems/>
    </cacheField>
    <cacheField name="결함상태" numFmtId="0">
      <sharedItems/>
    </cacheField>
    <cacheField name="담당자" numFmtId="0">
      <sharedItems/>
    </cacheField>
    <cacheField name="심각도" numFmtId="0">
      <sharedItems/>
    </cacheField>
    <cacheField name="조치상태" numFmtId="0">
      <sharedItems count="5">
        <s v="결함검토요청"/>
        <s v="결함등록기각"/>
        <s v="조치요청"/>
        <s v="최종확인    "/>
        <s v="확인대기"/>
      </sharedItems>
    </cacheField>
    <cacheField name="결함등록일" numFmtId="22">
      <sharedItems containsSemiMixedTypes="0" containsNonDate="0" containsDate="1" containsString="0" minDate="2026-04-22T10:33:04" maxDate="2026-05-07T11:21:35"/>
    </cacheField>
    <cacheField name="결함수정일시" numFmtId="22">
      <sharedItems containsSemiMixedTypes="0" containsNonDate="0" containsDate="1" containsString="0" minDate="2026-04-22T10:33:04" maxDate="2026-05-08T09:11:22"/>
    </cacheField>
    <cacheField name="기각사유"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IS-IDT-N-0063-U" refreshedDate="46150.736411805556" createdVersion="7" refreshedVersion="7" minRefreshableVersion="3" recordCount="654" xr:uid="{79F0C562-AC8F-44FF-89C4-5A9CFB88D834}">
  <cacheSource type="worksheet">
    <worksheetSource ref="A1:AA655" sheet="UIUX 점검"/>
  </cacheSource>
  <cacheFields count="27">
    <cacheField name="시나리오ID" numFmtId="0">
      <sharedItems/>
    </cacheField>
    <cacheField name="테스트차수" numFmtId="0">
      <sharedItems/>
    </cacheField>
    <cacheField name="단계" numFmtId="0">
      <sharedItems containsSemiMixedTypes="0" containsString="0" containsNumber="1" containsInteger="1" minValue="1" maxValue="1"/>
    </cacheField>
    <cacheField name="업무모듈명" numFmtId="0">
      <sharedItems/>
    </cacheField>
    <cacheField name="결함ID" numFmtId="0">
      <sharedItems/>
    </cacheField>
    <cacheField name="결함내용" numFmtId="0">
      <sharedItems longText="1"/>
    </cacheField>
    <cacheField name="테스트단계" numFmtId="0">
      <sharedItems/>
    </cacheField>
    <cacheField name="PL" numFmtId="0">
      <sharedItems/>
    </cacheField>
    <cacheField name="개발자" numFmtId="0">
      <sharedItems/>
    </cacheField>
    <cacheField name="테스터" numFmtId="0">
      <sharedItems/>
    </cacheField>
    <cacheField name="기능유형" numFmtId="0">
      <sharedItems/>
    </cacheField>
    <cacheField name="결함구분" numFmtId="0">
      <sharedItems/>
    </cacheField>
    <cacheField name="결함유형" numFmtId="0">
      <sharedItems/>
    </cacheField>
    <cacheField name="결함상태" numFmtId="0">
      <sharedItems/>
    </cacheField>
    <cacheField name="담당자" numFmtId="0">
      <sharedItems/>
    </cacheField>
    <cacheField name="심각도" numFmtId="0">
      <sharedItems/>
    </cacheField>
    <cacheField name="조치상태" numFmtId="0">
      <sharedItems/>
    </cacheField>
    <cacheField name="결함등록일" numFmtId="22">
      <sharedItems containsSemiMixedTypes="0" containsNonDate="0" containsDate="1" containsString="0" minDate="2026-04-22T10:33:04" maxDate="2026-05-07T11:21:35"/>
    </cacheField>
    <cacheField name="결함수정일시" numFmtId="22">
      <sharedItems containsSemiMixedTypes="0" containsNonDate="0" containsDate="1" containsString="0" minDate="2026-04-22T10:33:04" maxDate="2026-05-08T09:11:22"/>
    </cacheField>
    <cacheField name="기각사유" numFmtId="0">
      <sharedItems/>
    </cacheField>
    <cacheField name="결함패턴_대분류" numFmtId="49">
      <sharedItems count="15">
        <s v="날짜/기간 처리"/>
        <s v="다운로드/출력"/>
        <s v="시각화/그래프 표시"/>
        <s v="데이터 정합성/매핑"/>
        <s v="조회 조건/검색 결과 불일치"/>
        <s v="기타"/>
        <s v="입력 검증/유효성"/>
        <s v="메시지/가이드 부족"/>
        <s v="화면 레이아웃/정렬/가독성"/>
        <s v="개선요청/정책반영"/>
        <s v="예외처리/오류 대응"/>
        <s v="상태값/버튼 동작"/>
        <s v="용어/라벨/문구"/>
        <s v="권한/접근/노출"/>
        <s v="문서/요건 불일치"/>
      </sharedItems>
    </cacheField>
    <cacheField name="결함패턴_중분류" numFmtId="49">
      <sharedItems/>
    </cacheField>
    <cacheField name="결함사유_요약" numFmtId="49">
      <sharedItems/>
    </cacheField>
    <cacheField name="결함사유_상세" numFmtId="49">
      <sharedItems/>
    </cacheField>
    <cacheField name="기각사유_분석" numFmtId="49">
      <sharedItems containsBlank="1"/>
    </cacheField>
    <cacheField name="기각사유_분류" numFmtId="49">
      <sharedItems containsBlank="1"/>
    </cacheField>
    <cacheField name="조치권고"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4">
  <r>
    <s v="UT-GO12705S"/>
    <s v="2-1차"/>
    <n v="1"/>
    <x v="0"/>
    <s v="DEF-00205"/>
    <s v="기준일자 기준으로 검색해도 운항일자 날짜가 다름_x000a_ex) 2025-05-15 : 기준일자 =&gt; 운항일자=&gt;20250605"/>
    <s v="개발자테스트"/>
    <s v="신문호"/>
    <s v="김경준"/>
    <s v="3자테스터공통"/>
    <s v="Online"/>
    <s v="결함"/>
    <s v="데이터"/>
    <s v="결함검토요청"/>
    <s v="신문호"/>
    <s v="Major"/>
    <x v="0"/>
    <d v="2026-04-27T14:51:49"/>
    <d v="2026-04-27T14:51:49"/>
    <s v=""/>
  </r>
  <r>
    <s v="UT-GO41701S"/>
    <s v="2-2차"/>
    <n v="1"/>
    <x v="0"/>
    <s v="DEF-00225"/>
    <s v="운영년월의 년도입력간 validator 필요. 9999년도 이런식으로 입력이 가능합니다."/>
    <s v="개발자테스트"/>
    <s v="신문호"/>
    <s v="신문호"/>
    <s v="3자테스터공통"/>
    <s v="Online"/>
    <s v="개선/변경"/>
    <s v="기능"/>
    <s v="결함검토요청"/>
    <s v="신문호"/>
    <s v="Minor"/>
    <x v="0"/>
    <d v="2026-04-27T16:49:10"/>
    <d v="2026-04-27T16:49:10"/>
    <s v=""/>
  </r>
  <r>
    <s v="UT-GO11950S"/>
    <s v="2-2차"/>
    <n v="1"/>
    <x v="0"/>
    <s v="DEF-00226"/>
    <s v="주간 실적조회 엑셀 다운로드가 되지 않음(잘못올렸습니다 죄송합니다)"/>
    <s v="개발자테스트"/>
    <s v="신문호"/>
    <s v="신문호"/>
    <s v="3자테스터공통"/>
    <s v="Online"/>
    <s v="결함"/>
    <s v="기능"/>
    <s v="결함검토요청"/>
    <s v="신문호"/>
    <s v="Critical"/>
    <x v="0"/>
    <d v="2026-04-27T16:54:34"/>
    <d v="2026-04-27T17:09:00"/>
    <s v=""/>
  </r>
  <r>
    <s v="UT-GO11950S"/>
    <s v="2-2차"/>
    <n v="1"/>
    <x v="0"/>
    <s v="DEF-00228"/>
    <s v="일일 실적조회의 연간 그래프간 데이터가 존재하지 않을때 사용자가 이해가게끔 표시할수 있어야 할거 같습니다"/>
    <s v="개발자테스트"/>
    <s v="신문호"/>
    <s v="신문호"/>
    <s v="3자테스터공통"/>
    <s v="Online"/>
    <s v="개선/변경"/>
    <s v="UI"/>
    <s v="결함검토요청"/>
    <s v="신문호"/>
    <s v="Minor"/>
    <x v="0"/>
    <d v="2026-04-27T16:58:02"/>
    <d v="2026-04-27T16:58:02"/>
    <s v=""/>
  </r>
  <r>
    <s v="UT-GO11950S"/>
    <s v="2-2차"/>
    <n v="1"/>
    <x v="0"/>
    <s v="DEF-00229"/>
    <s v="일일 실적조희의 그래프 버튼의 미동작"/>
    <s v="개발자테스트"/>
    <s v="신문호"/>
    <s v="신문호"/>
    <s v="3자테스터공통"/>
    <s v="Online"/>
    <s v="결함"/>
    <s v="기능"/>
    <s v="결함검토요청"/>
    <s v="신문호"/>
    <s v="Minor"/>
    <x v="0"/>
    <d v="2026-04-27T16:58:48"/>
    <d v="2026-04-27T16:58:48"/>
    <s v=""/>
  </r>
  <r>
    <s v="UT-GO11960S"/>
    <s v="2-2차"/>
    <n v="1"/>
    <x v="0"/>
    <s v="DEF-00233"/>
    <s v="일자부분에 다른 페이지와 다르게 required 빨간 표시가 안되어있음"/>
    <s v="개발자테스트"/>
    <s v="신문호"/>
    <s v="신문호"/>
    <s v="3자테스터공통"/>
    <s v="Online"/>
    <s v="개선/변경"/>
    <s v="UI"/>
    <s v="결함검토요청"/>
    <s v="신문호"/>
    <s v="Minor"/>
    <x v="0"/>
    <d v="2026-04-27T17:12:49"/>
    <d v="2026-04-28T14:13:39"/>
    <s v=""/>
  </r>
  <r>
    <s v="UT-GO13303S"/>
    <s v="2-1차"/>
    <n v="1"/>
    <x v="0"/>
    <s v="DEF-00192"/>
    <s v="빈 엑셀양식 다운로드 후 양식대로 데이터 삽입해도 업로드 실패하였습니다 발생"/>
    <s v="개발자테스트"/>
    <s v="신문호"/>
    <s v="박정구"/>
    <s v="3자테스터공통"/>
    <s v="Online"/>
    <s v="결함"/>
    <s v="기능"/>
    <s v="결함검토요청"/>
    <s v="신문호"/>
    <s v="Major"/>
    <x v="0"/>
    <d v="2026-04-27T14:21:30"/>
    <d v="2026-04-27T14:21:30"/>
    <s v=""/>
  </r>
  <r>
    <s v="UT-GO12909S"/>
    <s v="2-1차"/>
    <n v="1"/>
    <x v="0"/>
    <s v="DEF-00195"/>
    <s v="12909S 테스트 시험내용과 화면이 일치하지않음"/>
    <s v="개발자테스트"/>
    <s v="신문호"/>
    <s v="박정구"/>
    <s v="3자테스터공통"/>
    <s v="Online"/>
    <s v="결함"/>
    <s v="문서화"/>
    <s v="결함검토요청"/>
    <s v="신문호"/>
    <s v="Minor"/>
    <x v="0"/>
    <d v="2026-04-27T14:23:00"/>
    <d v="2026-04-27T14:23:00"/>
    <s v=""/>
  </r>
  <r>
    <s v="UT-GO12511S"/>
    <s v="2-1차"/>
    <n v="1"/>
    <x v="0"/>
    <s v="DEF-00196"/>
    <s v="화면 우측 상단의 Search 버튼과 주기 선택 이 겹침._x000a_화면을 축소하면.. 화면이 더 일그러짐.."/>
    <s v="개발자테스트"/>
    <s v="신문호"/>
    <s v="김경준"/>
    <s v="3자테스터공통"/>
    <s v="Online"/>
    <s v="결함"/>
    <s v="UI"/>
    <s v="결함검토요청"/>
    <s v="신문호"/>
    <s v="Minor"/>
    <x v="0"/>
    <d v="2026-04-27T14:31:52"/>
    <d v="2026-04-27T14:31:52"/>
    <s v=""/>
  </r>
  <r>
    <s v="UT-GO12507S"/>
    <s v="2-1차"/>
    <n v="1"/>
    <x v="0"/>
    <s v="DEF-00197"/>
    <s v="Search로는 동작하지만 최초 load시 서버 오류입니다. 관리자에게 문의하세요 발생_x000a_"/>
    <s v="개발자테스트"/>
    <s v="신문호"/>
    <s v="김경준"/>
    <s v="3자테스터공통"/>
    <s v="Online"/>
    <s v="결함"/>
    <s v="기능"/>
    <s v="결함검토요청"/>
    <s v="신문호"/>
    <s v="Minor"/>
    <x v="0"/>
    <d v="2026-04-27T14:32:09"/>
    <d v="2026-04-27T14:32:09"/>
    <s v=""/>
  </r>
  <r>
    <s v="UT-GO11961S"/>
    <s v="2-2차"/>
    <n v="1"/>
    <x v="0"/>
    <s v="DEF-00253"/>
    <s v="날짜가 9999-01-01 ~ 9999-02-01 이여도 데이터가 표출됨"/>
    <s v="개발자테스트"/>
    <s v="신문호"/>
    <s v="신문호"/>
    <s v="3자테스터공통"/>
    <s v="Online"/>
    <s v="결함"/>
    <s v="데이터"/>
    <s v="결함검토요청"/>
    <s v="신문호"/>
    <s v="Critical"/>
    <x v="0"/>
    <d v="2026-04-27T17:22:43"/>
    <d v="2026-04-27T17:54:59"/>
    <s v=""/>
  </r>
  <r>
    <s v="UT-GO11963S"/>
    <s v="2-2차"/>
    <n v="1"/>
    <x v="0"/>
    <s v="DEF-00255"/>
    <s v="월간 실적 조회 간 날짜를 종료일자 날짜를 지정하지 않아도 검색이 가능함"/>
    <s v="개발자테스트"/>
    <s v="신문호"/>
    <s v="신문호"/>
    <s v="3자테스터공통"/>
    <s v="Online"/>
    <s v="결함"/>
    <s v="기능"/>
    <s v="결함검토요청"/>
    <s v="신문호"/>
    <s v="Critical"/>
    <x v="0"/>
    <d v="2026-04-27T17:27:53"/>
    <d v="2026-04-27T17:27:53"/>
    <s v=""/>
  </r>
  <r>
    <s v="UT-GO12507S"/>
    <s v="2-1차"/>
    <n v="1"/>
    <x v="0"/>
    <s v="DEF-00275"/>
    <s v="조건에 의한 조회 Test에서.. 항로를 선택 조회하였지만. 전체 항로 선택과 동일한 결과 조회됨."/>
    <s v="개발자테스트"/>
    <s v="신문호"/>
    <s v="김경준"/>
    <s v="3자테스터공통"/>
    <s v="Online"/>
    <s v="결함"/>
    <s v="데이터"/>
    <s v="결함검토요청"/>
    <s v="신문호"/>
    <s v="Minor"/>
    <x v="0"/>
    <d v="2026-04-28T09:56:34"/>
    <d v="2026-04-28T09:56:34"/>
    <s v=""/>
  </r>
  <r>
    <s v="UT-GO12511S"/>
    <s v="2-1차"/>
    <n v="1"/>
    <x v="0"/>
    <s v="DEF-00279"/>
    <s v="화면 크기를 일부 축소하면.. 아래 화면처럼.. 상단 화면이 일그러짐."/>
    <s v="개발자테스트"/>
    <s v="신문호"/>
    <s v="김경준"/>
    <s v="3자테스터공통"/>
    <s v="Online"/>
    <s v="결함"/>
    <s v="UI"/>
    <s v="결함검토요청"/>
    <s v="신문호"/>
    <s v="Minor"/>
    <x v="0"/>
    <d v="2026-04-28T10:16:28"/>
    <d v="2026-04-28T10:16:29"/>
    <s v=""/>
  </r>
  <r>
    <s v="UT-GO12705S"/>
    <s v="2-1차"/>
    <n v="1"/>
    <x v="0"/>
    <s v="DEF-00284"/>
    <s v="지연사유 선택과 무관하게 전체가 조회됨."/>
    <s v="개발자테스트"/>
    <s v="신문호"/>
    <s v="김경준"/>
    <s v="3자테스터공통"/>
    <s v="Online"/>
    <s v="결함"/>
    <s v="데이터"/>
    <s v="결함검토요청"/>
    <s v="신문호"/>
    <s v="Major"/>
    <x v="0"/>
    <d v="2026-04-28T10:32:44"/>
    <d v="2026-04-28T10:32:44"/>
    <s v=""/>
  </r>
  <r>
    <s v="UT-GO12903S"/>
    <s v="2-2차"/>
    <n v="1"/>
    <x v="0"/>
    <s v="DEF-00285"/>
    <s v="국토부기준 노선구분은 combo 박스인데 눌렀을때 아무 리스트도 뜨지 않음 공통코드가 없는지 확인이 필요할 것 같습니다"/>
    <s v="개발자테스트"/>
    <s v="신문호"/>
    <s v="신문호"/>
    <s v="3자테스터공통"/>
    <s v="Online"/>
    <s v="결함"/>
    <s v="기능"/>
    <s v="결함검토요청"/>
    <s v="신문호"/>
    <s v="Minor"/>
    <x v="0"/>
    <d v="2026-04-28T10:32:47"/>
    <d v="2026-04-28T14:03:48"/>
    <s v=""/>
  </r>
  <r>
    <s v="UT-PM10301S"/>
    <s v="2-3차"/>
    <n v="1"/>
    <x v="1"/>
    <s v="DEF-00286"/>
    <s v="캘린더에 날짜를 클릭해도 캘린더가 닫히지 않고 캘린더 TYPE이 다름"/>
    <s v="개발자테스트"/>
    <s v="임소정"/>
    <s v="신문호"/>
    <s v="3자테스터공통"/>
    <s v="Online"/>
    <s v="개선/변경"/>
    <s v="UI"/>
    <s v="결함검토요청"/>
    <s v="염희석"/>
    <s v="Minor"/>
    <x v="0"/>
    <d v="2026-04-28T10:36:04"/>
    <d v="2026-04-28T10:36:04"/>
    <s v=""/>
  </r>
  <r>
    <s v="UT-GO12909S"/>
    <s v="2-1차"/>
    <n v="1"/>
    <x v="0"/>
    <s v="DEF-00287"/>
    <s v="화물터미널주기현황 클릭하면.. 아무런 조회조건 입력 영역없이 조회 버튼만 존재하고.. 조회버튼 클릭하면.. 오늘자 현황이 조회됨._x000a_만일 날자 지정없이 오늘자만 조회하는 기능이라면. 조회버튼은 불필요할듯.. 아니면, 날자 선택 기능이 누락됨."/>
    <s v="개발자테스트"/>
    <s v="신문호"/>
    <s v="박정구"/>
    <s v="3자테스터공통"/>
    <s v="Online"/>
    <s v="결함"/>
    <s v="인터페이스"/>
    <s v="결함검토요청"/>
    <s v="신문호"/>
    <s v="Minor"/>
    <x v="0"/>
    <d v="2026-04-28T10:41:28"/>
    <d v="2026-04-28T10:41:29"/>
    <s v=""/>
  </r>
  <r>
    <s v="UT-PM10301S"/>
    <s v="2-3차"/>
    <n v="1"/>
    <x v="1"/>
    <s v="DEF-00288"/>
    <s v="1. 2026-04-28로 정상 조회 후 _x000a_2. 데이터가 없는 날짜 조회_x000a_  - 아래 시뮬레이션 요약 그래프에 데이터가 남아 있음_x000a_3. 상태 그대로 시뮬레이션 요약 밑에 출국장을 변경_x000a_4. 2026-04-28로 정상 조회_x000a_5. 시뮬레이션 요약에 데이터 조회 안됨."/>
    <s v="개발자테스트"/>
    <s v="임소정"/>
    <s v="신문호"/>
    <s v="3자테스터공통"/>
    <s v="Online"/>
    <s v="개선/변경"/>
    <s v="기능"/>
    <s v="결함검토요청"/>
    <s v="염희석"/>
    <s v="Major"/>
    <x v="0"/>
    <d v="2026-04-28T10:52:46"/>
    <d v="2026-04-28T10:52:46"/>
    <s v=""/>
  </r>
  <r>
    <s v="UT-GO12516S"/>
    <s v="2-2차"/>
    <n v="1"/>
    <x v="0"/>
    <s v="DEF-00291"/>
    <s v="출도착, 조회조건에 전체라는 default 값이 있는 콤보박스들은 최초 load시에 전체값이 떠야할것 같습니다."/>
    <s v="개발자테스트"/>
    <s v="신문호"/>
    <s v="김경준"/>
    <s v="3자테스터공통"/>
    <s v="Online"/>
    <s v="개선/변경"/>
    <s v="기능"/>
    <s v="결함검토요청"/>
    <s v="신문호"/>
    <s v="Minor"/>
    <x v="0"/>
    <d v="2026-04-28T11:04:04"/>
    <d v="2026-04-28T11:04:04"/>
    <s v=""/>
  </r>
  <r>
    <s v="UT-GO13303S"/>
    <s v="2-1차"/>
    <n v="1"/>
    <x v="0"/>
    <s v="DEF-00293"/>
    <s v="다운로드 받은 업로드 양식 파일의 각 필드별 입력이 필요한 형식의 예시가 제시되어야 함. "/>
    <s v="개발자테스트"/>
    <s v="신문호"/>
    <s v="박정구"/>
    <s v="3자테스터공통"/>
    <s v="Online"/>
    <s v="개선/변경"/>
    <s v="프로세스"/>
    <s v="결함검토요청"/>
    <s v="신문호"/>
    <s v="Minor"/>
    <x v="0"/>
    <d v="2026-04-28T11:10:41"/>
    <d v="2026-04-28T11:10:42"/>
    <s v=""/>
  </r>
  <r>
    <s v="UT-PM10302S"/>
    <s v="2-3차"/>
    <n v="1"/>
    <x v="1"/>
    <s v="DEF-00294"/>
    <s v="기준일자 없이 조회가 됨_x000a_- 필수값 체크 확인 필요"/>
    <s v="개발자테스트"/>
    <s v="임소정"/>
    <s v="pmtbd1"/>
    <s v="3자테스터공통"/>
    <s v="Online"/>
    <s v="결함"/>
    <s v="기능"/>
    <s v="결함검토요청"/>
    <s v="염희석"/>
    <s v="Critical"/>
    <x v="0"/>
    <d v="2026-04-28T11:10:47"/>
    <d v="2026-04-28T11:10:47"/>
    <s v=""/>
  </r>
  <r>
    <s v="UT-GO61602S"/>
    <s v="2-1차"/>
    <n v="1"/>
    <x v="0"/>
    <s v="DEF-00306"/>
    <s v="화면 상단의 숫자 필드 값 수정 가능한데.. 이후 어떤 액션을 할 수 있는지.. 모호함. 우측 조회 버튼은 자동 갱신 주기 변경 수행 여부의 버튼으로만 보임."/>
    <s v="개발자테스트"/>
    <s v="신문호"/>
    <s v="박정구"/>
    <s v="3자테스터공통"/>
    <s v="Online"/>
    <s v="개선/변경"/>
    <s v="UI"/>
    <s v="결함검토요청"/>
    <s v="신문호"/>
    <s v="Minor"/>
    <x v="0"/>
    <d v="2026-04-28T12:59:09"/>
    <d v="2026-04-28T12:59:09"/>
    <s v=""/>
  </r>
  <r>
    <s v="UT-PM10305S"/>
    <s v="2-3차"/>
    <n v="1"/>
    <x v="1"/>
    <s v="DEF-00313"/>
    <s v="전주에 대한 데이터 표시 안됨._x000a_"/>
    <s v="개발자테스트"/>
    <s v="임소정"/>
    <s v="pmtbd2"/>
    <s v="3자테스터공통"/>
    <s v="Online"/>
    <s v="결함"/>
    <s v="데이터"/>
    <s v="결함검토요청"/>
    <s v="염희석"/>
    <s v="Major"/>
    <x v="0"/>
    <d v="2026-04-28T13:20:54"/>
    <d v="2026-04-28T13:20:54"/>
    <s v=""/>
  </r>
  <r>
    <s v="UT-GO62401S"/>
    <s v="2-1차"/>
    <n v="1"/>
    <x v="0"/>
    <s v="DEF-00186"/>
    <s v="조건에 따른 조회결과가 표출되지 않음."/>
    <s v="개발자테스트"/>
    <s v="신문호"/>
    <s v="김경준"/>
    <s v="3자테스터공통"/>
    <s v="Online"/>
    <s v="결함"/>
    <s v="데이터"/>
    <s v="결함검토요청"/>
    <s v="신문호"/>
    <s v="Minor"/>
    <x v="0"/>
    <d v="2026-04-27T13:55:47"/>
    <d v="2026-04-27T13:55:47"/>
    <s v=""/>
  </r>
  <r>
    <s v="UT-GO11951S"/>
    <s v="2-1차"/>
    <n v="1"/>
    <x v="0"/>
    <s v="DEF-00187"/>
    <s v="각 입력 필드값의 유효성 점검이 이루어지는지 의문임.._x000a_대부분의 값이 제한없이 입력 저장되는데.._x000a_무의미한 숫자값이 제한 없이 입력 저장됨"/>
    <s v="개발자테스트"/>
    <s v="신문호"/>
    <s v="김경준"/>
    <s v="3자테스터공통"/>
    <s v="Online"/>
    <s v="개선/변경"/>
    <s v="프로세스"/>
    <s v="결함검토요청"/>
    <s v="신문호"/>
    <s v="Minor"/>
    <x v="0"/>
    <d v="2026-04-27T14:06:46"/>
    <d v="2026-04-27T14:06:46"/>
    <s v=""/>
  </r>
  <r>
    <s v="UT-GO41301S"/>
    <s v="1-1차"/>
    <n v="1"/>
    <x v="0"/>
    <s v="DEF-00208"/>
    <s v="search 이후, 드롭다운을 default 값(전체)으로 변경해야 할 것 같습니다. "/>
    <s v="개발자테스트"/>
    <s v="신문호"/>
    <s v="김경준"/>
    <s v="3자테스터공통"/>
    <s v="Online"/>
    <s v="개선/변경"/>
    <s v="UI"/>
    <s v="결함검토요청"/>
    <s v="신문호"/>
    <s v="Minor"/>
    <x v="0"/>
    <d v="2026-04-27T15:05:33"/>
    <d v="2026-04-27T15:05:33"/>
    <s v=""/>
  </r>
  <r>
    <s v="UT-GO12903S"/>
    <s v="2-2차"/>
    <n v="1"/>
    <x v="0"/>
    <s v="DEF-00283"/>
    <s v="최초 Load시 서버 오류 문구가 발생합니다."/>
    <s v="개발자테스트"/>
    <s v="신문호"/>
    <s v="신문호"/>
    <s v="3자테스터공통"/>
    <s v="Online"/>
    <s v="결함"/>
    <s v="기능"/>
    <s v="결함검토요청"/>
    <s v="신문호"/>
    <s v="Minor"/>
    <x v="0"/>
    <d v="2026-04-28T10:29:18"/>
    <d v="2026-04-28T10:29:18"/>
    <s v=""/>
  </r>
  <r>
    <s v="UT-GO23701S"/>
    <s v="1-2차"/>
    <n v="1"/>
    <x v="0"/>
    <s v="DEF-00319"/>
    <s v="집계연도가 빈값일때 통계 생성을 누르면 로딩이 됩니다. _x000a_이후 집계 완료 팝업이 뜹니다. "/>
    <s v="개발자테스트"/>
    <s v="신문호"/>
    <s v="김경준"/>
    <s v="3자테스터공통"/>
    <s v="Online"/>
    <s v="개선/변경"/>
    <s v="기타"/>
    <s v="결함검토요청"/>
    <s v="신문호"/>
    <s v="Major"/>
    <x v="0"/>
    <d v="2026-04-28T13:36:55"/>
    <d v="2026-04-28T13:36:55"/>
    <s v=""/>
  </r>
  <r>
    <s v="UT-GO11960S"/>
    <s v="2-2차"/>
    <n v="1"/>
    <x v="0"/>
    <s v="DEF-00320"/>
    <s v="스크롤로 내려가긴하는데 스크롤 표시가없어서 사용자가 아래에 데이터가 더 존재하는지 확인하기 어려운거 같습니다"/>
    <s v="개발자테스트"/>
    <s v="신문호"/>
    <s v="신문호"/>
    <s v="3자테스터공통"/>
    <s v="Online"/>
    <s v="개선/변경"/>
    <s v="UI"/>
    <s v="결함검토요청"/>
    <s v="신문호"/>
    <s v="Minor"/>
    <x v="0"/>
    <d v="2026-04-28T13:39:30"/>
    <d v="2026-04-28T13:39:30"/>
    <s v=""/>
  </r>
  <r>
    <s v="UT-PM10306S"/>
    <s v="2-3차"/>
    <n v="1"/>
    <x v="1"/>
    <s v="DEF-00325"/>
    <s v="1. 터미널 T1 번으로 조회하면 아이랜드 C에 데이터가 존재_x000a_2. 터미널 T2 로 변경 후 조회 _x000a_3. 표보기 또는 차트보기로 이동 후 맵보기로 왔을 때 데이터 사라짐_x000a_4. 데이터가 없는 상태에서 아이랜드 코드 클릭 시 차트보기로 이동 함."/>
    <s v="개발자테스트"/>
    <s v="임소정"/>
    <s v="pmtbd3"/>
    <s v="3자테스터공통"/>
    <s v="Online"/>
    <s v="결함"/>
    <s v="기능"/>
    <s v="결함검토요청"/>
    <s v="염희석"/>
    <s v="Critical"/>
    <x v="0"/>
    <d v="2026-04-28T13:49:14"/>
    <d v="2026-04-28T13:51:27"/>
    <s v=""/>
  </r>
  <r>
    <s v="UT-GO62301S"/>
    <s v="2-1차"/>
    <n v="1"/>
    <x v="0"/>
    <s v="DEF-00185"/>
    <s v="조건에 따른 조회결과가 표출되지 않음."/>
    <s v="개발자테스트"/>
    <s v="신문호"/>
    <s v="김경준"/>
    <s v="3자테스터공통"/>
    <s v="Online"/>
    <s v="결함"/>
    <s v="데이터"/>
    <s v="결함검토요청"/>
    <s v="신문호"/>
    <s v="Minor"/>
    <x v="0"/>
    <d v="2026-04-27T13:53:29"/>
    <d v="2026-04-27T13:53:29"/>
    <s v=""/>
  </r>
  <r>
    <s v="UT-GO41206M"/>
    <s v="1-2차"/>
    <n v="1"/>
    <x v="0"/>
    <s v="DEF-00370"/>
    <s v="엑셀 내 화물 단위 명시 누락"/>
    <s v="개발자테스트"/>
    <s v="신문호"/>
    <s v="김경준"/>
    <s v="3자테스터공통"/>
    <s v="Online"/>
    <s v="개선/변경"/>
    <s v="기타"/>
    <s v="결함검토요청"/>
    <s v="신문호"/>
    <s v="Minor"/>
    <x v="0"/>
    <d v="2026-04-28T15:12:25"/>
    <d v="2026-04-28T15:12:25"/>
    <s v=""/>
  </r>
  <r>
    <s v="UT-GO12903S"/>
    <s v="2-2차"/>
    <n v="1"/>
    <x v="0"/>
    <s v="DEF-00377"/>
    <s v="조건에 주기장 정보 입력시_x000a_from ~ to_x000a_1 ~ ==&gt; 유효한 범위가 아님_x000a_  ~ 9==&gt; 조회는 되나 결과는 이상"/>
    <s v="개발자테스트"/>
    <s v="신문호"/>
    <s v="신문호"/>
    <s v="3자테스터공통"/>
    <s v="Online"/>
    <s v="결함"/>
    <s v="기능"/>
    <s v="결함검토요청"/>
    <s v="신문호"/>
    <s v="Major"/>
    <x v="0"/>
    <d v="2026-04-28T15:28:39"/>
    <d v="2026-04-28T15:28:39"/>
    <s v=""/>
  </r>
  <r>
    <s v="UT-PM20101S"/>
    <s v="1-2차"/>
    <n v="1"/>
    <x v="1"/>
    <s v="DEF-00433"/>
    <s v="차트이미지가 잘립니다._x000a_승객 단위인데 결과 라인이 음수로 내려가는게 문제인것같습니다 "/>
    <s v="개발자테스트"/>
    <s v="임소정"/>
    <s v="신문호"/>
    <s v="3자테스터공통"/>
    <s v="Online"/>
    <s v="개선/변경"/>
    <s v="UI"/>
    <s v="결함검토요청"/>
    <s v="임소정"/>
    <s v="Minor"/>
    <x v="0"/>
    <d v="2026-04-29T10:12:47"/>
    <d v="2026-04-29T10:12:47"/>
    <s v=""/>
  </r>
  <r>
    <s v="UT-PM20159S"/>
    <s v="2-2차"/>
    <n v="1"/>
    <x v="1"/>
    <s v="DEF-00437"/>
    <s v="+ 버튼으로 그래프 비교를 할경우 화면 비율 100% 상태에서 승객수 기존 , 시뮬레이션 글자가 짤림"/>
    <s v="개발자테스트"/>
    <s v="임소정"/>
    <s v="노세찬"/>
    <s v="3자테스터공통"/>
    <s v="Online"/>
    <s v="결함"/>
    <s v="UI"/>
    <s v="결함검토요청"/>
    <s v="임소정"/>
    <s v="Minor"/>
    <x v="0"/>
    <d v="2026-04-29T10:23:43"/>
    <d v="2026-04-29T10:23:43"/>
    <s v=""/>
  </r>
  <r>
    <s v="UT-PM20101S"/>
    <s v="1-2차"/>
    <n v="1"/>
    <x v="1"/>
    <s v="DEF-00438"/>
    <s v="하단 데이터는 어떤 데이터인지 예상이 되지 않습니다. _x000a_데이터에 대한 안내가 필요해보입니다. "/>
    <s v="개발자테스트"/>
    <s v="임소정"/>
    <s v="신문호"/>
    <s v="3자테스터공통"/>
    <s v="Online"/>
    <s v="개선/변경"/>
    <s v="UI"/>
    <s v="결함검토요청"/>
    <s v="임소정"/>
    <s v="Minor"/>
    <x v="0"/>
    <d v="2026-04-29T10:27:52"/>
    <d v="2026-04-29T10:27:52"/>
    <s v=""/>
  </r>
  <r>
    <s v="UT-PM20160S"/>
    <s v="2-2차"/>
    <n v="1"/>
    <x v="1"/>
    <s v="DEF-00439"/>
    <s v="+ 버튼으로 그래프 비교를 할경우 화면 비율 100% 상태에서 환승검색대 갯수 글자 짤림 ,  승객수 그래프 하단 기존 , 시뮬레이션 글자가 짤림"/>
    <s v="개발자테스트"/>
    <s v="임소정"/>
    <s v="노세찬"/>
    <s v="3자테스터공통"/>
    <s v="Online"/>
    <s v="결함"/>
    <s v="UI"/>
    <s v="결함검토요청"/>
    <s v="임소정"/>
    <s v="Minor"/>
    <x v="0"/>
    <d v="2026-04-29T10:27:55"/>
    <d v="2026-04-29T10:27:55"/>
    <s v=""/>
  </r>
  <r>
    <s v="UT-PM20136M"/>
    <s v="2-1차"/>
    <n v="1"/>
    <x v="1"/>
    <s v="DEF-00474"/>
    <s v="테스트케이스 엑셀과 UI 가 다릅니다. Config 자료가 정상 복사버튼 없음_x000a_완료 되어있지만 아직 ui 상에는 안보임 "/>
    <s v="개발자테스트"/>
    <s v="임소정"/>
    <s v="pmtbd3"/>
    <s v="3자테스터공통"/>
    <s v="Online"/>
    <s v="결함"/>
    <s v="UI"/>
    <s v="결함검토요청"/>
    <s v="임소정"/>
    <s v="Minor"/>
    <x v="0"/>
    <d v="2026-04-29T14:31:51"/>
    <d v="2026-04-29T14:31:51"/>
    <s v=""/>
  </r>
  <r>
    <s v="UT-FSSG170S"/>
    <s v="2-2차"/>
    <n v="1"/>
    <x v="2"/>
    <s v="DEF-00502"/>
    <s v="데이터 수정 후 저장 전 엑셀 다운로드를 누른 결과입니다._x000a_수정된 (저장되지 않은) 데이터가 엑셀에 그대로 나옵니다._x000a_수정된 필드가 있다면 엑셀 다운로드를 막아야 할것같습니다. "/>
    <s v="개발자테스트"/>
    <s v="임소정"/>
    <s v="임소정"/>
    <s v="3자테스터공통"/>
    <s v="Online"/>
    <s v="개선/변경"/>
    <s v="기타"/>
    <s v="결함검토요청"/>
    <s v="임소정"/>
    <s v="Minor"/>
    <x v="0"/>
    <d v="2026-04-29T15:41:09"/>
    <d v="2026-04-29T15:41:09"/>
    <s v=""/>
  </r>
  <r>
    <s v="UT-FSEX020S"/>
    <s v="2-1차"/>
    <n v="1"/>
    <x v="2"/>
    <s v="DEF-00503"/>
    <s v="최대 입력 확인 필요"/>
    <s v="개발자테스트"/>
    <s v="임소정"/>
    <s v="임소정"/>
    <s v="3자테스터공통"/>
    <s v="Online"/>
    <s v="결함"/>
    <s v="기능"/>
    <s v="결함검토요청"/>
    <s v="임소정"/>
    <s v="Critical"/>
    <x v="0"/>
    <d v="2026-04-29T15:45:01"/>
    <d v="2026-04-29T15:45:01"/>
    <s v=""/>
  </r>
  <r>
    <s v="UT-FSSG170S"/>
    <s v="2-2차"/>
    <n v="1"/>
    <x v="2"/>
    <s v="DEF-00508"/>
    <s v="숫자/영문만 입력할 수 있도록 input 유효성 검사가 필요해 보입니다. _x000a_또는 아래 사진 팝업 확인 후 데이터 위반 필드에 포커스가 가면 좋을것 같습니다. "/>
    <s v="개발자테스트"/>
    <s v="임소정"/>
    <s v="임소정"/>
    <s v="3자테스터공통"/>
    <s v="Online"/>
    <s v="개선/변경"/>
    <s v="UI"/>
    <s v="결함검토요청"/>
    <s v="임소정"/>
    <s v="Minor"/>
    <x v="0"/>
    <d v="2026-04-29T15:54:32"/>
    <d v="2026-04-29T15:54:32"/>
    <s v=""/>
  </r>
  <r>
    <s v="UT-FSSG170S"/>
    <s v="2-2차"/>
    <n v="1"/>
    <x v="2"/>
    <s v="DEF-00512"/>
    <s v="input 필드에 대해 잘못된 값이라면 border 색상 변경 또는 입력값 무효화 등 이 필요해보입니다. "/>
    <s v="개발자테스트"/>
    <s v="임소정"/>
    <s v="임소정"/>
    <s v="3자테스터공통"/>
    <s v="Online"/>
    <s v="개선/변경"/>
    <s v="UI"/>
    <s v="결함검토요청"/>
    <s v="임소정"/>
    <s v="Minor"/>
    <x v="0"/>
    <d v="2026-04-29T16:04:02"/>
    <d v="2026-04-29T16:04:02"/>
    <s v=""/>
  </r>
  <r>
    <s v="UT-FSEX080S"/>
    <s v="2-2차"/>
    <n v="1"/>
    <x v="2"/>
    <s v="DEF-00537"/>
    <s v="[X_1] row 삭제 후 일괄등록 시, 신규 일괄등록한 row의 피해현황 출/도착 데이터에 삭제했던 row에 등록된 피해현황 출/도착 데이터가 매핑되어 데이터가 오염됨._x000a__x000a_[재현 절차 (스크린샷)]_x000a_1. 피해현황 출/도착을 입력하기 위한 선행조건인 운항통제를 '운항중단'으로 설정 후, 출/도착에 각각 데이터를 입력한 뒤 등록_x000a_2. 1. 에서 등록했던 row 삭제_x000a_3. 신규 일괄등록_x000a_4. 신규 일괄등록된 데이터에 2. 에서 삭제했던(1. 에서 등록했던) row의 피해현황 출/도착 값이 매핑되어 데이터가 오염됨"/>
    <s v="개발자테스트"/>
    <s v="임소정"/>
    <s v="임소정"/>
    <s v="3자테스터공통"/>
    <s v="Online"/>
    <s v="결함"/>
    <s v="데이터"/>
    <s v="결함검토요청"/>
    <s v="임소정"/>
    <s v="Critical"/>
    <x v="0"/>
    <d v="2026-04-30T09:58:06"/>
    <d v="2026-04-30T10:00:43"/>
    <s v=""/>
  </r>
  <r>
    <s v="UT-FSEX040M"/>
    <s v="2-1차"/>
    <n v="1"/>
    <x v="2"/>
    <s v="DEF-00541"/>
    <s v="신규로 팝업을 오픈하고 내용 작성 후 저장. 해당 상태에서 다시 저장 버튼 누르면 &quot;기존의 자료와 식별자/키가 중복되었습니다.&quot; 알림창이 뜨고 저장이 안됨._x000a_(신규로 오픈된 팝업에서 저장 후 팝업이 오픈되어 있는 상태로 유지되어 다시 저장을 하면 다시 신규로 저장하는 프로세스로 인지하는 듯 합니다.)"/>
    <s v="개발자테스트"/>
    <s v="임소정"/>
    <s v="임소정"/>
    <s v="3자테스터공통"/>
    <s v="Online"/>
    <s v="결함"/>
    <s v="프로세스"/>
    <s v="결함검토요청"/>
    <s v="임소정"/>
    <s v="Major"/>
    <x v="0"/>
    <d v="2026-04-30T10:37:33"/>
    <d v="2026-04-30T10:37:33"/>
    <s v=""/>
  </r>
  <r>
    <s v="UT-FSEX070S"/>
    <s v="2-1차"/>
    <n v="1"/>
    <x v="2"/>
    <s v="DEF-00544"/>
    <s v="입력 최대값 확인 필요"/>
    <s v="개발자테스트"/>
    <s v="임소정"/>
    <s v="임소정"/>
    <s v="3자테스터공통"/>
    <s v="Online"/>
    <s v="결함"/>
    <s v="기능"/>
    <s v="결함검토요청"/>
    <s v="임소정"/>
    <s v="Critical"/>
    <x v="0"/>
    <d v="2026-04-30T10:56:06"/>
    <d v="2026-04-30T10:56:06"/>
    <s v=""/>
  </r>
  <r>
    <s v="UT-PM10511S"/>
    <s v="2-3차"/>
    <n v="1"/>
    <x v="1"/>
    <s v="DEF-00569"/>
    <s v="시뮬레이션 결과를 확인할 수 없어 테스트 진행 불가(Cast Express관련)"/>
    <s v="개발자테스트"/>
    <s v="임소정"/>
    <s v="pmtbd3"/>
    <s v="3자테스터공통"/>
    <s v="Online"/>
    <s v="개선/변경"/>
    <s v="기능"/>
    <s v="결함검토요청"/>
    <s v="임소정"/>
    <s v="Major"/>
    <x v="0"/>
    <d v="2026-04-30T14:50:44"/>
    <d v="2026-04-30T14:50:44"/>
    <s v=""/>
  </r>
  <r>
    <s v="UT-GO62301S"/>
    <s v="2-1차"/>
    <n v="1"/>
    <x v="0"/>
    <s v="DEF-00328"/>
    <s v="우측하단 인쇄 버튼이 PRINT 와 같이 영문으로 표시됨. 전체적으로 일관성 맞춤 필요함."/>
    <s v="개발자테스트"/>
    <s v="신문호"/>
    <s v="김경준"/>
    <s v="3자테스터공통"/>
    <s v="Online"/>
    <s v="결함"/>
    <s v="UI"/>
    <s v="결함검토요청"/>
    <s v="신문호"/>
    <s v="Minor"/>
    <x v="0"/>
    <d v="2026-04-28T13:54:51"/>
    <d v="2026-04-28T13:54:51"/>
    <s v=""/>
  </r>
  <r>
    <s v="UT-GO41204M"/>
    <s v="1-2차"/>
    <n v="1"/>
    <x v="0"/>
    <s v="DEF-00356"/>
    <s v="여러번 시도했지만 에러가 뜹니다.. (요약보고 구)"/>
    <s v="개발자테스트"/>
    <s v="신문호"/>
    <s v="김경준"/>
    <s v="3자테스터공통"/>
    <s v="Online"/>
    <s v="결함"/>
    <s v="기능"/>
    <s v="결함검토요청"/>
    <s v="신문호"/>
    <s v="Major"/>
    <x v="0"/>
    <d v="2026-04-28T14:49:25"/>
    <d v="2026-04-28T15:02:46"/>
    <s v=""/>
  </r>
  <r>
    <s v="UT-GO41218M"/>
    <s v="1-2차"/>
    <n v="1"/>
    <x v="0"/>
    <s v="DEF-00383"/>
    <s v="샘플 다운로드 후 엑셀 업로드가 1회만 가능합니다._x000a_2번째 부터 서버오류 팝업이 뜹니다. _x000a__x000a_1회 업로드 이후 동작에 대해 아래와 같은 방법도 좋을것같습니다. _x000a_1. 업로드 버튼 disable _x000a_2. 팝업 내용 변경 (업로드 횟수를 초과했습니다. 등)_x000a_3. 이전 업로드 파일 clear 후 늘 새로운 내용 덮어쓰기"/>
    <s v="개발자테스트"/>
    <s v="신문호"/>
    <s v="김경준"/>
    <s v="3자테스터공통"/>
    <s v="Online"/>
    <s v="개선/변경"/>
    <s v="UI"/>
    <s v="결함검토요청"/>
    <s v="신문호"/>
    <s v="Minor"/>
    <x v="0"/>
    <d v="2026-04-28T15:41:58"/>
    <d v="2026-04-28T15:41:58"/>
    <s v=""/>
  </r>
  <r>
    <s v="UT-PM10402S"/>
    <s v="2-3차"/>
    <n v="1"/>
    <x v="1"/>
    <s v="DEF-00385"/>
    <s v="UT-PM10401S 에 등록된 운항편 전체 비율로 수정에 대한 불러오기 버튼 클릭과 관련된 내용 확인 필요"/>
    <s v="개발자테스트"/>
    <s v="임소정"/>
    <s v="pmtbd3"/>
    <s v="3자테스터공통"/>
    <s v="Online"/>
    <s v="결함"/>
    <s v="기능"/>
    <s v="결함검토요청"/>
    <s v="염희석"/>
    <s v="Major"/>
    <x v="0"/>
    <d v="2026-04-28T15:42:58"/>
    <d v="2026-04-28T15:42:58"/>
    <s v=""/>
  </r>
  <r>
    <s v="UT-GO41218M"/>
    <s v="1-2차"/>
    <n v="1"/>
    <x v="0"/>
    <s v="DEF-00387"/>
    <s v="야간, 주간 모두 조회가 잘 되지 않습니다.. _x000a_조회가 되는 특별한 조건이 있는걸까요 ?"/>
    <s v="개발자테스트"/>
    <s v="신문호"/>
    <s v="김경준"/>
    <s v="3자테스터공통"/>
    <s v="Online"/>
    <s v="결함"/>
    <s v="기능"/>
    <s v="결함검토요청"/>
    <s v="신문호"/>
    <s v="Major"/>
    <x v="0"/>
    <d v="2026-04-28T15:44:31"/>
    <d v="2026-04-28T15:44:31"/>
    <s v=""/>
  </r>
  <r>
    <s v="UT-PM10401S"/>
    <s v="2-3차"/>
    <n v="1"/>
    <x v="1"/>
    <s v="DEF-00389"/>
    <s v="- 출구장 수정 부분에 시간 설정 후 현재상태 저장 안됨."/>
    <s v="개발자테스트"/>
    <s v="임소정"/>
    <s v="pmtbd3"/>
    <s v="3자테스터공통"/>
    <s v="Online"/>
    <s v="결함"/>
    <s v="기능"/>
    <s v="결함검토요청"/>
    <s v="염희석"/>
    <s v="Critical"/>
    <x v="0"/>
    <d v="2026-04-28T15:46:13"/>
    <d v="2026-04-28T15:46:13"/>
    <s v=""/>
  </r>
  <r>
    <s v="UT-PM10105S"/>
    <s v="2-2차"/>
    <n v="1"/>
    <x v="1"/>
    <s v="DEF-00407"/>
    <s v="시작일자나 종료일자  누락시에도 조회가 된다._x000a_(필수입력값이므로 조회가 되면 안됨)"/>
    <s v="개발자테스트"/>
    <s v="임소정"/>
    <s v="신문호"/>
    <s v="3자테스터공통"/>
    <s v="Online"/>
    <s v="개선/변경"/>
    <s v="기능"/>
    <s v="결함검토요청"/>
    <s v="염희석"/>
    <s v="Minor"/>
    <x v="0"/>
    <d v="2026-04-28T17:33:06"/>
    <d v="2026-04-28T17:34:46"/>
    <s v=""/>
  </r>
  <r>
    <s v="UT-GO61202S"/>
    <s v="1-2차"/>
    <n v="1"/>
    <x v="0"/>
    <s v="DEF-00409"/>
    <s v="아이콘 크기 조절가능한 이유가 궁금해요ㅕ"/>
    <s v="개발자테스트"/>
    <s v="신문호"/>
    <s v="박정구"/>
    <s v="3자테스터공통"/>
    <s v="Online"/>
    <s v="개선/변경"/>
    <s v="UI"/>
    <s v="결함검토요청"/>
    <s v="신문호"/>
    <s v="Minor"/>
    <x v="0"/>
    <d v="2026-04-28T17:37:34"/>
    <d v="2026-04-28T17:37:34"/>
    <s v=""/>
  </r>
  <r>
    <s v="UT-GO52803S"/>
    <s v="1-2차"/>
    <n v="1"/>
    <x v="0"/>
    <s v="DEF-00428"/>
    <s v="테스트케이스 엑셀 파일이 없습니다."/>
    <s v="개발자테스트"/>
    <s v="신문호"/>
    <s v="김경준"/>
    <s v="3자테스터공통"/>
    <s v="Online"/>
    <s v="신규"/>
    <s v="기타"/>
    <s v="결함검토요청"/>
    <s v="신문호"/>
    <s v="Minor"/>
    <x v="0"/>
    <d v="2026-04-29T09:37:46"/>
    <d v="2026-04-29T09:37:46"/>
    <s v=""/>
  </r>
  <r>
    <s v="UT-GO52804S"/>
    <s v="1-2차"/>
    <n v="1"/>
    <x v="0"/>
    <s v="DEF-00429"/>
    <s v="테스트케이스 엑셀 파일이 없습니다."/>
    <s v="개발자테스트"/>
    <s v="신문호"/>
    <s v="김경준"/>
    <s v="3자테스터공통"/>
    <s v="Online"/>
    <s v="개선/변경"/>
    <s v="기타"/>
    <s v="결함검토요청"/>
    <s v="신문호"/>
    <s v="Minor"/>
    <x v="0"/>
    <d v="2026-04-29T09:37:58"/>
    <d v="2026-04-29T09:37:58"/>
    <s v=""/>
  </r>
  <r>
    <s v="UT-PM20156S"/>
    <s v="2-2차"/>
    <n v="1"/>
    <x v="1"/>
    <s v="DEF-00431"/>
    <s v="그래프 비교 시 x 축이 정확하게 보이지 않습니다! "/>
    <s v="개발자테스트"/>
    <s v="임소정"/>
    <s v="노세찬"/>
    <s v="3자테스터공통"/>
    <s v="Online"/>
    <s v="개선/변경"/>
    <s v="UI"/>
    <s v="결함검토요청"/>
    <s v="임소정"/>
    <s v="Minor"/>
    <x v="0"/>
    <d v="2026-04-29T09:57:36"/>
    <d v="2026-04-29T09:57:36"/>
    <s v=""/>
  </r>
  <r>
    <s v="UT-PM20157S"/>
    <s v="2-2차"/>
    <n v="1"/>
    <x v="1"/>
    <s v="DEF-00432"/>
    <s v="  + 버튼으로 그래프 비교를 할경우 화면 비율 100% 상태에서 승객수  _x000a_기존 , 시뮬레이션 글자가 짤림 "/>
    <s v="개발자테스트"/>
    <s v="임소정"/>
    <s v="노세찬"/>
    <s v="3자테스터공통"/>
    <s v="Online"/>
    <s v="결함"/>
    <s v="UI"/>
    <s v="결함검토요청"/>
    <s v="염희석"/>
    <s v="Minor"/>
    <x v="0"/>
    <d v="2026-04-29T10:00:47"/>
    <d v="2026-04-29T10:00:47"/>
    <s v=""/>
  </r>
  <r>
    <s v="UT-PM10106S"/>
    <s v="2-2차"/>
    <n v="1"/>
    <x v="1"/>
    <s v="DEF-00445"/>
    <s v="예측관리 -&gt; 입력정보 관리 카테고리 안에 연계데이터 상태 상세 관리 항목은 없음 "/>
    <s v="개발자테스트"/>
    <s v="임소정"/>
    <s v="신문호"/>
    <s v="3자테스터공통"/>
    <s v="Online"/>
    <s v="결함"/>
    <s v="기타"/>
    <s v="결함검토요청"/>
    <s v="임소정"/>
    <s v="Minor"/>
    <x v="0"/>
    <d v="2026-04-29T10:49:20"/>
    <d v="2026-04-29T10:49:20"/>
    <s v=""/>
  </r>
  <r>
    <s v="UT-PM20106M"/>
    <s v="1-2차"/>
    <n v="1"/>
    <x v="1"/>
    <s v="DEF-00446"/>
    <s v="창을 줄였을때 스크롤이 생기지 않습니다. "/>
    <s v="개발자테스트"/>
    <s v="임소정"/>
    <s v="염희석"/>
    <s v="3자테스터공통"/>
    <s v="Online"/>
    <s v="개선/변경"/>
    <s v="UI"/>
    <s v="결함검토요청"/>
    <s v="임소정"/>
    <s v="Minor"/>
    <x v="0"/>
    <d v="2026-04-29T10:50:11"/>
    <d v="2026-04-29T10:50:11"/>
    <s v=""/>
  </r>
  <r>
    <s v="UT-GO12707S"/>
    <s v="2-3차"/>
    <n v="1"/>
    <x v="0"/>
    <s v="DEF-00449"/>
    <s v="검색 조건 정렬 필요"/>
    <s v="개발자테스트"/>
    <s v="신문호"/>
    <s v="김경준"/>
    <s v="3자테스터공통"/>
    <s v="Online"/>
    <s v="개선/변경"/>
    <s v="UI"/>
    <s v="결함검토요청"/>
    <s v="신문호"/>
    <s v="Minor"/>
    <x v="0"/>
    <d v="2026-04-29T10:58:54"/>
    <d v="2026-04-29T10:58:54"/>
    <s v=""/>
  </r>
  <r>
    <s v="UT-PM20101S"/>
    <s v="1-2차"/>
    <n v="1"/>
    <x v="1"/>
    <s v="DEF-00453"/>
    <s v="시간대별 상세 셀 색상이 통일돼야할것같아요"/>
    <s v="개발자테스트"/>
    <s v="임소정"/>
    <s v="신문호"/>
    <s v="3자테스터공통"/>
    <s v="Online"/>
    <s v="개선/변경"/>
    <s v="UI"/>
    <s v="결함검토요청"/>
    <s v="임소정"/>
    <s v="Minor"/>
    <x v="0"/>
    <d v="2026-04-29T11:09:53"/>
    <d v="2026-04-29T11:09:53"/>
    <s v=""/>
  </r>
  <r>
    <s v="UT-FSQB140S"/>
    <s v="1-2차"/>
    <n v="1"/>
    <x v="2"/>
    <s v="DEF-00454"/>
    <s v="포기물품 기증일자 선택시 하단 [포기물품 기증현황] 항목에 상세 내용 display 하는데 속도가 느리네요. (3~4초 )"/>
    <s v="개발자테스트"/>
    <s v="임소정"/>
    <s v="임소정"/>
    <s v="3자테스터공통"/>
    <s v="Online"/>
    <s v="개선/변경"/>
    <s v="성능"/>
    <s v="결함검토요청"/>
    <s v="임소정"/>
    <s v="Major"/>
    <x v="0"/>
    <d v="2026-04-29T11:14:11"/>
    <d v="2026-04-29T11:14:11"/>
    <s v=""/>
  </r>
  <r>
    <s v="UT-PM10201S"/>
    <s v="2-2차"/>
    <n v="1"/>
    <x v="1"/>
    <s v="DEF-00455"/>
    <s v="UI 변경으로 인한 단위테스트 수정 "/>
    <s v="개발자테스트"/>
    <s v="임소정"/>
    <s v="pmtbd1"/>
    <s v="3자테스터공통"/>
    <s v="Online"/>
    <s v="개선/변경"/>
    <s v="문서화"/>
    <s v="결함검토요청"/>
    <s v="임소정"/>
    <s v="Minor"/>
    <x v="0"/>
    <d v="2026-04-29T11:18:18"/>
    <d v="2026-04-29T11:18:18"/>
    <s v=""/>
  </r>
  <r>
    <s v="UT-PM10202S"/>
    <s v="2-2차"/>
    <n v="1"/>
    <x v="1"/>
    <s v="DEF-00456"/>
    <s v="운영시간 조회 데이터가 없어서 데이터 증적후 재 테스트"/>
    <s v="개발자테스트"/>
    <s v="임소정"/>
    <s v="pmtbd1"/>
    <s v="3자테스터공통"/>
    <s v="Online"/>
    <s v="개선/변경"/>
    <s v="데이터"/>
    <s v="결함검토요청"/>
    <s v="임소정"/>
    <s v="Minor"/>
    <x v="0"/>
    <d v="2026-04-29T11:18:48"/>
    <d v="2026-04-29T11:18:48"/>
    <s v=""/>
  </r>
  <r>
    <s v="UT-GO12910S"/>
    <s v="2-3차"/>
    <n v="1"/>
    <x v="0"/>
    <s v="DEF-00457"/>
    <s v="1 일평균(명)의 전주와 금주에 빨간색 폰트가 맞는지 확인 필요_x000a_2. 0.0 인데 빨간색 상향 표시 확인 필요_x000a_3. 국제여객과 일평균에 대해서 증감율 병합이 맞는지 확인 필요_x000a_4. 왼쪽 테두리 없음._x000a_5. 오타 수정(날자 =&gt; 날짜)_x000a_6. 증감율 환승율만 계산되는 것 같아 보임."/>
    <s v="개발자테스트"/>
    <s v="신문호"/>
    <s v="신문호"/>
    <s v="3자테스터공통"/>
    <s v="Online"/>
    <s v="개선/변경"/>
    <s v="기능"/>
    <s v="결함검토요청"/>
    <s v="신문호"/>
    <s v="Major"/>
    <x v="0"/>
    <d v="2026-04-29T11:19:01"/>
    <d v="2026-04-29T11:19:01"/>
    <s v=""/>
  </r>
  <r>
    <s v="UT-PM20107M"/>
    <s v="1-2차"/>
    <n v="1"/>
    <x v="1"/>
    <s v="DEF-00459"/>
    <s v="첫번째 사진에서 데이터가 없을 때 '조회된 데이터가 없습니다.' 가 뜨지 않습니다. "/>
    <s v="개발자테스트"/>
    <s v="임소정"/>
    <s v="pmtbd2"/>
    <s v="3자테스터공통"/>
    <s v="Online"/>
    <s v="개선/변경"/>
    <s v="UI"/>
    <s v="결함검토요청"/>
    <s v="임소정"/>
    <s v="Minor"/>
    <x v="0"/>
    <d v="2026-04-29T11:25:32"/>
    <d v="2026-04-29T13:10:35"/>
    <s v=""/>
  </r>
  <r>
    <s v="UT-PM20136M"/>
    <s v="2-1차"/>
    <n v="1"/>
    <x v="1"/>
    <s v="DEF-00478"/>
    <s v="단위테스트 증적이랑  현재 ui 화면 버튼이 다름 "/>
    <s v="개발자테스트"/>
    <s v="임소정"/>
    <s v="pmtbd3"/>
    <s v="3자테스터공통"/>
    <s v="Online"/>
    <s v="결함"/>
    <s v="문서화"/>
    <s v="결함검토요청"/>
    <s v="임소정"/>
    <s v="Minor"/>
    <x v="0"/>
    <d v="2026-04-29T14:38:35"/>
    <d v="2026-04-29T14:38:35"/>
    <s v=""/>
  </r>
  <r>
    <s v="UT-FSEX090M"/>
    <s v="2-3차"/>
    <n v="1"/>
    <x v="2"/>
    <s v="DEF-00480"/>
    <s v="[S_3] '일자' 필드를 수정하면 다른 어떤 필드를 수정하든 수정하지 않든 정상적으로 수정이 가능하지만, '일자' 필드를 수정하지 않은 상태로 다른 어떤 필드든 수정 시 데이터 제약조건 위반 에러가 표출되며 수정되지 않음"/>
    <s v="개발자테스트"/>
    <s v="임소정"/>
    <s v="임소정"/>
    <s v="3자테스터공통"/>
    <s v="Online"/>
    <s v="결함"/>
    <s v="기능"/>
    <s v="결함검토요청"/>
    <s v="임소정"/>
    <s v="Critical"/>
    <x v="0"/>
    <d v="2026-04-29T14:46:39"/>
    <d v="2026-04-29T14:46:39"/>
    <s v=""/>
  </r>
  <r>
    <s v="UT-PM10309S"/>
    <s v="2-3차"/>
    <n v="1"/>
    <x v="1"/>
    <s v="DEF-00007"/>
    <s v="캡처 이미지처럼 글자수 때문에 디자인이 깨지는 현상 발생."/>
    <s v="개발자테스트"/>
    <s v="임소정"/>
    <s v="pmtbd2"/>
    <s v="3자테스터공통"/>
    <s v="Online"/>
    <s v="개선/변경"/>
    <s v="UI"/>
    <s v="결함검토요청"/>
    <s v="염희석"/>
    <s v="Minor"/>
    <x v="0"/>
    <d v="2026-04-22T13:12:06"/>
    <d v="2026-04-22T13:12:06"/>
    <s v=""/>
  </r>
  <r>
    <s v="UT-GO12511S"/>
    <s v="2-1차"/>
    <n v="1"/>
    <x v="0"/>
    <s v="DEF-00198"/>
    <s v="우측 상단의 15분 이상, 16분 이상 선택에 따른 조회 결과가 동일함.."/>
    <s v="개발자테스트"/>
    <s v="신문호"/>
    <s v="김경준"/>
    <s v="3자테스터공통"/>
    <s v="Online"/>
    <s v="결함"/>
    <s v="데이터"/>
    <s v="결함검토요청"/>
    <s v="신문호"/>
    <s v="Minor"/>
    <x v="0"/>
    <d v="2026-04-27T14:36:46"/>
    <d v="2026-04-27T14:36:46"/>
    <s v=""/>
  </r>
  <r>
    <s v="UT-GO11965S"/>
    <s v="2-2차"/>
    <n v="1"/>
    <x v="0"/>
    <s v="DEF-00260"/>
    <s v="기간지정 일일 최대수송실적 조회간 9999년도로 조회하면 2026년으로 조회 막아야할거같습니다"/>
    <s v="개발자테스트"/>
    <s v="신문호"/>
    <s v="신문호"/>
    <s v="3자테스터공통"/>
    <s v="Online"/>
    <s v="개선/변경"/>
    <s v="기능"/>
    <s v="결함검토요청"/>
    <s v="신문호"/>
    <s v="Major"/>
    <x v="0"/>
    <d v="2026-04-27T17:41:27"/>
    <d v="2026-04-27T17:41:27"/>
    <s v=""/>
  </r>
  <r>
    <s v="UT-GO21401S"/>
    <s v="2-2차"/>
    <n v="1"/>
    <x v="0"/>
    <s v="DEF-00264"/>
    <s v="수하물 실적예측정보/등록 수정간 데이터 길이 제한이 걸려있지않음 무한대로 입력가능함"/>
    <s v="개발자테스트"/>
    <s v="신문호"/>
    <s v="신문호"/>
    <s v="3자테스터공통"/>
    <s v="Online"/>
    <s v="개선/변경"/>
    <s v="기능"/>
    <s v="결함검토요청"/>
    <s v="신문호"/>
    <s v="Minor"/>
    <x v="0"/>
    <d v="2026-04-27T17:46:39"/>
    <d v="2026-04-27T17:46:39"/>
    <s v=""/>
  </r>
  <r>
    <s v="UT-PM10302S"/>
    <s v="2-3차"/>
    <n v="1"/>
    <x v="1"/>
    <s v="DEF-00298"/>
    <s v="환승장 탭을 선택한 뒤 조회버튼 클릭 시 다시 입국장 탭 선택됨."/>
    <s v="개발자테스트"/>
    <s v="임소정"/>
    <s v="pmtbd1"/>
    <s v="3자테스터공통"/>
    <s v="Online"/>
    <s v="개선/변경"/>
    <s v="기능"/>
    <s v="결함검토요청"/>
    <s v="염희석"/>
    <s v="Minor"/>
    <x v="0"/>
    <d v="2026-04-28T11:13:22"/>
    <d v="2026-04-28T11:13:22"/>
    <s v=""/>
  </r>
  <r>
    <s v="UT-GO13303S"/>
    <s v="2-1차"/>
    <n v="1"/>
    <x v="0"/>
    <s v="DEF-00301"/>
    <s v="아래와 같이 기존 Data 조회하여. Upload 양식에 기입하고 Upload 시도하였지만. 파일 업로드 실패함."/>
    <s v="개발자테스트"/>
    <s v="신문호"/>
    <s v="박정구"/>
    <s v="3자테스터공통"/>
    <s v="Online"/>
    <s v="결함"/>
    <s v="기능"/>
    <s v="결함검토요청"/>
    <s v="신문호"/>
    <s v="Major"/>
    <x v="0"/>
    <d v="2026-04-28T11:18:59"/>
    <d v="2026-04-28T11:18:59"/>
    <s v=""/>
  </r>
  <r>
    <s v="UT-GO23801S"/>
    <s v="1-2차"/>
    <n v="1"/>
    <x v="0"/>
    <s v="DEF-00302"/>
    <s v="엑셀 다운 시 일자 항목 데이터 확인이 필요할것같습니다. "/>
    <s v="개발자테스트"/>
    <s v="신문호"/>
    <s v="박정구"/>
    <s v="3자테스터공통"/>
    <s v="Online"/>
    <s v="개선/변경"/>
    <s v="기타"/>
    <s v="결함검토요청"/>
    <s v="신문호"/>
    <s v="Minor"/>
    <x v="0"/>
    <d v="2026-04-28T11:19:49"/>
    <d v="2026-04-28T11:19:49"/>
    <s v=""/>
  </r>
  <r>
    <s v="UT-PM10303S"/>
    <s v="2-3차"/>
    <n v="1"/>
    <x v="1"/>
    <s v="DEF-00303"/>
    <s v="!! 해당 결함 그냥 결함 완료 처리 부탁드립니다.!!_x000a_해당 결함은 시나리오ID : UT-PM10304S에 동일하게 작성 했습니다._x000a__x000a_세로 스크롤이 그리드의 오른쪽 끝에만 표시됨._x000a_ - 그리드에서 세로 스크롤이 표시되는 곳을 벗어나면 스크롤이 보이지 않음."/>
    <s v="개발자테스트"/>
    <s v="임소정"/>
    <s v="pmtbd2"/>
    <s v="3자테스터공통"/>
    <s v="Online"/>
    <s v="개선/변경"/>
    <s v="UI"/>
    <s v="결함검토요청"/>
    <s v="염희석"/>
    <s v="Minor"/>
    <x v="0"/>
    <d v="2026-04-28T11:21:05"/>
    <d v="2026-04-28T13:15:15"/>
    <s v=""/>
  </r>
  <r>
    <s v="UT-GO23801S"/>
    <s v="1-2차"/>
    <n v="1"/>
    <x v="0"/>
    <s v="DEF-00304"/>
    <s v="엑셀 내 합계 행 데이터 표현도 확인해야할것같아요"/>
    <s v="개발자테스트"/>
    <s v="신문호"/>
    <s v="박정구"/>
    <s v="3자테스터공통"/>
    <s v="Online"/>
    <s v="개선/변경"/>
    <s v="기타"/>
    <s v="결함검토요청"/>
    <s v="신문호"/>
    <s v="Minor"/>
    <x v="0"/>
    <d v="2026-04-28T11:21:36"/>
    <d v="2026-04-28T11:21:36"/>
    <s v=""/>
  </r>
  <r>
    <s v="UT-PM10311S"/>
    <s v="2-3차"/>
    <n v="1"/>
    <x v="1"/>
    <s v="DEF-00008"/>
    <s v="맵보기, 표보기에는 데이터가 있지만 차트보기에서는 아무것도 안나옵니다."/>
    <s v="개발자테스트"/>
    <s v="임소정"/>
    <s v="pmtbd2"/>
    <s v="3자테스터공통"/>
    <s v="Online"/>
    <s v="결함"/>
    <s v="데이터"/>
    <s v="결함검토요청"/>
    <s v="염희석"/>
    <s v="Major"/>
    <x v="0"/>
    <d v="2026-04-22T13:26:36"/>
    <d v="2026-04-22T13:26:36"/>
    <s v=""/>
  </r>
  <r>
    <s v="UT-GO12906S"/>
    <s v="2-3차"/>
    <n v="1"/>
    <x v="0"/>
    <s v="DEF-00024"/>
    <s v="조건에 따른 조회결과가 표출되지 않음. (2025.06.10, 13:00, Grade : 전체)"/>
    <s v="개발자테스트"/>
    <s v="신문호"/>
    <s v="신문호"/>
    <s v="3자테스터공통"/>
    <s v="Online"/>
    <s v="결함"/>
    <s v="기능"/>
    <s v="결함검토요청"/>
    <s v="신문호"/>
    <s v="Major"/>
    <x v="0"/>
    <d v="2026-04-22T15:03:57"/>
    <d v="2026-04-22T15:25:40"/>
    <s v=""/>
  </r>
  <r>
    <s v="UT-GO12510S"/>
    <s v="2-3차"/>
    <n v="1"/>
    <x v="0"/>
    <s v="DEF-00025"/>
    <s v="상단 검색창에서 &quot;LCC균등배정실적&quot;, &quot;LCC&quot; 검색을 시도했으나, 결과를 제공하지 못함(실제 계류장운영팀 폴더에는 존재하고 있음)"/>
    <s v="개발자테스트"/>
    <s v="신문호"/>
    <s v="김경준"/>
    <s v="3자테스터공통"/>
    <s v="Online"/>
    <s v="개선/변경"/>
    <s v="UI"/>
    <s v="결함검토요청"/>
    <s v="신문호"/>
    <s v="Minor"/>
    <x v="0"/>
    <d v="2026-04-22T15:05:36"/>
    <d v="2026-04-22T15:05:37"/>
    <s v=""/>
  </r>
  <r>
    <s v="UT-GO12912S"/>
    <s v="2-3차"/>
    <n v="1"/>
    <x v="0"/>
    <s v="DEF-00026"/>
    <s v="[S-2]조건에 따른 조회결과가 표출되지 않음. (2025.06.10, 13:00, Grade : 전체)"/>
    <s v="개발자테스트"/>
    <s v="신문호"/>
    <s v="신문호"/>
    <s v="3자테스터공통"/>
    <s v="Online"/>
    <s v="결함"/>
    <s v="기능"/>
    <s v="결함검토요청"/>
    <s v="신문호"/>
    <s v="Major"/>
    <x v="0"/>
    <d v="2026-04-22T15:14:38"/>
    <d v="2026-04-22T15:33:05"/>
    <s v=""/>
  </r>
  <r>
    <s v="UT-PM10304S"/>
    <s v="2-3차"/>
    <n v="1"/>
    <x v="1"/>
    <s v="DEF-00312"/>
    <s v="세로 스크롤이 그리드의 오른쪽 끝에만 표시됨._x000a_ - 그리드에서 세로 스크롤이 표시되는 곳을 벗어나면 스크롤이 보이지 않음."/>
    <s v="개발자테스트"/>
    <s v="임소정"/>
    <s v="pmtbd2"/>
    <s v="3자테스터공통"/>
    <s v="Online"/>
    <s v="개선/변경"/>
    <s v="UI"/>
    <s v="결함검토요청"/>
    <s v="염희석"/>
    <s v="Minor"/>
    <x v="0"/>
    <d v="2026-04-28T13:16:53"/>
    <d v="2026-04-28T13:16:53"/>
    <s v=""/>
  </r>
  <r>
    <s v="UT-GO62201S"/>
    <s v="2-1차"/>
    <n v="1"/>
    <x v="0"/>
    <s v="DEF-00326"/>
    <s v="아래 화면과 같이 선택일시 목록 아래를 클릭하면.. 선택 불필요한 영역까지 선택됨"/>
    <s v="개발자테스트"/>
    <s v="신문호"/>
    <s v="김경준"/>
    <s v="3자테스터공통"/>
    <s v="Online"/>
    <s v="결함"/>
    <s v="UI"/>
    <s v="결함검토요청"/>
    <s v="신문호"/>
    <s v="Minor"/>
    <x v="0"/>
    <d v="2026-04-28T13:49:53"/>
    <d v="2026-04-28T13:49:53"/>
    <s v=""/>
  </r>
  <r>
    <s v="UT-PM10308S"/>
    <s v="2-3차"/>
    <n v="1"/>
    <x v="1"/>
    <s v="DEF-00330"/>
    <s v="시작 시간 또는 종료 시간이 &quot;0&quot; 인 데이터는 그리드에 표시 되지 않음._x000a_- 표보기에서 셀프백드랍 기준 시간 5:60분 부터인데 차트보기에서는 6:30분부터 표시됨.  데이터가 &quot;0&quot; 5:30, 6:00 는 표시되지 않고 있음."/>
    <s v="개발자테스트"/>
    <s v="임소정"/>
    <s v="pmtbd3"/>
    <s v="3자테스터공통"/>
    <s v="Online"/>
    <s v="개선/변경"/>
    <s v="데이터"/>
    <s v="결함검토요청"/>
    <s v="염희석"/>
    <s v="Major"/>
    <x v="0"/>
    <d v="2026-04-28T13:56:36"/>
    <d v="2026-04-28T13:56:36"/>
    <s v=""/>
  </r>
  <r>
    <s v="UT-GO62201S"/>
    <s v="2-1차"/>
    <n v="1"/>
    <x v="0"/>
    <s v="DEF-00333"/>
    <s v="우측 화면 하단의 인쇄 버튼 명칭의 PRINT로 일관성 확인 필요. 현재는 화면별로 혼재되어 있음."/>
    <s v="개발자테스트"/>
    <s v="신문호"/>
    <s v="김경준"/>
    <s v="3자테스터공통"/>
    <s v="Online"/>
    <s v="결함"/>
    <s v="UI"/>
    <s v="결함검토요청"/>
    <s v="신문호"/>
    <s v="Minor"/>
    <x v="0"/>
    <d v="2026-04-28T14:03:43"/>
    <d v="2026-04-28T14:03:43"/>
    <s v=""/>
  </r>
  <r>
    <s v="UT-GO31419S"/>
    <s v="1-2차"/>
    <n v="1"/>
    <x v="0"/>
    <s v="DEF-00336"/>
    <s v="테이블 스크롤이 이상합니다. _x000a_또한 중간 구분선은 왜 있는지 잘 모르겠습니다. "/>
    <s v="개발자테스트"/>
    <s v="신문호"/>
    <s v="gotbd4"/>
    <s v="3자테스터공통"/>
    <s v="Online"/>
    <s v="개선/변경"/>
    <s v="UI"/>
    <s v="결함검토요청"/>
    <s v="신문호"/>
    <s v="Major"/>
    <x v="0"/>
    <d v="2026-04-28T14:14:18"/>
    <d v="2026-04-28T14:16:28"/>
    <s v=""/>
  </r>
  <r>
    <s v="UT-GO31419S"/>
    <s v="1-2차"/>
    <n v="1"/>
    <x v="0"/>
    <s v="DEF-00338"/>
    <s v="아이콘이 잘린걸까요 ,,? "/>
    <s v="개발자테스트"/>
    <s v="신문호"/>
    <s v="gotbd4"/>
    <s v="3자테스터공통"/>
    <s v="Online"/>
    <s v="개선/변경"/>
    <s v="UI"/>
    <s v="결함검토요청"/>
    <s v="신문호"/>
    <s v="Minor"/>
    <x v="0"/>
    <d v="2026-04-28T14:19:06"/>
    <d v="2026-04-28T14:19:06"/>
    <s v=""/>
  </r>
  <r>
    <s v="UT-GO31419S"/>
    <s v="1-2차"/>
    <n v="1"/>
    <x v="0"/>
    <s v="DEF-00340"/>
    <s v="창을 줄이면 테이블 내 스크롤이 보이지 않습니다. _x000a_합계는 어떤 데이터에 대한 합계인지 알 수 없습니다.  (0편 0편 등 .. )"/>
    <s v="개발자테스트"/>
    <s v="신문호"/>
    <s v="gotbd4"/>
    <s v="3자테스터공통"/>
    <s v="Online"/>
    <s v="개선/변경"/>
    <s v="UI"/>
    <s v="결함검토요청"/>
    <s v="신문호"/>
    <s v="Minor"/>
    <x v="0"/>
    <d v="2026-04-28T14:24:31"/>
    <d v="2026-04-28T14:24:31"/>
    <s v=""/>
  </r>
  <r>
    <s v="UT-GO31419S"/>
    <s v="1-2차"/>
    <n v="1"/>
    <x v="0"/>
    <s v="DEF-00341"/>
    <s v="데이터가 1건인데 th 에 order 가 있습니다. "/>
    <s v="개발자테스트"/>
    <s v="신문호"/>
    <s v="gotbd4"/>
    <s v="3자테스터공통"/>
    <s v="Online"/>
    <s v="개선/변경"/>
    <s v="UI"/>
    <s v="결함검토요청"/>
    <s v="신문호"/>
    <s v="Minor"/>
    <x v="0"/>
    <d v="2026-04-28T14:28:28"/>
    <d v="2026-04-28T14:28:28"/>
    <s v=""/>
  </r>
  <r>
    <s v="UT-PM10309S"/>
    <s v="2-3차"/>
    <n v="1"/>
    <x v="1"/>
    <s v="DEF-00342"/>
    <s v="해당 테스트 이전에 등록된 결함 해결 됐는데 처리상태 미변경으로 인해 완료 처리 불가능._x000a__x000a_해당 시나리오 테스트 &quot;정상&quot; 완료"/>
    <s v="개발자테스트"/>
    <s v="임소정"/>
    <s v="pmtbd2"/>
    <s v="3자테스터공통"/>
    <s v="Online"/>
    <s v="개선/변경"/>
    <s v="기타"/>
    <s v="결함검토요청"/>
    <s v="염희석"/>
    <s v="Minor"/>
    <x v="0"/>
    <d v="2026-04-28T14:31:08"/>
    <d v="2026-04-28T14:31:08"/>
    <s v=""/>
  </r>
  <r>
    <s v="UT-PM10310S"/>
    <s v="2-3차"/>
    <n v="1"/>
    <x v="1"/>
    <s v="DEF-00344"/>
    <s v="세로 스크롤이 그리드의 오른쪽 끝에만 표시됨. _x000a_- 그리드에서 세로 스크롤이 표시되는 곳을 벗어나면 스크롤이 보이지 않음."/>
    <s v="개발자테스트"/>
    <s v="임소정"/>
    <s v="pmtbd2"/>
    <s v="3자테스터공통"/>
    <s v="Online"/>
    <s v="개선/변경"/>
    <s v="UI"/>
    <s v="결함검토요청"/>
    <s v="염희석"/>
    <s v="Minor"/>
    <x v="0"/>
    <d v="2026-04-28T14:33:06"/>
    <d v="2026-04-28T14:33:06"/>
    <s v=""/>
  </r>
  <r>
    <s v="UT-GO31420M"/>
    <s v="1-2차"/>
    <n v="1"/>
    <x v="0"/>
    <s v="DEF-00345"/>
    <s v="조회된 데이터가 없을때, NO DATA 가 뜨지 않습니다. "/>
    <s v="개발자테스트"/>
    <s v="신문호"/>
    <s v="gotbd4"/>
    <s v="3자테스터공통"/>
    <s v="Online"/>
    <s v="개선/변경"/>
    <s v="UI"/>
    <s v="결함검토요청"/>
    <s v="신문호"/>
    <s v="Minor"/>
    <x v="0"/>
    <d v="2026-04-28T14:34:15"/>
    <d v="2026-04-28T14:34:15"/>
    <s v=""/>
  </r>
  <r>
    <s v="UT-GO31420M"/>
    <s v="1-2차"/>
    <n v="1"/>
    <x v="0"/>
    <s v="DEF-00346"/>
    <s v="스크롤이 동작하지 않습니다. _x000a_-&gt; 테이블 헤더에서 스크롤을 하면 아래 셀 스크롤이 됩니다 ! 그러나 수정해야할것같습니다 .. "/>
    <s v="개발자테스트"/>
    <s v="신문호"/>
    <s v="gotbd4"/>
    <s v="3자테스터공통"/>
    <s v="Online"/>
    <s v="개선/변경"/>
    <s v="UI"/>
    <s v="결함검토요청"/>
    <s v="신문호"/>
    <s v="Major"/>
    <x v="0"/>
    <d v="2026-04-28T14:35:52"/>
    <d v="2026-04-28T14:43:31"/>
    <s v=""/>
  </r>
  <r>
    <s v="UT-GO21401S"/>
    <s v="2-2차"/>
    <n v="1"/>
    <x v="0"/>
    <s v="DEF-00177"/>
    <s v="수하물 실척예측정보 등록간 양식대로 입력하였으나 데이터 제약조건 위반 발생"/>
    <s v="개발자테스트"/>
    <s v="신문호"/>
    <s v="신문호"/>
    <s v="3자테스터공통"/>
    <s v="Online"/>
    <s v="결함"/>
    <s v="기능"/>
    <s v="결함검토요청"/>
    <s v="신문호"/>
    <s v="Major"/>
    <x v="0"/>
    <d v="2026-04-27T13:07:19"/>
    <d v="2026-04-27T13:07:19"/>
    <s v=""/>
  </r>
  <r>
    <s v="UT-GO12903S"/>
    <s v="2-2차"/>
    <n v="1"/>
    <x v="0"/>
    <s v="DEF-00347"/>
    <s v="페이지별로 SearchForm이 검색조건에 의해 사이즈가 커졌을떄_x000a_각 페이지마다 Search의 위치가 다름 위?아래? 일관성이 필요해보임"/>
    <s v="개발자테스트"/>
    <s v="신문호"/>
    <s v="신문호"/>
    <s v="3자테스터공통"/>
    <s v="Online"/>
    <s v="개선/변경"/>
    <s v="UI"/>
    <s v="결함검토요청"/>
    <s v="신문호"/>
    <s v="Minor"/>
    <x v="0"/>
    <d v="2026-04-28T14:36:24"/>
    <d v="2026-04-28T14:36:24"/>
    <s v=""/>
  </r>
  <r>
    <s v="UT-GO31420M"/>
    <s v="1-2차"/>
    <n v="1"/>
    <x v="0"/>
    <s v="DEF-00348"/>
    <s v="어떤 데이터에 대한 합계인지 모르겠습니다. "/>
    <s v="개발자테스트"/>
    <s v="신문호"/>
    <s v="gotbd4"/>
    <s v="3자테스터공통"/>
    <s v="Online"/>
    <s v="개선/변경"/>
    <s v="UI"/>
    <s v="결함검토요청"/>
    <s v="신문호"/>
    <s v="Minor"/>
    <x v="0"/>
    <d v="2026-04-28T14:36:51"/>
    <d v="2026-04-28T14:36:51"/>
    <s v=""/>
  </r>
  <r>
    <s v="UT-PM10310S"/>
    <s v="2-3차"/>
    <n v="1"/>
    <x v="1"/>
    <s v="DEF-00349"/>
    <s v="화면 사이즈를 조금 줄이면 그리드의 가로 스크롤이 밖으로 빠지고 안에 안에 그리드 내용의 사이즈에 대한 스크롤이 생김._x000a_그로 인해 상단 타이틀과 내용에 대한 그리드 틀이 깨짐"/>
    <s v="개발자테스트"/>
    <s v="임소정"/>
    <s v="pmtbd2"/>
    <s v="3자테스터공통"/>
    <s v="Online"/>
    <s v="개선/변경"/>
    <s v="UI"/>
    <s v="결함검토요청"/>
    <s v="염희석"/>
    <s v="Major"/>
    <x v="0"/>
    <d v="2026-04-28T14:38:38"/>
    <d v="2026-04-28T14:38:38"/>
    <s v=""/>
  </r>
  <r>
    <s v="UT-GO31420M"/>
    <s v="1-2차"/>
    <n v="1"/>
    <x v="0"/>
    <s v="DEF-00350"/>
    <s v="윗쪽 셀은 정렬에 영향을 받지 않는데 의도를 이해하지못했습니다. "/>
    <s v="개발자테스트"/>
    <s v="신문호"/>
    <s v="gotbd4"/>
    <s v="3자테스터공통"/>
    <s v="Online"/>
    <s v="개선/변경"/>
    <s v="UI"/>
    <s v="결함검토요청"/>
    <s v="신문호"/>
    <s v="Minor"/>
    <x v="0"/>
    <d v="2026-04-28T14:39:05"/>
    <d v="2026-04-28T14:39:05"/>
    <s v=""/>
  </r>
  <r>
    <s v="UT-GO31420M"/>
    <s v="1-2차"/>
    <n v="1"/>
    <x v="0"/>
    <s v="DEF-00351"/>
    <s v="창의 크기에 따라 스크롤이 생기지 않습니다. "/>
    <s v="개발자테스트"/>
    <s v="신문호"/>
    <s v="gotbd4"/>
    <s v="3자테스터공통"/>
    <s v="Online"/>
    <s v="개선/변경"/>
    <s v="UI"/>
    <s v="결함검토요청"/>
    <s v="신문호"/>
    <s v="Minor"/>
    <x v="0"/>
    <d v="2026-04-28T14:40:18"/>
    <d v="2026-04-28T14:40:18"/>
    <s v=""/>
  </r>
  <r>
    <s v="UT-PM10311S"/>
    <s v="2-3차"/>
    <n v="1"/>
    <x v="1"/>
    <s v="DEF-00352"/>
    <s v="타이틀 정렬(중앙 정렬 필요)"/>
    <s v="개발자테스트"/>
    <s v="임소정"/>
    <s v="pmtbd2"/>
    <s v="3자테스터공통"/>
    <s v="Online"/>
    <s v="개선/변경"/>
    <s v="UI"/>
    <s v="결함검토요청"/>
    <s v="염희석"/>
    <s v="Minor"/>
    <x v="0"/>
    <d v="2026-04-28T14:40:57"/>
    <d v="2026-04-28T14:40:57"/>
    <s v=""/>
  </r>
  <r>
    <s v="UT-FSEX060M"/>
    <s v="1-1차"/>
    <n v="1"/>
    <x v="2"/>
    <s v="DEF-00353"/>
    <s v="단위테스트 자료 없음"/>
    <s v="개발자테스트"/>
    <s v="임소정"/>
    <s v="임소정"/>
    <s v="3자테스터공통"/>
    <s v="Online"/>
    <s v="개선/변경"/>
    <s v="기능"/>
    <s v="결함검토요청"/>
    <s v="임소정"/>
    <s v="Minor"/>
    <x v="0"/>
    <d v="2026-04-28T14:41:46"/>
    <d v="2026-04-28T14:41:46"/>
    <s v=""/>
  </r>
  <r>
    <s v="UT-PM10311S"/>
    <s v="2-3차"/>
    <n v="1"/>
    <x v="1"/>
    <s v="DEF-00354"/>
    <s v="맵보기에서 터미널 T1을 선택하고 조회 후 차트보기로 이동 시 차트가 보여지지 않음."/>
    <s v="개발자테스트"/>
    <s v="임소정"/>
    <s v="pmtbd2"/>
    <s v="3자테스터공통"/>
    <s v="Online"/>
    <s v="결함"/>
    <s v="기능"/>
    <s v="결함검토요청"/>
    <s v="염희석"/>
    <s v="Critical"/>
    <x v="0"/>
    <d v="2026-04-28T14:43:47"/>
    <d v="2026-04-28T14:43:47"/>
    <s v=""/>
  </r>
  <r>
    <s v="UT-PM10311S"/>
    <s v="2-3차"/>
    <n v="1"/>
    <x v="1"/>
    <s v="DEF-00355"/>
    <s v="테스트 결과서 내용과 개발된 프로그램이 다름 차트 확인 필요"/>
    <s v="개발자테스트"/>
    <s v="임소정"/>
    <s v="pmtbd2"/>
    <s v="3자테스터공통"/>
    <s v="Online"/>
    <s v="개선/변경"/>
    <s v="문서화"/>
    <s v="결함검토요청"/>
    <s v="염희석"/>
    <s v="Major"/>
    <x v="0"/>
    <d v="2026-04-28T14:45:27"/>
    <d v="2026-04-28T14:45:27"/>
    <s v=""/>
  </r>
  <r>
    <s v="UT-PM10401S"/>
    <s v="2-3차"/>
    <n v="1"/>
    <x v="1"/>
    <s v="DEF-00357"/>
    <s v="캘린더 날자 선택 시 input에 날짜가 적용되지만 캘린더 팝업이 닫히지 않음."/>
    <s v="개발자테스트"/>
    <s v="임소정"/>
    <s v="pmtbd3"/>
    <s v="3자테스터공통"/>
    <s v="Online"/>
    <s v="개선/변경"/>
    <s v="UI"/>
    <s v="결함검토요청"/>
    <s v="염희석"/>
    <s v="Minor"/>
    <x v="0"/>
    <d v="2026-04-28T14:49:58"/>
    <d v="2026-04-28T14:49:58"/>
    <s v=""/>
  </r>
  <r>
    <s v="UT-PM10401S"/>
    <s v="2-3차"/>
    <n v="1"/>
    <x v="1"/>
    <s v="DEF-00366"/>
    <s v="보안검색대 수정에서 시 분 선택 시 input에는 값이 저장되지만 선태 select box 가 남아 있음."/>
    <s v="개발자테스트"/>
    <s v="임소정"/>
    <s v="pmtbd3"/>
    <s v="3자테스터공통"/>
    <s v="Online"/>
    <s v="개선/변경"/>
    <s v="UI"/>
    <s v="결함검토요청"/>
    <s v="염희석"/>
    <s v="Minor"/>
    <x v="0"/>
    <d v="2026-04-28T15:07:07"/>
    <d v="2026-04-28T15:07:07"/>
    <s v=""/>
  </r>
  <r>
    <s v="UT-PM10401S"/>
    <s v="2-3차"/>
    <n v="1"/>
    <x v="1"/>
    <s v="DEF-00367"/>
    <s v="시작 시간이 종료 시간보다 느린데 현재상태 저장 됨."/>
    <s v="개발자테스트"/>
    <s v="임소정"/>
    <s v="pmtbd3"/>
    <s v="3자테스터공통"/>
    <s v="Online"/>
    <s v="결함"/>
    <s v="기능"/>
    <s v="결함검토요청"/>
    <s v="염희석"/>
    <s v="Critical"/>
    <x v="0"/>
    <d v="2026-04-28T15:08:18"/>
    <d v="2026-04-28T15:08:19"/>
    <s v=""/>
  </r>
  <r>
    <s v="UT-GO41206M"/>
    <s v="1-2차"/>
    <n v="1"/>
    <x v="0"/>
    <s v="DEF-00368"/>
    <s v="엑셀 저장 시 숫자 단위 확인 필요"/>
    <s v="개발자테스트"/>
    <s v="신문호"/>
    <s v="김경준"/>
    <s v="3자테스터공통"/>
    <s v="Online"/>
    <s v="개선/변경"/>
    <s v="기타"/>
    <s v="결함검토요청"/>
    <s v="신문호"/>
    <s v="Minor"/>
    <x v="0"/>
    <d v="2026-04-28T15:09:51"/>
    <d v="2026-04-28T15:09:51"/>
    <s v=""/>
  </r>
  <r>
    <s v="UT-GO41211S"/>
    <s v="1-2차"/>
    <n v="1"/>
    <x v="0"/>
    <s v="DEF-00372"/>
    <s v="어떤 데이터가 검색되는지 알 수 없습니다 "/>
    <s v="개발자테스트"/>
    <s v="신문호"/>
    <s v="김경준"/>
    <s v="3자테스터공통"/>
    <s v="Online"/>
    <s v="개선/변경"/>
    <s v="UI"/>
    <s v="결함검토요청"/>
    <s v="신문호"/>
    <s v="Minor"/>
    <x v="0"/>
    <d v="2026-04-28T15:21:35"/>
    <d v="2026-04-28T15:21:35"/>
    <s v=""/>
  </r>
  <r>
    <s v="UT-GO41211S"/>
    <s v="1-2차"/>
    <n v="1"/>
    <x v="0"/>
    <s v="DEF-00375"/>
    <s v="테스트 시나리오 대로 2025-06-19, 2020-11-02 검색을 했지만 [주차장 사용현황] 데이터가 없어 확인하지 못했습니다. "/>
    <s v="개발자테스트"/>
    <s v="신문호"/>
    <s v="김경준"/>
    <s v="3자테스터공통"/>
    <s v="Online"/>
    <s v="개선/변경"/>
    <s v="데이터"/>
    <s v="결함검토요청"/>
    <s v="신문호"/>
    <s v="Minor"/>
    <x v="0"/>
    <d v="2026-04-28T15:26:09"/>
    <d v="2026-04-28T15:26:09"/>
    <s v=""/>
  </r>
  <r>
    <s v="UT-GO41701S"/>
    <s v="2-2차"/>
    <n v="1"/>
    <x v="0"/>
    <s v="DEF-00673"/>
    <s v="[X_1] 피크타임 항목이 제대로 계산되지 않는 것 같습니다 (날짜에 관계없이 모두 0시로 표기됩니다)."/>
    <s v="개발자테스트"/>
    <s v="신문호"/>
    <s v="신문호"/>
    <s v="3자테스터공통"/>
    <s v="Online"/>
    <s v="결함"/>
    <s v="기능"/>
    <s v="결함검토요청"/>
    <s v="신문호"/>
    <s v="Major"/>
    <x v="0"/>
    <d v="2026-05-04T17:37:28"/>
    <d v="2026-05-04T17:37:28"/>
    <s v=""/>
  </r>
  <r>
    <s v="UT-GO41701S"/>
    <s v="2-2차"/>
    <n v="1"/>
    <x v="0"/>
    <s v="DEF-00674"/>
    <s v="[C_1] 매월 셋째, 넷째, 다섯번째 주 일요일의 피크타임, 단기 주차율, 장기 주차율 텍스트가 다른 날짜의 텍스트와 스타일이 상이합니다."/>
    <s v="개발자테스트"/>
    <s v="신문호"/>
    <s v="신문호"/>
    <s v="3자테스터공통"/>
    <s v="Online"/>
    <s v="결함"/>
    <s v="UI"/>
    <s v="결함검토요청"/>
    <s v="신문호"/>
    <s v="Minor"/>
    <x v="0"/>
    <d v="2026-05-04T17:39:58"/>
    <d v="2026-05-04T17:39:58"/>
    <s v=""/>
  </r>
  <r>
    <s v="UT-PM10310S"/>
    <s v="2-3차"/>
    <n v="1"/>
    <x v="1"/>
    <s v="DEF-00676"/>
    <s v="①최초 화면전체 모드 기준 표 보기에는 하단 좌우스크롤바 1개,_x000a_② 화면크기 조정후 스크롤바 2개 생성,_x000a_③ 다시 전체 화면 모드로 전환했지만, 하단 좌우스크롤 2개 유지 _x000a_"/>
    <s v="개발자테스트"/>
    <s v="임소정"/>
    <s v="pmtbd2"/>
    <s v="3자테스터공통"/>
    <s v="Online"/>
    <s v="개선/변경"/>
    <s v="UI"/>
    <s v="결함검토요청"/>
    <s v="임소정"/>
    <s v="Minor"/>
    <x v="0"/>
    <d v="2026-05-04T17:52:24"/>
    <d v="2026-05-04T17:52:24"/>
    <s v=""/>
  </r>
  <r>
    <s v="UT-FSEX090M"/>
    <s v="2-3차"/>
    <n v="1"/>
    <x v="2"/>
    <s v="DEF-00678"/>
    <s v="출시, 입시 입력값이 잘 못 됐을 때 안내 메세지에 어떤 입력 항목에 대한 메세지 인지 알 수가 없으며, 확인 버튼 클리 후 문제된 항목으로 focus 처리가 안됨._x000a_"/>
    <s v="개발자테스트"/>
    <s v="임소정"/>
    <s v="임소정"/>
    <s v="3자테스터공통"/>
    <s v="Online"/>
    <s v="개선/변경"/>
    <s v="UI"/>
    <s v="결함검토요청"/>
    <s v="임소정"/>
    <s v="Minor"/>
    <x v="0"/>
    <d v="2026-05-06T08:47:25"/>
    <d v="2026-05-06T08:47:25"/>
    <s v=""/>
  </r>
  <r>
    <s v="UT-PM10405S"/>
    <s v="2-3차"/>
    <n v="1"/>
    <x v="1"/>
    <s v="DEF-00686"/>
    <s v="①아일랜드 G의 셀프체크인 키오스크를 24시까지 선택하고 저장_x000a_②시뮬레이션 다시 불러오면 저장 이전 상태로 복구됨_x000a_"/>
    <s v="개발자테스트"/>
    <s v="임소정"/>
    <s v="pmtbd1"/>
    <s v="3자테스터공통"/>
    <s v="Online"/>
    <s v="개선/변경"/>
    <s v="UI"/>
    <s v="결함검토요청"/>
    <s v="임소정"/>
    <s v="Minor"/>
    <x v="0"/>
    <d v="2026-05-06T09:43:35"/>
    <d v="2026-05-06T09:43:35"/>
    <s v=""/>
  </r>
  <r>
    <s v="UT-GO42101S"/>
    <s v="2-2차"/>
    <n v="1"/>
    <x v="0"/>
    <s v="DEF-00705"/>
    <s v="[S_1-1] 종료일자 미입력 시에도 '시작일자' 항목은 필수 입력항목이라는 alert이 표출됩니다."/>
    <s v="개발자테스트"/>
    <s v="신문호"/>
    <s v="김경준"/>
    <s v="3자테스터공통"/>
    <s v="Online"/>
    <s v="결함"/>
    <s v="UI"/>
    <s v="결함검토요청"/>
    <s v="신문호"/>
    <s v="Minor"/>
    <x v="0"/>
    <d v="2026-05-06T11:22:15"/>
    <d v="2026-05-06T11:22:15"/>
    <s v=""/>
  </r>
  <r>
    <s v="UT-GO12903S"/>
    <s v="2-2차"/>
    <n v="1"/>
    <x v="0"/>
    <s v="DEF-00721"/>
    <s v="[C_10] [C_12] 날짜 포맷이 서로 상이합니다 (YYYY-MM-DD, YYYYMMDD, YYYY/MM/DD)."/>
    <s v="개발자테스트"/>
    <s v="신문호"/>
    <s v="신문호"/>
    <s v="3자테스터공통"/>
    <s v="Online"/>
    <s v="결함"/>
    <s v="UI"/>
    <s v="결함검토요청"/>
    <s v="신문호"/>
    <s v="Minor"/>
    <x v="0"/>
    <d v="2026-05-06T15:10:16"/>
    <d v="2026-05-06T15:10:16"/>
    <s v=""/>
  </r>
  <r>
    <s v="UT-PM20129S"/>
    <s v="2-1차"/>
    <n v="1"/>
    <x v="1"/>
    <s v="DEF-00723"/>
    <s v="화면의 첫 째 필드에 커셔가 Set focus되어 있지 않음."/>
    <s v="개발자테스트"/>
    <s v="임소정"/>
    <s v="pmtbd2"/>
    <s v="3자테스터공통"/>
    <s v="Online"/>
    <s v="개선/변경"/>
    <s v="UI"/>
    <s v="결함검토요청"/>
    <s v="임소정"/>
    <s v="Minor"/>
    <x v="0"/>
    <d v="2026-05-06T15:18:34"/>
    <d v="2026-05-06T15:18:34"/>
    <s v=""/>
  </r>
  <r>
    <s v="UT-GO12904S"/>
    <s v="2-2차"/>
    <n v="1"/>
    <x v="0"/>
    <s v="DEF-00725"/>
    <s v="[C_1] 보고서상에 'YY.MM.DD. HH시 기준 작성' 란은 있으나, 시간(HH)이 들어갈 위치에 값이 없는데, 수기로 기재하도록 남겨둔 것인지 누락된 것인지 확인해 주시면 감사하겠습니다."/>
    <s v="개발자테스트"/>
    <s v="신문호"/>
    <s v="신문호"/>
    <s v="3자테스터공통"/>
    <s v="Online"/>
    <s v="결함"/>
    <s v="UI"/>
    <s v="결함검토요청"/>
    <s v="신문호"/>
    <s v="Minor"/>
    <x v="0"/>
    <d v="2026-05-06T15:40:45"/>
    <d v="2026-05-06T16:34:08"/>
    <s v=""/>
  </r>
  <r>
    <s v="UT-GO12908S"/>
    <s v="2-2차"/>
    <n v="1"/>
    <x v="0"/>
    <s v="DEF-00728"/>
    <s v="[C_1] 요일이 들어갈 위치로 보이나 값이 누락됨"/>
    <s v="개발자테스트"/>
    <s v="신문호"/>
    <s v="신문호"/>
    <s v="3자테스터공통"/>
    <s v="Online"/>
    <s v="결함"/>
    <s v="UI"/>
    <s v="결함검토요청"/>
    <s v="신문호"/>
    <s v="Minor"/>
    <x v="0"/>
    <d v="2026-05-06T15:57:03"/>
    <d v="2026-05-06T15:57:03"/>
    <s v=""/>
  </r>
  <r>
    <s v="UT-GO12908S"/>
    <s v="2-2차"/>
    <n v="1"/>
    <x v="0"/>
    <s v="DEF-00729"/>
    <s v="[X_1] 검색 컴포넌트에는 보고서 조회기준'일시' 라고 되어 있으나 '일'은 설정 불가하고 시간만 설정 가능합니다."/>
    <s v="개발자테스트"/>
    <s v="신문호"/>
    <s v="신문호"/>
    <s v="3자테스터공통"/>
    <s v="Online"/>
    <s v="결함"/>
    <s v="UI"/>
    <s v="결함검토요청"/>
    <s v="신문호"/>
    <s v="Minor"/>
    <x v="0"/>
    <d v="2026-05-06T16:01:27"/>
    <d v="2026-05-06T16:01:27"/>
    <s v=""/>
  </r>
  <r>
    <s v="UT-PM10307S"/>
    <s v="2-3차"/>
    <n v="1"/>
    <x v="1"/>
    <s v="DEF-00321"/>
    <s v="차트보기 또는 맵보기 이동 후 다시 표보기로 오면 아일랜드 코드 사라짐."/>
    <s v="개발자테스트"/>
    <s v="임소정"/>
    <s v="pmtbd3"/>
    <s v="3자테스터공통"/>
    <s v="Online"/>
    <s v="결함"/>
    <s v="UI"/>
    <s v="결함검토요청"/>
    <s v="염희석"/>
    <s v="Minor"/>
    <x v="0"/>
    <d v="2026-04-28T13:40:27"/>
    <d v="2026-04-28T13:40:27"/>
    <s v=""/>
  </r>
  <r>
    <s v="UT-GO11101S"/>
    <s v="1-2차"/>
    <n v="1"/>
    <x v="0"/>
    <s v="DEF-00322"/>
    <s v="GD 항목에 데이터가 있지 않은데 초기 스크롤이 생깁니다. "/>
    <s v="개발자테스트"/>
    <s v="신문호"/>
    <s v="김경준"/>
    <s v="3자테스터공통"/>
    <s v="Online"/>
    <s v="개선/변경"/>
    <s v="UI"/>
    <s v="결함검토요청"/>
    <s v="신문호"/>
    <s v="Minor"/>
    <x v="0"/>
    <d v="2026-04-28T13:40:45"/>
    <d v="2026-04-28T13:40:45"/>
    <s v=""/>
  </r>
  <r>
    <s v="UT-PM10308S"/>
    <s v="2-3차"/>
    <n v="1"/>
    <x v="1"/>
    <s v="DEF-00331"/>
    <s v="테스트 결과서 내용과 개발된 프로그램이 다름_x000a_차트 확인 필요"/>
    <s v="개발자테스트"/>
    <s v="임소정"/>
    <s v="pmtbd3"/>
    <s v="3자테스터공통"/>
    <s v="Online"/>
    <s v="개선/변경"/>
    <s v="문서화"/>
    <s v="결함검토요청"/>
    <s v="염희석"/>
    <s v="Major"/>
    <x v="0"/>
    <d v="2026-04-28T13:59:44"/>
    <d v="2026-04-28T13:59:44"/>
    <s v=""/>
  </r>
  <r>
    <s v="UT-PM10305S"/>
    <s v="2-3차"/>
    <n v="1"/>
    <x v="1"/>
    <s v="DEF-00332"/>
    <s v="테스트 결과 내용과 개발된 프로그램이 다름"/>
    <s v="개발자테스트"/>
    <s v="임소정"/>
    <s v="pmtbd2"/>
    <s v="3자테스터공통"/>
    <s v="Online"/>
    <s v="개선/변경"/>
    <s v="문서화"/>
    <s v="결함검토요청"/>
    <s v="염희석"/>
    <s v="Major"/>
    <x v="0"/>
    <d v="2026-04-28T14:01:23"/>
    <d v="2026-04-28T14:01:23"/>
    <s v=""/>
  </r>
  <r>
    <s v="UT-GO23701S"/>
    <s v="1-2차"/>
    <n v="1"/>
    <x v="0"/>
    <s v="DEF-00334"/>
    <s v="통계 생성 버튼을 눌러야 데이터들이 뜨니 해당 페이지 내 search 버튼의 기능에 대해 알 수 없습니다. "/>
    <s v="개발자테스트"/>
    <s v="신문호"/>
    <s v="김경준"/>
    <s v="3자테스터공통"/>
    <s v="Online"/>
    <s v="개선/변경"/>
    <s v="UI"/>
    <s v="결함검토요청"/>
    <s v="신문호"/>
    <s v="Minor"/>
    <x v="0"/>
    <d v="2026-04-28T14:05:56"/>
    <d v="2026-04-28T14:05:56"/>
    <s v=""/>
  </r>
  <r>
    <s v="UT-GO41202M"/>
    <s v="1-2차"/>
    <n v="1"/>
    <x v="0"/>
    <s v="DEF-00358"/>
    <s v="모든 input에 0을 입력한 후 저장하니 저장이 됐습니다. "/>
    <s v="개발자테스트"/>
    <s v="신문호"/>
    <s v="김경준"/>
    <s v="3자테스터공통"/>
    <s v="Online"/>
    <s v="결함"/>
    <s v="기능"/>
    <s v="결함검토요청"/>
    <s v="신문호"/>
    <s v="Major"/>
    <x v="0"/>
    <d v="2026-04-28T14:54:05"/>
    <d v="2026-04-28T14:54:05"/>
    <s v=""/>
  </r>
  <r>
    <s v="UT-PM10401S"/>
    <s v="2-3차"/>
    <n v="1"/>
    <x v="1"/>
    <s v="DEF-00359"/>
    <s v="전일이 당일을 기준로 전일 고정되어 있음."/>
    <s v="개발자테스트"/>
    <s v="임소정"/>
    <s v="pmtbd3"/>
    <s v="3자테스터공통"/>
    <s v="Online"/>
    <s v="결함"/>
    <s v="기능"/>
    <s v="결함검토요청"/>
    <s v="염희석"/>
    <s v="Major"/>
    <x v="0"/>
    <d v="2026-04-28T14:54:13"/>
    <d v="2026-04-28T14:54:13"/>
    <s v=""/>
  </r>
  <r>
    <s v="UT-PM10401S"/>
    <s v="2-3차"/>
    <n v="1"/>
    <x v="1"/>
    <s v="DEF-00360"/>
    <s v="아이콘 확인 필요._x000a_해당 아이콘은 파일 다운로드 아이콘으로 보임."/>
    <s v="개발자테스트"/>
    <s v="임소정"/>
    <s v="pmtbd3"/>
    <s v="3자테스터공통"/>
    <s v="Online"/>
    <s v="개선/변경"/>
    <s v="UI"/>
    <s v="결함검토요청"/>
    <s v="염희석"/>
    <s v="Minor"/>
    <x v="0"/>
    <d v="2026-04-28T14:55:44"/>
    <d v="2026-04-28T14:55:44"/>
    <s v=""/>
  </r>
  <r>
    <s v="UT-PM10401S"/>
    <s v="2-3차"/>
    <n v="1"/>
    <x v="1"/>
    <s v="DEF-00364"/>
    <s v="운항편 전체 비율로 수정에 값을 입력 후 상위 부분에 다시 &quot;불러오기&quot;를 수행할 경우 운항편 수와 여객 수가 입력된 운항편 전체 비율로 수정이 적용되지 않은 상태로 불러 오기가 됨. "/>
    <s v="개발자테스트"/>
    <s v="임소정"/>
    <s v="pmtbd3"/>
    <s v="3자테스터공통"/>
    <s v="Online"/>
    <s v="결함"/>
    <s v="기능"/>
    <s v="결함검토요청"/>
    <s v="염희석"/>
    <s v="Major"/>
    <x v="0"/>
    <d v="2026-04-28T15:05:23"/>
    <d v="2026-04-28T15:05:23"/>
    <s v=""/>
  </r>
  <r>
    <s v="UT-PM10405S"/>
    <s v="2-3차"/>
    <n v="1"/>
    <x v="1"/>
    <s v="DEF-00390"/>
    <s v="UT-PM10401S 에 등록된 시간 선택과 갯수 입력 최대값 검증 확인 필요"/>
    <s v="개발자테스트"/>
    <s v="임소정"/>
    <s v="pmtbd1"/>
    <s v="3자테스터공통"/>
    <s v="Online"/>
    <s v="결함"/>
    <s v="데이터"/>
    <s v="결함검토요청"/>
    <s v="염희석"/>
    <s v="Critical"/>
    <x v="0"/>
    <d v="2026-04-28T15:47:21"/>
    <d v="2026-04-28T15:47:21"/>
    <s v=""/>
  </r>
  <r>
    <s v="UT-PM10501S"/>
    <s v="2-3차"/>
    <n v="1"/>
    <x v="1"/>
    <s v="DEF-00391"/>
    <s v="입력값들에 대한 비활성화 처리가 됐는데 운영시간은 수정 가능함"/>
    <s v="개발자테스트"/>
    <s v="임소정"/>
    <s v="신문호"/>
    <s v="3자테스터공통"/>
    <s v="Online"/>
    <s v="개선/변경"/>
    <s v="UI"/>
    <s v="결함검토요청"/>
    <s v="염희석"/>
    <s v="Major"/>
    <x v="0"/>
    <d v="2026-04-28T15:57:42"/>
    <d v="2026-04-28T15:57:43"/>
    <s v=""/>
  </r>
  <r>
    <s v="UT-GO12505S"/>
    <s v="2-3차"/>
    <n v="1"/>
    <x v="0"/>
    <s v="DEF-00402"/>
    <s v="&quot;접이현시간가 없는 경우에는&quot; 오타로 보임_x000a_&quot;접이현시간이 없는 경우에는&quot; 으로 수정 필요해 보임."/>
    <s v="개발자테스트"/>
    <s v="신문호"/>
    <s v="김경준"/>
    <s v="3자테스터공통"/>
    <s v="Online"/>
    <s v="개선/변경"/>
    <s v="기타"/>
    <s v="결함검토요청"/>
    <s v="신문호"/>
    <s v="Minor"/>
    <x v="0"/>
    <d v="2026-04-28T17:11:20"/>
    <d v="2026-04-28T17:11:20"/>
    <s v=""/>
  </r>
  <r>
    <s v="UT-GO41901S"/>
    <s v="1-2차"/>
    <n v="1"/>
    <x v="0"/>
    <s v="DEF-00403"/>
    <s v="출도착지 데이터가 동일합니다. _x000a_"/>
    <s v="개발자테스트"/>
    <s v="신문호"/>
    <s v="박정구"/>
    <s v="3자테스터공통"/>
    <s v="Online"/>
    <s v="결함"/>
    <s v="UI"/>
    <s v="결함검토요청"/>
    <s v="신문호"/>
    <s v="Major"/>
    <x v="0"/>
    <d v="2026-04-28T17:15:16"/>
    <d v="2026-04-28T17:15:16"/>
    <s v=""/>
  </r>
  <r>
    <s v="UT-GO41211S"/>
    <s v="1-2차"/>
    <n v="1"/>
    <x v="0"/>
    <s v="DEF-00378"/>
    <s v="9999 년도로 검색은 가능하나 목표리스트는 2100년이 최대 입력치입니다. _x000a_통일이 필요할것같습니다"/>
    <s v="개발자테스트"/>
    <s v="신문호"/>
    <s v="김경준"/>
    <s v="3자테스터공통"/>
    <s v="Online"/>
    <s v="개선/변경"/>
    <s v="UI"/>
    <s v="결함검토요청"/>
    <s v="신문호"/>
    <s v="Minor"/>
    <x v="0"/>
    <d v="2026-04-28T15:30:44"/>
    <d v="2026-04-28T15:30:44"/>
    <s v=""/>
  </r>
  <r>
    <s v="UT-PM10401S"/>
    <s v="2-3차"/>
    <n v="1"/>
    <x v="1"/>
    <s v="DEF-00379"/>
    <s v="입력 최대값 검증 필요"/>
    <s v="개발자테스트"/>
    <s v="임소정"/>
    <s v="pmtbd3"/>
    <s v="3자테스터공통"/>
    <s v="Online"/>
    <s v="결함"/>
    <s v="데이터"/>
    <s v="결함검토요청"/>
    <s v="염희석"/>
    <s v="Critical"/>
    <x v="0"/>
    <d v="2026-04-28T15:34:20"/>
    <d v="2026-04-28T15:34:20"/>
    <s v=""/>
  </r>
  <r>
    <s v="UT-PM10401S"/>
    <s v="2-3차"/>
    <n v="1"/>
    <x v="1"/>
    <s v="DEF-00381"/>
    <s v="단위 구분 필요."/>
    <s v="개발자테스트"/>
    <s v="임소정"/>
    <s v="pmtbd3"/>
    <s v="3자테스터공통"/>
    <s v="Online"/>
    <s v="개선/변경"/>
    <s v="UI"/>
    <s v="결함검토요청"/>
    <s v="염희석"/>
    <s v="Minor"/>
    <x v="0"/>
    <d v="2026-04-28T15:39:09"/>
    <d v="2026-04-28T15:39:09"/>
    <s v=""/>
  </r>
  <r>
    <s v="UT-GO12503S"/>
    <s v="1-2차"/>
    <n v="1"/>
    <x v="0"/>
    <s v="DEF-00392"/>
    <s v="조회된 모든 건수가 계산 불가입니다. 검증이 필요할것같아요"/>
    <s v="개발자테스트"/>
    <s v="신문호"/>
    <s v="박정구"/>
    <s v="3자테스터공통"/>
    <s v="Online"/>
    <s v="개선/변경"/>
    <s v="데이터"/>
    <s v="결함검토요청"/>
    <s v="신문호"/>
    <s v="Minor"/>
    <x v="0"/>
    <d v="2026-04-28T16:11:09"/>
    <d v="2026-04-28T16:11:09"/>
    <s v=""/>
  </r>
  <r>
    <s v="UT-GO12504S"/>
    <s v="1-2차"/>
    <n v="1"/>
    <x v="0"/>
    <s v="DEF-00393"/>
    <s v="엑셀 내 글씨체 조정이 필요할것같습니다 "/>
    <s v="개발자테스트"/>
    <s v="신문호"/>
    <s v="박정구"/>
    <s v="3자테스터공통"/>
    <s v="Online"/>
    <s v="개선/변경"/>
    <s v="기타"/>
    <s v="결함검토요청"/>
    <s v="신문호"/>
    <s v="Minor"/>
    <x v="0"/>
    <d v="2026-04-28T16:25:00"/>
    <d v="2026-04-28T16:25:00"/>
    <s v=""/>
  </r>
  <r>
    <s v="UT-GO12508S"/>
    <s v="1-2차"/>
    <n v="1"/>
    <x v="0"/>
    <s v="DEF-00395"/>
    <s v="지연인 건에 대해서만 표출이 되고 있는건지 궁금합니다._x000a__x000a_TW302 편을 예로 STA 와 ATA 차이를 보았을때 정말 지연이 맞는지 알수없습니다._x000a_단지 데이터 표출을 위한 가짜 데이터일까요 ,,? _x000a__x000a_조치 방안_x000a_1. 지연시간 단위 명시_x000a_2. STD/STA 와 ATD/ATA 날짜가 다르다면 ATD/ATA 의 날짜 명시_x000a_+ 출발/도착 을 구분하고 있으니, 테이블 헤더 내 목적지 -&gt; 목적지/출발지 로 변경하는건 어떠신가요 ?_x000a__x000a_"/>
    <s v="개발자테스트"/>
    <s v="신문호"/>
    <s v="김경준"/>
    <s v="3자테스터공통"/>
    <s v="Online"/>
    <s v="결함"/>
    <s v="데이터"/>
    <s v="결함검토요청"/>
    <s v="신문호"/>
    <s v="Major"/>
    <x v="0"/>
    <d v="2026-04-28T16:47:34"/>
    <d v="2026-04-28T16:47:34"/>
    <s v=""/>
  </r>
  <r>
    <s v="UT-GO12508S"/>
    <s v="1-2차"/>
    <n v="1"/>
    <x v="0"/>
    <s v="DEF-00397"/>
    <s v="엑셀 템플릿이 깨집니다."/>
    <s v="개발자테스트"/>
    <s v="신문호"/>
    <s v="김경준"/>
    <s v="3자테스터공통"/>
    <s v="Online"/>
    <s v="개선/변경"/>
    <s v="기타"/>
    <s v="결함검토요청"/>
    <s v="신문호"/>
    <s v="Minor"/>
    <x v="0"/>
    <d v="2026-04-28T16:50:14"/>
    <d v="2026-04-28T16:50:14"/>
    <s v=""/>
  </r>
  <r>
    <s v="UT-GO61101S"/>
    <s v="1-2차"/>
    <n v="1"/>
    <x v="0"/>
    <s v="DEF-00404"/>
    <s v="조회된 데이터와 print 데이터가 다릅니다."/>
    <s v="개발자테스트"/>
    <s v="신문호"/>
    <s v="박정구"/>
    <s v="3자테스터공통"/>
    <s v="Online"/>
    <s v="결함"/>
    <s v="데이터"/>
    <s v="결함검토요청"/>
    <s v="신문호"/>
    <s v="Critical"/>
    <x v="0"/>
    <d v="2026-04-28T17:27:10"/>
    <d v="2026-04-28T17:30:30"/>
    <s v=""/>
  </r>
  <r>
    <s v="UT-GO12805S"/>
    <s v="2-3차"/>
    <n v="1"/>
    <x v="0"/>
    <s v="DEF-00405"/>
    <s v="날짜 형식 확인"/>
    <s v="개발자테스트"/>
    <s v="신문호"/>
    <s v="김경준"/>
    <s v="3자테스터공통"/>
    <s v="Online"/>
    <s v="개선/변경"/>
    <s v="UI"/>
    <s v="결함검토요청"/>
    <s v="신문호"/>
    <s v="Minor"/>
    <x v="0"/>
    <d v="2026-04-28T17:27:49"/>
    <d v="2026-04-28T17:27:49"/>
    <s v=""/>
  </r>
  <r>
    <s v="UT-GO61501S"/>
    <s v="1-2차"/>
    <n v="1"/>
    <x v="0"/>
    <s v="DEF-00415"/>
    <s v="차트 내 데이터가 겹쳐 식별이 어렵습니다. "/>
    <s v="개발자테스트"/>
    <s v="신문호"/>
    <s v="박정구"/>
    <s v="3자테스터공통"/>
    <s v="Online"/>
    <s v="개선/변경"/>
    <s v="UI"/>
    <s v="결함검토요청"/>
    <s v="신문호"/>
    <s v="Minor"/>
    <x v="0"/>
    <d v="2026-04-28T17:50:56"/>
    <d v="2026-04-28T17:50:56"/>
    <s v=""/>
  </r>
  <r>
    <s v="UT-GO61501S"/>
    <s v="1-2차"/>
    <n v="1"/>
    <x v="0"/>
    <s v="DEF-00416"/>
    <s v="조회 데이터에 활주로 방향 명시 하면 좋을것같습니다.  (다운로드 문서 포함)"/>
    <s v="개발자테스트"/>
    <s v="신문호"/>
    <s v="박정구"/>
    <s v="3자테스터공통"/>
    <s v="Online"/>
    <s v="개선/변경"/>
    <s v="기타"/>
    <s v="결함검토요청"/>
    <s v="신문호"/>
    <s v="Minor"/>
    <x v="0"/>
    <d v="2026-04-28T17:53:27"/>
    <d v="2026-04-28T17:53:27"/>
    <s v=""/>
  </r>
  <r>
    <s v="UT-GO61501S"/>
    <s v="1-2차"/>
    <n v="1"/>
    <x v="0"/>
    <s v="DEF-00417"/>
    <s v="데이터가 있는 날 단일 조회 결과입니다. 명확하게 보여주기에 한계가 있어보입니다"/>
    <s v="개발자테스트"/>
    <s v="신문호"/>
    <s v="박정구"/>
    <s v="3자테스터공통"/>
    <s v="Online"/>
    <s v="개선/변경"/>
    <s v="UI"/>
    <s v="결함검토요청"/>
    <s v="신문호"/>
    <s v="Minor"/>
    <x v="0"/>
    <d v="2026-04-28T17:57:35"/>
    <d v="2026-04-28T17:57:35"/>
    <s v=""/>
  </r>
  <r>
    <s v="UT-FSQA130S"/>
    <s v="1-2차"/>
    <n v="1"/>
    <x v="2"/>
    <s v="DEF-00738"/>
    <s v="추가 확인 결과 상세내역 수정시 입력 일시를 수정하여 저장하였는데.. 수정된 일자로 정렬되지 않음._x000a_특별물품정보관리의 경우 입력일자를 변경 저장하면,, 수정된 날자로 정렬되어 목록에 표줄됨."/>
    <s v="개발자테스트"/>
    <s v="임소정"/>
    <s v="임소정"/>
    <s v="3자테스터공통"/>
    <s v="Online"/>
    <s v="결함"/>
    <s v="기능"/>
    <s v="결함검토요청"/>
    <s v="임소정"/>
    <s v="Minor"/>
    <x v="0"/>
    <d v="2026-05-06T16:50:07"/>
    <d v="2026-05-06T16:50:07"/>
    <s v=""/>
  </r>
  <r>
    <s v="UT-PM20153S"/>
    <s v="2-1차"/>
    <n v="1"/>
    <x v="1"/>
    <s v="DEF-00739"/>
    <s v="①시뮬레이션 결과와 기존승객예고결과의 첫번째 시간대(0H~1H)의 상세 시간대가 다름_x000a_"/>
    <s v="개발자테스트"/>
    <s v="임소정"/>
    <s v="노세찬"/>
    <s v="3자테스터공통"/>
    <s v="Online"/>
    <s v="개선/변경"/>
    <s v="UI"/>
    <s v="결함검토요청"/>
    <s v="임소정"/>
    <s v="Minor"/>
    <x v="0"/>
    <d v="2026-05-06T16:55:26"/>
    <d v="2026-05-06T16:55:27"/>
    <s v=""/>
  </r>
  <r>
    <s v="UT-GO12516S"/>
    <s v="2-2차"/>
    <n v="1"/>
    <x v="0"/>
    <s v="DEF-00740"/>
    <s v="[C_2] 검색 컴포넌트의 필수 필드에 대한 일관된 스타일 적용 필요"/>
    <s v="개발자테스트"/>
    <s v="신문호"/>
    <s v="김경준"/>
    <s v="3자테스터공통"/>
    <s v="Online"/>
    <s v="결함"/>
    <s v="UI"/>
    <s v="결함검토요청"/>
    <s v="신문호"/>
    <s v="Minor"/>
    <x v="0"/>
    <d v="2026-05-06T16:55:55"/>
    <d v="2026-05-06T16:56:55"/>
    <s v=""/>
  </r>
  <r>
    <s v="UT-GO12516S"/>
    <s v="2-2차"/>
    <n v="1"/>
    <x v="0"/>
    <s v="DEF-00741"/>
    <s v="[C_1] 검색 컴포넌트의 '기준일자' 필드, '지연/결항' 필드 정렬 필요"/>
    <s v="개발자테스트"/>
    <s v="신문호"/>
    <s v="김경준"/>
    <s v="3자테스터공통"/>
    <s v="Online"/>
    <s v="결함"/>
    <s v="UI"/>
    <s v="결함검토요청"/>
    <s v="신문호"/>
    <s v="Minor"/>
    <x v="0"/>
    <d v="2026-05-06T16:57:55"/>
    <d v="2026-05-06T16:57:55"/>
    <s v=""/>
  </r>
  <r>
    <s v="UT-GO12903S"/>
    <s v="2-2차"/>
    <n v="1"/>
    <x v="0"/>
    <s v="DEF-00742"/>
    <s v="[C_1] '조회기간' 필드, '국토부기준 노선구분' 필드 정렬 필요"/>
    <s v="개발자테스트"/>
    <s v="신문호"/>
    <s v="신문호"/>
    <s v="3자테스터공통"/>
    <s v="Online"/>
    <s v="결함"/>
    <s v="UI"/>
    <s v="결함검토요청"/>
    <s v="신문호"/>
    <s v="Minor"/>
    <x v="0"/>
    <d v="2026-05-06T16:59:46"/>
    <d v="2026-05-06T16:59:46"/>
    <s v=""/>
  </r>
  <r>
    <s v="UT-GO12516S"/>
    <s v="2-2차"/>
    <n v="1"/>
    <x v="0"/>
    <s v="DEF-00743"/>
    <s v="[C_12] 조회조건 중 날짜의 입력포맷과 조회결과 항목중 날짜관련 항목의 출력포맷이 일치하지 않음"/>
    <s v="개발자테스트"/>
    <s v="신문호"/>
    <s v="김경준"/>
    <s v="3자테스터공통"/>
    <s v="Online"/>
    <s v="결함"/>
    <s v="UI"/>
    <s v="결함검토요청"/>
    <s v="신문호"/>
    <s v="Minor"/>
    <x v="0"/>
    <d v="2026-05-06T17:09:35"/>
    <d v="2026-05-06T17:09:35"/>
    <s v=""/>
  </r>
  <r>
    <s v="UT-PM20154S"/>
    <s v="2-1차"/>
    <n v="1"/>
    <x v="1"/>
    <s v="DEF-00745"/>
    <s v="①체크인카운터별 출국장 이용 가중치 입력 화면- 체크인카운터 정렬 확인 필요_x000a_"/>
    <s v="개발자테스트"/>
    <s v="임소정"/>
    <s v="노세찬"/>
    <s v="3자테스터공통"/>
    <s v="Online"/>
    <s v="개선/변경"/>
    <s v="UI"/>
    <s v="결함검토요청"/>
    <s v="임소정"/>
    <s v="Minor"/>
    <x v="0"/>
    <d v="2026-05-06T17:11:33"/>
    <d v="2026-05-06T17:11:33"/>
    <s v=""/>
  </r>
  <r>
    <s v="UT-GO12101S"/>
    <s v="2-1차"/>
    <n v="1"/>
    <x v="0"/>
    <s v="DEF-00746"/>
    <s v="[C_1] 오타: '회'수 → '횟'수"/>
    <s v="개발자테스트"/>
    <s v="신문호"/>
    <s v="박정구"/>
    <s v="3자테스터공통"/>
    <s v="Online"/>
    <s v="결함"/>
    <s v="UI"/>
    <s v="결함검토요청"/>
    <s v="신문호"/>
    <s v="Minor"/>
    <x v="0"/>
    <d v="2026-05-06T17:18:53"/>
    <d v="2026-05-06T17:41:43"/>
    <s v=""/>
  </r>
  <r>
    <s v="UT-PM20155S"/>
    <s v="2-1차"/>
    <n v="1"/>
    <x v="1"/>
    <s v="DEF-00747"/>
    <s v="엑셀 저장 기능 불안정.._x000a_5번 시도해서 엑셀 저장 기능 확인함."/>
    <s v="개발자테스트"/>
    <s v="임소정"/>
    <s v="노세찬"/>
    <s v="3자테스터공통"/>
    <s v="Online"/>
    <s v="개선/변경"/>
    <s v="UI"/>
    <s v="결함검토요청"/>
    <s v="임소정"/>
    <s v="Minor"/>
    <x v="0"/>
    <d v="2026-05-06T17:19:35"/>
    <d v="2026-05-06T17:19:35"/>
    <s v=""/>
  </r>
  <r>
    <s v="UT-GO12101S"/>
    <s v="2-1차"/>
    <n v="1"/>
    <x v="0"/>
    <s v="DEF-00750"/>
    <s v="[C_1] '13-1.결항현황(2023~)' 보고서 내 소제목 넘버링 수정 필요"/>
    <s v="개발자테스트"/>
    <s v="신문호"/>
    <s v="박정구"/>
    <s v="3자테스터공통"/>
    <s v="Online"/>
    <s v="결함"/>
    <s v="UI"/>
    <s v="결함검토요청"/>
    <s v="신문호"/>
    <s v="Minor"/>
    <x v="0"/>
    <d v="2026-05-06T17:44:31"/>
    <d v="2026-05-06T17:44:31"/>
    <s v=""/>
  </r>
  <r>
    <s v="UT-GO11952M"/>
    <s v="2-1차"/>
    <n v="1"/>
    <x v="0"/>
    <s v="DEF-00764"/>
    <s v="[X_1] 수송실적 섹션의 값들은 데이터가 없는 것인지, 집계가 잘못 되고 있는 것인지 확인 필요"/>
    <s v="개발자테스트"/>
    <s v="신문호"/>
    <s v="김경준"/>
    <s v="3자테스터공통"/>
    <s v="Online"/>
    <s v="결함"/>
    <s v="데이터"/>
    <s v="결함검토요청"/>
    <s v="신문호"/>
    <s v="Minor"/>
    <x v="0"/>
    <d v="2026-05-07T10:03:37"/>
    <d v="2026-05-07T10:03:37"/>
    <s v=""/>
  </r>
  <r>
    <s v="UT-GO12807S"/>
    <s v="2-1차"/>
    <n v="1"/>
    <x v="0"/>
    <s v="DEF-00765"/>
    <s v="[C_2] 검색 컴포넌트의 필수 필드에 대한 일관된 스타일 적용 필요"/>
    <s v="개발자테스트"/>
    <s v="신문호"/>
    <s v="김경준"/>
    <s v="3자테스터공통"/>
    <s v="Online"/>
    <s v="결함"/>
    <s v="UI"/>
    <s v="결함검토요청"/>
    <s v="신문호"/>
    <s v="Minor"/>
    <x v="0"/>
    <d v="2026-05-07T10:05:30"/>
    <d v="2026-05-07T10:05:30"/>
    <s v=""/>
  </r>
  <r>
    <s v="UT-PM30103M"/>
    <s v="1-2차"/>
    <n v="1"/>
    <x v="1"/>
    <s v="DEF-00769"/>
    <s v="시스템에러로 테스트 불가"/>
    <s v="개발자테스트"/>
    <s v="임소정"/>
    <s v="pmtbd2"/>
    <s v="3자테스터공통"/>
    <s v="Online"/>
    <s v="개선/변경"/>
    <s v="UI"/>
    <s v="결함검토요청"/>
    <s v="임소정"/>
    <s v="Minor"/>
    <x v="0"/>
    <d v="2026-05-07T10:17:12"/>
    <d v="2026-05-07T10:17:12"/>
    <s v=""/>
  </r>
  <r>
    <s v="UT-GO12511S"/>
    <s v="2-1차"/>
    <n v="1"/>
    <x v="0"/>
    <s v="DEF-00771"/>
    <s v="[C_1] 엑셀 저장 시, 페이지마다 헤더 영역이 정상적으로 반복되거나 맨 위에 한 줄만 나타나야 할 것 같지만 '순번'만 반복되고 이외의 헤더는 반복되지 않음"/>
    <s v="개발자테스트"/>
    <s v="신문호"/>
    <s v="김경준"/>
    <s v="3자테스터공통"/>
    <s v="Online"/>
    <s v="결함"/>
    <s v="기능"/>
    <s v="결함검토요청"/>
    <s v="신문호"/>
    <s v="Minor"/>
    <x v="0"/>
    <d v="2026-05-07T10:29:41"/>
    <d v="2026-05-07T10:29:41"/>
    <s v=""/>
  </r>
  <r>
    <s v="UT-GO51233S"/>
    <s v="2-1차"/>
    <n v="1"/>
    <x v="0"/>
    <s v="DEF-00773"/>
    <s v="[S_1] 단위테스트결과서상 기준일자는 {어제} ~ {오늘}, 정기구분은 '전체', 여객/화물도 '전체'가 default 값이지만 현재 각각 2023-01-01 ~ {오늘}, '정기', '여객'으로 설정되어 있음"/>
    <s v="개발자테스트"/>
    <s v="신문호"/>
    <s v="김경준"/>
    <s v="3자테스터공통"/>
    <s v="Online"/>
    <s v="결함"/>
    <s v="문서화"/>
    <s v="결함검토요청"/>
    <s v="신문호"/>
    <s v="Minor"/>
    <x v="0"/>
    <d v="2026-05-07T10:42:10"/>
    <d v="2026-05-07T10:42:10"/>
    <s v=""/>
  </r>
  <r>
    <s v="UT-GO51235S"/>
    <s v="2-1차"/>
    <n v="1"/>
    <x v="0"/>
    <s v="DEF-00777"/>
    <s v="[C_12] 조회조건 중 기준일자 입력포맷과 보고서상의 조회기간 출력포맷 불일치"/>
    <s v="개발자테스트"/>
    <s v="신문호"/>
    <s v="박정구"/>
    <s v="3자테스터공통"/>
    <s v="Online"/>
    <s v="결함"/>
    <s v="UI"/>
    <s v="결함검토요청"/>
    <s v="신문호"/>
    <s v="Minor"/>
    <x v="0"/>
    <d v="2026-05-07T10:58:55"/>
    <d v="2026-05-07T10:58:55"/>
    <s v=""/>
  </r>
  <r>
    <s v="UT-PM20156S"/>
    <s v="2-2차"/>
    <n v="1"/>
    <x v="1"/>
    <s v="DEF-00436"/>
    <s v="+ 버튼으로 그래프 비교를 할경우 화면 비율 100% 상태에서 승객수 기존 , 시뮬레이션 글자가 짤림"/>
    <s v="개발자테스트"/>
    <s v="임소정"/>
    <s v="노세찬"/>
    <s v="3자테스터공통"/>
    <s v="Online"/>
    <s v="결함"/>
    <s v="UI"/>
    <s v="결함검토요청"/>
    <s v="임소정"/>
    <s v="Minor"/>
    <x v="0"/>
    <d v="2026-04-29T10:20:46"/>
    <d v="2026-04-29T10:20:46"/>
    <s v=""/>
  </r>
  <r>
    <s v="UT-GO12906S"/>
    <s v="2-3차"/>
    <n v="1"/>
    <x v="0"/>
    <s v="DEF-00440"/>
    <s v="직접입력 조회 시 오류"/>
    <s v="개발자테스트"/>
    <s v="신문호"/>
    <s v="신문호"/>
    <s v="3자테스터공통"/>
    <s v="Online"/>
    <s v="결함"/>
    <s v="기능"/>
    <s v="결함검토요청"/>
    <s v="신문호"/>
    <s v="Critical"/>
    <x v="0"/>
    <d v="2026-04-29T10:35:43"/>
    <d v="2026-04-29T10:35:43"/>
    <s v=""/>
  </r>
  <r>
    <s v="UT-PM20106M"/>
    <s v="1-2차"/>
    <n v="1"/>
    <x v="1"/>
    <s v="DEF-00444"/>
    <s v="도착승객, 환승객에 정렬 기능이 예상과 다르게 동작중인것 같아요!"/>
    <s v="개발자테스트"/>
    <s v="임소정"/>
    <s v="염희석"/>
    <s v="3자테스터공통"/>
    <s v="Online"/>
    <s v="개선/변경"/>
    <s v="UI"/>
    <s v="결함검토요청"/>
    <s v="임소정"/>
    <s v="Minor"/>
    <x v="0"/>
    <d v="2026-04-29T10:48:09"/>
    <d v="2026-04-29T10:48:09"/>
    <s v=""/>
  </r>
  <r>
    <s v="UT-GO51230S"/>
    <s v="2-3차"/>
    <n v="1"/>
    <x v="0"/>
    <s v="DEF-00447"/>
    <s v="1. 셀 병합 필요_x000a_2. 비율에 대한 단위 표시 필요_x000a__x000a__x000a__x000a_"/>
    <s v="개발자테스트"/>
    <s v="신문호"/>
    <s v="김경준"/>
    <s v="3자테스터공통"/>
    <s v="Online"/>
    <s v="개선/변경"/>
    <s v="UI"/>
    <s v="결함검토요청"/>
    <s v="신문호"/>
    <s v="Minor"/>
    <x v="0"/>
    <d v="2026-04-29T10:51:22"/>
    <d v="2026-04-29T10:51:22"/>
    <s v=""/>
  </r>
  <r>
    <s v="UT-PM10107S"/>
    <s v="2-2차"/>
    <n v="1"/>
    <x v="1"/>
    <s v="DEF-00448"/>
    <s v="예측관리 -&gt; 입력정보 관리 카테고리 안에 시설물 매핑 관리 항목은 없음"/>
    <s v="개발자테스트"/>
    <s v="임소정"/>
    <s v="pmtbd3"/>
    <s v="3자테스터공통"/>
    <s v="Online"/>
    <s v="결함"/>
    <s v="기타"/>
    <s v="결함검토요청"/>
    <s v="임소정"/>
    <s v="Minor"/>
    <x v="0"/>
    <d v="2026-04-29T10:52:28"/>
    <d v="2026-04-29T10:52:28"/>
    <s v=""/>
  </r>
  <r>
    <s v="UT-FSEX020S"/>
    <s v="2-1차"/>
    <n v="1"/>
    <x v="2"/>
    <s v="DEF-00500"/>
    <s v="필수으로 표시되어 있는 항목에 대해 필수값 체크 확인 필요_x000a_- 접수구분_x000a_- 회수여부"/>
    <s v="개발자테스트"/>
    <s v="임소정"/>
    <s v="임소정"/>
    <s v="3자테스터공통"/>
    <s v="Online"/>
    <s v="결함"/>
    <s v="기능"/>
    <s v="결함검토요청"/>
    <s v="임소정"/>
    <s v="Major"/>
    <x v="0"/>
    <d v="2026-04-29T15:38:55"/>
    <d v="2026-04-29T15:38:55"/>
    <s v=""/>
  </r>
  <r>
    <s v="UT-FSEX020S"/>
    <s v="2-1차"/>
    <n v="1"/>
    <x v="2"/>
    <s v="DEF-00501"/>
    <s v="내용에 생화확 으로 선택한 뒤 확인물품 입력 후 입력한 확인물품을 삭제하지 않은 상태로 다른 내용을 선택 후 저장 시 오류 발생"/>
    <s v="개발자테스트"/>
    <s v="임소정"/>
    <s v="임소정"/>
    <s v="3자테스터공통"/>
    <s v="Online"/>
    <s v="결함"/>
    <s v="기능"/>
    <s v="결함검토요청"/>
    <s v="임소정"/>
    <s v="Critical"/>
    <x v="0"/>
    <d v="2026-04-29T15:40:37"/>
    <d v="2026-04-29T15:40:37"/>
    <s v=""/>
  </r>
  <r>
    <s v="UT-FSEX040M"/>
    <s v="2-1차"/>
    <n v="1"/>
    <x v="2"/>
    <s v="DEF-00519"/>
    <s v="최대 입력값 체크 필요"/>
    <s v="개발자테스트"/>
    <s v="임소정"/>
    <s v="임소정"/>
    <s v="3자테스터공통"/>
    <s v="Online"/>
    <s v="결함"/>
    <s v="프로세스"/>
    <s v="결함검토요청"/>
    <s v="임소정"/>
    <s v="Critical"/>
    <x v="0"/>
    <d v="2026-04-29T16:19:08"/>
    <d v="2026-04-29T16:28:14"/>
    <s v=""/>
  </r>
  <r>
    <s v="UT-FSEX040S"/>
    <s v="2-1차"/>
    <n v="1"/>
    <x v="2"/>
    <s v="DEF-00521"/>
    <s v="그리드의 삭제 상태로 있는 행을 더블클릭하여 업무일지 작성 팝업을 오픈하면 오류 발생"/>
    <s v="개발자테스트"/>
    <s v="임소정"/>
    <s v="임소정"/>
    <s v="3자테스터공통"/>
    <s v="Online"/>
    <s v="결함"/>
    <s v="기능"/>
    <s v="결함검토요청"/>
    <s v="임소정"/>
    <s v="Critical"/>
    <x v="0"/>
    <d v="2026-04-29T16:46:02"/>
    <d v="2026-04-29T16:46:02"/>
    <s v=""/>
  </r>
  <r>
    <s v="UT-PM10506S"/>
    <s v="2-3차"/>
    <n v="1"/>
    <x v="1"/>
    <s v="DEF-00015"/>
    <s v="T1 터미널에서 T2로 변경시 아래 맵보기 정보가 변하지 않습니다._x000a_T2로 넘어가면 T1정보가 그대로 보여지고 아래 시간을 바꿔도 변화가 없습니다."/>
    <s v="개발자테스트"/>
    <s v="임소정"/>
    <s v="pmtbd3"/>
    <s v="3자테스터공통"/>
    <s v="Online"/>
    <s v="결함"/>
    <s v="기능"/>
    <s v="결함검토요청"/>
    <s v="염희석"/>
    <s v="Major"/>
    <x v="0"/>
    <d v="2026-04-22T14:24:15"/>
    <d v="2026-04-22T14:24:15"/>
    <s v=""/>
  </r>
  <r>
    <s v="UT-GO42001S"/>
    <s v="1-2차"/>
    <n v="1"/>
    <x v="0"/>
    <s v="DEF-00427"/>
    <s v=" 잘못등록했습니다..! 무시해주세요"/>
    <s v="개발자테스트"/>
    <s v="신문호"/>
    <s v="박정구"/>
    <s v="3자테스터공통"/>
    <s v="Online"/>
    <s v="개선/변경"/>
    <s v="기타"/>
    <s v="결함검토요청"/>
    <s v="신문호"/>
    <s v="Minor"/>
    <x v="0"/>
    <d v="2026-04-29T09:34:43"/>
    <d v="2026-04-29T09:38:50"/>
    <s v=""/>
  </r>
  <r>
    <s v="UT-PM30101S"/>
    <s v="1-2차"/>
    <n v="1"/>
    <x v="1"/>
    <s v="DEF-00462"/>
    <s v="조회시 에러가 있습니다. _x000a__x000a_# 문제 발생 내용_x000a__x000a_1. 초기 데이터 정상 조회 (문제없었음)_x000a_2. 연도별 수요 및 GDP 실적 추가 및 저장 (입력한 데이터 : 2025, 123123, 456456)_x000a_3. 서버에러 팝업_x000a_4. 리프레시 버튼 -&gt; 서버에러 팝업_x000a_5. 이력조회 버튼 -&gt; 이전 이력 더블클릭 -&gt; 서버에러 팝업_x000a_6. 카테고리 접근 -&gt; 서버에러 팝업_x000a__x000a_연도별 수요 및 GDP 실적 저장 전 유효성 검사 또는 권한에 따른 저장 버튼 비활성을 검토해보셔야할것같습니다. "/>
    <s v="개발자테스트"/>
    <s v="임소정"/>
    <s v="pmtbd1"/>
    <s v="3자테스터공통"/>
    <s v="Online"/>
    <s v="결함"/>
    <s v="기능"/>
    <s v="결함검토요청"/>
    <s v="임소정"/>
    <s v="Critical"/>
    <x v="0"/>
    <d v="2026-04-29T13:22:31"/>
    <d v="2026-04-29T13:29:35"/>
    <s v=""/>
  </r>
  <r>
    <s v="UT-PM20135M"/>
    <s v="2-1차"/>
    <n v="1"/>
    <x v="1"/>
    <s v="DEF-00470"/>
    <s v="단위테스트 ui 화면과 현재화면 ui 가다름 "/>
    <s v="개발자테스트"/>
    <s v="임소정"/>
    <s v="pmtbd2"/>
    <s v="3자테스터공통"/>
    <s v="Online"/>
    <s v="개선/변경"/>
    <s v="UI"/>
    <s v="결함검토요청"/>
    <s v="임소정"/>
    <s v="Minor"/>
    <x v="0"/>
    <d v="2026-04-29T14:08:15"/>
    <d v="2026-04-29T14:08:15"/>
    <s v=""/>
  </r>
  <r>
    <s v="UT-FSEX090M"/>
    <s v="2-3차"/>
    <n v="1"/>
    <x v="2"/>
    <s v="DEF-00477"/>
    <s v="[C_11] 인원 필드에 0 또는 음수 값을 입력해도 저장 가능"/>
    <s v="개발자테스트"/>
    <s v="임소정"/>
    <s v="임소정"/>
    <s v="3자테스터공통"/>
    <s v="Online"/>
    <s v="결함"/>
    <s v="데이터"/>
    <s v="결함검토요청"/>
    <s v="임소정"/>
    <s v="Minor"/>
    <x v="0"/>
    <d v="2026-04-29T14:35:24"/>
    <d v="2026-04-29T14:39:30"/>
    <s v=""/>
  </r>
  <r>
    <s v="UT-PM20143M"/>
    <s v="2-1차"/>
    <n v="1"/>
    <x v="1"/>
    <s v="DEF-00481"/>
    <s v="저장 초기화 가중치불러오기 닫기 버튼 위치 정렬 필요"/>
    <s v="개발자테스트"/>
    <s v="임소정"/>
    <s v="pmtbd1"/>
    <s v="3자테스터공통"/>
    <s v="Online"/>
    <s v="결함"/>
    <s v="인터페이스"/>
    <s v="결함검토요청"/>
    <s v="임소정"/>
    <s v="Major"/>
    <x v="0"/>
    <d v="2026-04-29T14:47:02"/>
    <d v="2026-04-29T14:47:02"/>
    <s v=""/>
  </r>
  <r>
    <s v="UT-FSQB090S"/>
    <s v="2-1차"/>
    <n v="1"/>
    <x v="2"/>
    <s v="DEF-00485"/>
    <s v="용어에 대한 띄워쓰기 맞춤 필요."/>
    <s v="개발자테스트"/>
    <s v="임소정"/>
    <s v="임소정"/>
    <s v="3자테스터공통"/>
    <s v="Online"/>
    <s v="개선/변경"/>
    <s v="기타"/>
    <s v="결함검토요청"/>
    <s v="임소정"/>
    <s v="Minor"/>
    <x v="0"/>
    <d v="2026-04-29T14:51:26"/>
    <d v="2026-04-29T14:51:26"/>
    <s v=""/>
  </r>
  <r>
    <s v="UT-FSEX021S"/>
    <s v="2-2차"/>
    <n v="1"/>
    <x v="2"/>
    <s v="DEF-00487"/>
    <s v="페이지 첫 진입 시 첫 필드(조회년월) 포커스가 필요합니다. "/>
    <s v="개발자테스트"/>
    <s v="임소정"/>
    <s v="임소정"/>
    <s v="3자테스터공통"/>
    <s v="Online"/>
    <s v="개선/변경"/>
    <s v="UI"/>
    <s v="결함검토요청"/>
    <s v="임소정"/>
    <s v="Minor"/>
    <x v="0"/>
    <d v="2026-04-29T14:55:17"/>
    <d v="2026-04-29T14:55:17"/>
    <s v=""/>
  </r>
  <r>
    <s v="UT-FSQB090S"/>
    <s v="2-1차"/>
    <n v="1"/>
    <x v="2"/>
    <s v="DEF-00488"/>
    <s v="sort 기준 확인 필요._x000a_"/>
    <s v="개발자테스트"/>
    <s v="임소정"/>
    <s v="임소정"/>
    <s v="3자테스터공통"/>
    <s v="Online"/>
    <s v="개선/변경"/>
    <s v="UI"/>
    <s v="결함검토요청"/>
    <s v="임소정"/>
    <s v="Minor"/>
    <x v="0"/>
    <d v="2026-04-29T14:59:14"/>
    <d v="2026-04-29T14:59:14"/>
    <s v=""/>
  </r>
  <r>
    <s v="UT-FSEX040M"/>
    <s v="2-1차"/>
    <n v="1"/>
    <x v="2"/>
    <s v="DEF-00517"/>
    <s v="최대 입력값 체크 필요"/>
    <s v="개발자테스트"/>
    <s v="임소정"/>
    <s v="임소정"/>
    <s v="3자테스터공통"/>
    <s v="Online"/>
    <s v="결함"/>
    <s v="기능"/>
    <s v="결함검토요청"/>
    <s v="임소정"/>
    <s v="Critical"/>
    <x v="0"/>
    <d v="2026-04-29T16:16:01"/>
    <d v="2026-04-29T16:16:01"/>
    <s v=""/>
  </r>
  <r>
    <s v="UT-FSEX040M"/>
    <s v="2-1차"/>
    <n v="1"/>
    <x v="2"/>
    <s v="DEF-00518"/>
    <s v="최대 입력값 체크 필요"/>
    <s v="개발자테스트"/>
    <s v="임소정"/>
    <s v="임소정"/>
    <s v="3자테스터공통"/>
    <s v="Online"/>
    <s v="결함"/>
    <s v="기능"/>
    <s v="결함검토요청"/>
    <s v="임소정"/>
    <s v="Critical"/>
    <x v="0"/>
    <d v="2026-04-29T16:17:33"/>
    <d v="2026-04-29T16:17:33"/>
    <s v=""/>
  </r>
  <r>
    <s v="UT-GO11951S"/>
    <s v="2-1차"/>
    <n v="1"/>
    <x v="0"/>
    <s v="DEF-00756"/>
    <s v="[C_11] 현행 시스템에서 가용성 및 운영목표에 음이 아닌 정수값만 입력 가능하지만,_x000a_• 셔틀트레인 대시보드 리포트(UT-GO11952M)의 서비스 가용성 섹션에는 해당 값들이 항상 소수점 아래 셋째 자리까지 표시되고 있기 때문에 소수점 아래 셋째 자리까지 입력 가능하도록 하거나, 정수로 표시되도록 통일 필요_x000a_• 증적과 상이 (증적상 소수 단위 값 입력 가능)_x000a_"/>
    <s v="개발자테스트"/>
    <s v="신문호"/>
    <s v="김경준"/>
    <s v="3자테스터공통"/>
    <s v="Online"/>
    <s v="결함"/>
    <s v="기능"/>
    <s v="결함검토요청"/>
    <s v="신문호"/>
    <s v="Major"/>
    <x v="0"/>
    <d v="2026-05-07T09:37:51"/>
    <d v="2026-05-07T10:32:35"/>
    <s v=""/>
  </r>
  <r>
    <s v="UT-PM20130S"/>
    <s v="2-1차"/>
    <n v="1"/>
    <x v="1"/>
    <s v="DEF-00776"/>
    <s v="조회 종료 버튼을 상태에 따라.. 클릭 가능 또는 Disable 상태로 바꿔주길 바람._x000a_아래 화면과 같이.. 조회(Search) 클릭하면.. 타이머 작동중으로.. 주기적인 갱신이 이루어지며.. 이를 중단하는 것이 조회 중지 버튼임. 그런데.. 조회 중지 상태인데도 조회중지 버튼은 여전히 클릭 가능 상태임. 버튼을 클릭 가능할때와 불필요할때를 구분하여 전환 표시해 주길 바람.. Search 버튼 처럼.."/>
    <s v="개발자테스트"/>
    <s v="임소정"/>
    <s v="pmtbd1"/>
    <s v="3자테스터공통"/>
    <s v="Online"/>
    <s v="개선/변경"/>
    <s v="UI"/>
    <s v="결함검토요청"/>
    <s v="임소정"/>
    <s v="Minor"/>
    <x v="0"/>
    <d v="2026-05-07T10:56:21"/>
    <d v="2026-05-07T10:56:21"/>
    <s v=""/>
  </r>
  <r>
    <s v="UT-GO52510S"/>
    <s v="2-1차"/>
    <n v="1"/>
    <x v="0"/>
    <s v="DEF-00778"/>
    <s v="[C_2] 검색 컴포넌트의 필수 필드에 대한 일관된 스타일 적용 필요"/>
    <s v="개발자테스트"/>
    <s v="신문호"/>
    <s v="김경준"/>
    <s v="3자테스터공통"/>
    <s v="Online"/>
    <s v="결함"/>
    <s v="UI"/>
    <s v="결함검토요청"/>
    <s v="신문호"/>
    <s v="Minor"/>
    <x v="0"/>
    <d v="2026-05-07T11:02:41"/>
    <d v="2026-05-07T11:02:41"/>
    <s v=""/>
  </r>
  <r>
    <s v="UT-GO12507S"/>
    <s v="2-1차"/>
    <n v="1"/>
    <x v="0"/>
    <s v="DEF-00779"/>
    <s v="[C_2] 검색 컴포넌트의 필수 필드에 대한 일관된 스타일 적용 필요"/>
    <s v="개발자테스트"/>
    <s v="신문호"/>
    <s v="김경준"/>
    <s v="3자테스터공통"/>
    <s v="Online"/>
    <s v="결함"/>
    <s v="UI"/>
    <s v="결함검토요청"/>
    <s v="신문호"/>
    <s v="Minor"/>
    <x v="0"/>
    <d v="2026-05-07T11:09:08"/>
    <d v="2026-05-07T11:09:08"/>
    <s v=""/>
  </r>
  <r>
    <s v="UT-GO12938S"/>
    <s v="2-3차"/>
    <n v="1"/>
    <x v="0"/>
    <s v="DEF-00031"/>
    <s v="조건에 따른 조회결과가 표출되지 않음. (2025.06.10, 13:00, Grade : 전체)"/>
    <s v="개발자테스트"/>
    <s v="신문호"/>
    <s v="신문호"/>
    <s v="3자테스터공통"/>
    <s v="Online"/>
    <s v="결함"/>
    <s v="기능"/>
    <s v="결함검토요청"/>
    <s v="신문호"/>
    <s v="Major"/>
    <x v="0"/>
    <d v="2026-04-22T15:43:17"/>
    <d v="2026-04-22T15:44:05"/>
    <s v=""/>
  </r>
  <r>
    <s v="UT-GO12910S"/>
    <s v="2-3차"/>
    <n v="1"/>
    <x v="0"/>
    <s v="DEF-00044"/>
    <s v="표 하단  문구에서 날자를 날짜로 변경필요_x000a_표 기간에 기간입력 필요_x000a_표의 왼쪽 외곽선 필요"/>
    <s v="개발자테스트"/>
    <s v="신문호"/>
    <s v="신문호"/>
    <s v="3자테스터공통"/>
    <s v="Online"/>
    <s v="개선/변경"/>
    <s v="UI"/>
    <s v="결함검토요청"/>
    <s v="신문호"/>
    <s v="Minor"/>
    <x v="0"/>
    <d v="2026-04-22T16:44:58"/>
    <d v="2026-04-22T17:02:22"/>
    <s v=""/>
  </r>
  <r>
    <s v="UT-GO11962S"/>
    <s v="2-2차"/>
    <n v="1"/>
    <x v="0"/>
    <s v="DEF-00160"/>
    <s v="월단위실적 조회에 현재년도가 없음(2026) 없음에 따라 디폴트로 나오지않음_x000a_"/>
    <s v="개발자테스트"/>
    <s v="신문호"/>
    <s v="신문호"/>
    <s v="3자테스터공통"/>
    <s v="Online"/>
    <s v="결함"/>
    <s v="기능"/>
    <s v="결함검토요청"/>
    <s v="신문호"/>
    <s v="Minor"/>
    <x v="0"/>
    <d v="2026-04-27T10:47:23"/>
    <d v="2026-04-27T10:47:23"/>
    <s v=""/>
  </r>
  <r>
    <s v="UT-GO11962S"/>
    <s v="2-2차"/>
    <n v="1"/>
    <x v="0"/>
    <s v="DEF-00162"/>
    <s v="전월 버튼을 클릭하였을때 2026년이 존재하지 않아서 Search 불가능"/>
    <s v="개발자테스트"/>
    <s v="신문호"/>
    <s v="신문호"/>
    <s v="3자테스터공통"/>
    <s v="Online"/>
    <s v="결함"/>
    <s v="기능"/>
    <s v="결함검토요청"/>
    <s v="신문호"/>
    <s v="Major"/>
    <x v="0"/>
    <d v="2026-04-27T10:47:54"/>
    <d v="2026-04-27T17:24:58"/>
    <s v=""/>
  </r>
  <r>
    <s v="UT-FSEX080M"/>
    <s v="2-2차"/>
    <n v="1"/>
    <x v="2"/>
    <s v="DEF-00542"/>
    <s v="[C_7] 수동 입력 시 허용 입력 범위 이외의 값을 UI에서 입력할 수 없도록 막아둔 필드들(일자의 경우 1899년 이전, 위치의 경우 0~999 이외의 값 등)이 일괄등록 시에는 값 보정 또는 적절한 validation alert이 없음."/>
    <s v="개발자테스트"/>
    <s v="임소정"/>
    <s v="임소정"/>
    <s v="3자테스터공통"/>
    <s v="Online"/>
    <s v="결함"/>
    <s v="데이터"/>
    <s v="결함검토요청"/>
    <s v="임소정"/>
    <s v="Minor"/>
    <x v="0"/>
    <d v="2026-04-30T10:39:16"/>
    <d v="2026-04-30T10:39:16"/>
    <s v=""/>
  </r>
  <r>
    <s v="UT-FSEX070S"/>
    <s v="2-1차"/>
    <n v="1"/>
    <x v="2"/>
    <s v="DEF-00549"/>
    <s v="그리드 테두리 확인_x000a_ - 같은 값에 대한 병합 처리로 보임._x000a_ - 병합 처리가 빈 값에 대해서는 적용되지 않아야 할 것으로 보이며, 같은 값에 대한 병합 시 내용이 가운데 정렬을 하여 병합된 것을 인지 시켜줘야 할 것 같음."/>
    <s v="개발자테스트"/>
    <s v="임소정"/>
    <s v="임소정"/>
    <s v="3자테스터공통"/>
    <s v="Online"/>
    <s v="개선/변경"/>
    <s v="UI"/>
    <s v="결함검토요청"/>
    <s v="임소정"/>
    <s v="Minor"/>
    <x v="0"/>
    <d v="2026-04-30T11:10:29"/>
    <d v="2026-04-30T11:14:22"/>
    <s v=""/>
  </r>
  <r>
    <s v="UT-PM10205S"/>
    <s v="2-3차"/>
    <n v="1"/>
    <x v="1"/>
    <s v="DEF-00647"/>
    <s v="1. UT-PM10201S 확인 결과 : 화면과 시나리오파일상의 증적화면과 상이하여 테스트 진행불가"/>
    <s v="개발자테스트"/>
    <s v="임소정"/>
    <s v="양우상"/>
    <s v="3자테스터공통"/>
    <s v="Online"/>
    <s v="개선/변경"/>
    <s v="UI"/>
    <s v="결함검토요청"/>
    <s v="임소정"/>
    <s v="Minor"/>
    <x v="0"/>
    <d v="2026-05-04T15:01:04"/>
    <d v="2026-05-04T15:01:04"/>
    <s v=""/>
  </r>
  <r>
    <s v="UT-PM10206S"/>
    <s v="2-3차"/>
    <n v="1"/>
    <x v="1"/>
    <s v="DEF-00649"/>
    <s v="1. 테스트데이터가 확인 안되어 테스트진행 불가"/>
    <s v="개발자테스트"/>
    <s v="임소정"/>
    <s v="양우상"/>
    <s v="3자테스터공통"/>
    <s v="Online"/>
    <s v="개선/변경"/>
    <s v="UI"/>
    <s v="결함검토요청"/>
    <s v="임소정"/>
    <s v="Minor"/>
    <x v="0"/>
    <d v="2026-05-04T15:17:29"/>
    <d v="2026-05-04T15:17:29"/>
    <s v=""/>
  </r>
  <r>
    <s v="UT-GO12512S"/>
    <s v="2-3차"/>
    <n v="1"/>
    <x v="0"/>
    <s v="DEF-00650"/>
    <s v="[C_5] 문구 수정이 필요해 보입니다. '시작일' → '운항일자', '종료일' → '조회일자'"/>
    <s v="개발자테스트"/>
    <s v="신문호"/>
    <s v="김경준"/>
    <s v="3자테스터공통"/>
    <s v="Online"/>
    <s v="결함"/>
    <s v="UI"/>
    <s v="결함검토요청"/>
    <s v="신문호"/>
    <s v="Minor"/>
    <x v="0"/>
    <d v="2026-05-04T15:23:22"/>
    <d v="2026-05-04T15:23:22"/>
    <s v=""/>
  </r>
  <r>
    <s v="UT-GO12512S"/>
    <s v="2-3차"/>
    <n v="1"/>
    <x v="0"/>
    <s v="DEF-00651"/>
    <s v="[C_2] 검색 컴포넌트의 필수 필드에 대한 일관된 스타일 적용 필요"/>
    <s v="개발자테스트"/>
    <s v="신문호"/>
    <s v="김경준"/>
    <s v="3자테스터공통"/>
    <s v="Online"/>
    <s v="결함"/>
    <s v="UI"/>
    <s v="결함검토요청"/>
    <s v="신문호"/>
    <s v="Minor"/>
    <x v="0"/>
    <d v="2026-05-04T15:29:03"/>
    <d v="2026-05-04T15:29:03"/>
    <s v=""/>
  </r>
  <r>
    <s v="UT-GO12902S"/>
    <s v="2-3차"/>
    <n v="1"/>
    <x v="0"/>
    <s v="DEF-00652"/>
    <s v="[X_1] 조회 불가로 인해 확인 불가"/>
    <s v="개발자테스트"/>
    <s v="신문호"/>
    <s v="김경준"/>
    <s v="3자테스터공통"/>
    <s v="Online"/>
    <s v="결함"/>
    <s v="기능"/>
    <s v="결함검토요청"/>
    <s v="신문호"/>
    <s v="Minor"/>
    <x v="0"/>
    <d v="2026-05-04T15:31:14"/>
    <d v="2026-05-04T15:31:21"/>
    <s v=""/>
  </r>
  <r>
    <s v="UT-PM10301S"/>
    <s v="2-3차"/>
    <n v="1"/>
    <x v="1"/>
    <s v="DEF-00654"/>
    <s v="- 데이터가 없는 날짜 선택 : _x000a_ ① 요약파트 막대그래프 생성,_x000a_ ②체크인카운터 파트 “대기인원 undefined 명“ 출력 &amp; “매우혼잡”&lt;-4개탭 모두 에러"/>
    <s v="개발자테스트"/>
    <s v="임소정"/>
    <s v="신문호"/>
    <s v="3자테스터공통"/>
    <s v="Online"/>
    <s v="개선/변경"/>
    <s v="UI"/>
    <s v="결함검토요청"/>
    <s v="임소정"/>
    <s v="Minor"/>
    <x v="0"/>
    <d v="2026-05-04T15:48:16"/>
    <d v="2026-05-04T15:48:16"/>
    <s v=""/>
  </r>
  <r>
    <s v="UT-FSQA040S"/>
    <s v="1-2차"/>
    <n v="1"/>
    <x v="2"/>
    <s v="DEF-00656"/>
    <s v="검토요청 사유를 길게 입력 후 저장 버튼 클릭함. 서버 오류 발생"/>
    <s v="개발자테스트"/>
    <s v="임소정"/>
    <s v="임소정"/>
    <s v="3자테스터공통"/>
    <s v="Online"/>
    <s v="결함"/>
    <s v="기능"/>
    <s v="결함검토요청"/>
    <s v="임소정"/>
    <s v="Major"/>
    <x v="0"/>
    <d v="2026-05-04T16:10:38"/>
    <d v="2026-05-04T16:10:38"/>
    <s v=""/>
  </r>
  <r>
    <s v="UT-GO12707S"/>
    <s v="2-3차"/>
    <n v="1"/>
    <x v="0"/>
    <s v="DEF-00657"/>
    <s v="[C_2] 검색 컴포넌트의 필수 필드에 대한 일관된 스타일 적용 필요"/>
    <s v="개발자테스트"/>
    <s v="신문호"/>
    <s v="김경준"/>
    <s v="3자테스터공통"/>
    <s v="Online"/>
    <s v="결함"/>
    <s v="UI"/>
    <s v="결함검토요청"/>
    <s v="신문호"/>
    <s v="Minor"/>
    <x v="0"/>
    <d v="2026-05-04T16:16:15"/>
    <d v="2026-05-04T16:16:15"/>
    <s v=""/>
  </r>
  <r>
    <s v="UT-PM10303S"/>
    <s v="2-3차"/>
    <n v="1"/>
    <x v="1"/>
    <s v="DEF-00658"/>
    <s v="1. 처리시간 비교 – 범례없음 &amp; 비교대상 없음_x000a_"/>
    <s v="개발자테스트"/>
    <s v="임소정"/>
    <s v="pmtbd2"/>
    <s v="3자테스터공통"/>
    <s v="Online"/>
    <s v="개선/변경"/>
    <s v="UI"/>
    <s v="결함검토요청"/>
    <s v="임소정"/>
    <s v="Minor"/>
    <x v="0"/>
    <d v="2026-05-04T16:18:02"/>
    <d v="2026-05-04T16:18:03"/>
    <s v=""/>
  </r>
  <r>
    <s v="UT-GO12707S"/>
    <s v="2-3차"/>
    <n v="1"/>
    <x v="0"/>
    <s v="DEF-00659"/>
    <s v="[C_1] 검색 컴포넌트 내 '기준일자', '전체/통계기준' 필드 정렬 필요"/>
    <s v="개발자테스트"/>
    <s v="신문호"/>
    <s v="김경준"/>
    <s v="3자테스터공통"/>
    <s v="Online"/>
    <s v="결함"/>
    <s v="UI"/>
    <s v="결함검토요청"/>
    <s v="신문호"/>
    <s v="Minor"/>
    <x v="0"/>
    <d v="2026-05-04T16:18:42"/>
    <d v="2026-05-04T16:20:44"/>
    <s v=""/>
  </r>
  <r>
    <s v="UT-PM10304S"/>
    <s v="2-3차"/>
    <n v="1"/>
    <x v="1"/>
    <s v="DEF-00665"/>
    <s v="- 하단 좌우 스크롤바가 두개 보임(화면은 모니터기준 전체화면, 26-4-23)_x000a_"/>
    <s v="개발자테스트"/>
    <s v="임소정"/>
    <s v="pmtbd2"/>
    <s v="3자테스터공통"/>
    <s v="Online"/>
    <s v="개선/변경"/>
    <s v="UI"/>
    <s v="결함검토요청"/>
    <s v="임소정"/>
    <s v="Minor"/>
    <x v="0"/>
    <d v="2026-05-04T16:33:59"/>
    <d v="2026-05-04T16:34:00"/>
    <s v=""/>
  </r>
  <r>
    <s v="UT-GO12910S"/>
    <s v="2-3차"/>
    <n v="1"/>
    <x v="0"/>
    <s v="DEF-00666"/>
    <s v="[S_1]_x000a_• 주단위별 검색 → 매월 1일~5일 선택 시, _x000a_• 기준일자 시작일 필드가 {종료일-6}일로 정상적으로 계산되지 않고 두달여 뒤의 날짜로 잘못 계산되어, _x000a_• 결과적으로 시작일 &gt; 종료일이 되기 때문에 조회가 불가능해집니다. _x000a_(초기 페이지 로드 시에는 정상, 직접 날짜 선택 시 발생하는 에러)"/>
    <s v="개발자테스트"/>
    <s v="신문호"/>
    <s v="신문호"/>
    <s v="3자테스터공통"/>
    <s v="Online"/>
    <s v="결함"/>
    <s v="기능"/>
    <s v="결함검토요청"/>
    <s v="신문호"/>
    <s v="Critical"/>
    <x v="0"/>
    <d v="2026-05-04T16:44:19"/>
    <d v="2026-05-04T16:50:41"/>
    <s v=""/>
  </r>
  <r>
    <s v="UT-GO23802S"/>
    <s v="1-2차"/>
    <n v="1"/>
    <x v="0"/>
    <s v="DEF-00667"/>
    <s v="화면 로딩시 DEFAULT 값 설정이 누락_x000a_"/>
    <s v="개발자테스트"/>
    <s v="신문호"/>
    <s v="박정구"/>
    <s v="3자테스터공통"/>
    <s v="Online"/>
    <s v="결함"/>
    <s v="데이터"/>
    <s v="결함검토요청"/>
    <s v="신문호"/>
    <s v="Minor"/>
    <x v="0"/>
    <d v="2026-05-04T16:50:32"/>
    <d v="2026-05-04T16:50:32"/>
    <s v=""/>
  </r>
  <r>
    <s v="UT-GO21302S"/>
    <s v="1-2차"/>
    <n v="1"/>
    <x v="0"/>
    <s v="DEF-00668"/>
    <s v="조회시 오류 발생"/>
    <s v="개발자테스트"/>
    <s v="신문호"/>
    <s v="박정구"/>
    <s v="3자테스터공통"/>
    <s v="Online"/>
    <s v="결함"/>
    <s v="기능"/>
    <s v="결함검토요청"/>
    <s v="신문호"/>
    <s v="Critical"/>
    <x v="0"/>
    <d v="2026-05-04T16:53:19"/>
    <d v="2026-05-04T16:53:19"/>
    <s v=""/>
  </r>
  <r>
    <s v="UT-GO12910S"/>
    <s v="2-3차"/>
    <n v="1"/>
    <x v="0"/>
    <s v="DEF-00670"/>
    <s v="[C_2] 검색 컴포넌트의 필수 필드에 대한 일관된 스타일 적용 필요"/>
    <s v="개발자테스트"/>
    <s v="신문호"/>
    <s v="신문호"/>
    <s v="3자테스터공통"/>
    <s v="Online"/>
    <s v="결함"/>
    <s v="UI"/>
    <s v="결함검토요청"/>
    <s v="신문호"/>
    <s v="Minor"/>
    <x v="0"/>
    <d v="2026-05-04T17:03:28"/>
    <d v="2026-05-04T17:03:28"/>
    <s v=""/>
  </r>
  <r>
    <s v="UT-GO12910S"/>
    <s v="2-3차"/>
    <n v="1"/>
    <x v="0"/>
    <s v="DEF-00671"/>
    <s v="[X_1] 엑셀 다운로드 시, 기준연도에 해당하는 column에 값이 없습니다 (엑셀 파일을 열 때 첨부한 이미지와 같이 에러 메시지가 뜹니다)."/>
    <s v="개발자테스트"/>
    <s v="신문호"/>
    <s v="신문호"/>
    <s v="3자테스터공통"/>
    <s v="Online"/>
    <s v="결함"/>
    <s v="기능"/>
    <s v="결함검토요청"/>
    <s v="신문호"/>
    <s v="Major"/>
    <x v="0"/>
    <d v="2026-05-04T17:14:18"/>
    <d v="2026-05-04T17:14:18"/>
    <s v=""/>
  </r>
  <r>
    <s v="UT-GO12707S"/>
    <s v="2-3차"/>
    <n v="1"/>
    <x v="0"/>
    <s v="DEF-00672"/>
    <s v="[X_1] 단위테스트결과서 1/2차 시험결과 및 증적 일부 누락"/>
    <s v="개발자테스트"/>
    <s v="신문호"/>
    <s v="김경준"/>
    <s v="3자테스터공통"/>
    <s v="Online"/>
    <s v="결함"/>
    <s v="문서화"/>
    <s v="결함검토요청"/>
    <s v="신문호"/>
    <s v="Minor"/>
    <x v="0"/>
    <d v="2026-05-04T17:17:52"/>
    <d v="2026-05-04T17:17:52"/>
    <s v=""/>
  </r>
  <r>
    <s v="UT-PM10401S"/>
    <s v="2-3차"/>
    <n v="1"/>
    <x v="1"/>
    <s v="DEF-00679"/>
    <s v="①시뮬레이션 모니터링 우측 상단에 “기준일자＂가 없음._x000a_②사용자시뮬레이션을 진행했지만, 상태가 “대기중＂으로만 표시됨. 번호 2의 경우 38시간이 경과했지만, 대기중 상태_x000a_"/>
    <s v="개발자테스트"/>
    <s v="임소정"/>
    <s v="pmtbd3"/>
    <s v="3자테스터공통"/>
    <s v="Online"/>
    <s v="개선/변경"/>
    <s v="UI"/>
    <s v="결함검토요청"/>
    <s v="임소정"/>
    <s v="Minor"/>
    <x v="0"/>
    <d v="2026-05-06T08:53:32"/>
    <d v="2026-05-06T08:53:33"/>
    <s v=""/>
  </r>
  <r>
    <s v="UT-GO11950S"/>
    <s v="2-2차"/>
    <n v="1"/>
    <x v="0"/>
    <s v="DEF-00681"/>
    <s v="[X_1] 주간실적의 2번째 테이블에는 전년 동기 이용객이 조회되거나 {현재연도-1}년의 이용객이 조회되어야 할 것 같지만, 테이블 헤더 영역에 날짜가 없고 이용객이 모두 0으로 조회되고 있습니다."/>
    <s v="개발자테스트"/>
    <s v="신문호"/>
    <s v="신문호"/>
    <s v="3자테스터공통"/>
    <s v="Online"/>
    <s v="결함"/>
    <s v="기능"/>
    <s v="결함검토요청"/>
    <s v="신문호"/>
    <s v="Major"/>
    <x v="0"/>
    <d v="2026-05-06T09:13:40"/>
    <d v="2026-05-06T09:13:40"/>
    <s v=""/>
  </r>
  <r>
    <s v="UT-GO11950S"/>
    <s v="2-2차"/>
    <n v="1"/>
    <x v="0"/>
    <s v="DEF-00682"/>
    <s v="[X_2] {현재연도-2}년 이하의 연도로 조회 시 주간 실적조회의 2, 3번째 테이블이 각각 {조회연도-1}년, {조회연도}로 변경되어 조회되어야 할 것 같지만 연도가 변경되지 않고,_x000a_연도가 변경되지 않는 게 맞다고 하더라도 2026-05-05의 이용객이 존재하지만 주간실적조회의 세 번째 테이블상엔 0으로 조회됩니다."/>
    <s v="개발자테스트"/>
    <s v="신문호"/>
    <s v="신문호"/>
    <s v="3자테스터공통"/>
    <s v="Online"/>
    <s v="결함"/>
    <s v="기능"/>
    <s v="결함검토요청"/>
    <s v="신문호"/>
    <s v="Major"/>
    <x v="0"/>
    <d v="2026-05-06T09:20:56"/>
    <d v="2026-05-06T09:20:56"/>
    <s v=""/>
  </r>
  <r>
    <s v="UT-PM10404S"/>
    <s v="2-3차"/>
    <n v="1"/>
    <x v="1"/>
    <s v="DEF-00684"/>
    <s v="- 운영시간 상태 수정 후 저장_x000a_  1. 다른 아일랜드 상태에 그대로 적용됨_x000a_  2. 저장 후 동일 일자의 동일 아일랜드 상태 확인해보면 저장전 상태로 복구된 상태임."/>
    <s v="개발자테스트"/>
    <s v="임소정"/>
    <s v="pmtbd1"/>
    <s v="3자테스터공통"/>
    <s v="Online"/>
    <s v="개선/변경"/>
    <s v="UI"/>
    <s v="결함검토요청"/>
    <s v="임소정"/>
    <s v="Major"/>
    <x v="0"/>
    <d v="2026-05-06T09:33:15"/>
    <d v="2026-05-06T09:33:15"/>
    <s v=""/>
  </r>
  <r>
    <s v="UT-GO11961S"/>
    <s v="2-2차"/>
    <n v="1"/>
    <x v="0"/>
    <s v="DEF-00687"/>
    <s v="[C_15] (UT-GO11961S~11965S 공통) 검색 컴포넌트에서, 다중 조건으로 조회하는 것이 아닌 단일 조건으로 조회하는 기능이므로 Checkbox가 아닌 Radio button을 사용하는 것이 적절할 것 같습니다."/>
    <s v="개발자테스트"/>
    <s v="신문호"/>
    <s v="신문호"/>
    <s v="3자테스터공통"/>
    <s v="Online"/>
    <s v="결함"/>
    <s v="UI"/>
    <s v="결함검토요청"/>
    <s v="신문호"/>
    <s v="Minor"/>
    <x v="0"/>
    <d v="2026-05-06T09:47:21"/>
    <d v="2026-05-06T10:19:43"/>
    <s v=""/>
  </r>
  <r>
    <s v="UT-FSQB150S"/>
    <s v="1-2차"/>
    <n v="1"/>
    <x v="2"/>
    <s v="DEF-00688"/>
    <s v="아래 화면의 조회 기간의 제한이 없는데.. 10년 이상 긴 기간으로 조회하면.. 아래 화면처럼.. Loading 화면이 5분 이상 지속됨.. 조회 기간 제한이 필요함."/>
    <s v="개발자테스트"/>
    <s v="임소정"/>
    <s v="임소정"/>
    <s v="3자테스터공통"/>
    <s v="Online"/>
    <s v="개선/변경"/>
    <s v="기능"/>
    <s v="결함검토요청"/>
    <s v="임소정"/>
    <s v="Minor"/>
    <x v="0"/>
    <d v="2026-05-06T09:51:28"/>
    <d v="2026-05-06T09:51:28"/>
    <s v=""/>
  </r>
  <r>
    <s v="UT-GO11961S"/>
    <s v="2-2차"/>
    <n v="1"/>
    <x v="0"/>
    <s v="DEF-00689"/>
    <s v="[X_1] '일일/주간 실적'의 '탑승동 누계'와 '누계 실적'의 '탑승동 누계'가 상이합니다."/>
    <s v="개발자테스트"/>
    <s v="신문호"/>
    <s v="신문호"/>
    <s v="3자테스터공통"/>
    <s v="Online"/>
    <s v="결함"/>
    <s v="데이터"/>
    <s v="결함검토요청"/>
    <s v="신문호"/>
    <s v="Minor"/>
    <x v="0"/>
    <d v="2026-05-06T10:15:21"/>
    <d v="2026-05-06T10:15:21"/>
    <s v=""/>
  </r>
  <r>
    <s v="UT-PM10502S"/>
    <s v="2-3차"/>
    <n v="1"/>
    <x v="1"/>
    <s v="DEF-00690"/>
    <s v="①체크인카운터가 A~N까지 순서대로 정렬되지 않음.(D 아일랜드는 빠져있음)_x000a_"/>
    <s v="개발자테스트"/>
    <s v="임소정"/>
    <s v="pmtbd1"/>
    <s v="3자테스터공통"/>
    <s v="Online"/>
    <s v="개선/변경"/>
    <s v="UI"/>
    <s v="결함검토요청"/>
    <s v="임소정"/>
    <s v="Minor"/>
    <x v="0"/>
    <d v="2026-05-06T10:18:08"/>
    <d v="2026-05-06T10:18:09"/>
    <s v=""/>
  </r>
  <r>
    <s v="UT-PM10506S"/>
    <s v="2-3차"/>
    <n v="1"/>
    <x v="1"/>
    <s v="DEF-00694"/>
    <s v="①체크인카운터가 A~N까지 순서대로 정렬되지 않음.(D 아일랜드는 빠져있음)_x000a_"/>
    <s v="개발자테스트"/>
    <s v="임소정"/>
    <s v="pmtbd3"/>
    <s v="3자테스터공통"/>
    <s v="Online"/>
    <s v="개선/변경"/>
    <s v="UI"/>
    <s v="결함검토요청"/>
    <s v="임소정"/>
    <s v="Minor"/>
    <x v="0"/>
    <d v="2026-05-06T10:45:31"/>
    <d v="2026-05-06T10:45:31"/>
    <s v=""/>
  </r>
  <r>
    <s v="UT-GO11964S"/>
    <s v="2-2차"/>
    <n v="1"/>
    <x v="0"/>
    <s v="DEF-00695"/>
    <s v="[X_1] 조회년도 dropdown에 2026년이 존재하지 않음('&gt;' 버튼을 통해서 선택은 가능)"/>
    <s v="개발자테스트"/>
    <s v="신문호"/>
    <s v="신문호"/>
    <s v="3자테스터공통"/>
    <s v="Online"/>
    <s v="결함"/>
    <s v="데이터"/>
    <s v="결함검토요청"/>
    <s v="신문호"/>
    <s v="Minor"/>
    <x v="0"/>
    <d v="2026-05-06T10:45:48"/>
    <d v="2026-05-06T10:46:35"/>
    <s v=""/>
  </r>
  <r>
    <s v="UT-GO11965S"/>
    <s v="2-2차"/>
    <n v="1"/>
    <x v="0"/>
    <s v="DEF-00696"/>
    <s v="[X_1] 순위 dropdown의 item으로 1위~500위가 각각 7개씩 존재합니다."/>
    <s v="개발자테스트"/>
    <s v="신문호"/>
    <s v="신문호"/>
    <s v="3자테스터공통"/>
    <s v="Online"/>
    <s v="결함"/>
    <s v="데이터"/>
    <s v="결함검토요청"/>
    <s v="신문호"/>
    <s v="Minor"/>
    <x v="0"/>
    <d v="2026-05-06T10:52:10"/>
    <d v="2026-05-06T10:52:10"/>
    <s v=""/>
  </r>
  <r>
    <s v="UT-PM10503S"/>
    <s v="2-3차"/>
    <n v="1"/>
    <x v="1"/>
    <s v="DEF-00698"/>
    <s v="테트스용 데이터가 이전 검증 당시 데이터 대비 너무 적은듯 하여, 적절한 테스트가 이뤄지진 못해다고 판단됨."/>
    <s v="개발자테스트"/>
    <s v="임소정"/>
    <s v="pmtbd2"/>
    <s v="3자테스터공통"/>
    <s v="Online"/>
    <s v="개선/변경"/>
    <s v="UI"/>
    <s v="결함검토요청"/>
    <s v="임소정"/>
    <s v="Major"/>
    <x v="0"/>
    <d v="2026-05-06T10:54:05"/>
    <d v="2026-05-06T10:54:05"/>
    <s v=""/>
  </r>
  <r>
    <s v="UT-GO21401S"/>
    <s v="2-2차"/>
    <n v="1"/>
    <x v="0"/>
    <s v="DEF-00701"/>
    <s v="[C_5] 삭제 confirm 문구 수정 필요"/>
    <s v="개발자테스트"/>
    <s v="신문호"/>
    <s v="신문호"/>
    <s v="3자테스터공통"/>
    <s v="Online"/>
    <s v="결함"/>
    <s v="UI"/>
    <s v="결함검토요청"/>
    <s v="신문호"/>
    <s v="Minor"/>
    <x v="0"/>
    <d v="2026-05-06T11:06:28"/>
    <d v="2026-05-06T11:06:28"/>
    <s v=""/>
  </r>
  <r>
    <s v="UT-PM20156S"/>
    <s v="2-2차"/>
    <n v="1"/>
    <x v="1"/>
    <s v="DEF-00706"/>
    <s v="- 그래프 비교시 기존VS시뮬레이션 숫자가 겹쳐져서 식별이 안됨._x000a_- 그래프비교 – 화면크기 조정시 일부 잘림(화면배율50%까지는 보임.67%부터 잘림, 노트북에서는 더 높은 배율에서도 잘림))_x000a_- 합계행 분리됨(배율 낮추면 분리됨)_x000a_"/>
    <s v="개발자테스트"/>
    <s v="임소정"/>
    <s v="노세찬"/>
    <s v="3자테스터공통"/>
    <s v="Online"/>
    <s v="개선/변경"/>
    <s v="UI"/>
    <s v="결함검토요청"/>
    <s v="임소정"/>
    <s v="Minor"/>
    <x v="0"/>
    <d v="2026-05-06T12:47:38"/>
    <d v="2026-05-06T12:47:39"/>
    <s v=""/>
  </r>
  <r>
    <s v="UT-GO21309S"/>
    <s v="2-1차"/>
    <n v="1"/>
    <x v="0"/>
    <s v="DEF-00772"/>
    <s v="[S_1] 단위테스트결과서상에는 조회기간 default 값이 '한 달 전 ~ 오늘' 이라고 되어있으나 이틀 전 ~ 오늘로 동작"/>
    <s v="개발자테스트"/>
    <s v="신문호"/>
    <s v="김경준"/>
    <s v="3자테스터공통"/>
    <s v="Online"/>
    <s v="결함"/>
    <s v="문서화"/>
    <s v="결함검토요청"/>
    <s v="신문호"/>
    <s v="Minor"/>
    <x v="0"/>
    <d v="2026-05-07T10:38:27"/>
    <d v="2026-05-07T10:38:27"/>
    <s v=""/>
  </r>
  <r>
    <s v="UT-GO11963S"/>
    <s v="2-2차"/>
    <n v="1"/>
    <x v="0"/>
    <s v="DEF-00164"/>
    <s v="조회년도를 선택할떄 현재년도가 없음(2026)"/>
    <s v="개발자테스트"/>
    <s v="신문호"/>
    <s v="신문호"/>
    <s v="3자테스터공통"/>
    <s v="Online"/>
    <s v="결함"/>
    <s v="기능"/>
    <s v="결함검토요청"/>
    <s v="신문호"/>
    <s v="Minor"/>
    <x v="0"/>
    <d v="2026-04-27T10:59:37"/>
    <d v="2026-04-27T10:59:37"/>
    <s v=""/>
  </r>
  <r>
    <s v="UT-GO12908S"/>
    <s v="2-2차"/>
    <n v="1"/>
    <x v="0"/>
    <s v="DEF-00180"/>
    <s v="메뉴는 익일 터미널 계획이라 조회기준일자가 익일로 나오는게 맞는건지_x000a_테스트 시나리오에는 디폴트가 현재일자로 나와있음"/>
    <s v="개발자테스트"/>
    <s v="신문호"/>
    <s v="신문호"/>
    <s v="3자테스터공통"/>
    <s v="Online"/>
    <s v="결함"/>
    <s v="기능"/>
    <s v="결함검토요청"/>
    <s v="신문호"/>
    <s v="Minor"/>
    <x v="0"/>
    <d v="2026-04-27T13:29:41"/>
    <d v="2026-04-28T14:04:24"/>
    <s v=""/>
  </r>
  <r>
    <s v="UT-GO11951S"/>
    <s v="2-1차"/>
    <n v="1"/>
    <x v="0"/>
    <s v="DEF-00188"/>
    <s v="입력 필드의 년도 값의 입력 필드 유효성 점검이 이루어 지지 않음._x000a_예로, 1200년, 2200년 입력 저장됨.."/>
    <s v="개발자테스트"/>
    <s v="신문호"/>
    <s v="김경준"/>
    <s v="3자테스터공통"/>
    <s v="Online"/>
    <s v="결함"/>
    <s v="기능"/>
    <s v="결함검토요청"/>
    <s v="신문호"/>
    <s v="Minor"/>
    <x v="0"/>
    <d v="2026-04-27T14:10:37"/>
    <d v="2026-04-27T14:10:37"/>
    <s v=""/>
  </r>
  <r>
    <s v="UT-FSQA032S"/>
    <s v="1-2차"/>
    <n v="1"/>
    <x v="2"/>
    <s v="DEF-00216"/>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s v="개발자테스트"/>
    <s v="임소정"/>
    <s v="임소정"/>
    <s v="3자테스터공통"/>
    <s v="Online"/>
    <s v="개선/변경"/>
    <s v="기능"/>
    <s v="결함검토요청"/>
    <s v="임소정"/>
    <s v="Minor"/>
    <x v="0"/>
    <d v="2026-04-27T16:31:12"/>
    <d v="2026-04-27T16:31:12"/>
    <s v=""/>
  </r>
  <r>
    <s v="UT-FSQA033S"/>
    <s v="1-2차"/>
    <n v="1"/>
    <x v="2"/>
    <s v="DEF-00217"/>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s v="개발자테스트"/>
    <s v="임소정"/>
    <s v="임소정"/>
    <s v="3자테스터공통"/>
    <s v="Online"/>
    <s v="개선/변경"/>
    <s v="기능"/>
    <s v="결함검토요청"/>
    <s v="임소정"/>
    <s v="Minor"/>
    <x v="0"/>
    <d v="2026-04-27T16:32:27"/>
    <d v="2026-04-27T16:32:27"/>
    <s v=""/>
  </r>
  <r>
    <s v="UT-FSQA034S"/>
    <s v="1-2차"/>
    <n v="1"/>
    <x v="2"/>
    <s v="DEF-00218"/>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s v="개발자테스트"/>
    <s v="임소정"/>
    <s v="임소정"/>
    <s v="3자테스터공통"/>
    <s v="Online"/>
    <s v="개선/변경"/>
    <s v="기능"/>
    <s v="결함검토요청"/>
    <s v="임소정"/>
    <s v="Minor"/>
    <x v="0"/>
    <d v="2026-04-27T16:33:57"/>
    <d v="2026-04-27T16:33:57"/>
    <s v=""/>
  </r>
  <r>
    <s v="UT-GO11965S"/>
    <s v="2-2차"/>
    <n v="1"/>
    <x v="0"/>
    <s v="DEF-00259"/>
    <s v="조회년도에 현재년도가 존재하지않음(2026년)"/>
    <s v="개발자테스트"/>
    <s v="신문호"/>
    <s v="신문호"/>
    <s v="3자테스터공통"/>
    <s v="Online"/>
    <s v="결함"/>
    <s v="기능"/>
    <s v="결함검토요청"/>
    <s v="신문호"/>
    <s v="Minor"/>
    <x v="0"/>
    <d v="2026-04-27T17:39:27"/>
    <d v="2026-04-27T17:39:27"/>
    <s v=""/>
  </r>
  <r>
    <s v="UT-GO61602S"/>
    <s v="2-1차"/>
    <n v="1"/>
    <x v="0"/>
    <s v="DEF-00289"/>
    <s v="1. 상단 좌측의 레이블 글자가 가려서 보이지 않음._x000a_2. 좌우 스크롤, 상하 스크롤 이 화면을 일부 가림. 상하 좌우 스크롤 영역을 제외한 화면에 표시되도록 조절 필요함"/>
    <s v="개발자테스트"/>
    <s v="신문호"/>
    <s v="박정구"/>
    <s v="3자테스터공통"/>
    <s v="Online"/>
    <s v="결함"/>
    <s v="UI"/>
    <s v="결함검토요청"/>
    <s v="신문호"/>
    <s v="Major"/>
    <x v="0"/>
    <d v="2026-04-28T10:58:21"/>
    <d v="2026-04-28T10:58:21"/>
    <s v=""/>
  </r>
  <r>
    <s v="UT-GO42101S"/>
    <s v="2-2차"/>
    <n v="1"/>
    <x v="0"/>
    <s v="DEF-00292"/>
    <s v="각 페이지마다 엑셀 다운로드 버튼의 위치가 다름._x000a_어느 페이지는 searchform 밖에, 어느 페이지는 안에 위치하는데_x000a_통일성이 필요해보임"/>
    <s v="개발자테스트"/>
    <s v="신문호"/>
    <s v="김경준"/>
    <s v="3자테스터공통"/>
    <s v="Online"/>
    <s v="개선/변경"/>
    <s v="UI"/>
    <s v="결함검토요청"/>
    <s v="신문호"/>
    <s v="Minor"/>
    <x v="0"/>
    <d v="2026-04-28T11:05:10"/>
    <d v="2026-04-28T11:05:10"/>
    <s v=""/>
  </r>
  <r>
    <s v="UT-PM10302S"/>
    <s v="2-3차"/>
    <n v="1"/>
    <x v="1"/>
    <s v="DEF-00295"/>
    <s v="조회되는 데이터 없음"/>
    <s v="개발자테스트"/>
    <s v="임소정"/>
    <s v="pmtbd1"/>
    <s v="3자테스터공통"/>
    <s v="Online"/>
    <s v="결함"/>
    <s v="데이터"/>
    <s v="결함검토요청"/>
    <s v="염희석"/>
    <s v="Minor"/>
    <x v="0"/>
    <d v="2026-04-28T11:12:13"/>
    <d v="2026-04-28T11:12:13"/>
    <s v=""/>
  </r>
  <r>
    <s v="UT-GO21302S"/>
    <s v="1-2차"/>
    <n v="1"/>
    <x v="0"/>
    <s v="DEF-00296"/>
    <s v="테스트케이스 엑셀 파일이 없습니다. "/>
    <s v="개발자테스트"/>
    <s v="신문호"/>
    <s v="박정구"/>
    <s v="3자테스터공통"/>
    <s v="Online"/>
    <s v="결함"/>
    <s v="기타"/>
    <s v="결함검토요청"/>
    <s v="신문호"/>
    <s v="Minor"/>
    <x v="0"/>
    <d v="2026-04-28T11:12:45"/>
    <d v="2026-04-28T11:12:45"/>
    <s v=""/>
  </r>
  <r>
    <s v="UT-GO21312S"/>
    <s v="1-2차"/>
    <n v="1"/>
    <x v="0"/>
    <s v="DEF-00297"/>
    <s v="테스트 케이스 엑셀이 없습니다. "/>
    <s v="개발자테스트"/>
    <s v="신문호"/>
    <s v="박정구"/>
    <s v="3자테스터공통"/>
    <s v="Online"/>
    <s v="개선/변경"/>
    <s v="기타"/>
    <s v="결함검토요청"/>
    <s v="신문호"/>
    <s v="Minor"/>
    <x v="0"/>
    <d v="2026-04-28T11:13:21"/>
    <d v="2026-04-28T11:13:21"/>
    <s v=""/>
  </r>
  <r>
    <s v="UT-GO42101S"/>
    <s v="2-2차"/>
    <n v="1"/>
    <x v="0"/>
    <s v="DEF-00708"/>
    <s v="[S_3] 조회 결과가 없더라도 경고메시지가 표출되지는 않습니다(단위시험케이스 #3 예상 결과와 상이)."/>
    <s v="개발자테스트"/>
    <s v="신문호"/>
    <s v="김경준"/>
    <s v="3자테스터공통"/>
    <s v="Online"/>
    <s v="결함"/>
    <s v="프로세스"/>
    <s v="결함검토요청"/>
    <s v="신문호"/>
    <s v="Minor"/>
    <x v="0"/>
    <d v="2026-05-06T13:47:00"/>
    <d v="2026-05-06T13:49:18"/>
    <s v=""/>
  </r>
  <r>
    <s v="UT-GO42101S"/>
    <s v="2-2차"/>
    <n v="1"/>
    <x v="0"/>
    <s v="DEF-00709"/>
    <s v="[X_1] 값 수정 후 저장 버튼을 누르면 DB 접근 중 문제가 발생했다는 alert가 표출되며 저장이 불가능합니다."/>
    <s v="개발자테스트"/>
    <s v="신문호"/>
    <s v="김경준"/>
    <s v="3자테스터공통"/>
    <s v="Online"/>
    <s v="결함"/>
    <s v="기능"/>
    <s v="결함검토요청"/>
    <s v="신문호"/>
    <s v="Major"/>
    <x v="0"/>
    <d v="2026-05-06T13:57:34"/>
    <d v="2026-05-06T13:58:03"/>
    <s v=""/>
  </r>
  <r>
    <s v="UT-GO42101S"/>
    <s v="2-2차"/>
    <n v="1"/>
    <x v="0"/>
    <s v="DEF-00710"/>
    <s v="[C_5] 신규 등록 시 보고일자가 중복되는 경우 등록할 수 없도록 구현된 것으로 보이나, 데이터 제약조건 위반이라는 메시지만 표출되어 사용성 측면에서 보완이 필요합니다."/>
    <s v="개발자테스트"/>
    <s v="신문호"/>
    <s v="김경준"/>
    <s v="3자테스터공통"/>
    <s v="Online"/>
    <s v="결함"/>
    <s v="UI"/>
    <s v="결함검토요청"/>
    <s v="신문호"/>
    <s v="Minor"/>
    <x v="0"/>
    <d v="2026-05-06T14:12:15"/>
    <d v="2026-05-06T14:12:15"/>
    <s v=""/>
  </r>
  <r>
    <s v="UT-GO42101S"/>
    <s v="2-2차"/>
    <n v="1"/>
    <x v="0"/>
    <s v="DEF-00711"/>
    <s v="[X_2] 신규 등록 시 '저장' 버튼을 눌러 실제로 저장에 성공했음에도, 저장되었다는 안내 메시지도 없고, '+' 플래그가 없어지지 않아 마치 저장되지 않은 것처럼 느껴집니다."/>
    <s v="개발자테스트"/>
    <s v="신문호"/>
    <s v="김경준"/>
    <s v="3자테스터공통"/>
    <s v="Online"/>
    <s v="결함"/>
    <s v="UI"/>
    <s v="결함검토요청"/>
    <s v="신문호"/>
    <s v="Minor"/>
    <x v="0"/>
    <d v="2026-05-06T14:18:48"/>
    <d v="2026-05-06T14:18:48"/>
    <s v=""/>
  </r>
  <r>
    <s v="UT-PM10404S"/>
    <s v="2-3차"/>
    <n v="1"/>
    <x v="1"/>
    <s v="DEF-00009"/>
    <s v="시간 범위 변경하여 저장 후 재조회하면 저장 안됨."/>
    <s v="개발자테스트"/>
    <s v="임소정"/>
    <s v="pmtbd1"/>
    <s v="3자테스터공통"/>
    <s v="Online"/>
    <s v="결함"/>
    <s v="기능"/>
    <s v="결함검토요청"/>
    <s v="염희석"/>
    <s v="Major"/>
    <x v="0"/>
    <d v="2026-04-22T13:42:16"/>
    <d v="2026-04-22T13:42:16"/>
    <s v=""/>
  </r>
  <r>
    <s v="UT-PM10509S"/>
    <s v="2-3차"/>
    <n v="1"/>
    <x v="1"/>
    <s v="DEF-00018"/>
    <s v="대기인원이 3자리수까지 증가할때 줄바꿈으로 인해 아래로 밀리는 현상 발생."/>
    <s v="개발자테스트"/>
    <s v="임소정"/>
    <s v="pmtbd2"/>
    <s v="3자테스터공통"/>
    <s v="Online"/>
    <s v="결함"/>
    <s v="UI"/>
    <s v="결함검토요청"/>
    <s v="염희석"/>
    <s v="Minor"/>
    <x v="0"/>
    <d v="2026-04-22T14:35:55"/>
    <d v="2026-04-22T14:35:56"/>
    <s v=""/>
  </r>
  <r>
    <s v="UT-PM10511S"/>
    <s v="2-3차"/>
    <n v="1"/>
    <x v="1"/>
    <s v="DEF-00019"/>
    <s v="차트보기에 아무것도 나오지 않습니다. T1, T2 둘다 조회 안됨."/>
    <s v="개발자테스트"/>
    <s v="임소정"/>
    <s v="pmtbd3"/>
    <s v="3자테스터공통"/>
    <s v="Online"/>
    <s v="결함"/>
    <s v="데이터"/>
    <s v="결함검토요청"/>
    <s v="염희석"/>
    <s v="Major"/>
    <x v="0"/>
    <d v="2026-04-22T14:37:59"/>
    <d v="2026-04-22T14:37:59"/>
    <s v=""/>
  </r>
  <r>
    <s v="UT-GO12506S"/>
    <s v="2-3차"/>
    <n v="1"/>
    <x v="0"/>
    <s v="DEF-00020"/>
    <s v="저장버튼 후 제공되는 여러 형식 파일간 상이(프로그램에서 제공하는 화면에서도 상이)_x000a_ - 첫페이지 여러 셀에 -100%가 입력되어 있는데, 파일 형식별로 모두 상이_x000a_ - 글자 크기를 협의하든지 해서 일관성 있게 맞출 필요가 있어 보임_x000a_ - 모든 출력물 하단에 페이지 번호 없음_x000a_ - &quot;show notice&quot;에러 동일"/>
    <s v="개발자테스트"/>
    <s v="신문호"/>
    <s v="김경준"/>
    <s v="3자테스터공통"/>
    <s v="Online"/>
    <s v="개선/변경"/>
    <s v="UI"/>
    <s v="결함검토요청"/>
    <s v="신문호"/>
    <s v="Minor"/>
    <x v="0"/>
    <d v="2026-04-22T14:39:13"/>
    <d v="2026-04-22T15:15:57"/>
    <s v=""/>
  </r>
  <r>
    <s v="UT-GO12940S"/>
    <s v="2-3차"/>
    <n v="1"/>
    <x v="0"/>
    <s v="DEF-00023"/>
    <s v="[S_2] 조건에 따른 조회결과가 표출되지 않음._x000a_(2025.06.10, 13:00, Grade  : 전체)"/>
    <s v="개발자테스트"/>
    <s v="신문호"/>
    <s v="신문호"/>
    <s v="3자테스터공통"/>
    <s v="Online"/>
    <s v="결함"/>
    <s v="기능"/>
    <s v="결함검토요청"/>
    <s v="신문호"/>
    <s v="Major"/>
    <x v="0"/>
    <d v="2026-04-22T14:54:47"/>
    <d v="2026-04-22T14:54:47"/>
    <s v=""/>
  </r>
  <r>
    <s v="UT-GO42101S"/>
    <s v="2-2차"/>
    <n v="1"/>
    <x v="0"/>
    <s v="DEF-00712"/>
    <s v="[X_3] 삭제 버튼('-') 클릭 시 테이블에 '-' 형태의 삭제 플래그가 표시되지 않고 row가 바로 없어져서 삭제된 것처럼 느껴지지만, 이는 화면상에서만 사라진 것이고 실제로는 저장 버튼까지 눌러야 삭제되기 때문에 사용자 관점에서는 혼동의 여지가 있습니다 (타 메뉴의 삭제 프로세스와도 상이하여 일관성이 떨어집니다)."/>
    <s v="개발자테스트"/>
    <s v="신문호"/>
    <s v="김경준"/>
    <s v="3자테스터공통"/>
    <s v="Online"/>
    <s v="결함"/>
    <s v="프로세스"/>
    <s v="결함검토요청"/>
    <s v="신문호"/>
    <s v="Minor"/>
    <x v="0"/>
    <d v="2026-05-06T14:29:29"/>
    <d v="2026-05-06T14:29:29"/>
    <s v=""/>
  </r>
  <r>
    <s v="UT-GO42101S"/>
    <s v="2-2차"/>
    <n v="1"/>
    <x v="0"/>
    <s v="DEF-00713"/>
    <s v="[C_1] 같은 레벨(같은 성격)의 필드명임에도 글씨 크기가 서로 상이합니다 (빨간색 row ↔ 주황색 row)"/>
    <s v="개발자테스트"/>
    <s v="신문호"/>
    <s v="김경준"/>
    <s v="3자테스터공통"/>
    <s v="Online"/>
    <s v="결함"/>
    <s v="UI"/>
    <s v="결함검토요청"/>
    <s v="신문호"/>
    <s v="Minor"/>
    <x v="0"/>
    <d v="2026-05-06T14:35:30"/>
    <d v="2026-05-06T14:35:30"/>
    <s v=""/>
  </r>
  <r>
    <s v="UT-PM10105S"/>
    <s v="2-2차"/>
    <n v="1"/>
    <x v="1"/>
    <s v="DEF-00714"/>
    <s v="①기간 설정 오류(시작일이 종료일 전)에 따른 에러메시지가 없음_x000a_"/>
    <s v="개발자테스트"/>
    <s v="임소정"/>
    <s v="신문호"/>
    <s v="3자테스터공통"/>
    <s v="Online"/>
    <s v="개선/변경"/>
    <s v="UI"/>
    <s v="결함검토요청"/>
    <s v="임소정"/>
    <s v="Minor"/>
    <x v="0"/>
    <d v="2026-05-06T14:36:53"/>
    <d v="2026-05-06T14:36:53"/>
    <s v=""/>
  </r>
  <r>
    <s v="UT-GO42101S"/>
    <s v="2-2차"/>
    <n v="1"/>
    <x v="0"/>
    <s v="DEF-00715"/>
    <s v="[C_5] [C_15]_x000a_• 신규 등록 시 터미널 구분이 T1 또는 T2가 아닌 경우 등록할 수 없도록 구현된 것으로 보이나, 데이터 제약조건 위반이라는 메시지만 표출되어 사용성 측면에서 보완이 필요합니다._x000a__x000a_• 또한 T1 또는 T2만 입력할 수 있으므로 radio button이나 combobox를 사용하는 것이 더 적절할 것 같고,_x000a__x000a_• UI상 T1과 T2 컴포넌트가 분리되어 있으므로 아예 터미널 구분란을 없애고 T1 컴포넌트에서는 T1 CRUD만, T2 컴포넌트에서는 T2 CRUD만 수행하도록 하는 것이 좋을 것 같습니다."/>
    <s v="개발자테스트"/>
    <s v="신문호"/>
    <s v="김경준"/>
    <s v="3자테스터공통"/>
    <s v="Online"/>
    <s v="결함"/>
    <s v="UI"/>
    <s v="결함검토요청"/>
    <s v="신문호"/>
    <s v="Minor"/>
    <x v="0"/>
    <d v="2026-05-06T14:42:29"/>
    <d v="2026-05-06T14:42:29"/>
    <s v=""/>
  </r>
  <r>
    <s v="UT-PM10106S"/>
    <s v="2-2차"/>
    <n v="1"/>
    <x v="1"/>
    <s v="DEF-00716"/>
    <s v="메뉴가 확인 불가"/>
    <s v="개발자테스트"/>
    <s v="임소정"/>
    <s v="신문호"/>
    <s v="3자테스터공통"/>
    <s v="Online"/>
    <s v="결함"/>
    <s v="UI"/>
    <s v="결함검토요청"/>
    <s v="임소정"/>
    <s v="Critical"/>
    <x v="0"/>
    <d v="2026-05-06T14:49:02"/>
    <d v="2026-05-06T14:49:02"/>
    <s v=""/>
  </r>
  <r>
    <s v="UT-GO12903S"/>
    <s v="2-2차"/>
    <n v="1"/>
    <x v="0"/>
    <s v="DEF-00720"/>
    <s v="[C_1] 집계 행 내 정렬 방식 상이"/>
    <s v="개발자테스트"/>
    <s v="신문호"/>
    <s v="신문호"/>
    <s v="3자테스터공통"/>
    <s v="Online"/>
    <s v="결함"/>
    <s v="UI"/>
    <s v="결함검토요청"/>
    <s v="신문호"/>
    <s v="Minor"/>
    <x v="0"/>
    <d v="2026-05-06T15:07:16"/>
    <d v="2026-05-06T15:07:16"/>
    <s v=""/>
  </r>
  <r>
    <s v="UT-GO12903S"/>
    <s v="2-2차"/>
    <n v="1"/>
    <x v="0"/>
    <s v="DEF-00722"/>
    <s v="[C_18] '출발/도착', '여객/화물', '터미널' combobox에는 '전체' 항목이 기본값으로 설정되어 있으나 '국토부기준 노선구분', '대상 국가' combobox의 기본값은 공백입니다 (조회 수행 시 실제로는 전체 노선, 전체 국가에 대해 검색되지만)."/>
    <s v="개발자테스트"/>
    <s v="신문호"/>
    <s v="신문호"/>
    <s v="3자테스터공통"/>
    <s v="Online"/>
    <s v="결함"/>
    <s v="UI"/>
    <s v="결함검토요청"/>
    <s v="신문호"/>
    <s v="Minor"/>
    <x v="0"/>
    <d v="2026-05-06T15:16:33"/>
    <d v="2026-05-06T15:16:33"/>
    <s v=""/>
  </r>
  <r>
    <s v="UT-GO12903S"/>
    <s v="2-2차"/>
    <n v="1"/>
    <x v="0"/>
    <s v="DEF-00724"/>
    <s v="[C_2] 검색 컴포넌트의 필수 필드에 대한 일관된 스타일 적용 필요"/>
    <s v="개발자테스트"/>
    <s v="신문호"/>
    <s v="신문호"/>
    <s v="3자테스터공통"/>
    <s v="Online"/>
    <s v="결함"/>
    <s v="UI"/>
    <s v="결함검토요청"/>
    <s v="신문호"/>
    <s v="Minor"/>
    <x v="0"/>
    <d v="2026-05-06T15:27:23"/>
    <d v="2026-05-06T16:58:50"/>
    <s v=""/>
  </r>
  <r>
    <s v="UT-PM20133M"/>
    <s v="2-1차"/>
    <n v="1"/>
    <x v="1"/>
    <s v="DEF-00726"/>
    <s v="-승객예고모니터링-승객예약입력정보는 데이터가 없어 확인 불가."/>
    <s v="개발자테스트"/>
    <s v="임소정"/>
    <s v="pmtbd3"/>
    <s v="3자테스터공통"/>
    <s v="Online"/>
    <s v="개선/변경"/>
    <s v="UI"/>
    <s v="결함검토요청"/>
    <s v="임소정"/>
    <s v="Minor"/>
    <x v="0"/>
    <d v="2026-05-06T15:44:02"/>
    <d v="2026-05-06T15:44:02"/>
    <s v=""/>
  </r>
  <r>
    <s v="UT-GO12907S"/>
    <s v="2-2차"/>
    <n v="1"/>
    <x v="0"/>
    <s v="DEF-00727"/>
    <s v="[S_2] 주기장 점유율 및 주기대수, 장기주기 항공기 대수 란에 값이 없습니다."/>
    <s v="개발자테스트"/>
    <s v="신문호"/>
    <s v="신문호"/>
    <s v="3자테스터공통"/>
    <s v="Online"/>
    <s v="결함"/>
    <s v="기능"/>
    <s v="결함검토요청"/>
    <s v="신문호"/>
    <s v="Major"/>
    <x v="0"/>
    <d v="2026-05-06T15:47:35"/>
    <d v="2026-05-06T15:47:35"/>
    <s v=""/>
  </r>
  <r>
    <s v="UT-GO12510S"/>
    <s v="2-3차"/>
    <n v="1"/>
    <x v="0"/>
    <s v="DEF-00027"/>
    <s v="문서 양식의 표준 확인하여 보완필요"/>
    <s v="개발자테스트"/>
    <s v="신문호"/>
    <s v="김경준"/>
    <s v="3자테스터공통"/>
    <s v="Online"/>
    <s v="개선/변경"/>
    <s v="UI"/>
    <s v="결함검토요청"/>
    <s v="신문호"/>
    <s v="Minor"/>
    <x v="0"/>
    <d v="2026-04-22T15:18:09"/>
    <d v="2026-04-22T15:18:09"/>
    <s v=""/>
  </r>
  <r>
    <s v="UT-GO12937S"/>
    <s v="2-3차"/>
    <n v="1"/>
    <x v="0"/>
    <s v="DEF-00028"/>
    <s v="조건에 따른 조회결과가 표출되지 않음. (2025.06.10, 13:00, Grade : 전체)"/>
    <s v="개발자테스트"/>
    <s v="신문호"/>
    <s v="신문호"/>
    <s v="3자테스터공통"/>
    <s v="Online"/>
    <s v="결함"/>
    <s v="기능"/>
    <s v="결함검토요청"/>
    <s v="신문호"/>
    <s v="Major"/>
    <x v="0"/>
    <d v="2026-04-22T15:18:20"/>
    <d v="2026-04-22T15:18:20"/>
    <s v=""/>
  </r>
  <r>
    <s v="UT-PM20147S"/>
    <s v="2-1차"/>
    <n v="1"/>
    <x v="1"/>
    <s v="DEF-00730"/>
    <s v="시나리오 증적 이미지와 실제 테스트중 조회결과가 상이함."/>
    <s v="개발자테스트"/>
    <s v="임소정"/>
    <s v="pmtbd3"/>
    <s v="3자테스터공통"/>
    <s v="Online"/>
    <s v="개선/변경"/>
    <s v="UI"/>
    <s v="결함검토요청"/>
    <s v="임소정"/>
    <s v="Minor"/>
    <x v="0"/>
    <d v="2026-05-06T16:09:25"/>
    <d v="2026-05-06T16:09:25"/>
    <s v=""/>
  </r>
  <r>
    <s v="UT-GO52520S"/>
    <s v="2-2차"/>
    <n v="1"/>
    <x v="0"/>
    <s v="DEF-00731"/>
    <s v="[C_1] 보고서상에 여객 0명의 경우 '-'로 표기되고, 결/회항 0편의 경우 '0편'으로 표기되어 표기 형식 통일이 필요합니다."/>
    <s v="개발자테스트"/>
    <s v="신문호"/>
    <s v="신문호"/>
    <s v="3자테스터공통"/>
    <s v="Online"/>
    <s v="결함"/>
    <s v="UI"/>
    <s v="결함검토요청"/>
    <s v="신문호"/>
    <s v="Minor"/>
    <x v="0"/>
    <d v="2026-05-06T16:20:21"/>
    <d v="2026-05-06T16:20:21"/>
    <s v=""/>
  </r>
  <r>
    <s v="UT-GO52520S"/>
    <s v="2-2차"/>
    <n v="1"/>
    <x v="0"/>
    <s v="DEF-00732"/>
    <s v="[C_1] '계류장관리소 조' 는 보고서 출력 후 수기로 기재하도록 값 없이 남겨둔 것인지, 누락된 것인지 확인해 주시면 감사하겠습니다."/>
    <s v="개발자테스트"/>
    <s v="신문호"/>
    <s v="신문호"/>
    <s v="3자테스터공통"/>
    <s v="Online"/>
    <s v="개선/변경"/>
    <s v="UI"/>
    <s v="결함검토요청"/>
    <s v="신문호"/>
    <s v="Minor"/>
    <x v="0"/>
    <d v="2026-05-06T16:23:22"/>
    <d v="2026-05-06T16:23:22"/>
    <s v=""/>
  </r>
  <r>
    <s v="UT-PM20149S"/>
    <s v="2-1차"/>
    <n v="1"/>
    <x v="1"/>
    <s v="DEF-00733"/>
    <s v="①화면에 찍힌 숫자가 PDF파일에서 일부 사라짐(1,367,729   → 1,367,72) _x000a_"/>
    <s v="개발자테스트"/>
    <s v="임소정"/>
    <s v="pmtbd1"/>
    <s v="3자테스터공통"/>
    <s v="Online"/>
    <s v="결함"/>
    <s v="UI"/>
    <s v="결함검토요청"/>
    <s v="임소정"/>
    <s v="Critical"/>
    <x v="0"/>
    <d v="2026-05-06T16:28:33"/>
    <d v="2026-05-06T16:45:01"/>
    <s v=""/>
  </r>
  <r>
    <s v="UT-GO12901S"/>
    <s v="2-2차"/>
    <n v="1"/>
    <x v="0"/>
    <s v="DEF-00734"/>
    <s v="[C_2] 검색 컴포넌트의 필수 필드에 대한 일관된 스타일 적용 필요_x000a_• '출도착구분' 필드는 default로 '도착'이 설정되어 있는데,_x000a_• 타 메뉴에서 이와 같이 combobox에 default 값이 설정된 경우 '조회라벨 필수' 스타일을 사용하고 있음."/>
    <s v="개발자테스트"/>
    <s v="신문호"/>
    <s v="신문호"/>
    <s v="3자테스터공통"/>
    <s v="Online"/>
    <s v="결함"/>
    <s v="UI"/>
    <s v="결함검토요청"/>
    <s v="신문호"/>
    <s v="Minor"/>
    <x v="0"/>
    <d v="2026-05-06T16:36:55"/>
    <d v="2026-05-06T16:36:55"/>
    <s v=""/>
  </r>
  <r>
    <s v="UT-FSQA130S"/>
    <s v="1-2차"/>
    <n v="1"/>
    <x v="2"/>
    <s v="DEF-00735"/>
    <s v="아래 화면과 같이 조회하여 나타나는 목록의 정열 순서가 일정하지 않음.._x000a_입력일자 26.4.27 이후 25.1.5 이후에는 25.8.25. 이후 과거순임._x000a_즉, 2번째 25.1.5 는 왜??"/>
    <s v="개발자테스트"/>
    <s v="임소정"/>
    <s v="임소정"/>
    <s v="3자테스터공통"/>
    <s v="Online"/>
    <s v="결함"/>
    <s v="기능"/>
    <s v="결함검토요청"/>
    <s v="임소정"/>
    <s v="Minor"/>
    <x v="0"/>
    <d v="2026-05-06T16:39:19"/>
    <d v="2026-05-06T16:39:19"/>
    <s v=""/>
  </r>
  <r>
    <s v="UT-PM10101S"/>
    <s v="2-1차"/>
    <n v="1"/>
    <x v="1"/>
    <s v="DEF-00748"/>
    <s v="①조회시간 오류 입력했지만, 운항일 전체 자료 출력됨._x000a_"/>
    <s v="개발자테스트"/>
    <s v="임소정"/>
    <s v="신문호"/>
    <s v="3자테스터공통"/>
    <s v="Online"/>
    <s v="결함"/>
    <s v="UI"/>
    <s v="결함검토요청"/>
    <s v="임소정"/>
    <s v="Major"/>
    <x v="0"/>
    <d v="2026-05-06T17:31:11"/>
    <d v="2026-05-06T17:31:11"/>
    <s v=""/>
  </r>
  <r>
    <s v="UT-GO12101S"/>
    <s v="2-1차"/>
    <n v="1"/>
    <x v="0"/>
    <s v="DEF-00749"/>
    <s v="[X_1] '17-1. 항공사별 취항실적'의 집계 row에 값이 집계되고 있지 않음"/>
    <s v="개발자테스트"/>
    <s v="신문호"/>
    <s v="박정구"/>
    <s v="3자테스터공통"/>
    <s v="Online"/>
    <s v="결함"/>
    <s v="기능"/>
    <s v="결함검토요청"/>
    <s v="신문호"/>
    <s v="Minor"/>
    <x v="0"/>
    <d v="2026-05-06T17:32:07"/>
    <d v="2026-05-06T17:32:07"/>
    <s v=""/>
  </r>
  <r>
    <s v="UT-GO11951S"/>
    <s v="2-1차"/>
    <n v="1"/>
    <x v="0"/>
    <s v="DEF-00751"/>
    <s v="[C_7] 같은 작성일자로 다건 등록이 가능하며, 이후 해당 row 단건 삭제 시 그 작성일자로 등록된 모든 row가 한 번에 삭제됨. 같은 날짜로 다건 등록이 가능하면 대시보드 모달(UT-GO11952M)에서도 비정상적인 그래프가 표출되어 같은 작성일자 등록 제한 필요"/>
    <s v="개발자테스트"/>
    <s v="신문호"/>
    <s v="김경준"/>
    <s v="3자테스터공통"/>
    <s v="Online"/>
    <s v="결함"/>
    <s v="기능"/>
    <s v="결함검토요청"/>
    <s v="신문호"/>
    <s v="Major"/>
    <x v="0"/>
    <d v="2026-05-07T08:55:25"/>
    <d v="2026-05-07T09:10:15"/>
    <s v=""/>
  </r>
  <r>
    <s v="UT-PM10104S"/>
    <s v="2-1차"/>
    <n v="1"/>
    <x v="1"/>
    <s v="DEF-00752"/>
    <s v="CPSI, Xovis정보탭으로 이동시 첫번째 셀에 Set focus 필요"/>
    <s v="개발자테스트"/>
    <s v="임소정"/>
    <s v="pmtbd3"/>
    <s v="3자테스터공통"/>
    <s v="Online"/>
    <s v="개선/변경"/>
    <s v="UI"/>
    <s v="결함검토요청"/>
    <s v="임소정"/>
    <s v="Minor"/>
    <x v="0"/>
    <d v="2026-05-07T08:56:36"/>
    <d v="2026-05-07T08:56:36"/>
    <s v=""/>
  </r>
  <r>
    <s v="UT-FSQA010S"/>
    <s v="1-2차"/>
    <n v="1"/>
    <x v="2"/>
    <s v="DEF-00754"/>
    <s v="엑셀 다운로드후 화면페이지 코드명에없는 코드명도 엑셀에 기입 "/>
    <s v="개발자테스트"/>
    <s v="임소정"/>
    <s v="임소정"/>
    <s v="3자테스터공통"/>
    <s v="Online"/>
    <s v="결함"/>
    <s v="데이터"/>
    <s v="결함검토요청"/>
    <s v="임소정"/>
    <s v="Critical"/>
    <x v="0"/>
    <d v="2026-05-07T09:23:40"/>
    <d v="2026-05-07T09:23:40"/>
    <s v=""/>
  </r>
  <r>
    <s v="UT-GO11951S"/>
    <s v="2-1차"/>
    <n v="1"/>
    <x v="0"/>
    <s v="DEF-00755"/>
    <s v="[X_1] 운행 연도 미입력 시 해당 란을 비워두는 것이 아니라 무조건 0으로 채워지는데, 이는 대시보드 리포트 모달(UT-GO11952M)의 bar chart에 잘못된 기본값 연도로 x축이 구성되는 결과를 초래함_x000a__x000a_(UT-GO11952M 증적상 x축에 하나의 연도만 존재했던 것과도 상이)"/>
    <s v="개발자테스트"/>
    <s v="신문호"/>
    <s v="김경준"/>
    <s v="3자테스터공통"/>
    <s v="Online"/>
    <s v="결함"/>
    <s v="기능"/>
    <s v="결함검토요청"/>
    <s v="신문호"/>
    <s v="Major"/>
    <x v="0"/>
    <d v="2026-05-07T09:26:26"/>
    <d v="2026-05-07T09:26:26"/>
    <s v=""/>
  </r>
  <r>
    <s v="UT-GO11951S"/>
    <s v="2-1차"/>
    <n v="1"/>
    <x v="0"/>
    <s v="DEF-00758"/>
    <s v="[C_12] 연도에 천 단위 ,"/>
    <s v="개발자테스트"/>
    <s v="신문호"/>
    <s v="김경준"/>
    <s v="3자테스터공통"/>
    <s v="Online"/>
    <s v="결함"/>
    <s v="UI"/>
    <s v="결함검토요청"/>
    <s v="신문호"/>
    <s v="Minor"/>
    <x v="0"/>
    <d v="2026-05-07T09:41:56"/>
    <d v="2026-05-07T09:41:56"/>
    <s v=""/>
  </r>
  <r>
    <s v="UT-PM20106M"/>
    <s v="1-2차"/>
    <n v="1"/>
    <x v="1"/>
    <s v="DEF-00759"/>
    <s v="화면의 첫 째 필드에 커셔가 Set focus 필요"/>
    <s v="개발자테스트"/>
    <s v="임소정"/>
    <s v="염희석"/>
    <s v="3자테스터공통"/>
    <s v="Online"/>
    <s v="개선/변경"/>
    <s v="UI"/>
    <s v="결함검토요청"/>
    <s v="임소정"/>
    <s v="Minor"/>
    <x v="0"/>
    <d v="2026-05-07T09:43:29"/>
    <d v="2026-05-07T09:43:29"/>
    <s v=""/>
  </r>
  <r>
    <s v="UT-GO11952M"/>
    <s v="2-1차"/>
    <n v="1"/>
    <x v="0"/>
    <s v="DEF-00761"/>
    <s v="[C_1] 자원 운용률 소제목 누락"/>
    <s v="개발자테스트"/>
    <s v="신문호"/>
    <s v="김경준"/>
    <s v="3자테스터공통"/>
    <s v="Online"/>
    <s v="결함"/>
    <s v="UI"/>
    <s v="결함검토요청"/>
    <s v="신문호"/>
    <s v="Minor"/>
    <x v="0"/>
    <d v="2026-05-07T09:50:17"/>
    <d v="2026-05-07T09:50:18"/>
    <s v=""/>
  </r>
  <r>
    <s v="UT-GO12507S"/>
    <s v="2-1차"/>
    <n v="1"/>
    <x v="0"/>
    <s v="DEF-00762"/>
    <s v="(결함 오등록으로 인해 기각 부탁드립니다)"/>
    <s v="개발자테스트"/>
    <s v="신문호"/>
    <s v="김경준"/>
    <s v="3자테스터공통"/>
    <s v="Online"/>
    <s v="결함"/>
    <s v="기능"/>
    <s v="결함검토요청"/>
    <s v="신문호"/>
    <s v="Critical"/>
    <x v="0"/>
    <d v="2026-05-07T09:58:20"/>
    <d v="2026-05-07T09:58:51"/>
    <s v=""/>
  </r>
  <r>
    <s v="UT-GO11952M"/>
    <s v="2-1차"/>
    <n v="1"/>
    <x v="0"/>
    <s v="DEF-00763"/>
    <s v="[S_1] 운행거리 Bar chart에 값이 표시되지 않음"/>
    <s v="개발자테스트"/>
    <s v="신문호"/>
    <s v="김경준"/>
    <s v="3자테스터공통"/>
    <s v="Online"/>
    <s v="결함"/>
    <s v="기능"/>
    <s v="결함검토요청"/>
    <s v="신문호"/>
    <s v="Critical"/>
    <x v="0"/>
    <d v="2026-05-07T09:59:38"/>
    <d v="2026-05-07T09:59:38"/>
    <s v=""/>
  </r>
  <r>
    <s v="UT-GO12507S"/>
    <s v="2-1차"/>
    <n v="1"/>
    <x v="0"/>
    <s v="DEF-00780"/>
    <s v="[X_1] 검색 컴포넌트의 항로 dropdown에 빈 item 존재"/>
    <s v="개발자테스트"/>
    <s v="신문호"/>
    <s v="김경준"/>
    <s v="3자테스터공통"/>
    <s v="Online"/>
    <s v="결함"/>
    <s v="데이터"/>
    <s v="결함검토요청"/>
    <s v="신문호"/>
    <s v="Minor"/>
    <x v="0"/>
    <d v="2026-05-07T11:21:35"/>
    <d v="2026-05-07T11:21:35"/>
    <s v=""/>
  </r>
  <r>
    <s v="UT-FSQA031S"/>
    <s v="1-2차"/>
    <n v="1"/>
    <x v="2"/>
    <s v="DEF-00151"/>
    <s v="- 엑셀저장 1회 후 2회부터는 엑셀 파일을 다운로드받지 못하는 현상 발생_x000a_  창을 닫고 다시 열어도 한번만 성공_x000a__x000a_- 다운로드가 안되는 상태에서, 날짜 변경후 자료가 변경되어도 다운로드 안됨_x000a_"/>
    <s v="개발자테스트"/>
    <s v="임소정"/>
    <s v="임소정"/>
    <s v="3자테스터공통"/>
    <s v="Online"/>
    <s v="결함"/>
    <s v="UI"/>
    <s v="결함검토요청"/>
    <s v="임소정"/>
    <s v="Minor"/>
    <x v="0"/>
    <d v="2026-04-24T17:29:01"/>
    <d v="2026-04-24T17:46:32"/>
    <s v=""/>
  </r>
  <r>
    <s v="UT-GO61602S"/>
    <s v="2-1차"/>
    <n v="1"/>
    <x v="0"/>
    <s v="DEF-00182"/>
    <s v="최초 load시 [ERS-18000] 요청한 문서를 실행하는데 실패했습니다(java.lang.Exception) 발생함_x000a_"/>
    <s v="개발자테스트"/>
    <s v="신문호"/>
    <s v="박정구"/>
    <s v="3자테스터공통"/>
    <s v="Online"/>
    <s v="결함"/>
    <s v="기능"/>
    <s v="결함검토요청"/>
    <s v="신문호"/>
    <s v="Critical"/>
    <x v="0"/>
    <d v="2026-04-27T13:45:25"/>
    <d v="2026-04-27T13:45:25"/>
    <s v=""/>
  </r>
  <r>
    <s v="UT-GO62101S"/>
    <s v="2-1차"/>
    <n v="1"/>
    <x v="0"/>
    <s v="DEF-00183"/>
    <s v="조건에 따른 조회결과가 표출되지 않음."/>
    <s v="개발자테스트"/>
    <s v="신문호"/>
    <s v="김경준"/>
    <s v="3자테스터공통"/>
    <s v="Online"/>
    <s v="결함"/>
    <s v="데이터"/>
    <s v="결함검토요청"/>
    <s v="신문호"/>
    <s v="Minor"/>
    <x v="0"/>
    <d v="2026-04-27T13:48:42"/>
    <d v="2026-04-27T13:48:42"/>
    <s v=""/>
  </r>
  <r>
    <s v="UT-GO62101S"/>
    <s v="2-1차"/>
    <n v="1"/>
    <x v="0"/>
    <s v="DEF-00184"/>
    <s v="조회조건 값 기준으로 발생시간과 전문내용이 표시되지 않음"/>
    <s v="개발자테스트"/>
    <s v="신문호"/>
    <s v="김경준"/>
    <s v="3자테스터공통"/>
    <s v="Online"/>
    <s v="결함"/>
    <s v="데이터"/>
    <s v="결함검토요청"/>
    <s v="신문호"/>
    <s v="Minor"/>
    <x v="0"/>
    <d v="2026-04-27T13:48:57"/>
    <d v="2026-04-27T13:48:57"/>
    <s v=""/>
  </r>
  <r>
    <s v="UT-GO21309S"/>
    <s v="2-1차"/>
    <n v="1"/>
    <x v="0"/>
    <s v="DEF-00201"/>
    <s v="Test 결과서에서 확인된 기간의 조회시 데이타 조회되지 않음._x000a_기간 선택의 예외처리는 정상 확인됨"/>
    <s v="개발자테스트"/>
    <s v="신문호"/>
    <s v="김경준"/>
    <s v="3자테스터공통"/>
    <s v="Online"/>
    <s v="개선/변경"/>
    <s v="데이터"/>
    <s v="결함검토요청"/>
    <s v="신문호"/>
    <s v="Minor"/>
    <x v="0"/>
    <d v="2026-04-27T14:42:43"/>
    <d v="2026-04-27T14:42:43"/>
    <s v=""/>
  </r>
  <r>
    <s v="UT-GO12702S"/>
    <s v="2-1차"/>
    <n v="1"/>
    <x v="0"/>
    <s v="DEF-00203"/>
    <s v="보고서 날짜칸 밑 어떤 조건을 넣어도 전체라는 문구가 표시? 의도인지 확인필요"/>
    <s v="개발자테스트"/>
    <s v="신문호"/>
    <s v="김경준"/>
    <s v="3자테스터공통"/>
    <s v="Online"/>
    <s v="결함"/>
    <s v="기능"/>
    <s v="결함검토요청"/>
    <s v="신문호"/>
    <s v="Minor"/>
    <x v="0"/>
    <d v="2026-04-27T14:44:34"/>
    <d v="2026-04-27T14:44:34"/>
    <s v=""/>
  </r>
  <r>
    <s v="UT-GO51233S"/>
    <s v="2-1차"/>
    <n v="1"/>
    <x v="0"/>
    <s v="DEF-00204"/>
    <s v="메뉴 선택 초기 화면으로 나타나는 기간 설정으로 조회되지 않음(12개월 초과). 초기 제공 기간을 12개월로 제시되길 바람."/>
    <s v="개발자테스트"/>
    <s v="신문호"/>
    <s v="김경준"/>
    <s v="3자테스터공통"/>
    <s v="Online"/>
    <s v="결함"/>
    <s v="인터페이스"/>
    <s v="결함검토요청"/>
    <s v="신문호"/>
    <s v="Minor"/>
    <x v="0"/>
    <d v="2026-04-27T14:46:50"/>
    <d v="2026-04-27T14:46:50"/>
    <s v=""/>
  </r>
  <r>
    <s v="UT-GO51235S"/>
    <s v="2-1차"/>
    <n v="1"/>
    <x v="0"/>
    <s v="DEF-00207"/>
    <s v="12개월 기간 조회만 가능한데.. 3/3부터 4월말가지 조회됨._x000a_다른 메뉴에서는 해당 기간 조회하면 12개월 초과 조회불가 메시지 나타남.._x000a_12개월 기간 처리가 메뉴마다 일관성이 부족함. 전체적으로 확인 필요함."/>
    <s v="개발자테스트"/>
    <s v="신문호"/>
    <s v="박정구"/>
    <s v="3자테스터공통"/>
    <s v="Online"/>
    <s v="개선/변경"/>
    <s v="인터페이스"/>
    <s v="결함검토요청"/>
    <s v="신문호"/>
    <s v="Minor"/>
    <x v="0"/>
    <d v="2026-04-27T15:05:31"/>
    <d v="2026-04-27T15:05:31"/>
    <s v=""/>
  </r>
  <r>
    <s v="UT-GO41403S"/>
    <s v="1-1차"/>
    <n v="1"/>
    <x v="0"/>
    <s v="DEF-00212"/>
    <s v="전체적으로 보고서양식 클릭 후 search 를 하면 데이터가 변경되지 않는 문제가 있습니다. 대체적으로 하계 보고서양식 클릭 후 발생하는것 같습니다. _x000a__x000a_문제 시나리오 (간헐적)_x000a_- 보고서양식 &gt; 설/추석 탭 클릭 &gt;  일자 또는 시간 변경 &gt; search_x000a__x000a_시나리오대로 반복하다보면 첨부 이미지와 같이 데이터가 업데이트 되지 않는 현상을 볼 수 있습니다. "/>
    <s v="개발자테스트"/>
    <s v="신문호"/>
    <s v="김경준"/>
    <s v="3자테스터공통"/>
    <s v="Online"/>
    <s v="결함"/>
    <s v="데이터"/>
    <s v="결함검토요청"/>
    <s v="신문호"/>
    <s v="Major"/>
    <x v="0"/>
    <d v="2026-04-27T15:18:14"/>
    <d v="2026-04-27T15:18:14"/>
    <s v=""/>
  </r>
  <r>
    <s v="UT-GO12507S"/>
    <s v="2-1차"/>
    <n v="1"/>
    <x v="0"/>
    <s v="DEF-00268"/>
    <s v="좌측에서 &quot;항로 및 운항실적&quot;을 클릭하면, 화면과 같이 서ㅓ버오류 메시지 나타남. 확인 클릭 후 조회를 클릭하면.. 정상 수행되기는 하지만. 처음 화면 열릴때는 동일한 현상 나타남."/>
    <s v="개발자테스트"/>
    <s v="신문호"/>
    <s v="김경준"/>
    <s v="3자테스터공통"/>
    <s v="Online"/>
    <s v="결함"/>
    <s v="기능"/>
    <s v="결함검토요청"/>
    <s v="신문호"/>
    <s v="Minor"/>
    <x v="0"/>
    <d v="2026-04-28T09:19:32"/>
    <d v="2026-04-28T09:19:32"/>
    <s v=""/>
  </r>
  <r>
    <s v="UT-GO12507S"/>
    <s v="2-1차"/>
    <n v="1"/>
    <x v="0"/>
    <s v="DEF-00269"/>
    <s v="시작 일자를 2026년 만 입력하고 조회하면. 아래 화면처럼 불필요한 메시지 나타나고.. 1개월 초과할 수 없다는 메시지 나타남."/>
    <s v="개발자테스트"/>
    <s v="신문호"/>
    <s v="김경준"/>
    <s v="3자테스터공통"/>
    <s v="Online"/>
    <s v="결함"/>
    <s v="UI"/>
    <s v="결함검토요청"/>
    <s v="신문호"/>
    <s v="Minor"/>
    <x v="0"/>
    <d v="2026-04-28T09:35:57"/>
    <d v="2026-04-28T09:35:57"/>
    <s v=""/>
  </r>
  <r>
    <s v="UT-GO41601S"/>
    <s v="1-1차"/>
    <n v="1"/>
    <x v="0"/>
    <s v="DEF-00270"/>
    <s v="테스트 가능한 데이터가 없어 테스트를 할 수 없습니다. _x000a_유효성 검사는 완료했습니다. "/>
    <s v="개발자테스트"/>
    <s v="신문호"/>
    <s v="김경준"/>
    <s v="3자테스터공통"/>
    <s v="Online"/>
    <s v="개선/변경"/>
    <s v="데이터"/>
    <s v="결함검토요청"/>
    <s v="신문호"/>
    <s v="Minor"/>
    <x v="0"/>
    <d v="2026-04-28T09:37:00"/>
    <d v="2026-04-28T09:37:00"/>
    <s v=""/>
  </r>
  <r>
    <s v="UT-GO42101S"/>
    <s v="2-2차"/>
    <n v="1"/>
    <x v="0"/>
    <s v="DEF-00272"/>
    <s v="파일 업로드 오른쪽에 저장버튼이 있어서 터미널(행 데이터)에 대한 데이터 저장이 아니라_x000a_파일 업로드 후 저장 버튼으로 헷갈릴 가능성이 있는거 같습니다"/>
    <s v="개발자테스트"/>
    <s v="신문호"/>
    <s v="김경준"/>
    <s v="3자테스터공통"/>
    <s v="Online"/>
    <s v="결함"/>
    <s v="기능"/>
    <s v="결함검토요청"/>
    <s v="신문호"/>
    <s v="Minor"/>
    <x v="0"/>
    <d v="2026-04-28T09:47:01"/>
    <d v="2026-04-28T14:30:33"/>
    <s v=""/>
  </r>
  <r>
    <s v="UT-GO42101S"/>
    <s v="2-2차"/>
    <n v="1"/>
    <x v="0"/>
    <s v="DEF-00276"/>
    <s v="파일선택칸에 Text 입력가능이 가능합니다. 되는게 맞는지 의도확인 부탁드립니다"/>
    <s v="개발자테스트"/>
    <s v="신문호"/>
    <s v="김경준"/>
    <s v="3자테스터공통"/>
    <s v="Online"/>
    <s v="개선/변경"/>
    <s v="기능"/>
    <s v="결함검토요청"/>
    <s v="신문호"/>
    <s v="Minor"/>
    <x v="0"/>
    <d v="2026-04-28T09:58:04"/>
    <d v="2026-04-28T14:30:09"/>
    <s v=""/>
  </r>
  <r>
    <s v="UT-GO11952M"/>
    <s v="2-1차"/>
    <n v="1"/>
    <x v="0"/>
    <s v="DEF-00278"/>
    <s v="데시보드 클릭하여 처음 나타나는 화면이 우측으로 치우쳐 나타남. 이후 화면 최대화를 하면. 중앙으로 위치함."/>
    <s v="개발자테스트"/>
    <s v="신문호"/>
    <s v="김경준"/>
    <s v="3자테스터공통"/>
    <s v="Online"/>
    <s v="결함"/>
    <s v="UI"/>
    <s v="결함검토요청"/>
    <s v="신문호"/>
    <s v="Minor"/>
    <x v="0"/>
    <d v="2026-04-28T10:11:39"/>
    <d v="2026-04-28T10:11:39"/>
    <s v=""/>
  </r>
  <r>
    <s v="UT-GO23802S"/>
    <s v="1-2차"/>
    <n v="1"/>
    <x v="0"/>
    <s v="DEF-00308"/>
    <s v="엑셀 숫자 데이터 확인 필요"/>
    <s v="개발자테스트"/>
    <s v="신문호"/>
    <s v="박정구"/>
    <s v="3자테스터공통"/>
    <s v="Online"/>
    <s v="개선/변경"/>
    <s v="기타"/>
    <s v="결함검토요청"/>
    <s v="신문호"/>
    <s v="Minor"/>
    <x v="0"/>
    <d v="2026-04-28T13:02:49"/>
    <d v="2026-04-28T13:02:49"/>
    <s v=""/>
  </r>
  <r>
    <s v="UT-GO11950S"/>
    <s v="2-2차"/>
    <n v="1"/>
    <x v="0"/>
    <s v="DEF-00315"/>
    <s v="주간실적조회에서 &lt;&gt; 로 날짜 변경후 Search시 해당 조회일자에 맞게 검색이 안되는거같습니다"/>
    <s v="개발자테스트"/>
    <s v="신문호"/>
    <s v="신문호"/>
    <s v="3자테스터공통"/>
    <s v="Online"/>
    <s v="결함"/>
    <s v="기능"/>
    <s v="결함검토요청"/>
    <s v="신문호"/>
    <s v="Minor"/>
    <x v="0"/>
    <d v="2026-04-28T13:30:39"/>
    <d v="2026-04-28T13:30:39"/>
    <s v=""/>
  </r>
  <r>
    <s v="UT-PM10306S"/>
    <s v="2-3차"/>
    <n v="1"/>
    <x v="1"/>
    <s v="DEF-00316"/>
    <s v="테스트 결과서 순번 8번_x000a_ - 맵 내부 버튼 클릭시 표보기 항목으로 이동하지 않고 차트보기로 이동 됨."/>
    <s v="개발자테스트"/>
    <s v="임소정"/>
    <s v="pmtbd3"/>
    <s v="3자테스터공통"/>
    <s v="Online"/>
    <s v="결함"/>
    <s v="기능"/>
    <s v="결함검토요청"/>
    <s v="염희석"/>
    <s v="Major"/>
    <x v="0"/>
    <d v="2026-04-28T13:30:46"/>
    <d v="2026-04-28T13:30:46"/>
    <s v=""/>
  </r>
  <r>
    <s v="UT-GO62101S"/>
    <s v="2-1차"/>
    <n v="1"/>
    <x v="0"/>
    <s v="DEF-00317"/>
    <s v="1. 아래 화면과 같이 시간 선택 시작 ~ 끝 시간을 수정 후 다음 액션할 버튼이 없음._x000a_2. 선택일시 목록에서 선택 후 다음 액션 버튼이 없음."/>
    <s v="개발자테스트"/>
    <s v="신문호"/>
    <s v="김경준"/>
    <s v="3자테스터공통"/>
    <s v="Online"/>
    <s v="결함"/>
    <s v="프로세스"/>
    <s v="결함검토요청"/>
    <s v="신문호"/>
    <s v="Major"/>
    <x v="0"/>
    <d v="2026-04-28T13:31:05"/>
    <d v="2026-04-28T13:31:05"/>
    <s v=""/>
  </r>
  <r>
    <s v="UT-GO21401S"/>
    <s v="2-2차"/>
    <n v="1"/>
    <x v="0"/>
    <s v="DEF-00323"/>
    <s v="발생일자에 required 빨간 표시가 없음(ui)"/>
    <s v="개발자테스트"/>
    <s v="신문호"/>
    <s v="신문호"/>
    <s v="3자테스터공통"/>
    <s v="Online"/>
    <s v="개선/변경"/>
    <s v="UI"/>
    <s v="결함검토요청"/>
    <s v="신문호"/>
    <s v="Minor"/>
    <x v="0"/>
    <d v="2026-04-28T13:41:33"/>
    <d v="2026-04-28T13:41:33"/>
    <s v=""/>
  </r>
  <r>
    <s v="UT-PM10306S"/>
    <s v="2-3차"/>
    <n v="1"/>
    <x v="1"/>
    <s v="DEF-00339"/>
    <s v="맵 하단에 넘버 없는 행이 존재"/>
    <s v="개발자테스트"/>
    <s v="임소정"/>
    <s v="pmtbd3"/>
    <s v="3자테스터공통"/>
    <s v="Online"/>
    <s v="개선/변경"/>
    <s v="UI"/>
    <s v="결함검토요청"/>
    <s v="염희석"/>
    <s v="Minor"/>
    <x v="0"/>
    <d v="2026-04-28T14:21:44"/>
    <d v="2026-04-28T14:21:44"/>
    <s v=""/>
  </r>
  <r>
    <s v="UT-GO42001S"/>
    <s v="1-2차"/>
    <n v="1"/>
    <x v="0"/>
    <s v="DEF-00399"/>
    <s v="문맥 상 횟수가 적절해 보입니다. ."/>
    <s v="개발자테스트"/>
    <s v="신문호"/>
    <s v="박정구"/>
    <s v="3자테스터공통"/>
    <s v="Online"/>
    <s v="개선/변경"/>
    <s v="기타"/>
    <s v="결함검토요청"/>
    <s v="신문호"/>
    <s v="Minor"/>
    <x v="0"/>
    <d v="2026-04-28T16:55:22"/>
    <d v="2026-04-28T16:55:22"/>
    <s v=""/>
  </r>
  <r>
    <s v="UT-GO12505S"/>
    <s v="2-3차"/>
    <n v="1"/>
    <x v="0"/>
    <s v="DEF-00400"/>
    <s v="표준 알림창으로 변경 필요"/>
    <s v="개발자테스트"/>
    <s v="신문호"/>
    <s v="김경준"/>
    <s v="3자테스터공통"/>
    <s v="Online"/>
    <s v="개선/변경"/>
    <s v="UI"/>
    <s v="결함검토요청"/>
    <s v="신문호"/>
    <s v="Minor"/>
    <x v="0"/>
    <d v="2026-04-28T17:01:26"/>
    <d v="2026-04-28T17:01:26"/>
    <s v=""/>
  </r>
  <r>
    <s v="UT-GO42001S"/>
    <s v="1-2차"/>
    <n v="1"/>
    <x v="0"/>
    <s v="DEF-00401"/>
    <s v="팝업 UI 통일성이 없는것 같아요._x000a_다른 페이지의 조회 없음 팝업과 다릅니다. "/>
    <s v="개발자테스트"/>
    <s v="신문호"/>
    <s v="박정구"/>
    <s v="3자테스터공통"/>
    <s v="Online"/>
    <s v="개선/변경"/>
    <s v="UI"/>
    <s v="결함검토요청"/>
    <s v="신문호"/>
    <s v="Minor"/>
    <x v="0"/>
    <d v="2026-04-28T17:03:27"/>
    <d v="2026-04-28T17:03:27"/>
    <s v=""/>
  </r>
  <r>
    <s v="UT-GO61201S"/>
    <s v="1-2차"/>
    <n v="1"/>
    <x v="0"/>
    <s v="DEF-00408"/>
    <s v="검색 아이콘, 아이콘들 크기 조정이 가능한 이유가 궁금합니다. "/>
    <s v="개발자테스트"/>
    <s v="신문호"/>
    <s v="박정구"/>
    <s v="3자테스터공통"/>
    <s v="Online"/>
    <s v="개선/변경"/>
    <s v="UI"/>
    <s v="결함검토요청"/>
    <s v="신문호"/>
    <s v="Minor"/>
    <x v="0"/>
    <d v="2026-04-28T17:36:09"/>
    <d v="2026-04-28T17:36:09"/>
    <s v=""/>
  </r>
  <r>
    <s v="UT-GO61202S"/>
    <s v="1-2차"/>
    <n v="1"/>
    <x v="0"/>
    <s v="DEF-00411"/>
    <s v="창을 줄이면 데이터가 보이지 않습니다. "/>
    <s v="개발자테스트"/>
    <s v="신문호"/>
    <s v="박정구"/>
    <s v="3자테스터공통"/>
    <s v="Online"/>
    <s v="개선/변경"/>
    <s v="UI"/>
    <s v="결함검토요청"/>
    <s v="신문호"/>
    <s v="Minor"/>
    <x v="0"/>
    <d v="2026-04-28T17:38:35"/>
    <d v="2026-04-28T17:38:36"/>
    <s v=""/>
  </r>
  <r>
    <s v="UT-GO61201S"/>
    <s v="1-2차"/>
    <n v="1"/>
    <x v="0"/>
    <s v="DEF-00413"/>
    <s v="창을 줄이면 데이터가 보이지 않습니다. "/>
    <s v="개발자테스트"/>
    <s v="신문호"/>
    <s v="박정구"/>
    <s v="3자테스터공통"/>
    <s v="Online"/>
    <s v="개선/변경"/>
    <s v="UI"/>
    <s v="결함검토요청"/>
    <s v="신문호"/>
    <s v="Minor"/>
    <x v="0"/>
    <d v="2026-04-28T17:39:29"/>
    <d v="2026-04-28T17:39:29"/>
    <s v=""/>
  </r>
  <r>
    <s v="UT-GO61401S"/>
    <s v="1-2차"/>
    <n v="1"/>
    <x v="0"/>
    <s v="DEF-00414"/>
    <s v="조회 날짜 클릭 &gt; 결과가 없는 경우 : 테스트 케이스와는 다르게 경고메시지가 표출되지 않습니다. "/>
    <s v="개발자테스트"/>
    <s v="신문호"/>
    <s v="박정구"/>
    <s v="3자테스터공통"/>
    <s v="Online"/>
    <s v="개선/변경"/>
    <s v="UI"/>
    <s v="결함검토요청"/>
    <s v="신문호"/>
    <s v="Minor"/>
    <x v="0"/>
    <d v="2026-04-28T17:45:47"/>
    <d v="2026-04-28T17:45:47"/>
    <s v=""/>
  </r>
  <r>
    <s v="UT-PM20101S"/>
    <s v="1-2차"/>
    <n v="1"/>
    <x v="1"/>
    <s v="DEF-00434"/>
    <s v="데이터가 많이 겹쳐 한눈에 확인하기 어렵습니다."/>
    <s v="개발자테스트"/>
    <s v="임소정"/>
    <s v="신문호"/>
    <s v="3자테스터공통"/>
    <s v="Online"/>
    <s v="개선/변경"/>
    <s v="UI"/>
    <s v="결함검토요청"/>
    <s v="임소정"/>
    <s v="Minor"/>
    <x v="0"/>
    <d v="2026-04-29T10:16:00"/>
    <d v="2026-04-29T10:29:16"/>
    <s v=""/>
  </r>
  <r>
    <s v="UT-PM20158S"/>
    <s v="2-2차"/>
    <n v="1"/>
    <x v="1"/>
    <s v="DEF-00435"/>
    <s v="+ 버튼으로 그래프 비교를 할경우 화면 비율 100% 상태에서 승객수 기존 , 시뮬레이션 글자가 짤림"/>
    <s v="개발자테스트"/>
    <s v="임소정"/>
    <s v="노세찬"/>
    <s v="3자테스터공통"/>
    <s v="Online"/>
    <s v="결함"/>
    <s v="UI"/>
    <s v="결함검토요청"/>
    <s v="임소정"/>
    <s v="Minor"/>
    <x v="0"/>
    <d v="2026-04-29T10:17:26"/>
    <d v="2026-04-29T10:17:26"/>
    <s v=""/>
  </r>
  <r>
    <s v="UT-PM20101S"/>
    <s v="1-2차"/>
    <n v="1"/>
    <x v="1"/>
    <s v="DEF-00441"/>
    <s v="클릭을 해도 아무런 이벤트가 발생하지 않습니다. _x000a_클릭 실행 시간은 그래프 아래 현재시간에 표시된 시간 1~2분 이내인것 같습니다._x000a__x000a_간헐적이라 여러 테스트 해봤는데, 금일 날짜 기준 2026-04-27, 2026-04-28 데이터 조회 후 해당 버튼 클릭하면 발생 하는것 같습니다. "/>
    <s v="개발자테스트"/>
    <s v="임소정"/>
    <s v="신문호"/>
    <s v="3자테스터공통"/>
    <s v="Online"/>
    <s v="결함"/>
    <s v="기능"/>
    <s v="결함검토요청"/>
    <s v="임소정"/>
    <s v="Major"/>
    <x v="0"/>
    <d v="2026-04-29T10:37:35"/>
    <d v="2026-04-29T10:39:43"/>
    <s v=""/>
  </r>
  <r>
    <s v="UT-FSQA020S"/>
    <s v="1-2차"/>
    <n v="1"/>
    <x v="2"/>
    <s v="DEF-00442"/>
    <s v="보안검색 운영일지 조회시 _x000a_&quot;조회결과가 없습니다&quot; ALERT 메세지가 뜨고 LOADING 이미지가 뜸"/>
    <s v="개발자테스트"/>
    <s v="임소정"/>
    <s v="임소정"/>
    <s v="3자테스터공통"/>
    <s v="Online"/>
    <s v="결함"/>
    <s v="기능"/>
    <s v="결함검토요청"/>
    <s v="임소정"/>
    <s v="Major"/>
    <x v="0"/>
    <d v="2026-04-29T10:37:54"/>
    <d v="2026-04-29T10:37:54"/>
    <s v=""/>
  </r>
  <r>
    <s v="UT-PM20101S"/>
    <s v="1-2차"/>
    <n v="1"/>
    <x v="1"/>
    <s v="DEF-00450"/>
    <s v="진입 시 첫 번째 요소(예고일) 포커스가 되지 않습니다. "/>
    <s v="개발자테스트"/>
    <s v="임소정"/>
    <s v="신문호"/>
    <s v="3자테스터공통"/>
    <s v="Online"/>
    <s v="개선/변경"/>
    <s v="UI"/>
    <s v="결함검토요청"/>
    <s v="임소정"/>
    <s v="Minor"/>
    <x v="0"/>
    <d v="2026-04-29T11:01:14"/>
    <d v="2026-04-29T11:01:14"/>
    <s v=""/>
  </r>
  <r>
    <s v="UT-GO12707S"/>
    <s v="2-3차"/>
    <n v="1"/>
    <x v="0"/>
    <s v="DEF-00451"/>
    <s v="검색 조건 정렬 필요"/>
    <s v="개발자테스트"/>
    <s v="신문호"/>
    <s v="김경준"/>
    <s v="3자테스터공통"/>
    <s v="Online"/>
    <s v="개선/변경"/>
    <s v="UI"/>
    <s v="결함검토요청"/>
    <s v="신문호"/>
    <s v="Minor"/>
    <x v="0"/>
    <d v="2026-04-29T11:01:47"/>
    <d v="2026-04-29T11:01:47"/>
    <s v=""/>
  </r>
  <r>
    <s v="UT-GO12707S"/>
    <s v="2-3차"/>
    <n v="1"/>
    <x v="0"/>
    <s v="DEF-00452"/>
    <s v="다른 페이지는 &quot;조회된 데이터가 없습니다.&quot; 가 표시되지만 참고사항 페이지는 표시되지 않음."/>
    <s v="개발자테스트"/>
    <s v="신문호"/>
    <s v="김경준"/>
    <s v="3자테스터공통"/>
    <s v="Online"/>
    <s v="개선/변경"/>
    <s v="UI"/>
    <s v="결함검토요청"/>
    <s v="신문호"/>
    <s v="Minor"/>
    <x v="0"/>
    <d v="2026-04-29T11:07:35"/>
    <d v="2026-04-29T11:07:35"/>
    <s v=""/>
  </r>
  <r>
    <s v="UT-PM20101S"/>
    <s v="1-2차"/>
    <n v="1"/>
    <x v="1"/>
    <s v="DEF-00458"/>
    <s v="창을 줄였을때, 데이터가 다 보이지 않습니다. "/>
    <s v="개발자테스트"/>
    <s v="임소정"/>
    <s v="신문호"/>
    <s v="3자테스터공통"/>
    <s v="Online"/>
    <s v="개선/변경"/>
    <s v="UI"/>
    <s v="결함검토요청"/>
    <s v="임소정"/>
    <s v="Minor"/>
    <x v="0"/>
    <d v="2026-04-29T11:19:30"/>
    <d v="2026-04-29T11:19:30"/>
    <s v=""/>
  </r>
  <r>
    <s v="UT-FSEX090M"/>
    <s v="2-3차"/>
    <n v="1"/>
    <x v="2"/>
    <s v="DEF-00475"/>
    <s v="[S_3-1] [C_7] '검측장소'가 UI상 필수 필드로 설정되어있지만 값 미입력 시에도 등록 가능"/>
    <s v="개발자테스트"/>
    <s v="임소정"/>
    <s v="임소정"/>
    <s v="3자테스터공통"/>
    <s v="Online"/>
    <s v="결함"/>
    <s v="UI"/>
    <s v="결함검토요청"/>
    <s v="임소정"/>
    <s v="Major"/>
    <x v="0"/>
    <d v="2026-04-29T14:32:18"/>
    <d v="2026-04-29T14:39:14"/>
    <s v=""/>
  </r>
  <r>
    <s v="UT-FSQB090S"/>
    <s v="2-1차"/>
    <n v="1"/>
    <x v="2"/>
    <s v="DEF-00491"/>
    <s v="1. 전신검색 웗별 현황 조회의 조회일자의 날짜 구분 필요_x000a_2. 적발기간의 시작일이 더 늦은데 전신 검색 월별 현황 조회가 됨._x000a_"/>
    <s v="개발자테스트"/>
    <s v="임소정"/>
    <s v="임소정"/>
    <s v="3자테스터공통"/>
    <s v="Online"/>
    <s v="개선/변경"/>
    <s v="기능"/>
    <s v="결함검토요청"/>
    <s v="임소정"/>
    <s v="Major"/>
    <x v="0"/>
    <d v="2026-04-29T15:02:52"/>
    <d v="2026-04-29T15:02:52"/>
    <s v=""/>
  </r>
  <r>
    <s v="UT-FSEY080S"/>
    <s v="2-3차"/>
    <n v="1"/>
    <x v="2"/>
    <s v="DEF-00494"/>
    <s v="[C_4] 합계 column(근무자별 연간 출동현황 합계), 합계 row(월별 출동현황 합계)가 실제 합과 불일치"/>
    <s v="개발자테스트"/>
    <s v="임소정"/>
    <s v="임소정"/>
    <s v="3자테스터공통"/>
    <s v="Online"/>
    <s v="결함"/>
    <s v="데이터"/>
    <s v="결함검토요청"/>
    <s v="임소정"/>
    <s v="Major"/>
    <x v="0"/>
    <d v="2026-04-29T15:08:38"/>
    <d v="2026-04-29T15:08:39"/>
    <s v=""/>
  </r>
  <r>
    <s v="UT-FSQB170S"/>
    <s v="2-2차"/>
    <n v="1"/>
    <x v="2"/>
    <s v="DEF-00496"/>
    <s v="[X_1] 단위테스트결과서 증적 누락"/>
    <s v="개발자테스트"/>
    <s v="임소정"/>
    <s v="임소정"/>
    <s v="3자테스터공통"/>
    <s v="Online"/>
    <s v="결함"/>
    <s v="문서화"/>
    <s v="결함검토요청"/>
    <s v="임소정"/>
    <s v="Minor"/>
    <x v="0"/>
    <d v="2026-04-29T15:24:18"/>
    <d v="2026-04-29T15:24:18"/>
    <s v=""/>
  </r>
  <r>
    <s v="UT-FSEY020S"/>
    <s v="2-1차"/>
    <n v="1"/>
    <x v="2"/>
    <s v="DEF-00560"/>
    <s v="1. 숫자 천단위 표시 추가_x000a_2. 날짜 간격 수정 yyyy-mm-dd 형식으로 띄어쓰기 제거"/>
    <s v="개발자테스트"/>
    <s v="임소정"/>
    <s v="임소정"/>
    <s v="3자테스터공통"/>
    <s v="Online"/>
    <s v="개선/변경"/>
    <s v="UI"/>
    <s v="결함검토요청"/>
    <s v="임소정"/>
    <s v="Minor"/>
    <x v="0"/>
    <d v="2026-04-30T13:09:26"/>
    <d v="2026-04-30T13:09:26"/>
    <s v=""/>
  </r>
  <r>
    <s v="UT-GO12805S"/>
    <s v="2-3차"/>
    <n v="1"/>
    <x v="0"/>
    <s v="DEF-00648"/>
    <s v="[X_1] 조회조건에 해당하는 데이터를 찾을 수 없을 때 표출되는 alert의 UI 형식이 타 alert UI와 상이"/>
    <s v="개발자테스트"/>
    <s v="신문호"/>
    <s v="김경준"/>
    <s v="3자테스터공통"/>
    <s v="Online"/>
    <s v="결함"/>
    <s v="UI"/>
    <s v="결함검토요청"/>
    <s v="신문호"/>
    <s v="Minor"/>
    <x v="0"/>
    <d v="2026-05-04T15:10:04"/>
    <d v="2026-05-04T15:10:04"/>
    <s v=""/>
  </r>
  <r>
    <s v="UT-GO11950S"/>
    <s v="2-2차"/>
    <n v="1"/>
    <x v="0"/>
    <s v="DEF-00680"/>
    <s v="[S_1] 일일 실적은 페이지 초기 로드 시 조회가 수행되지만, 주간 실적은 페이지 초기 로드 시 조회가 수행되지 않습니다."/>
    <s v="개발자테스트"/>
    <s v="신문호"/>
    <s v="신문호"/>
    <s v="3자테스터공통"/>
    <s v="Online"/>
    <s v="결함"/>
    <s v="프로세스"/>
    <s v="결함검토요청"/>
    <s v="신문호"/>
    <s v="Minor"/>
    <x v="0"/>
    <d v="2026-05-06T09:01:31"/>
    <d v="2026-05-06T09:01:31"/>
    <s v=""/>
  </r>
  <r>
    <s v="UT-GO11961S"/>
    <s v="2-2차"/>
    <n v="1"/>
    <x v="0"/>
    <s v="DEF-00685"/>
    <s v="[C_1] 오타: 탑승동 개항우 → 탑승동 개항' 후'"/>
    <s v="개발자테스트"/>
    <s v="신문호"/>
    <s v="신문호"/>
    <s v="3자테스터공통"/>
    <s v="Online"/>
    <s v="결함"/>
    <s v="UI"/>
    <s v="결함검토요청"/>
    <s v="신문호"/>
    <s v="Minor"/>
    <x v="0"/>
    <d v="2026-05-06T09:37:35"/>
    <d v="2026-05-06T09:37:35"/>
    <s v=""/>
  </r>
  <r>
    <s v="UT-PM10504S"/>
    <s v="2-3차"/>
    <n v="1"/>
    <x v="1"/>
    <s v="DEF-00692"/>
    <s v="①최초 화면전체 모드 기준 표 보기에는 하단 좌우스크롤바 1개, ② 화면크기 조정후 스크롤바 2개 생성, ③ 다시 전체 화면 모드로 전환했지만, 하단 좌우스크롤 2개 유지 _x000a_"/>
    <s v="개발자테스트"/>
    <s v="임소정"/>
    <s v="pmtbd2"/>
    <s v="3자테스터공통"/>
    <s v="Online"/>
    <s v="개선/변경"/>
    <s v="UI"/>
    <s v="결함검토요청"/>
    <s v="임소정"/>
    <s v="Minor"/>
    <x v="0"/>
    <d v="2026-05-06T10:34:28"/>
    <d v="2026-05-06T10:34:28"/>
    <s v=""/>
  </r>
  <r>
    <s v="UT-GO11965S"/>
    <s v="2-2차"/>
    <n v="1"/>
    <x v="0"/>
    <s v="DEF-00697"/>
    <s v="[C_1] '소'송 → '수'송"/>
    <s v="개발자테스트"/>
    <s v="신문호"/>
    <s v="신문호"/>
    <s v="3자테스터공통"/>
    <s v="Online"/>
    <s v="결함"/>
    <s v="UI"/>
    <s v="결함검토요청"/>
    <s v="신문호"/>
    <s v="Minor"/>
    <x v="0"/>
    <d v="2026-05-06T10:53:12"/>
    <d v="2026-05-06T10:53:12"/>
    <s v=""/>
  </r>
  <r>
    <s v="UT-GO21401S"/>
    <s v="2-2차"/>
    <n v="1"/>
    <x v="0"/>
    <s v="DEF-00699"/>
    <s v="[X_1] 검색된 결과가 없을 때 좌측 하단 건수에도 '0'건이 표시되면 좋을 것 같습니다."/>
    <s v="개발자테스트"/>
    <s v="신문호"/>
    <s v="신문호"/>
    <s v="3자테스터공통"/>
    <s v="Online"/>
    <s v="개선/변경"/>
    <s v="UI"/>
    <s v="결함검토요청"/>
    <s v="신문호"/>
    <s v="Minor"/>
    <x v="0"/>
    <d v="2026-05-06T11:03:32"/>
    <d v="2026-05-06T11:03:33"/>
    <s v=""/>
  </r>
  <r>
    <s v="UT-FSQB050S"/>
    <s v="1-2차"/>
    <n v="1"/>
    <x v="2"/>
    <s v="DEF-00700"/>
    <s v="아래 화면처럼.. 동일 조회 기간의 환승 건수가 품목별 적발현황 Tab과 장소별 적발현황 Tab의 건수가 일치하지 않음._x000a_총 건수나 품목별 총수는 동일해야 하는데.. 불일치 함."/>
    <s v="개발자테스트"/>
    <s v="임소정"/>
    <s v="임소정"/>
    <s v="3자테스터공통"/>
    <s v="Online"/>
    <s v="결함"/>
    <s v="데이터"/>
    <s v="결함검토요청"/>
    <s v="임소정"/>
    <s v="Minor"/>
    <x v="0"/>
    <d v="2026-05-06T11:04:17"/>
    <d v="2026-05-06T11:04:17"/>
    <s v=""/>
  </r>
  <r>
    <s v="UT-GO21401S"/>
    <s v="2-2차"/>
    <n v="1"/>
    <x v="0"/>
    <s v="DEF-00702"/>
    <s v="[S_6] 삭제 시 리스트는 갱신되지만 건수는 갱신되지 않고 있습니다."/>
    <s v="개발자테스트"/>
    <s v="신문호"/>
    <s v="신문호"/>
    <s v="3자테스터공통"/>
    <s v="Online"/>
    <s v="결함"/>
    <s v="UI"/>
    <s v="결함검토요청"/>
    <s v="신문호"/>
    <s v="Minor"/>
    <x v="0"/>
    <d v="2026-05-06T11:11:09"/>
    <d v="2026-05-06T11:12:25"/>
    <s v=""/>
  </r>
  <r>
    <s v="UT-PM20157S"/>
    <s v="2-2차"/>
    <n v="1"/>
    <x v="1"/>
    <s v="DEF-00707"/>
    <s v="- 합계행 분리됨(배율 낮추면 분리됨) -&gt; PM 전반적으로 검토해야할 사안인듯._x000a_-합계오류(기존승객예고 결과) : 화면, 엑셀 두개 다 오류, 엑셀의 시뮬레이션결과, 셔틀트레인시트내 합계는 맞음_x000a_"/>
    <s v="개발자테스트"/>
    <s v="임소정"/>
    <s v="노세찬"/>
    <s v="3자테스터공통"/>
    <s v="Online"/>
    <s v="개선/변경"/>
    <s v="UI"/>
    <s v="결함검토요청"/>
    <s v="임소정"/>
    <s v="Minor"/>
    <x v="0"/>
    <d v="2026-05-06T13:31:58"/>
    <d v="2026-05-06T13:31:59"/>
    <s v=""/>
  </r>
  <r>
    <s v="UT-GO12901S"/>
    <s v="2-2차"/>
    <n v="1"/>
    <x v="0"/>
    <s v="DEF-00736"/>
    <s v="[X_1] '대상 국가'를 선택하지 않고 검색했을 때, 전체 국가에 대해 검색될 것처럼 기대되지만 어떤 국가에 대해서도 검색되지 않기 때문에 사용자 입장에서 마치 데이터가 없는 것처럼 느껴집니다. 어차피 국가를 선택해야 데이터가 조회되기 때문에, 이 필드를 선택 필드로 둘 것이 아니라 필수 필드로 설정하는 것은 어떨지 건의드립니다."/>
    <s v="개발자테스트"/>
    <s v="신문호"/>
    <s v="신문호"/>
    <s v="3자테스터공통"/>
    <s v="Online"/>
    <s v="개선/변경"/>
    <s v="프로세스"/>
    <s v="결함검토요청"/>
    <s v="신문호"/>
    <s v="Minor"/>
    <x v="0"/>
    <d v="2026-05-06T16:42:09"/>
    <d v="2026-05-06T16:42:09"/>
    <s v=""/>
  </r>
  <r>
    <s v="UT-GO12901S"/>
    <s v="2-2차"/>
    <n v="1"/>
    <x v="0"/>
    <s v="DEF-00737"/>
    <s v="[C_1] 천 단위 , 필요"/>
    <s v="개발자테스트"/>
    <s v="신문호"/>
    <s v="신문호"/>
    <s v="3자테스터공통"/>
    <s v="Online"/>
    <s v="개선/변경"/>
    <s v="UI"/>
    <s v="결함검토요청"/>
    <s v="신문호"/>
    <s v="Minor"/>
    <x v="0"/>
    <d v="2026-05-06T16:44:24"/>
    <d v="2026-05-06T16:44:24"/>
    <s v=""/>
  </r>
  <r>
    <s v="UT-PM10104S"/>
    <s v="2-1차"/>
    <n v="1"/>
    <x v="1"/>
    <s v="DEF-00753"/>
    <s v="①동일한 검색어(“741”)를  운항편명에 입력한 후에 SPS는 검색되지만, CPSI에서는 검색결과가 제시되지 않음._x000a_"/>
    <s v="개발자테스트"/>
    <s v="임소정"/>
    <s v="pmtbd3"/>
    <s v="3자테스터공통"/>
    <s v="Online"/>
    <s v="개선/변경"/>
    <s v="UI"/>
    <s v="결함검토요청"/>
    <s v="임소정"/>
    <s v="Minor"/>
    <x v="0"/>
    <d v="2026-05-07T09:13:33"/>
    <d v="2026-05-07T09:13:33"/>
    <s v=""/>
  </r>
  <r>
    <s v="UT-GO11952M"/>
    <s v="2-1차"/>
    <n v="1"/>
    <x v="0"/>
    <s v="DEF-00760"/>
    <s v="[C_1] 모달상에는 DST, 대시보드 화면상에는 DSP로 기재되어 있음"/>
    <s v="개발자테스트"/>
    <s v="신문호"/>
    <s v="김경준"/>
    <s v="3자테스터공통"/>
    <s v="Online"/>
    <s v="결함"/>
    <s v="UI"/>
    <s v="결함검토요청"/>
    <s v="신문호"/>
    <s v="Minor"/>
    <x v="0"/>
    <d v="2026-05-07T09:47:10"/>
    <d v="2026-05-07T09:47:10"/>
    <s v=""/>
  </r>
  <r>
    <s v="UT-GO12808S"/>
    <s v="2-1차"/>
    <n v="1"/>
    <x v="0"/>
    <s v="DEF-00766"/>
    <s v="[C_4] 조회된 데이터가 없을 때, 결항 소제목에도 '0'편 기재 필요 (현재 지연(0편)과 상이)"/>
    <s v="개발자테스트"/>
    <s v="신문호"/>
    <s v="박정구"/>
    <s v="3자테스터공통"/>
    <s v="Online"/>
    <s v="결함"/>
    <s v="UI"/>
    <s v="결함검토요청"/>
    <s v="신문호"/>
    <s v="Minor"/>
    <x v="0"/>
    <d v="2026-05-07T10:14:37"/>
    <d v="2026-05-07T10:14:37"/>
    <s v=""/>
  </r>
  <r>
    <s v="UT-PM30101S"/>
    <s v="1-2차"/>
    <n v="1"/>
    <x v="1"/>
    <s v="DEF-00767"/>
    <s v="시스템에러로 테스트 불가"/>
    <s v="개발자테스트"/>
    <s v="임소정"/>
    <s v="pmtbd1"/>
    <s v="3자테스터공통"/>
    <s v="Online"/>
    <s v="개선/변경"/>
    <s v="UI"/>
    <s v="결함검토요청"/>
    <s v="임소정"/>
    <s v="Minor"/>
    <x v="0"/>
    <d v="2026-05-07T10:15:56"/>
    <d v="2026-05-07T10:15:56"/>
    <s v=""/>
  </r>
  <r>
    <s v="UT-PM30102M"/>
    <s v="1-2차"/>
    <n v="1"/>
    <x v="1"/>
    <s v="DEF-00768"/>
    <s v="시스템에러로 테스트불가"/>
    <s v="개발자테스트"/>
    <s v="임소정"/>
    <s v="pmtbd1"/>
    <s v="3자테스터공통"/>
    <s v="Online"/>
    <s v="개선/변경"/>
    <s v="UI"/>
    <s v="결함검토요청"/>
    <s v="임소정"/>
    <s v="Minor"/>
    <x v="0"/>
    <d v="2026-05-07T10:16:23"/>
    <d v="2026-05-07T10:16:23"/>
    <s v=""/>
  </r>
  <r>
    <s v="UT-PM30104S"/>
    <s v="1-2차"/>
    <n v="1"/>
    <x v="1"/>
    <s v="DEF-00770"/>
    <s v="시스템에러로 테스트불가"/>
    <s v="개발자테스트"/>
    <s v="임소정"/>
    <s v="pmtbd2"/>
    <s v="3자테스터공통"/>
    <s v="Online"/>
    <s v="개선/변경"/>
    <s v="UI"/>
    <s v="결함검토요청"/>
    <s v="임소정"/>
    <s v="Minor"/>
    <x v="0"/>
    <d v="2026-05-07T10:17:36"/>
    <d v="2026-05-07T10:17:36"/>
    <s v=""/>
  </r>
  <r>
    <s v="UT-GO51234S"/>
    <s v="2-1차"/>
    <n v="1"/>
    <x v="0"/>
    <s v="DEF-00774"/>
    <s v="[C_12] 조회조건 중 기준일자 입력포맷과 보고서상의 조회기간 출력포맷 불일치"/>
    <s v="개발자테스트"/>
    <s v="신문호"/>
    <s v="김경준"/>
    <s v="3자테스터공통"/>
    <s v="Online"/>
    <s v="결함"/>
    <s v="UI"/>
    <s v="결함검토요청"/>
    <s v="신문호"/>
    <s v="Minor"/>
    <x v="0"/>
    <d v="2026-05-07T10:53:02"/>
    <d v="2026-05-07T10:53:02"/>
    <s v=""/>
  </r>
  <r>
    <s v="UT-GO51236S"/>
    <s v="2-1차"/>
    <n v="1"/>
    <x v="0"/>
    <s v="DEF-00775"/>
    <s v="[C_12] 조회조건 중 기준일자 입력포맷과 보고서상의 조회기간 출력포맷 불일치"/>
    <s v="개발자테스트"/>
    <s v="신문호"/>
    <s v="김경준"/>
    <s v="3자테스터공통"/>
    <s v="Online"/>
    <s v="결함"/>
    <s v="UI"/>
    <s v="결함검토요청"/>
    <s v="신문호"/>
    <s v="Minor"/>
    <x v="0"/>
    <d v="2026-05-07T10:53:54"/>
    <d v="2026-05-07T10:53:54"/>
    <s v=""/>
  </r>
  <r>
    <s v="UT-PM10301S"/>
    <s v="2-3차"/>
    <n v="1"/>
    <x v="1"/>
    <s v="DEF-00001"/>
    <s v="데이터 있는 날짜(26-04-02)에서 없는 날짜(26-04-25)로 선택 시 아래 그림처럼 시뮬레이션 요약 그래프 생기는 현상._x000a_alert창 닫은 후에도 그래프 남아있음."/>
    <s v="개발자테스트"/>
    <s v="임소정"/>
    <s v="신문호"/>
    <s v="3자테스터공통"/>
    <s v="Online"/>
    <s v="개선/변경"/>
    <s v="데이터"/>
    <s v="결함검토요청"/>
    <s v="염희석"/>
    <s v="Minor"/>
    <x v="0"/>
    <d v="2026-04-22T10:33:04"/>
    <d v="2026-04-22T10:33:04"/>
    <s v=""/>
  </r>
  <r>
    <s v="UT-PM10303S"/>
    <s v="2-3차"/>
    <n v="1"/>
    <x v="1"/>
    <s v="DEF-00002"/>
    <s v="터미널, 아일랜드를 바꿔서 검색해도 데이터가 없습니다."/>
    <s v="개발자테스트"/>
    <s v="임소정"/>
    <s v="pmtbd2"/>
    <s v="3자테스터공통"/>
    <s v="Online"/>
    <s v="결함"/>
    <s v="데이터"/>
    <s v="결함검토요청"/>
    <s v="염희석"/>
    <s v="Major"/>
    <x v="0"/>
    <d v="2026-04-22T11:02:45"/>
    <d v="2026-04-22T11:02:45"/>
    <s v=""/>
  </r>
  <r>
    <s v="UT-GO12505S"/>
    <s v="2-3차"/>
    <n v="1"/>
    <x v="0"/>
    <s v="DEF-00006"/>
    <s v="Reporting 공통결함_x000a_ - 엑셀 저장 후 파일을 열었을 때(내용은 다 채워짐)_x000a_ - 4-5번행 : 낮은 가독성(일부 가림)_x000a_ - 출력시 왼편 쏠림 및 한페이지에 맞춤 안됨"/>
    <s v="개발자테스트"/>
    <s v="신문호"/>
    <s v="김경준"/>
    <s v="3자테스터공통"/>
    <s v="Online"/>
    <s v="개선/변경"/>
    <s v="UI"/>
    <s v="결함검토요청"/>
    <s v="신문호"/>
    <s v="Minor"/>
    <x v="0"/>
    <d v="2026-04-22T13:05:44"/>
    <d v="2026-04-22T13:09:27"/>
    <s v=""/>
  </r>
  <r>
    <s v="UT-GO12512S"/>
    <s v="2-3차"/>
    <n v="1"/>
    <x v="0"/>
    <s v="DEF-00034"/>
    <s v="동일일자 기준으로 운항편 목록비교 탭에서 검색되는 운항편이 운항편별 변경이력 탭에서는 검색되지 않음."/>
    <s v="개발자테스트"/>
    <s v="신문호"/>
    <s v="김경준"/>
    <s v="3자테스터공통"/>
    <s v="Online"/>
    <s v="결함"/>
    <s v="UI"/>
    <s v="결함검토요청"/>
    <s v="신문호"/>
    <s v="Critical"/>
    <x v="0"/>
    <d v="2026-04-22T15:56:43"/>
    <d v="2026-04-22T15:56:43"/>
    <s v=""/>
  </r>
  <r>
    <s v="UT-PM10306S"/>
    <s v="2-3차"/>
    <n v="1"/>
    <x v="1"/>
    <s v="DEF-00005"/>
    <s v="아일랜드 버튼을 클릭하면 표보기가 아니라 차트보기로 넘어갑니다."/>
    <s v="개발자테스트"/>
    <s v="임소정"/>
    <s v="pmtbd3"/>
    <s v="3자테스터공통"/>
    <s v="Online"/>
    <s v="결함"/>
    <s v="기능"/>
    <s v="결함검토요청"/>
    <s v="염희석"/>
    <s v="Minor"/>
    <x v="0"/>
    <d v="2026-04-22T12:58:36"/>
    <d v="2026-04-22T12:58:36"/>
    <s v=""/>
  </r>
  <r>
    <s v="UT-GO12505S"/>
    <s v="2-3차"/>
    <n v="1"/>
    <x v="0"/>
    <s v="DEF-00013"/>
    <s v="상단 프린터아이콘 출력의 의미 확인 어려움..(화면도, 콘텐츠도 아닌 애매한 출력물 제공)_x000a__x000a_모든 출력물 하단에 페이지번호 없음"/>
    <s v="개발자테스트"/>
    <s v="신문호"/>
    <s v="김경준"/>
    <s v="3자테스터공통"/>
    <s v="Online"/>
    <s v="개선/변경"/>
    <s v="UI"/>
    <s v="결함검토요청"/>
    <s v="신문호"/>
    <s v="Minor"/>
    <x v="0"/>
    <d v="2026-04-22T13:58:59"/>
    <d v="2026-04-22T14:57:56"/>
    <s v=""/>
  </r>
  <r>
    <s v="UT-GO12510S"/>
    <s v="2-3차"/>
    <n v="1"/>
    <x v="0"/>
    <s v="DEF-00029"/>
    <s v="AOMS에서도 표 안의 숫자들이 우측에 밀착되어있음. 작업화면이나, 출력화면에서는 더 밀착되어 있는 것으로 보임._x000a__x000a_!!!!여백 조정 가능하면 적용 필요(파워포인트도 검토)_x000a_페이지 하단에 페이지번호 없음_x000a_"/>
    <s v="개발자테스트"/>
    <s v="신문호"/>
    <s v="김경준"/>
    <s v="3자테스터공통"/>
    <s v="Online"/>
    <s v="개선/변경"/>
    <s v="UI"/>
    <s v="결함검토요청"/>
    <s v="신문호"/>
    <s v="Minor"/>
    <x v="0"/>
    <d v="2026-04-22T15:28:26"/>
    <d v="2026-04-22T15:35:56"/>
    <s v=""/>
  </r>
  <r>
    <s v="UT-GO12939S"/>
    <s v="2-3차"/>
    <n v="1"/>
    <x v="0"/>
    <s v="DEF-00030"/>
    <s v="[S_2] 조건에 따른 조회결과가 표출되지 않음._x000a_(2025.06.10, 13:00, Grade  : 전체)"/>
    <s v="개발자테스트"/>
    <s v="신문호"/>
    <s v="신문호"/>
    <s v="3자테스터공통"/>
    <s v="Online"/>
    <s v="결함"/>
    <s v="기능"/>
    <s v="결함검토요청"/>
    <s v="신문호"/>
    <s v="Major"/>
    <x v="0"/>
    <d v="2026-04-22T15:30:15"/>
    <d v="2026-04-22T15:30:55"/>
    <s v=""/>
  </r>
  <r>
    <s v="UT-GO12505S"/>
    <s v="2-3차"/>
    <n v="1"/>
    <x v="0"/>
    <s v="DEF-00010"/>
    <s v="Reporting 공통결함 의심_x000a_ - 상단 종모양의 &quot;show notice&quot;클릭 후 관련 창이 오른쪽 하단에서 확인(가운데에서 뜨게해줄 필요)"/>
    <s v="개발자테스트"/>
    <s v="신문호"/>
    <s v="김경준"/>
    <s v="3자테스터공통"/>
    <s v="Online"/>
    <s v="개선/변경"/>
    <s v="UI"/>
    <s v="결함검토요청"/>
    <s v="신문호"/>
    <s v="Minor"/>
    <x v="0"/>
    <d v="2026-04-22T13:46:49"/>
    <d v="2026-04-22T13:46:49"/>
    <s v=""/>
  </r>
  <r>
    <s v="UT-GO14001S"/>
    <s v="2-3차"/>
    <n v="1"/>
    <x v="0"/>
    <s v="DEF-00049"/>
    <s v="공항운영 대시보드는 현재 검색이 안되고, 좌측 카테고리 트리에서도 확인안됨(시나리오 파일에도 테스트 결과는 없음, 아마도 개발중인듯..)"/>
    <s v="개발자테스트"/>
    <s v="신문호"/>
    <s v="김경준"/>
    <s v="3자테스터공통"/>
    <s v="Online"/>
    <s v="결함"/>
    <s v="UI"/>
    <s v="결함검토요청"/>
    <s v="신문호"/>
    <s v="Critical"/>
    <x v="0"/>
    <d v="2026-04-22T17:09:15"/>
    <d v="2026-04-22T17:09:15"/>
    <s v=""/>
  </r>
  <r>
    <s v="UT-GO14002S"/>
    <s v="2-3차"/>
    <n v="1"/>
    <x v="0"/>
    <s v="DEF-00050"/>
    <s v="대시보드 관련 화면에서 확인안됨."/>
    <s v="개발자테스트"/>
    <s v="신문호"/>
    <s v="김경준"/>
    <s v="3자테스터공통"/>
    <s v="Online"/>
    <s v="결함"/>
    <s v="UI"/>
    <s v="결함검토요청"/>
    <s v="신문호"/>
    <s v="Critical"/>
    <x v="0"/>
    <d v="2026-04-22T17:15:16"/>
    <d v="2026-04-22T17:15:16"/>
    <s v=""/>
  </r>
  <r>
    <s v="UT-GO12512S"/>
    <s v="2-3차"/>
    <n v="1"/>
    <x v="0"/>
    <s v="DEF-00038"/>
    <s v="출력시 왼쪽 쏠림현상._x000a_화면단위로 한페이지에 들어가지 않음(45페이지 -&gt; 90페이지)_x000a_문서하단 페이지번호 확인"/>
    <s v="개발자테스트"/>
    <s v="신문호"/>
    <s v="김경준"/>
    <s v="3자테스터공통"/>
    <s v="Online"/>
    <s v="개선/변경"/>
    <s v="UI"/>
    <s v="결함검토요청"/>
    <s v="신문호"/>
    <s v="Minor"/>
    <x v="0"/>
    <d v="2026-04-22T16:24:35"/>
    <d v="2026-04-22T16:33:18"/>
    <s v=""/>
  </r>
  <r>
    <s v="UT-GO12707S"/>
    <s v="2-3차"/>
    <n v="1"/>
    <x v="0"/>
    <s v="DEF-00042"/>
    <s v="조건에 따른 조회결과가 표출되지 않음. (2025.06.19, 18:00)"/>
    <s v="개발자테스트"/>
    <s v="신문호"/>
    <s v="김경준"/>
    <s v="3자테스터공통"/>
    <s v="Online"/>
    <s v="결함"/>
    <s v="기능"/>
    <s v="결함검토요청"/>
    <s v="신문호"/>
    <s v="Major"/>
    <x v="0"/>
    <d v="2026-04-22T16:33:30"/>
    <d v="2026-04-22T16:33:30"/>
    <s v=""/>
  </r>
  <r>
    <s v="UT-GO12805S"/>
    <s v="2-3차"/>
    <n v="1"/>
    <x v="0"/>
    <s v="DEF-00043"/>
    <s v="엑셀 출력시 한페이지 단위로 출력 지원안됨._x000a_중앙정렬도 안됨._x000a_화면 하단 페이지번호 "/>
    <s v="개발자테스트"/>
    <s v="신문호"/>
    <s v="김경준"/>
    <s v="3자테스터공통"/>
    <s v="Online"/>
    <s v="개선/변경"/>
    <s v="UI"/>
    <s v="결함검토요청"/>
    <s v="신문호"/>
    <s v="Minor"/>
    <x v="0"/>
    <d v="2026-04-22T16:35:45"/>
    <d v="2026-04-22T16:36:12"/>
    <s v=""/>
  </r>
  <r>
    <s v="UT-GO11961S"/>
    <s v="2-2차"/>
    <n v="1"/>
    <x v="0"/>
    <s v="DEF-00159"/>
    <s v="시작일자, 종료일잘 각각 칸을 비웠을떄 모두 조회일자 항목을 필수 입력항목입니다 라고 표시되는데 각 항목에 맞는 문구로 변경 필요."/>
    <s v="개발자테스트"/>
    <s v="신문호"/>
    <s v="신문호"/>
    <s v="3자테스터공통"/>
    <s v="Online"/>
    <s v="결함"/>
    <s v="데이터"/>
    <s v="결함검토요청"/>
    <s v="신문호"/>
    <s v="Minor"/>
    <x v="0"/>
    <d v="2026-04-27T10:33:16"/>
    <d v="2026-04-27T17:21:17"/>
    <s v=""/>
  </r>
  <r>
    <s v="UT-GO21401S"/>
    <s v="2-2차"/>
    <n v="1"/>
    <x v="0"/>
    <s v="DEF-00175"/>
    <s v="조건에 따른 조회결과가 표출되지 않음. "/>
    <s v="개발자테스트"/>
    <s v="신문호"/>
    <s v="신문호"/>
    <s v="3자테스터공통"/>
    <s v="Online"/>
    <s v="결함"/>
    <s v="기능"/>
    <s v="결함검토요청"/>
    <s v="신문호"/>
    <s v="Minor"/>
    <x v="0"/>
    <d v="2026-04-27T13:06:33"/>
    <d v="2026-04-27T13:06:33"/>
    <s v=""/>
  </r>
  <r>
    <s v="UT-GO12516S"/>
    <s v="2-2차"/>
    <n v="1"/>
    <x v="0"/>
    <s v="DEF-00181"/>
    <s v="메뉴 최초 들어갔을떄와 초기화 버튼 클릭시 서버 오류입니다 발생합니다"/>
    <s v="개발자테스트"/>
    <s v="신문호"/>
    <s v="김경준"/>
    <s v="3자테스터공통"/>
    <s v="Online"/>
    <s v="결함"/>
    <s v="기능"/>
    <s v="결함검토요청"/>
    <s v="신문호"/>
    <s v="Major"/>
    <x v="0"/>
    <d v="2026-04-27T13:38:51"/>
    <d v="2026-04-28T11:08:49"/>
    <s v=""/>
  </r>
  <r>
    <s v="UT-PM20155S"/>
    <s v="2-1차"/>
    <n v="1"/>
    <x v="1"/>
    <s v="DEF-00224"/>
    <s v="엑셀이 저장 1회 이상은 되지 않습니다._x000a_- 엑셀 저장 2번째 &gt; 우측 그래프 활성화 , 엑셀저장 안됨"/>
    <s v="개발자테스트"/>
    <s v="임소정"/>
    <s v="노세찬"/>
    <s v="3자테스터공통"/>
    <s v="Online"/>
    <s v="결함"/>
    <s v="기능"/>
    <s v="결함등록기각"/>
    <s v=""/>
    <s v="Major"/>
    <x v="1"/>
    <d v="2026-04-27T16:47:01"/>
    <d v="2026-04-29T08:38:31"/>
    <s v="처리완료하였습니다. 개발서버 기준 (26년 04월 30일 오전에 확인가능합니다.)_x000a_DEF-00222 결함과 같은 내용이므로 기각합니다."/>
  </r>
  <r>
    <s v="UT-PM10205S"/>
    <s v="2-3차"/>
    <n v="1"/>
    <x v="1"/>
    <s v="DEF-00271"/>
    <s v="테스트 결과서 없음."/>
    <s v="개발자테스트"/>
    <s v="임소정"/>
    <s v="양우상"/>
    <s v="3자테스터공통"/>
    <s v="Online"/>
    <s v="결함"/>
    <s v="문서화"/>
    <s v="결함등록기각"/>
    <s v=""/>
    <s v="Critical"/>
    <x v="1"/>
    <d v="2026-04-28T09:41:40"/>
    <d v="2026-04-29T07:36:03"/>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r>
  <r>
    <s v="UT-GO11101S"/>
    <s v="1-2차"/>
    <n v="1"/>
    <x v="0"/>
    <s v="DEF-00273"/>
    <s v="다른 페이지에서는 버튼이 '저장' 입니다. (통일성)"/>
    <s v="개발자테스트"/>
    <s v="신문호"/>
    <s v="김경준"/>
    <s v="3자테스터공통"/>
    <s v="Online"/>
    <s v="개선/변경"/>
    <s v="UI"/>
    <s v="결함등록기각"/>
    <s v=""/>
    <s v="Minor"/>
    <x v="1"/>
    <d v="2026-04-28T09:49:43"/>
    <d v="2026-04-30T14:31:47"/>
    <s v="둘다 표준 버튼입니다."/>
  </r>
  <r>
    <s v="UT-GO11101S"/>
    <s v="1-2차"/>
    <n v="1"/>
    <x v="0"/>
    <s v="DEF-00277"/>
    <s v="영원히 조회되지 않습니다.. 2026-04-28 10:00 "/>
    <s v="개발자테스트"/>
    <s v="신문호"/>
    <s v="김경준"/>
    <s v="3자테스터공통"/>
    <s v="Online"/>
    <s v="개선/변경"/>
    <s v="기타"/>
    <s v="결함등록기각"/>
    <s v=""/>
    <s v="Major"/>
    <x v="1"/>
    <d v="2026-04-28T10:00:25"/>
    <d v="2026-04-30T14:41:34"/>
    <s v="정상작동중"/>
  </r>
  <r>
    <s v="UT-PM20157S"/>
    <s v="2-2차"/>
    <n v="1"/>
    <x v="1"/>
    <s v="DEF-00309"/>
    <s v="기준일자 선택이 필수 입력이 조건이 아님. 필수여야 할거 같음."/>
    <s v="개발자테스트"/>
    <s v="임소정"/>
    <s v="노세찬"/>
    <s v="3자테스터공통"/>
    <s v="Online"/>
    <s v="개선/변경"/>
    <s v="기능"/>
    <s v="결함등록기각"/>
    <s v=""/>
    <s v="Minor"/>
    <x v="1"/>
    <d v="2026-04-28T13:04:08"/>
    <d v="2026-04-29T09:37:59"/>
    <s v="처리완료하였습니다. 개발서버 기준 (26년 04월 30일 오전에 확인가능합니다.)_x000a_DEF-00307 결함과 같은 내용이므로 기각합니다."/>
  </r>
  <r>
    <s v="UT-CASY011S(A)"/>
    <s v="2-2차"/>
    <n v="1"/>
    <x v="3"/>
    <s v="DEF-00396"/>
    <s v="1. 시나리오-순번1- 관리자 로그인을 위한 ID/PW 입력화면 확인 안됨. 입력없이 좌측에 “조직도선택”이 확인됨._x000a_2. 초기화버튼을 눌렀지만, 그림과 같이 선택된 행들이 선택해제가 되지 않음_x000a_3. SMS 전송 현황(상세)-조회기간 10일 제약(시나리오 순번31) 위반_x000a_4. 시나리오 순번 39번 관련 조회결과가 없는 경우 경고메시지 표출되지 않음._x000a_5. 전송대상자를 지우고 전송시작을 실행했는데, 실행되버림"/>
    <s v="개발자테스트"/>
    <s v="김명준"/>
    <s v="정연준"/>
    <s v="3자테스터공통"/>
    <s v="Online"/>
    <s v="개선/변경"/>
    <s v="UI"/>
    <s v="결함등록기각"/>
    <s v=""/>
    <s v="Minor"/>
    <x v="1"/>
    <d v="2026-04-28T16:48:38"/>
    <d v="2026-04-30T08:59:29"/>
    <s v="로그인 -&gt; CA 모듈 선택 -&gt; 좌측 메뉴 SMS 관리 메뉴를 선택-&gt; 조직도 확인하는 시나리오로 정상입니다"/>
  </r>
  <r>
    <s v="UT-CASY047S(A)"/>
    <s v="2-2차"/>
    <n v="1"/>
    <x v="3"/>
    <s v="DEF-00412"/>
    <s v="1. 최대조회기간 제한(8일) 위반(시나리오 순번3 관련 화면)_x000a_"/>
    <s v="개발자테스트"/>
    <s v="김명준"/>
    <s v="최민지"/>
    <s v="3자테스터공통"/>
    <s v="Online"/>
    <s v="개선/변경"/>
    <s v="UI"/>
    <s v="결함등록기각"/>
    <s v=""/>
    <s v="Minor"/>
    <x v="1"/>
    <d v="2026-04-28T17:39:10"/>
    <d v="2026-04-30T10:38:29"/>
    <s v="단위테스트 후 공항공사 요청으로 검색 기간 변경함 정상입니다."/>
  </r>
  <r>
    <s v="UT-CARF037S(A)"/>
    <s v="1-1차"/>
    <n v="1"/>
    <x v="3"/>
    <s v="DEF-00486"/>
    <s v="코드리스트나, 코드 종류에 신규추가,삭제 +,- 버튼이 없음_x000a_권한문제로 막혀있나요?"/>
    <s v="개발자테스트"/>
    <s v="김명준"/>
    <s v="김태훈"/>
    <s v="3자테스터공통"/>
    <s v="Online"/>
    <s v="결함"/>
    <s v="UI"/>
    <s v="결함등록기각"/>
    <s v=""/>
    <s v="Minor"/>
    <x v="1"/>
    <d v="2026-04-29T14:52:54"/>
    <d v="2026-04-30T13:23:25"/>
    <s v="동일 건으로 공항공사 요청사항 수정중이로 결함등록기각 으로 변경하겠습니다."/>
  </r>
  <r>
    <s v="UT-FSSG170S"/>
    <s v="2-2차"/>
    <n v="1"/>
    <x v="2"/>
    <s v="DEF-00498"/>
    <s v="창을 줄이면 업무처리실적리스트에 가로스크롤이 생기지 않습니다. "/>
    <s v="개발자테스트"/>
    <s v="임소정"/>
    <s v="임소정"/>
    <s v="3자테스터공통"/>
    <s v="Online"/>
    <s v="개선/변경"/>
    <s v="UI"/>
    <s v="결함등록기각"/>
    <s v=""/>
    <s v="Minor"/>
    <x v="1"/>
    <d v="2026-04-29T15:29:28"/>
    <d v="2026-05-07T19:39:39"/>
    <s v="전체화면 기준으로 개발 되었으며 넥사크로는 컴포넌트별로 위치나 크기등의 설정을 하므로 창 너비에 따른 개발이 어려움."/>
  </r>
  <r>
    <s v="UT-CASY033S(A)"/>
    <s v="1-1차"/>
    <n v="1"/>
    <x v="3"/>
    <s v="DEF-00513"/>
    <s v="화면배율을 크게하면 체크박스가 넘어감"/>
    <s v="개발자테스트"/>
    <s v="김명준"/>
    <s v="최민지"/>
    <s v="3자테스터공통"/>
    <s v="Online"/>
    <s v="결함"/>
    <s v="UI"/>
    <s v="결함등록기각"/>
    <s v=""/>
    <s v="Minor"/>
    <x v="1"/>
    <d v="2026-04-29T16:06:11"/>
    <d v="2026-04-30T10:21:18"/>
    <s v="공통 퍼블로 퍼블 담당자에게 전달 하겠습니다."/>
  </r>
  <r>
    <s v="UT-FSSG170S"/>
    <s v="2-2차"/>
    <n v="1"/>
    <x v="2"/>
    <s v="DEF-00514"/>
    <s v="오타가 있습니다. "/>
    <s v="개발자테스트"/>
    <s v="임소정"/>
    <s v="임소정"/>
    <s v="3자테스터공통"/>
    <s v="Online"/>
    <s v="개선/변경"/>
    <s v="데이터"/>
    <s v="결함등록기각"/>
    <s v=""/>
    <s v="Minor"/>
    <x v="1"/>
    <d v="2026-04-29T16:06:17"/>
    <d v="2026-05-06T16:14:05"/>
    <s v="오타가 아닌 공통코드에 저장된 데이터임."/>
  </r>
  <r>
    <s v="UT-CAMN012M(A)"/>
    <s v="1-1차"/>
    <n v="1"/>
    <x v="3"/>
    <s v="DEF-00522"/>
    <s v="프로그램 사용 사유 등록 팝업은 어디서 확인할수 있나요..?"/>
    <s v="개발자테스트"/>
    <s v="김명준"/>
    <s v="정연준"/>
    <s v="3자테스터공통"/>
    <s v="Online"/>
    <s v="결함"/>
    <s v="인터페이스"/>
    <s v="결함등록기각"/>
    <s v=""/>
    <s v="Minor"/>
    <x v="1"/>
    <d v="2026-04-29T16:56:32"/>
    <d v="2026-04-29T18:54:59"/>
    <s v="단위 시험 이후 타 모듈에서 사용하는 팝업으로 해당 모듈에서 가능합니다."/>
  </r>
  <r>
    <s v="UT-CASY003S(A)"/>
    <s v="1-1차"/>
    <n v="1"/>
    <x v="3"/>
    <s v="DEF-00530"/>
    <s v="항공통계포털사용자 -&gt; 공식통계 -&gt; 운항 같이 하위 메뉴를 눌렀을떄 _x000a_Menu ID 길이는 8입니다라는 alert가 항상 뜸 의도된건가요?"/>
    <s v="개발자테스트"/>
    <s v="김명준"/>
    <s v="최민지"/>
    <s v="3자테스터공통"/>
    <s v="Online"/>
    <s v="결함"/>
    <s v="기능"/>
    <s v="결함등록기각"/>
    <s v=""/>
    <s v="Minor"/>
    <x v="1"/>
    <d v="2026-04-29T17:50:43"/>
    <d v="2026-04-30T08:50:54"/>
    <s v="Menu ID 8자로 등록 해야하나 해당(항공통계포털) 모듈에서 TEST를 위해 7자리를 입력하여 해당 Alert 표출하고 있는 것은 정상입니다."/>
  </r>
  <r>
    <s v="UT-FSEY040S"/>
    <s v="2-1차"/>
    <n v="1"/>
    <x v="2"/>
    <s v="DEF-00567"/>
    <s v="-조회기간과 서식상 기간 불일치_x000a_-조회기간(23-04-20~25-12-31)외 기간(2022년)이 표출됨."/>
    <s v="개발자테스트"/>
    <s v="임소정"/>
    <s v="임소정"/>
    <s v="3자테스터공통"/>
    <s v="Online"/>
    <s v="개선/변경"/>
    <s v="UI"/>
    <s v="결함등록기각"/>
    <s v=""/>
    <s v="Minor"/>
    <x v="1"/>
    <d v="2026-04-30T14:21:56"/>
    <d v="2026-05-06T16:41:21"/>
    <s v="현업 요구사항에 의한 검색 조건 변경이 있었으며 조회 종료일자의 연도 기준 4개년도 조회임."/>
  </r>
  <r>
    <s v="UT-PM10305S"/>
    <s v="2-3차"/>
    <n v="1"/>
    <x v="1"/>
    <s v="DEF-00004"/>
    <s v="데이터가 없어서 테스트 불가합니다."/>
    <s v="개발자테스트"/>
    <s v="임소정"/>
    <s v="pmtbd2"/>
    <s v="3자테스터공통"/>
    <s v="Online"/>
    <s v="결함"/>
    <s v="데이터"/>
    <s v="결함등록기각"/>
    <s v=""/>
    <s v="Major"/>
    <x v="1"/>
    <d v="2026-04-22T11:10:07"/>
    <d v="2026-04-27T13:36:46"/>
    <s v="PL 공석으로 인한 준비 미비._x000a_04월 24일 금요일부터 재테스트 가능하도록 세팅 완료_x000a_DEF-00003 과 같은 내용의 결함이므로 기각처리했습니다."/>
  </r>
  <r>
    <s v="UT-PM10503S"/>
    <s v="2-3차"/>
    <n v="1"/>
    <x v="1"/>
    <s v="DEF-00011"/>
    <s v="데이터가 없어서 테스트 불가."/>
    <s v="개발자테스트"/>
    <s v="임소정"/>
    <s v="pmtbd2"/>
    <s v="3자테스터공통"/>
    <s v="Online"/>
    <s v="결함"/>
    <s v="데이터"/>
    <s v="결함등록기각"/>
    <s v=""/>
    <s v="Minor"/>
    <x v="1"/>
    <d v="2026-04-22T13:55:09"/>
    <d v="2026-04-27T13:37:03"/>
    <s v="PL 공석으로 인한 준비 미비._x000a_04월 24일 금요일부터 재테스트 가능하도록 세팅 완료_x000a_DEF-00003 과 같은 내용의 결함이므로 기각처리했습니다."/>
  </r>
  <r>
    <s v="UT-PM10504S"/>
    <s v="2-3차"/>
    <n v="1"/>
    <x v="1"/>
    <s v="DEF-00012"/>
    <s v="데이터가 없어서 테스트 불가."/>
    <s v="개발자테스트"/>
    <s v="임소정"/>
    <s v="pmtbd2"/>
    <s v="3자테스터공통"/>
    <s v="Online"/>
    <s v="결함"/>
    <s v="데이터"/>
    <s v="결함등록기각"/>
    <s v=""/>
    <s v="Minor"/>
    <x v="1"/>
    <d v="2026-04-22T13:58:31"/>
    <d v="2026-04-27T13:37:20"/>
    <s v="PL 공석으로 인한 준비 미비._x000a_04월 24일 금요일부터 재테스트 가능하도록 세팅 완료_x000a_DEF-00003 과 같은 내용의 결함이므로 기각처리했습니다."/>
  </r>
  <r>
    <s v="UT-PM10505S"/>
    <s v="2-3차"/>
    <n v="1"/>
    <x v="1"/>
    <s v="DEF-00014"/>
    <s v="데이터가 없어서 테스트 불가함"/>
    <s v="개발자테스트"/>
    <s v="임소정"/>
    <s v="pmtbd2"/>
    <s v="3자테스터공통"/>
    <s v="Online"/>
    <s v="결함"/>
    <s v="데이터"/>
    <s v="결함등록기각"/>
    <s v=""/>
    <s v="Minor"/>
    <x v="1"/>
    <d v="2026-04-22T14:17:22"/>
    <d v="2026-04-27T13:37:38"/>
    <s v="PL 공석으로 인한 준비 미비._x000a_04월 24일 금요일부터 재테스트 가능하도록 세팅 완료_x000a_DEF-00003 과 같은 내용의 결함이므로 기각처리했습니다."/>
  </r>
  <r>
    <s v="UT-CASY038S(A)"/>
    <s v="2-3차"/>
    <n v="1"/>
    <x v="3"/>
    <s v="DEF-00084"/>
    <s v="AOMS 화면 우측 상단의 엑셀 클릭후 다운로드받은 파일을 확인 후 인쇄화면 전환시 여백문제(좌측쏠림)는 없지만, 1개 페이지가 3개로 분리됨( 가로방향 전환 및 1페이지 맞춤 설정 지원 가능여부확인 필요)_x000a_"/>
    <s v="개발자테스트"/>
    <s v="김명준"/>
    <s v="김태훈"/>
    <s v="3자테스터공통"/>
    <s v="Online"/>
    <s v="개선/변경"/>
    <s v="UI"/>
    <s v="결함등록기각"/>
    <s v=""/>
    <s v="Minor"/>
    <x v="1"/>
    <d v="2026-04-23T13:10:10"/>
    <d v="2026-04-23T17:24:36"/>
    <s v="엑셀 다운로드 시 3000천건 이상을 다운받아 한페이지요 표출하려면 동일 현상 발생함. 조회 조건 변경 후 테스트 하면 해당 현상 발생 안함"/>
  </r>
  <r>
    <s v="UT-CASY039S(A)"/>
    <s v="2-3차"/>
    <n v="1"/>
    <x v="3"/>
    <s v="DEF-00090"/>
    <s v="엑셀파일의 시나리오 순번 5,6번 확인 불가 : _x000b_“ERRLOG”, “TRACELOG” 두 버튼 모두 활성화되지 않아 확인 불가_x000a_"/>
    <s v="개발자테스트"/>
    <s v="김명준"/>
    <s v="김태훈"/>
    <s v="3자테스터공통"/>
    <s v="Online"/>
    <s v="개선/변경"/>
    <s v="UI"/>
    <s v="결함등록기각"/>
    <s v=""/>
    <s v="Major"/>
    <x v="1"/>
    <d v="2026-04-23T13:53:56"/>
    <d v="2026-05-06T09:27:07"/>
    <s v="Error Log 및 Trace Log 없을 경우 비 활성화는 정상 입니다."/>
  </r>
  <r>
    <s v="UT-CARF013S(A)"/>
    <s v="2-1차"/>
    <n v="1"/>
    <x v="3"/>
    <s v="DEF-00103"/>
    <s v="수정 기능은 작동하나 추가, 삭제 버튼이 없어서 테스트 불가."/>
    <s v="개발자테스트"/>
    <s v="김명준"/>
    <s v="정연준"/>
    <s v="3자테스터공통"/>
    <s v="Online"/>
    <s v="결함"/>
    <s v="기능"/>
    <s v="결함등록기각"/>
    <s v=""/>
    <s v="Major"/>
    <x v="1"/>
    <d v="2026-04-23T16:02:50"/>
    <d v="2026-04-24T14:40:03"/>
    <s v="AOMS는 수정기능만 가능으로 정상 입니다."/>
  </r>
  <r>
    <s v="UT-CARF014S(A)"/>
    <s v="2-1차"/>
    <n v="1"/>
    <x v="3"/>
    <s v="DEF-00104"/>
    <s v="수정은 가능하나 추가, 삭제 버튼이 없어서 테스트 불가."/>
    <s v="개발자테스트"/>
    <s v="김명준"/>
    <s v="정연준"/>
    <s v="3자테스터공통"/>
    <s v="Online"/>
    <s v="결함"/>
    <s v="기능"/>
    <s v="결함등록기각"/>
    <s v=""/>
    <s v="Major"/>
    <x v="1"/>
    <d v="2026-04-23T16:16:18"/>
    <d v="2026-04-24T14:40:27"/>
    <s v="AOMS는 수정기능만 가능으로 정상 입니다."/>
  </r>
  <r>
    <s v="UT-FSQA021S"/>
    <s v="1-2차"/>
    <n v="1"/>
    <x v="2"/>
    <s v="DEF-00147"/>
    <s v="-엑셀파일 분할 출력됨(출력용지방향 가로설정, 및 화면 맟춤필요)"/>
    <s v="개발자테스트"/>
    <s v="임소정"/>
    <s v="임소정"/>
    <s v="3자테스터공통"/>
    <s v="Online"/>
    <s v="개선/변경"/>
    <s v="UI"/>
    <s v="결함등록기각"/>
    <s v=""/>
    <s v="Minor"/>
    <x v="1"/>
    <d v="2026-04-24T16:47:51"/>
    <d v="2026-05-07T18:04:01"/>
    <s v="해당 내용은 엑셀 기능임. 개발 가능 영역이 아님"/>
  </r>
  <r>
    <s v="UT-PM10103S"/>
    <s v="2-1차"/>
    <n v="1"/>
    <x v="1"/>
    <s v="DEF-00156"/>
    <s v="데이터 0건일 때 no data 뜨지 않음"/>
    <s v="개발자테스트"/>
    <s v="임소정"/>
    <s v="pmtbd2"/>
    <s v="3자테스터공통"/>
    <s v="Online"/>
    <s v="개선/변경"/>
    <s v="UI"/>
    <s v="결함등록기각"/>
    <s v=""/>
    <s v="Minor"/>
    <x v="1"/>
    <d v="2026-04-27T10:20:00"/>
    <d v="2026-04-29T08:06:29"/>
    <s v="처리완료하였습니다. 개발서버 기준 (26년 04월 30일 오전에 확인가능합니다.)_x000a_DEF-00154 결함과 같은 내용이므로 기각합니다."/>
  </r>
  <r>
    <s v="UT-PM20141M"/>
    <s v="2-1차"/>
    <n v="1"/>
    <x v="1"/>
    <s v="DEF-00174"/>
    <s v="테스트케이스 엑셀과 UI 다름._x000a_Config 자료가 정상 복사버튼 없음."/>
    <s v="개발자테스트"/>
    <s v="임소정"/>
    <s v="신문호"/>
    <s v="3자테스터공통"/>
    <s v="Online"/>
    <s v="개선/변경"/>
    <s v="UI"/>
    <s v="결함등록기각"/>
    <s v=""/>
    <s v="Minor"/>
    <x v="1"/>
    <d v="2026-04-27T13:04:48"/>
    <d v="2026-04-27T13:44:38"/>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r>
  <r>
    <s v="UT-PM20129S"/>
    <s v="2-1차"/>
    <n v="1"/>
    <x v="1"/>
    <s v="DEF-00163"/>
    <s v="데이터 0건일 때 no data 뜨지 않음"/>
    <s v="개발자테스트"/>
    <s v="임소정"/>
    <s v="pmtbd2"/>
    <s v="3자테스터공통"/>
    <s v="Online"/>
    <s v="개선/변경"/>
    <s v="UI"/>
    <s v="결함등록기각"/>
    <s v=""/>
    <s v="Minor"/>
    <x v="1"/>
    <d v="2026-04-27T10:48:33"/>
    <d v="2026-04-29T09:28:23"/>
    <s v="처리완료하였습니다. 개발서버 기준 (26년 04월 30일 오전에 확인가능합니다.)_x000a_DEF-00154 결함과 같은 내용이므로 기각합니다."/>
  </r>
  <r>
    <s v="UT-TopFrame(A)"/>
    <s v="1-1차"/>
    <n v="1"/>
    <x v="3"/>
    <s v="DEF-00534"/>
    <s v="아래 화면처럼 각 화면 창 우측 상단의 Screen full 버튼을 클릭하면, 해당 화면이 넓게 열려야는데,, 아래 화면처럼.. AOMS 시스템 화면이 Full Screen으로 바뀌고, 해당 화면의 크기는 변동없이 유지됨._x000a_이후 화면  Screen standard 버튼을 클릭하면 시스템 화면이 이전 화면으로  원복됨"/>
    <s v="개발자테스트"/>
    <s v="김명준"/>
    <s v="김태훈"/>
    <s v="3자테스터공통"/>
    <s v="Online"/>
    <s v="결함"/>
    <s v="기능"/>
    <s v="결함등록기각"/>
    <s v=""/>
    <s v="Major"/>
    <x v="1"/>
    <d v="2026-04-30T09:45:17"/>
    <d v="2026-04-30T09:52:38"/>
    <s v="화면 분할(2~3) 후 Screen Full 기능은 해당 이미지 처럼 동작 하는 것으로 설정되어 있어 정상입니다. "/>
  </r>
  <r>
    <s v="UT-CASY014S(A)"/>
    <s v="1-1차"/>
    <n v="1"/>
    <x v="3"/>
    <s v="DEF-00540"/>
    <s v="아래 화면처럼 우측 상세 화면의 입력 및 콤보 필드의 크기와 바탕 디자인의 크기가 불일치 함._x000a_또한, 화면 축소시 고정 Text 등 화면 축소에 따른 화면 이동 축소가 불가하여 화면이 일그러짐"/>
    <s v="개발자테스트"/>
    <s v="김명준"/>
    <s v="최민지"/>
    <s v="3자테스터공통"/>
    <s v="Online"/>
    <s v="결함"/>
    <s v="UI"/>
    <s v="결함등록기각"/>
    <s v=""/>
    <s v="Minor"/>
    <x v="1"/>
    <d v="2026-04-30T10:09:41"/>
    <d v="2026-04-30T10:50:14"/>
    <s v="공통 퍼블로 퍼블 담당자에게 말씀드리겠습니다."/>
  </r>
  <r>
    <s v="UT-CARF020S(A)"/>
    <s v="2-1차"/>
    <n v="1"/>
    <x v="3"/>
    <s v="DEF-00546"/>
    <s v="시나리오(UT-A_CARF020S)의 순번 7([저장-다건수정])은 다건 선택이 불가여서 확인이 어렵습니다. _x000a_확인해주세요."/>
    <s v="개발자테스트"/>
    <s v="김명준"/>
    <s v="정연준"/>
    <s v="3자테스터공통"/>
    <s v="Online"/>
    <s v="개선/변경"/>
    <s v="UI"/>
    <s v="결함등록기각"/>
    <s v=""/>
    <s v="Minor"/>
    <x v="1"/>
    <d v="2026-04-30T11:03:43"/>
    <d v="2026-04-30T11:08:00"/>
    <s v="단위테스트 후 다중 작업 단일 작업 메뉴 확정됨. 해당 메뉴는 단일 메뉴로 다건 선택 불가로 정상입니다. "/>
  </r>
  <r>
    <s v="UT-CASY026S(A)"/>
    <s v="2-1차"/>
    <n v="1"/>
    <x v="3"/>
    <s v="DEF-00547"/>
    <s v="상단 우측의 Search 버튼과 Notice Dept 조회 영역이 겹침"/>
    <s v="개발자테스트"/>
    <s v="김명준"/>
    <s v="정연준"/>
    <s v="3자테스터공통"/>
    <s v="Online"/>
    <s v="결함"/>
    <s v="UI"/>
    <s v="결함등록기각"/>
    <s v=""/>
    <s v="Minor"/>
    <x v="1"/>
    <d v="2026-04-30T11:04:27"/>
    <d v="2026-04-30T11:06:27"/>
    <s v="공통 퍼블로 퍼블 담당자에서 전달하겠습니다._x000a_테스트 환경 : 창모드 -&gt; 화면 축소 시 메뉴 범위와 서치 범위 겹침"/>
  </r>
  <r>
    <s v="UT-CARF016S(A)"/>
    <s v="2-1차"/>
    <n v="1"/>
    <x v="3"/>
    <s v="DEF-00556"/>
    <s v="조회 조건 입력 필드 IP는 숫자만 입력되고.. 이름 필드는 한글 입력 불가함을 잘못 키인때 안내되길 바람"/>
    <s v="개발자테스트"/>
    <s v="김명준"/>
    <s v="정연준"/>
    <s v="3자테스터공통"/>
    <s v="Online"/>
    <s v="개선/변경"/>
    <s v="UI"/>
    <s v="결함등록기각"/>
    <s v=""/>
    <s v="Minor"/>
    <x v="1"/>
    <d v="2026-04-30T12:54:49"/>
    <d v="2026-04-30T13:08:34"/>
    <s v="메뉴별 조회조건 다름 한글/영문/숫자 별도 안내 안함"/>
  </r>
  <r>
    <s v="UT-CARF018S(A)"/>
    <s v="2-1차"/>
    <n v="1"/>
    <x v="3"/>
    <s v="DEF-00557"/>
    <s v="죄회 조건 입력 필드 값에 한글 키인 불가하면.. 키인 단계에 안내되길 요망"/>
    <s v="개발자테스트"/>
    <s v="김명준"/>
    <s v="정연준"/>
    <s v="3자테스터공통"/>
    <s v="Online"/>
    <s v="개선/변경"/>
    <s v="UI"/>
    <s v="결함등록기각"/>
    <s v=""/>
    <s v="Minor"/>
    <x v="1"/>
    <d v="2026-04-30T13:01:05"/>
    <d v="2026-04-30T13:09:11"/>
    <s v="메뉴별 조회조건 다름 한글/영문/숫자 별도 안내 안함"/>
  </r>
  <r>
    <s v="UT-CARF018S(A)"/>
    <s v="2-1차"/>
    <n v="1"/>
    <x v="3"/>
    <s v="DEF-00558"/>
    <s v="화면 우측의 정보 화면의 입력 필드 일부가 화면을 벋어남"/>
    <s v="개발자테스트"/>
    <s v="김명준"/>
    <s v="정연준"/>
    <s v="3자테스터공통"/>
    <s v="Online"/>
    <s v="결함"/>
    <s v="UI"/>
    <s v="결함등록기각"/>
    <s v=""/>
    <s v="Minor"/>
    <x v="1"/>
    <d v="2026-04-30T13:04:10"/>
    <d v="2026-04-30T13:15:14"/>
    <s v="공통퍼블로 퍼블담당자에게 전달하겠습니다."/>
  </r>
  <r>
    <s v="UT-FSQA060S"/>
    <s v="1-1차"/>
    <n v="1"/>
    <x v="2"/>
    <s v="DEF-00653"/>
    <s v="그리드의 합계 부분이 maxheight에 의해 표출이 저렇게 나옴._x000a_마지막 행 바로 밑에 있어야하지않을까요"/>
    <s v="개발자테스트"/>
    <s v="임소정"/>
    <s v="임소정"/>
    <s v="3자테스터공통"/>
    <s v="Online"/>
    <s v="개선/변경"/>
    <s v="기능"/>
    <s v="결함등록기각"/>
    <s v=""/>
    <s v="Minor"/>
    <x v="1"/>
    <d v="2026-05-04T15:46:28"/>
    <d v="2026-05-06T16:38:38"/>
    <s v="기존 UI 유지가 고객 요구사항이며 합계 행 하단 표출은 넥사크로 표준임."/>
  </r>
  <r>
    <s v="UT-FSQA050S"/>
    <s v="1-1차"/>
    <n v="1"/>
    <x v="2"/>
    <s v="DEF-00655"/>
    <s v="합게가 그리드 마지막 행 바로 밑에 존재해야할꺼같습니다"/>
    <s v="개발자테스트"/>
    <s v="임소정"/>
    <s v="임소정"/>
    <s v="3자테스터공통"/>
    <s v="Online"/>
    <s v="개선/변경"/>
    <s v="기능"/>
    <s v="결함등록기각"/>
    <s v=""/>
    <s v="Minor"/>
    <x v="1"/>
    <d v="2026-05-04T15:48:22"/>
    <d v="2026-05-06T16:39:14"/>
    <s v="기존 UI 유지가 고객 요구사항이며 합계 행 하단 표출은 넥사크로 표준임."/>
  </r>
  <r>
    <s v="UT-FSEX050S"/>
    <s v="1-1차"/>
    <n v="1"/>
    <x v="2"/>
    <s v="DEF-00660"/>
    <s v="우측 하단 저장버튼의 필요성을 잘 모르겠습니다 "/>
    <s v="개발자테스트"/>
    <s v="임소정"/>
    <s v="임소정"/>
    <s v="3자테스터공통"/>
    <s v="Online"/>
    <s v="개선/변경"/>
    <s v="UI"/>
    <s v="결함등록기각"/>
    <s v=""/>
    <s v="Minor"/>
    <x v="1"/>
    <d v="2026-05-04T16:23:56"/>
    <d v="2026-05-06T16:50:47"/>
    <s v="삭제 선택후 저장하는 기능임"/>
  </r>
  <r>
    <s v="UT-FSEX060M"/>
    <s v="1-1차"/>
    <n v="1"/>
    <x v="2"/>
    <s v="DEF-00661"/>
    <s v="우측 하단 저장버튼의 필요성을 잘 모르겠습니다 "/>
    <s v="개발자테스트"/>
    <s v="임소정"/>
    <s v="임소정"/>
    <s v="3자테스터공통"/>
    <s v="Online"/>
    <s v="개선/변경"/>
    <s v="기능"/>
    <s v="결함등록기각"/>
    <s v=""/>
    <s v="Minor"/>
    <x v="1"/>
    <d v="2026-05-04T16:24:08"/>
    <d v="2026-05-06T16:50:38"/>
    <s v="삭제 선택후 저장하는 기능임"/>
  </r>
  <r>
    <s v="UT-FSQA180S"/>
    <s v="1-1차"/>
    <n v="1"/>
    <x v="2"/>
    <s v="DEF-00662"/>
    <s v="데이터행과 합계행의 확실한 구분이 필요할거같습니다"/>
    <s v="개발자테스트"/>
    <s v="임소정"/>
    <s v="임소정"/>
    <s v="3자테스터공통"/>
    <s v="Online"/>
    <s v="결함"/>
    <s v="UI"/>
    <s v="결함등록기각"/>
    <s v=""/>
    <s v="Minor"/>
    <x v="1"/>
    <d v="2026-05-04T16:27:09"/>
    <d v="2026-05-06T16:36:44"/>
    <s v="화면 ID와 결함 내용 불일치._x000a_결함 내용은 환승검색장 승객처리현황조회 화면임."/>
  </r>
  <r>
    <s v="UT-FSQA180S"/>
    <s v="1-1차"/>
    <n v="1"/>
    <x v="2"/>
    <s v="DEF-00663"/>
    <s v="T1,t2, 합계 등 값의 중앙정렬이 필요할 것 같습니다"/>
    <s v="개발자테스트"/>
    <s v="임소정"/>
    <s v="임소정"/>
    <s v="3자테스터공통"/>
    <s v="Online"/>
    <s v="개선/변경"/>
    <s v="UI"/>
    <s v="결함등록기각"/>
    <s v=""/>
    <s v="Minor"/>
    <x v="1"/>
    <d v="2026-05-04T16:28:40"/>
    <d v="2026-05-06T16:35:44"/>
    <s v="기존 UI 유지가 고객 요구사항임"/>
  </r>
  <r>
    <s v="UT-FSQA180S"/>
    <s v="1-1차"/>
    <n v="1"/>
    <x v="2"/>
    <s v="DEF-00664"/>
    <s v="합게 비율의 %가 비어있습니다"/>
    <s v="개발자테스트"/>
    <s v="임소정"/>
    <s v="임소정"/>
    <s v="3자테스터공통"/>
    <s v="Online"/>
    <s v="결함"/>
    <s v="기능"/>
    <s v="결함등록기각"/>
    <s v=""/>
    <s v="Minor"/>
    <x v="1"/>
    <d v="2026-05-04T16:30:42"/>
    <d v="2026-05-06T16:35:10"/>
    <s v="비율이기 때문에 합계는 무조건 100%이므로 의미 없음. 기존 UI와 동일 유지"/>
  </r>
  <r>
    <s v="UT-FSQA120S"/>
    <s v="1-2차"/>
    <n v="1"/>
    <x v="2"/>
    <s v="DEF-00669"/>
    <s v="도착 항공편 날자보다 출발 항공편 날자가 과거 날자로 조회 선택 후 등록 가능함._x000a_논리적으로 도착 날자보다 이후 날자에 출발하는 것이 타당함 "/>
    <s v="개발자테스트"/>
    <s v="임소정"/>
    <s v="임소정"/>
    <s v="3자테스터공통"/>
    <s v="Online"/>
    <s v="결함"/>
    <s v="프로세스"/>
    <s v="결함등록기각"/>
    <s v=""/>
    <s v="Minor"/>
    <x v="1"/>
    <d v="2026-05-04T17:01:34"/>
    <d v="2026-05-06T16:37:44"/>
    <s v="도착항공편과 출발항공편은 별도의 항공편임. 논리적인 순서 관계 없음."/>
  </r>
  <r>
    <s v="UT-CAMN007M(A)"/>
    <s v="2-2차"/>
    <n v="1"/>
    <x v="3"/>
    <s v="DEF-00683"/>
    <s v="그리그와 그리드의 경계선이 없음._x000a_"/>
    <s v="개발자테스트"/>
    <s v="김명준"/>
    <s v="최민지"/>
    <s v="3자테스터공통"/>
    <s v="Online"/>
    <s v="개선/변경"/>
    <s v="UI"/>
    <s v="결함등록기각"/>
    <s v=""/>
    <s v="Minor"/>
    <x v="1"/>
    <d v="2026-05-06T09:21:10"/>
    <d v="2026-05-06T09:23:51"/>
    <s v="그리드와 그리드 경계선 없는 것은 화면 디자인상 정상입니다."/>
  </r>
  <r>
    <s v="UT-FSQB060S"/>
    <s v="1-1차"/>
    <n v="1"/>
    <x v="2"/>
    <s v="DEF-00165"/>
    <s v="메뉴가 보이지 않아 테스트 불가"/>
    <s v="개발자테스트"/>
    <s v="임소정"/>
    <s v="임소정"/>
    <s v="3자테스터공통"/>
    <s v="Online"/>
    <s v="결함"/>
    <s v="UI"/>
    <s v="결함등록기각"/>
    <s v=""/>
    <s v="Major"/>
    <x v="1"/>
    <d v="2026-04-27T11:12:15"/>
    <d v="2026-05-07T19:07:29"/>
    <s v="메뉴는 아이디별 권한에 의한것임. 결함이 아니라 아이디로 권한 추가 필요."/>
  </r>
  <r>
    <s v="UT-GO12101S"/>
    <s v="2-1차"/>
    <n v="1"/>
    <x v="0"/>
    <s v="DEF-00166"/>
    <s v="검색기간 지정 안내의 기준이 모호함._x000a_25년4/1 ~ 26년5/1을 지정하면.. 12달을 초과할 수 없다함._x000a_25년4/1 ~ 26년4/30을 지정하면.. 정상 조회됨. 이것도 12달을 초과한 것인데.._x000a_즉, 12달이라는 표현이 어떤 기간을 의미하는 것인지.. 사용자는 혼돈될 수 있음. 정확하게 하려면, 25년4/1 ~ 25년3/31까지가 12개월임."/>
    <s v="개발자테스트"/>
    <s v="신문호"/>
    <s v="박정구"/>
    <s v="3자테스터공통"/>
    <s v="Online"/>
    <s v="개선/변경"/>
    <s v="인터페이스"/>
    <s v="결함등록기각"/>
    <s v=""/>
    <s v="Minor"/>
    <x v="1"/>
    <d v="2026-04-27T11:12:49"/>
    <d v="2026-04-30T16:01:26"/>
    <s v="기존 IIS 기준이라 정상"/>
  </r>
  <r>
    <s v="UT-GO11601S"/>
    <s v="1-2차"/>
    <n v="1"/>
    <x v="0"/>
    <s v="DEF-00215"/>
    <s v="조회 기간에 따라 에러가 자주 뜹니다. "/>
    <s v="개발자테스트"/>
    <s v="신문호"/>
    <s v="김경준"/>
    <s v="3자테스터공통"/>
    <s v="Online"/>
    <s v="개선/변경"/>
    <s v="기타"/>
    <s v="결함등록기각"/>
    <s v=""/>
    <s v="Minor"/>
    <x v="1"/>
    <d v="2026-04-27T16:12:12"/>
    <d v="2026-04-30T15:47:49"/>
    <s v="데이터가 많아 2025-04-01 ~ 2025-04-01 로 검색시 정상작동(운영데이터 이관으로 조건 수정)"/>
  </r>
  <r>
    <s v="UT-CAMN011M(A)"/>
    <s v="1-1차"/>
    <n v="1"/>
    <x v="3"/>
    <s v="DEF-00221"/>
    <s v="시나리오 문서 와 일치하는 화면을 찾을 수가 없습니다. "/>
    <s v="개발자테스트"/>
    <s v="김명준"/>
    <s v="정연준"/>
    <s v="3자테스터공통"/>
    <s v="Online"/>
    <s v="결함"/>
    <s v="기능"/>
    <s v="결함등록기각"/>
    <s v=""/>
    <s v="Major"/>
    <x v="1"/>
    <d v="2026-04-27T16:40:46"/>
    <d v="2026-04-28T10:46:07"/>
    <s v="푸시메시지 관리 메뉴에서 해당 화면 찾을 수 있어 결함기각등록 하겠습니다."/>
  </r>
  <r>
    <s v="UT-GO11701S"/>
    <s v="1-1차"/>
    <n v="1"/>
    <x v="0"/>
    <s v="DEF-00258"/>
    <s v="조회되는 데이터가 있는데, 최초 진입 시 결과없음 팝업이 뜹니다. "/>
    <s v="개발자테스트"/>
    <s v="신문호"/>
    <s v="김경준"/>
    <s v="3자테스터공통"/>
    <s v="Online"/>
    <s v="결함"/>
    <s v="기타"/>
    <s v="결함등록기각"/>
    <s v=""/>
    <s v="Minor"/>
    <x v="1"/>
    <d v="2026-04-27T17:34:36"/>
    <d v="2026-04-30T15:55:29"/>
    <s v="그리드 5개 개별 검색에 대한 팝업임 정상작동"/>
  </r>
  <r>
    <s v="UT-CASY034S(A)"/>
    <s v="1-1차"/>
    <n v="1"/>
    <x v="3"/>
    <s v="DEF-00261"/>
    <s v="조회만 되고 모든 입력창이 비활성화되어 수정이 안됩니다. "/>
    <s v="개발자테스트"/>
    <s v="김명준"/>
    <s v="최민지"/>
    <s v="3자테스터공통"/>
    <s v="Online"/>
    <s v="결함"/>
    <s v="기능"/>
    <s v="결함등록기각"/>
    <s v=""/>
    <s v="Major"/>
    <x v="1"/>
    <d v="2026-04-27T17:42:02"/>
    <d v="2026-04-28T12:59:52"/>
    <s v="AOMS에서는 수정 기능만 가능하며, 해당 메뉴는 활성화 된 체크박스(파란삭) 만 수정이 가능하므로 정상입니다, 결함등록기각으로 등록하겠습니다."/>
  </r>
  <r>
    <s v="UT-CASY050S(A)"/>
    <s v="2-2차"/>
    <n v="1"/>
    <x v="3"/>
    <s v="DEF-00100"/>
    <s v="메뉴 확인불가"/>
    <s v="개발자테스트"/>
    <s v="김명준"/>
    <s v="최민지"/>
    <s v="3자테스터공통"/>
    <s v="Online"/>
    <s v="결함"/>
    <s v="기능"/>
    <s v="결함등록기각"/>
    <s v=""/>
    <s v="Major"/>
    <x v="1"/>
    <d v="2026-04-23T15:39:38"/>
    <d v="2026-04-24T11:12:15"/>
    <s v=" UT-CASY049S(A) ] 접속자 이력, [ UT-CASY050S(A) ] 접속자 현황 단위테스트 후 고객사 요청으로 -&gt; User Session Info 로 통합 관리로 변경 되었습니다. "/>
  </r>
  <r>
    <s v="UT-CARF012S(A)"/>
    <s v="2-1차"/>
    <n v="1"/>
    <x v="3"/>
    <s v="DEF-00101"/>
    <s v="추가, 삭제 기능을 실행할 수 없습니다._x000a_그러나 수정은 가능함._x000a_(기능을 테스트할 버튼이 없음)"/>
    <s v="개발자테스트"/>
    <s v="김명준"/>
    <s v="정연준"/>
    <s v="3자테스터공통"/>
    <s v="Online"/>
    <s v="결함"/>
    <s v="기능"/>
    <s v="결함등록기각"/>
    <s v=""/>
    <s v="Major"/>
    <x v="1"/>
    <d v="2026-04-23T15:55:49"/>
    <d v="2026-04-24T14:35:23"/>
    <s v="AOMS는 데이터 수정 기능만 가능으로 정상 기능 입니다."/>
  </r>
  <r>
    <s v="UT-CARF018S(A)"/>
    <s v="2-1차"/>
    <n v="1"/>
    <x v="3"/>
    <s v="DEF-00116"/>
    <s v="Detail 정보 칸에 city가 Readonly처럼 회색이 들어가 있지만 오른쪽 검색팝업으로 검색 후 SAVE하여 수정 가능합니다."/>
    <s v="개발자테스트"/>
    <s v="김명준"/>
    <s v="정연준"/>
    <s v="3자테스터공통"/>
    <s v="Online"/>
    <s v="결함"/>
    <s v="UI"/>
    <s v="결함등록기각"/>
    <s v=""/>
    <s v="Major"/>
    <x v="1"/>
    <d v="2026-04-24T09:48:17"/>
    <d v="2026-04-24T10:59:56"/>
    <s v="검색으로만 가능한 기능으로 정상입니다."/>
  </r>
  <r>
    <s v="UT-CARF019S(A)"/>
    <s v="2-1차"/>
    <n v="1"/>
    <x v="3"/>
    <s v="DEF-00117"/>
    <s v="등록, 삭제 버튼이 없어서 테스트 할 수 없습니다._x000a_MOLIT는 저장 가능."/>
    <s v="개발자테스트"/>
    <s v="김명준"/>
    <s v="정연준"/>
    <s v="3자테스터공통"/>
    <s v="Online"/>
    <s v="결함"/>
    <s v="기능"/>
    <s v="결함등록기각"/>
    <s v=""/>
    <s v="Major"/>
    <x v="1"/>
    <d v="2026-04-24T09:58:14"/>
    <d v="2026-04-24T14:48:07"/>
    <s v="AOMS는 수정만 가능으로 정상입니다._x000a_ - 활성화된 부분은 수정 가능"/>
  </r>
  <r>
    <s v="UT-CARF020S(A)"/>
    <s v="2-1차"/>
    <n v="1"/>
    <x v="3"/>
    <s v="DEF-00118"/>
    <s v="등록, 삭제 버튼이 없어서 테스트 할 수 없습니다._x000a_수정기능은 정상 작동합니다."/>
    <s v="개발자테스트"/>
    <s v="김명준"/>
    <s v="정연준"/>
    <s v="3자테스터공통"/>
    <s v="Online"/>
    <s v="결함"/>
    <s v="기능"/>
    <s v="결함등록기각"/>
    <s v=""/>
    <s v="Major"/>
    <x v="1"/>
    <d v="2026-04-24T10:12:41"/>
    <d v="2026-04-24T14:48:35"/>
    <s v="AOMS는 수정만 가능으로 정상입니다."/>
  </r>
  <r>
    <s v="UT-CARF021S(A)"/>
    <s v="2-1차"/>
    <n v="1"/>
    <x v="3"/>
    <s v="DEF-00119"/>
    <s v="등록, 삭제 버튼이 없어서 테스트 할 수 없습니다._x000a_수정은 가능합니다."/>
    <s v="개발자테스트"/>
    <s v="김명준"/>
    <s v="정연준"/>
    <s v="3자테스터공통"/>
    <s v="Online"/>
    <s v="결함"/>
    <s v="기능"/>
    <s v="결함등록기각"/>
    <s v=""/>
    <s v="Major"/>
    <x v="1"/>
    <d v="2026-04-24T10:18:02"/>
    <d v="2026-04-24T14:48:53"/>
    <s v="AOMS는 수정만 가능으로 정상입니다."/>
  </r>
  <r>
    <s v="UT-FSEX080M"/>
    <s v="2-2차"/>
    <n v="1"/>
    <x v="2"/>
    <s v="DEF-00124"/>
    <s v="UT-FSEX080M – 드론탐지현황 일괄등록 메뉴 AOMS에서 확인 안됨._x000a_"/>
    <s v="개발자테스트"/>
    <s v="임소정"/>
    <s v="임소정"/>
    <s v="3자테스터공통"/>
    <s v="Online"/>
    <s v="결함"/>
    <s v="UI"/>
    <s v="결함등록기각"/>
    <s v=""/>
    <s v="Critical"/>
    <x v="1"/>
    <d v="2026-04-24T11:20:56"/>
    <d v="2026-05-07T18:01:32"/>
    <s v="일괄등록은 메뉴가 아님."/>
  </r>
  <r>
    <s v="UT-FSEX080S"/>
    <s v="2-2차"/>
    <n v="1"/>
    <x v="2"/>
    <s v="DEF-00126"/>
    <s v="UT-FSEX080S – 드론탐지현황관리 메뉴 확인안됨._x000a_"/>
    <s v="개발자테스트"/>
    <s v="임소정"/>
    <s v="임소정"/>
    <s v="3자테스터공통"/>
    <s v="Online"/>
    <s v="결함"/>
    <s v="UI"/>
    <s v="결함등록기각"/>
    <s v=""/>
    <s v="Critical"/>
    <x v="1"/>
    <d v="2026-04-24T12:59:08"/>
    <d v="2026-05-07T18:02:09"/>
    <s v="메뉴 권한 누락 확인 필요. 테스트 계정은 권한 추가하였음"/>
  </r>
  <r>
    <s v="UT-FSQB080S"/>
    <s v="2-1차"/>
    <n v="1"/>
    <x v="2"/>
    <s v="DEF-00136"/>
    <s v="공통체크리스트 : 우측 상단 프린터 실행시 팝업 화면에 데이터 업로드 안됨  FSQB080S/090S/091S/092S동일"/>
    <s v="개발자테스트"/>
    <s v="임소정"/>
    <s v="임소정"/>
    <s v="3자테스터공통"/>
    <s v="Online"/>
    <s v="개선/변경"/>
    <s v="기능"/>
    <s v="결함등록기각"/>
    <s v=""/>
    <s v="Minor"/>
    <x v="1"/>
    <d v="2026-04-24T15:13:46"/>
    <d v="2026-05-07T18:56:19"/>
    <s v="인쇄는 공통 기능으로 모듈 개발 내에서 처리 불가능"/>
  </r>
  <r>
    <s v="UT-FSQB090S"/>
    <s v="2-1차"/>
    <n v="1"/>
    <x v="2"/>
    <s v="DEF-00137"/>
    <s v="단위테스트결과서 2-3 : 오류날짜 입력 안됨"/>
    <s v="개발자테스트"/>
    <s v="임소정"/>
    <s v="임소정"/>
    <s v="3자테스터공통"/>
    <s v="Online"/>
    <s v="개선/변경"/>
    <s v="기능"/>
    <s v="결함등록기각"/>
    <s v=""/>
    <s v="Minor"/>
    <x v="1"/>
    <d v="2026-04-24T15:15:14"/>
    <d v="2026-05-07T18:56:38"/>
    <s v="공통 datepicker 개선 변경으로 인함."/>
  </r>
  <r>
    <s v="UT-FSQA010S"/>
    <s v="1-2차"/>
    <n v="1"/>
    <x v="2"/>
    <s v="DEF-00142"/>
    <s v="-AOMS내 조그만 프린터 클릭후 출력대상 화면의 일부가 출력되지 않음."/>
    <s v="개발자테스트"/>
    <s v="임소정"/>
    <s v="임소정"/>
    <s v="3자테스터공통"/>
    <s v="Online"/>
    <s v="개선/변경"/>
    <s v="UI"/>
    <s v="결함등록기각"/>
    <s v=""/>
    <s v="Minor"/>
    <x v="1"/>
    <d v="2026-04-24T15:37:09"/>
    <d v="2026-05-07T18:03:27"/>
    <s v="공통 기능으로 모듈 개발 내에서 처리 불가능"/>
  </r>
  <r>
    <s v="UT-FSQA020S"/>
    <s v="1-2차"/>
    <n v="1"/>
    <x v="2"/>
    <s v="DEF-00143"/>
    <s v="AOMS내 작은 프린터 클릭후 제공되는 출력 화면에서 전체 45페이지중 1~2페이지 일부만 출력되고 나머지는 공란으로 출력되고 있음._x000a_전체 45 페이지중 1~2페이 일부만 인쇄대상 자료가 확인되고 이후 페이지 전부 공란_x000a_"/>
    <s v="개발자테스트"/>
    <s v="임소정"/>
    <s v="임소정"/>
    <s v="3자테스터공통"/>
    <s v="Online"/>
    <s v="개선/변경"/>
    <s v="UI"/>
    <s v="결함등록기각"/>
    <s v=""/>
    <s v="Minor"/>
    <x v="1"/>
    <d v="2026-04-24T15:52:59"/>
    <d v="2026-05-07T18:03:41"/>
    <s v="공통 기능으로 모듈 개발 내에서 처리 불가능"/>
  </r>
  <r>
    <s v="UT-CASY039S(A)"/>
    <s v="2-3차"/>
    <n v="1"/>
    <x v="3"/>
    <s v="DEF-00087"/>
    <s v="시나리오명 “EAI 인터페이스 송신 이력”이 시나리오파일(엑셀) 및 AOMS에는 없음( 엑셀 : ESB 인터페이스 송신 이력, AOMS : ESB Interface Send Hst._x000a_"/>
    <s v="개발자테스트"/>
    <s v="김명준"/>
    <s v="김태훈"/>
    <s v="3자테스터공통"/>
    <s v="Online"/>
    <s v="개선/변경"/>
    <s v="UI"/>
    <s v="결함등록기각"/>
    <s v=""/>
    <s v="Minor"/>
    <x v="1"/>
    <d v="2026-04-23T13:36:13"/>
    <d v="2026-04-23T17:27:14"/>
    <s v="ESB의 기존 시스템 명 EAI로 최도 TMS 등록시 EAI 로 등록됨_x000a_EAI 인터페이스 = ESB 인터페이스 이며, 시나리오명 (한글과) AOMS 화면의 영문 표기는 결함/개선 건 아님"/>
  </r>
  <r>
    <s v="UT-CARF041S(A)"/>
    <s v="2-3차"/>
    <n v="1"/>
    <x v="3"/>
    <s v="DEF-00094"/>
    <s v="다운로드한 엑셀파일의 출력시 페이지가 분리안되게(1p-&gt;2p 하는 방안이 있으면 적용 필요_x000a_- 용지방향 가로로 전환 _x000a_"/>
    <s v="개발자테스트"/>
    <s v="김명준"/>
    <s v="정연준"/>
    <s v="3자테스터공통"/>
    <s v="Online"/>
    <s v="개선/변경"/>
    <s v="UI"/>
    <s v="결함등록기각"/>
    <s v=""/>
    <s v="Minor"/>
    <x v="1"/>
    <d v="2026-04-23T15:08:11"/>
    <d v="2026-04-23T17:52:20"/>
    <s v="엑셀 다운로드 후 -&gt; 보기 -&gt; 페이지 나누기 미리 보기 -&gt; 페이지 설정 후 출력 1P -&gt; 2P 분기 가능 용지 가로 전환 도 가능함니다."/>
  </r>
  <r>
    <s v="UT-CASY049S(A)"/>
    <s v="2-2차"/>
    <n v="1"/>
    <x v="3"/>
    <s v="DEF-00098"/>
    <s v="메뉴가 존재하지 않음."/>
    <s v="개발자테스트"/>
    <s v="김명준"/>
    <s v="최민지"/>
    <s v="3자테스터공통"/>
    <s v="Online"/>
    <s v="결함"/>
    <s v="기능"/>
    <s v="결함등록기각"/>
    <s v=""/>
    <s v="Major"/>
    <x v="1"/>
    <d v="2026-04-23T15:25:05"/>
    <d v="2026-04-24T11:11:58"/>
    <s v=" UT-CASY049S(A) ] 접속자 이력, [ UT-CASY050S(A) ] 접속자 현황 단위테스트 후 고객사 요청으로 -&gt; User Session Info 로 통합 관리로 변경 되었습니다. "/>
  </r>
  <r>
    <s v="UT-CAMN004M(A)"/>
    <s v="1-2차"/>
    <n v="1"/>
    <x v="3"/>
    <s v="DEF-00099"/>
    <s v="시나리오 순번 2의 예상결과 &quot;2. 조회 후 결과가 없는 경우 경고메시지를 표출한다.&quot; _x000a_ : 테스트결과 에러메시지 없음"/>
    <s v="개발자테스트"/>
    <s v="김명준"/>
    <s v="최민지"/>
    <s v="3자테스터공통"/>
    <s v="Online"/>
    <s v="결함"/>
    <s v="UI"/>
    <s v="결함등록기각"/>
    <s v=""/>
    <s v="Major"/>
    <x v="1"/>
    <d v="2026-04-23T15:25:48"/>
    <d v="2026-04-24T10:50:52"/>
    <s v="테스트 시나리오 2.  Register Date : 2025-01-01~2025-06-30 메세지 정상 표출 됨"/>
  </r>
  <r>
    <s v="UT-CARF015S(A)"/>
    <s v="2-1차"/>
    <n v="1"/>
    <x v="3"/>
    <s v="DEF-00105"/>
    <s v="수정은 가능하나 추가, 삭제 버튼이 없어서 테스트 불가."/>
    <s v="개발자테스트"/>
    <s v="김명준"/>
    <s v="정연준"/>
    <s v="3자테스터공통"/>
    <s v="Online"/>
    <s v="결함"/>
    <s v="기능"/>
    <s v="결함등록기각"/>
    <s v=""/>
    <s v="Major"/>
    <x v="1"/>
    <d v="2026-04-23T17:15:16"/>
    <d v="2026-04-24T14:41:08"/>
    <s v="AOMS는 수정기능만 가능으로 정상 입니다."/>
  </r>
  <r>
    <s v="UT-CARF016S(A)"/>
    <s v="2-1차"/>
    <n v="1"/>
    <x v="3"/>
    <s v="DEF-00107"/>
    <s v="수정은 가능하나 추가, 삭제 버튼이 없어서 테스트 불가."/>
    <s v="개발자테스트"/>
    <s v="김명준"/>
    <s v="정연준"/>
    <s v="3자테스터공통"/>
    <s v="Online"/>
    <s v="결함"/>
    <s v="기능"/>
    <s v="결함등록기각"/>
    <s v=""/>
    <s v="Major"/>
    <x v="1"/>
    <d v="2026-04-23T17:27:17"/>
    <d v="2026-04-24T14:41:25"/>
    <s v="AOMS는 수정기능만 가능으로 정상 입니다."/>
  </r>
  <r>
    <s v="UT-FSEX017S"/>
    <s v="2-2차"/>
    <n v="1"/>
    <x v="2"/>
    <s v="DEF-00109"/>
    <s v="-AOMS 화면내 프린터 클릭 후 출력화면 제공안됨"/>
    <s v="개발자테스트"/>
    <s v="임소정"/>
    <s v="임소정"/>
    <s v="3자테스터공통"/>
    <s v="Online"/>
    <s v="결함"/>
    <s v="UI"/>
    <s v="결함등록기각"/>
    <s v=""/>
    <s v="Major"/>
    <x v="1"/>
    <d v="2026-04-24T09:11:58"/>
    <d v="2026-04-29T16:02:33"/>
    <s v="넥사크로 공통기능"/>
  </r>
  <r>
    <s v="UT-CARF017S(A)"/>
    <s v="2-1차"/>
    <n v="1"/>
    <x v="3"/>
    <s v="DEF-00112"/>
    <s v="등록 및 삭제 버튼이 없습니다. "/>
    <s v="개발자테스트"/>
    <s v="김명준"/>
    <s v="정연준"/>
    <s v="3자테스터공통"/>
    <s v="Online"/>
    <s v="결함"/>
    <s v="기능"/>
    <s v="결함등록기각"/>
    <s v=""/>
    <s v="Major"/>
    <x v="1"/>
    <d v="2026-04-24T09:34:13"/>
    <d v="2026-04-24T14:46:35"/>
    <s v="AOMS는 수정 기능만 가능으로 정상입니다."/>
  </r>
  <r>
    <s v="UT-CARF022S(A)"/>
    <s v="2-1차"/>
    <n v="1"/>
    <x v="3"/>
    <s v="DEF-00120"/>
    <s v="등록, 삭제 버튼이 없어서 테스트 할 수 없습니다._x000a_수정 기능은 정상 작동했습니다."/>
    <s v="개발자테스트"/>
    <s v="김명준"/>
    <s v="정연준"/>
    <s v="3자테스터공통"/>
    <s v="Online"/>
    <s v="결함"/>
    <s v="기능"/>
    <s v="결함등록기각"/>
    <s v=""/>
    <s v="Major"/>
    <x v="1"/>
    <d v="2026-04-24T10:22:14"/>
    <d v="2026-04-24T14:49:07"/>
    <s v="AOMS는 수정만 가능으로 정상입니다."/>
  </r>
  <r>
    <s v="UT-CARF023S(A)"/>
    <s v="2-1차"/>
    <n v="1"/>
    <x v="3"/>
    <s v="DEF-00121"/>
    <s v="등록, 삭제 버튼이 없어서 테스트 할 수 없습니다._x000a_수정기능은 정상 작동합니다."/>
    <s v="개발자테스트"/>
    <s v="김명준"/>
    <s v="정연준"/>
    <s v="3자테스터공통"/>
    <s v="Online"/>
    <s v="결함"/>
    <s v="기능"/>
    <s v="결함등록기각"/>
    <s v=""/>
    <s v="Major"/>
    <x v="1"/>
    <d v="2026-04-24T10:25:06"/>
    <d v="2026-04-24T14:49:24"/>
    <s v="AOMS는 수정만 가능으로 정상입니다."/>
  </r>
  <r>
    <s v="UT-FSEY060S"/>
    <s v="2-2차"/>
    <n v="1"/>
    <x v="2"/>
    <s v="DEF-00127"/>
    <s v="- 교육입력시 교육 시작일-종료일 입력하면 산정된 기간 자동 표출_x000a_- 이후 기간을 임의로 변경후 저장하면 저장됨."/>
    <s v="개발자테스트"/>
    <s v="임소정"/>
    <s v="임소정"/>
    <s v="3자테스터공통"/>
    <s v="Online"/>
    <s v="결함"/>
    <s v="UI"/>
    <s v="결함등록기각"/>
    <s v=""/>
    <s v="Major"/>
    <x v="1"/>
    <d v="2026-04-24T13:12:17"/>
    <d v="2026-05-07T18:03:12"/>
    <s v="일자는 수정 가능한게 맞는 로직이며 자동 산정 로직이 이번 사업에서 개선된 내용임."/>
  </r>
  <r>
    <s v="UT-CASY019S(A)"/>
    <s v="1-2차"/>
    <n v="1"/>
    <x v="3"/>
    <s v="DEF-00128"/>
    <s v="초기 LOAD시 당일부터 한달전 사이 이외에 공지사항들도 표시됩니다._x000a_"/>
    <s v="개발자테스트"/>
    <s v="김명준"/>
    <s v="최민지"/>
    <s v="3자테스터공통"/>
    <s v="Online"/>
    <s v="결함"/>
    <s v="데이터"/>
    <s v="결함등록기각"/>
    <s v=""/>
    <s v="Minor"/>
    <x v="1"/>
    <d v="2026-04-24T13:13:09"/>
    <d v="2026-04-24T13:38:57"/>
    <s v="1. 초기 LOAD시 나오면 Register Date는 당일을 포함한 1달을 표시됨_x000a_2. 초기 LOAD시 나오면 Register Date 조회 조건 아닙니다. _x000a_3. SEARCH버튼을 선택 하면 해당 일정만 조회 됩니다._x000a_"/>
  </r>
  <r>
    <s v="UT-FSQA022S"/>
    <s v="1-2차"/>
    <n v="1"/>
    <x v="2"/>
    <s v="DEF-00149"/>
    <s v="다운로드받은 엑셀파일이 T1과 동일한 오류"/>
    <s v="개발자테스트"/>
    <s v="임소정"/>
    <s v="임소정"/>
    <s v="3자테스터공통"/>
    <s v="Online"/>
    <s v="개선/변경"/>
    <s v="UI"/>
    <s v="결함등록기각"/>
    <s v=""/>
    <s v="Minor"/>
    <x v="1"/>
    <d v="2026-04-24T16:58:33"/>
    <d v="2026-05-07T18:04:24"/>
    <s v="해당 내용은 엑셀 기능임"/>
  </r>
  <r>
    <s v="UT-FSQA031S"/>
    <s v="1-2차"/>
    <n v="1"/>
    <x v="2"/>
    <s v="DEF-00152"/>
    <s v="다운로드된 엑셀파일 분할출력(용지방향 : 세로를 가로로 전환하고, 화면맞춤 적용 필요)"/>
    <s v="개발자테스트"/>
    <s v="임소정"/>
    <s v="임소정"/>
    <s v="3자테스터공통"/>
    <s v="Online"/>
    <s v="개선/변경"/>
    <s v="UI"/>
    <s v="결함등록기각"/>
    <s v=""/>
    <s v="Minor"/>
    <x v="1"/>
    <d v="2026-04-24T17:30:16"/>
    <d v="2026-05-07T18:04:47"/>
    <s v="해당 내용은 엑셀 기능임. 개발 불가능 영역."/>
  </r>
  <r>
    <s v="UT-FSQB120S"/>
    <s v="1-2차"/>
    <n v="1"/>
    <x v="2"/>
    <s v="DEF-00153"/>
    <s v="단위테스트6 : 엑셀아이콘 수정요"/>
    <s v="개발자테스트"/>
    <s v="임소정"/>
    <s v="임소정"/>
    <s v="3자테스터공통"/>
    <s v="Online"/>
    <s v="개선/변경"/>
    <s v="기능"/>
    <s v="결함등록기각"/>
    <s v=""/>
    <s v="Minor"/>
    <x v="1"/>
    <d v="2026-04-24T17:47:35"/>
    <d v="2026-05-07T18:56:51"/>
    <s v="현업 요구사항"/>
  </r>
  <r>
    <s v="UT-PM10102S"/>
    <s v="2-1차"/>
    <n v="1"/>
    <x v="1"/>
    <s v="DEF-00155"/>
    <s v="운항 데이터 0건일 때 no data 뜨지 않음"/>
    <s v="개발자테스트"/>
    <s v="임소정"/>
    <s v="pmtbd1"/>
    <s v="3자테스터공통"/>
    <s v="Online"/>
    <s v="개선/변경"/>
    <s v="UI"/>
    <s v="결함등록기각"/>
    <s v=""/>
    <s v="Minor"/>
    <x v="1"/>
    <d v="2026-04-27T10:17:00"/>
    <d v="2026-04-29T08:05:43"/>
    <s v="처리완료하였습니다. 개발서버 기준 (26년 04월 30일 오전에 확인가능합니다.)_x000a_DEF-00154 결함과 같은 내용이므로 기각합니다."/>
  </r>
  <r>
    <s v="UT-PM20135M"/>
    <s v="2-1차"/>
    <n v="1"/>
    <x v="1"/>
    <s v="DEF-00167"/>
    <s v="테스트케이스 엑셀과 ui 가 달라 테스트 케이스 접근하지 못했습니다.._x000a_Config 자료가 정상 복사버튼 없음"/>
    <s v="개발자테스트"/>
    <s v="임소정"/>
    <s v="pmtbd2"/>
    <s v="3자테스터공통"/>
    <s v="Online"/>
    <s v="개선/변경"/>
    <s v="기타"/>
    <s v="결함등록기각"/>
    <s v=""/>
    <s v="Minor"/>
    <x v="1"/>
    <d v="2026-04-27T11:15:49"/>
    <d v="2026-04-27T13:43:13"/>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r>
  <r>
    <s v="UT-PM20136M"/>
    <s v="2-1차"/>
    <n v="1"/>
    <x v="1"/>
    <s v="DEF-00168"/>
    <s v="테스트케이스 엑셀과 UI 가 다릅니다. Config 자료가 정상 복사버튼 없음"/>
    <s v="개발자테스트"/>
    <s v="임소정"/>
    <s v="pmtbd3"/>
    <s v="3자테스터공통"/>
    <s v="Online"/>
    <s v="개선/변경"/>
    <s v="기타"/>
    <s v="결함등록기각"/>
    <s v=""/>
    <s v="Minor"/>
    <x v="1"/>
    <d v="2026-04-27T11:20:42"/>
    <d v="2026-04-27T13:43:32"/>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r>
  <r>
    <s v="UT-PM20137M"/>
    <s v="2-1차"/>
    <n v="1"/>
    <x v="1"/>
    <s v="DEF-00169"/>
    <s v="테스트 케이스와 UI 가 다릅니다._x000a_Config 자료가 정상 복사버튼 없음."/>
    <s v="개발자테스트"/>
    <s v="임소정"/>
    <s v="pmtbd3"/>
    <s v="3자테스터공통"/>
    <s v="Online"/>
    <s v="개선/변경"/>
    <s v="기타"/>
    <s v="결함등록기각"/>
    <s v=""/>
    <s v="Minor"/>
    <x v="1"/>
    <d v="2026-04-27T11:24:42"/>
    <d v="2026-04-27T13:43:46"/>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r>
  <r>
    <s v="UT-PM20138M"/>
    <s v="2-1차"/>
    <n v="1"/>
    <x v="1"/>
    <s v="DEF-00170"/>
    <s v="테스트케이스와 UI가 다릅니다._x000a_Config 자료가 정상 복사버튼 없음."/>
    <s v="개발자테스트"/>
    <s v="임소정"/>
    <s v="신문호"/>
    <s v="3자테스터공통"/>
    <s v="Online"/>
    <s v="신규"/>
    <s v="기타"/>
    <s v="결함등록기각"/>
    <s v=""/>
    <s v="Minor"/>
    <x v="1"/>
    <d v="2026-04-27T11:26:57"/>
    <d v="2026-04-27T13:43:59"/>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r>
  <r>
    <s v="UT-PM20139M"/>
    <s v="2-1차"/>
    <n v="1"/>
    <x v="1"/>
    <s v="DEF-00171"/>
    <s v="테스트케이스 엑셀과 UI 다름._x000a_Config 자료가 정상 복사버튼 없음."/>
    <s v="개발자테스트"/>
    <s v="임소정"/>
    <s v="신문호"/>
    <s v="3자테스터공통"/>
    <s v="Online"/>
    <s v="개선/변경"/>
    <s v="기타"/>
    <s v="결함등록기각"/>
    <s v=""/>
    <s v="Minor"/>
    <x v="1"/>
    <d v="2026-04-27T11:30:24"/>
    <d v="2026-04-27T13:44:11"/>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r>
  <r>
    <s v="UT-PM20140M"/>
    <s v="2-1차"/>
    <n v="1"/>
    <x v="1"/>
    <s v="DEF-00172"/>
    <s v="테스트케이스 엑셀과 ui 다름._x000a_Config 자료가 정상 복사버튼 없음."/>
    <s v="개발자테스트"/>
    <s v="임소정"/>
    <s v="pmtbd1"/>
    <s v="3자테스터공통"/>
    <s v="Online"/>
    <s v="개선/변경"/>
    <s v="기타"/>
    <s v="결함등록기각"/>
    <s v=""/>
    <s v="Minor"/>
    <x v="1"/>
    <d v="2026-04-27T11:32:40"/>
    <d v="2026-04-27T13:44:26"/>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r>
  <r>
    <s v="UT-FSEX060M"/>
    <s v="1-1차"/>
    <n v="1"/>
    <x v="2"/>
    <s v="DEF-00173"/>
    <s v="교육현황 입력관리로 명칭 변경됨. (TMS 수정 필요)"/>
    <s v="개발자테스트"/>
    <s v="임소정"/>
    <s v="임소정"/>
    <s v="3자테스터공통"/>
    <s v="Online"/>
    <s v="개선/변경"/>
    <s v="기타"/>
    <s v="결함등록기각"/>
    <s v=""/>
    <s v="Minor"/>
    <x v="1"/>
    <d v="2026-04-27T12:57:50"/>
    <d v="2026-05-07T18:05:52"/>
    <s v="해당 내용은 교육현황 입력관리의 팝업에 대한 내용임"/>
  </r>
  <r>
    <s v="UT-PM20144M"/>
    <s v="2-1차"/>
    <n v="1"/>
    <x v="1"/>
    <s v="DEF-00179"/>
    <s v="테스트케이스 엑셀과 UI 다름._x000a_Config 자료가 정상 복사버튼 없음."/>
    <s v="개발자테스트"/>
    <s v="임소정"/>
    <s v="pmtbd1"/>
    <s v="3자테스터공통"/>
    <s v="Online"/>
    <s v="개선/변경"/>
    <s v="UI"/>
    <s v="결함등록기각"/>
    <s v=""/>
    <s v="Minor"/>
    <x v="1"/>
    <d v="2026-04-27T13:12:32"/>
    <d v="2026-04-27T13:42:41"/>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r>
  <r>
    <s v="UT-PM10204S"/>
    <s v="2-2차"/>
    <n v="1"/>
    <x v="1"/>
    <s v="DEF-00194"/>
    <s v="해당 메뉴가 없습니다."/>
    <s v="개발자테스트"/>
    <s v="임소정"/>
    <s v="pmtbd2"/>
    <s v="3자테스터공통"/>
    <s v="Online"/>
    <s v="결함"/>
    <s v="기능"/>
    <s v="결함등록기각"/>
    <s v=""/>
    <s v="Critical"/>
    <x v="1"/>
    <d v="2026-04-27T14:21:58"/>
    <d v="2026-04-29T07:35:34"/>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r>
  <r>
    <s v="UT-PM20101S"/>
    <s v="1-2차"/>
    <n v="1"/>
    <x v="1"/>
    <s v="DEF-00210"/>
    <s v="차트가 10분단위 조회 값 변경에 따라 시간 범위가 조절 되야 할 것 같은데변하지 않습니다. 어떤 값을 선택 하든 전체 범위를 보여줍니다. "/>
    <s v="개발자테스트"/>
    <s v="임소정"/>
    <s v="신문호"/>
    <s v="3자테스터공통"/>
    <s v="Online"/>
    <s v="결함"/>
    <s v="기능"/>
    <s v="결함등록기각"/>
    <s v=""/>
    <s v="Major"/>
    <x v="1"/>
    <d v="2026-04-27T15:15:46"/>
    <d v="2026-04-29T09:12:30"/>
    <s v="3단계 기준의 정책으로 개발된 사항이며, 10분 단위 조회 조건은 그리드에만 적용됩니다."/>
  </r>
  <r>
    <s v="UT-PM20101S"/>
    <s v="1-2차"/>
    <n v="1"/>
    <x v="1"/>
    <s v="DEF-00211"/>
    <s v="차트 이미지 저장 버튼이 없습니다. "/>
    <s v="개발자테스트"/>
    <s v="임소정"/>
    <s v="신문호"/>
    <s v="3자테스터공통"/>
    <s v="Online"/>
    <s v="결함"/>
    <s v="기능"/>
    <s v="결함등록기각"/>
    <s v=""/>
    <s v="Major"/>
    <x v="1"/>
    <d v="2026-04-27T15:16:08"/>
    <d v="2026-04-29T09:13:49"/>
    <s v="공사요청사항으로 상단 툴바 기능이 거슬리기 떄문에 제거 요청사항이 있었습니다."/>
  </r>
  <r>
    <s v="UT-PM20153S"/>
    <s v="2-1차"/>
    <n v="1"/>
    <x v="1"/>
    <s v="DEF-00222"/>
    <s v="엑셀이 저장 1회 이상은 되지 않습니다._x000a_- 엑셀 저장 2번째 &gt; 우측 그래프 활성화 , 엑셀저장 안됨"/>
    <s v="개발자테스트"/>
    <s v="임소정"/>
    <s v="노세찬"/>
    <s v="3자테스터공통"/>
    <s v="Online"/>
    <s v="결함"/>
    <s v="기능"/>
    <s v="결함등록기각"/>
    <s v=""/>
    <s v="Major"/>
    <x v="1"/>
    <d v="2026-04-27T16:46:09"/>
    <d v="2026-04-29T08:37:43"/>
    <s v="처리완료하였습니다. 개발서버 기준 (26년 04월 30일 오전에 확인가능합니다.)"/>
  </r>
  <r>
    <s v="UT-PM20154S"/>
    <s v="2-1차"/>
    <n v="1"/>
    <x v="1"/>
    <s v="DEF-00223"/>
    <s v="엑셀이 저장 1회 이상은 되지 않습니다._x000a_- 엑셀 저장 2번째 &gt; 우측 그래프 활성화 , 엑셀저장 안됨"/>
    <s v="개발자테스트"/>
    <s v="임소정"/>
    <s v="노세찬"/>
    <s v="3자테스터공통"/>
    <s v="Online"/>
    <s v="결함"/>
    <s v="기능"/>
    <s v="결함등록기각"/>
    <s v=""/>
    <s v="Major"/>
    <x v="1"/>
    <d v="2026-04-27T16:46:23"/>
    <d v="2026-04-29T08:38:15"/>
    <s v="처리완료하였습니다. 개발서버 기준 (26년 04월 30일 오전에 확인가능합니다.)_x000a_DEF-00222 결함과 같은 내용이므로 기각합니다."/>
  </r>
  <r>
    <s v="UT-CASY052S(A)"/>
    <s v="2-2차"/>
    <n v="1"/>
    <x v="3"/>
    <s v="DEF-00425"/>
    <s v="※ 잘못입력했습니다.(프로그램히스토리 결함등록을 한다는게 잘못입력했습니다.  본 건은 기각 처리해주세요)_x000a__x000a_1.“Menu Name” 검색시 조회 결과가 없을 때 해당 텍스트 박스에 검색했던 키워드가 살아 있고,  _x000a_2. “Program Name” 검색시 조회 결과가 없을 때 해당 텍스트 박스에 검색했던 키워드가 사라짐_x000b_3. 동일한 현상이 제공되는 것이 좋을듯."/>
    <s v="개발자테스트"/>
    <s v="김명준"/>
    <s v="최민지"/>
    <s v="3자테스터공통"/>
    <s v="Online"/>
    <s v="개선/변경"/>
    <s v="UI"/>
    <s v="결함등록기각"/>
    <s v=""/>
    <s v="Minor"/>
    <x v="1"/>
    <d v="2026-04-29T09:31:39"/>
    <d v="2026-04-30T10:47:13"/>
    <s v="Program Name 조회 시 조회 결과 없어도 조회했던 Program Name 표출 하고 있습니다. 정상입니다."/>
  </r>
  <r>
    <s v="UT-CASY007S(A)"/>
    <s v="1-2차"/>
    <n v="1"/>
    <x v="3"/>
    <s v="DEF-00460"/>
    <s v="Order가 같았을때 발생하는 문제는 없을까요?"/>
    <s v="개발자테스트"/>
    <s v="김명준"/>
    <s v="최민지"/>
    <s v="3자테스터공통"/>
    <s v="Online"/>
    <s v="개선/변경"/>
    <s v="기능"/>
    <s v="결함등록기각"/>
    <s v=""/>
    <s v="Minor"/>
    <x v="1"/>
    <d v="2026-04-29T13:09:48"/>
    <d v="2026-04-29T19:18:16"/>
    <s v="Order 발생해도 문제 없습니다."/>
  </r>
  <r>
    <s v="UT-FSQB190S"/>
    <s v="2-2차"/>
    <n v="1"/>
    <x v="2"/>
    <s v="DEF-00471"/>
    <s v="총계 != 휴대 + 위탁"/>
    <s v="개발자테스트"/>
    <s v="임소정"/>
    <s v="임소정"/>
    <s v="3자테스터공통"/>
    <s v="Online"/>
    <s v="개선/변경"/>
    <s v="UI"/>
    <s v="결함등록기각"/>
    <s v=""/>
    <s v="Minor"/>
    <x v="1"/>
    <d v="2026-04-29T14:13:44"/>
    <d v="2026-05-07T19:33:19"/>
    <s v="기존 보고서와 동일하게 개발되었으며 해당 내용으로 현업테스트를 완료하였음."/>
  </r>
  <r>
    <s v="UT-FSEX012S"/>
    <s v="2-1차"/>
    <n v="1"/>
    <x v="2"/>
    <s v="DEF-00472"/>
    <s v="신규사용자 드롭박스에 내용이 없음."/>
    <s v="개발자테스트"/>
    <s v="임소정"/>
    <s v="임소정"/>
    <s v="3자테스터공통"/>
    <s v="Online"/>
    <s v="결함"/>
    <s v="기능"/>
    <s v="결함등록기각"/>
    <s v=""/>
    <s v="Major"/>
    <x v="1"/>
    <d v="2026-04-29T14:18:36"/>
    <d v="2026-05-07T19:10:46"/>
    <s v="신규사용자는 신규로 등록될 데이터가 있을때만 추가 가능"/>
  </r>
  <r>
    <s v="UT-FSQB190S"/>
    <s v="2-2차"/>
    <n v="1"/>
    <x v="2"/>
    <s v="DEF-00473"/>
    <s v="휴대수하물 소계만 볼드처리 되어있습니다. "/>
    <s v="개발자테스트"/>
    <s v="임소정"/>
    <s v="임소정"/>
    <s v="3자테스터공통"/>
    <s v="Online"/>
    <s v="개선/변경"/>
    <s v="UI"/>
    <s v="결함등록기각"/>
    <s v=""/>
    <s v="Minor"/>
    <x v="1"/>
    <d v="2026-04-29T14:18:36"/>
    <d v="2026-05-07T19:33:34"/>
    <s v="기존 보고서와 동일하게 개발되었으며 해당 내용으로 현업테스트를 완료하였음."/>
  </r>
  <r>
    <s v="UT-FSEX019S"/>
    <s v="2-2차"/>
    <n v="1"/>
    <x v="2"/>
    <s v="DEF-00483"/>
    <s v="월의 첫 월요일이 있는 주를 1주차로 보는걸까요 ?_x000a_주차의 기간 또는 기준이 명시되면 좋을 것 같습니다."/>
    <s v="개발자테스트"/>
    <s v="임소정"/>
    <s v="임소정"/>
    <s v="3자테스터공통"/>
    <s v="Online"/>
    <s v="개선/변경"/>
    <s v="UI"/>
    <s v="결함등록기각"/>
    <s v=""/>
    <s v="Minor"/>
    <x v="1"/>
    <d v="2026-04-29T14:50:02"/>
    <d v="2026-05-07T19:13:08"/>
    <s v="현업 요구사항에 의해 기존에 존재하던 보고서는 별도의 요청 없이 수정할 수 없음"/>
  </r>
  <r>
    <s v="UT-PM10109S"/>
    <s v="2-2차"/>
    <n v="1"/>
    <x v="1"/>
    <s v="DEF-00189"/>
    <s v="입력정보관리 - 시뮬레이션 실행관리 메뉴가 미노출 "/>
    <s v="개발자테스트"/>
    <s v="임소정"/>
    <s v="염희석"/>
    <s v="3자테스터공통"/>
    <s v="Online"/>
    <s v="결함"/>
    <s v="기능"/>
    <s v="결함등록기각"/>
    <s v=""/>
    <s v="Critical"/>
    <x v="1"/>
    <d v="2026-04-27T14:11:54"/>
    <d v="2026-04-29T07:39:42"/>
    <s v="해당 메뉴는 넥사크로에서 리액트로 전환 요청이 있었고, 관련된 테스트 준비들은 26년 7월에 별도로 진행될 예정입니다."/>
  </r>
  <r>
    <s v="UT-PM10202S"/>
    <s v="2-2차"/>
    <n v="1"/>
    <x v="1"/>
    <s v="DEF-00190"/>
    <s v="메뉴가 없습니다. "/>
    <s v="개발자테스트"/>
    <s v="임소정"/>
    <s v="pmtbd1"/>
    <s v="3자테스터공통"/>
    <s v="Online"/>
    <s v="결함"/>
    <s v="기능"/>
    <s v="결함등록기각"/>
    <s v=""/>
    <s v="Critical"/>
    <x v="1"/>
    <d v="2026-04-27T14:20:13"/>
    <d v="2026-04-29T07:35:03"/>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r>
  <r>
    <s v="UT-PM10104S"/>
    <s v="2-1차"/>
    <n v="1"/>
    <x v="1"/>
    <s v="DEF-00158"/>
    <s v="데이터 0건일 때 no data 뜨지 않음"/>
    <s v="개발자테스트"/>
    <s v="임소정"/>
    <s v="pmtbd3"/>
    <s v="3자테스터공통"/>
    <s v="Online"/>
    <s v="개선/변경"/>
    <s v="UI"/>
    <s v="결함등록기각"/>
    <s v=""/>
    <s v="Minor"/>
    <x v="1"/>
    <d v="2026-04-27T10:28:26"/>
    <d v="2026-04-29T08:07:02"/>
    <s v="처리완료하였습니다. 개발서버 기준 (26년 04월 30일 오전에 확인가능합니다.)_x000a_DEF-00154 결함과 같은 내용이므로 기각합니다."/>
  </r>
  <r>
    <s v="UT-CASY032S(A)"/>
    <s v="1-1차"/>
    <n v="1"/>
    <x v="3"/>
    <s v="DEF-00257"/>
    <s v="역할정책 매핑정보 관리 메뉴를 찾을 수 없음._x000a_정확한 메뉴 경로명 필요 "/>
    <s v="개발자테스트"/>
    <s v="김명준"/>
    <s v="최민지"/>
    <s v="3자테스터공통"/>
    <s v="Online"/>
    <s v="결함"/>
    <s v="기능"/>
    <s v="결함등록기각"/>
    <s v=""/>
    <s v="Major"/>
    <x v="1"/>
    <d v="2026-04-27T17:32:50"/>
    <d v="2026-04-28T12:55:13"/>
    <s v="DEF-00254 건과 동일 건으로 결함등록 기각 등록하겠습니다."/>
  </r>
  <r>
    <s v="UT-CASY039S(A)"/>
    <s v="2-3차"/>
    <n v="1"/>
    <x v="3"/>
    <s v="DEF-00299"/>
    <s v="- UT-A_CASY038S(EAI 인터페이스 수신 이력)과 같이 기간 정의 없이 조회를 클릭하면 처리되어 결과 제공함."/>
    <s v="개발자테스트"/>
    <s v="김명준"/>
    <s v="김태훈"/>
    <s v="3자테스터공통"/>
    <s v="Online"/>
    <s v="결함"/>
    <s v="UI"/>
    <s v="결함등록기각"/>
    <s v=""/>
    <s v="Minor"/>
    <x v="1"/>
    <d v="2026-04-28T11:17:44"/>
    <d v="2026-04-30T10:34:22"/>
    <s v="기간 정의 없이 조회 불가 확인_x000a_결함등록기각으로 등록하갰습니다."/>
  </r>
  <r>
    <s v="UT-CARF031S(A)"/>
    <s v="2-2차"/>
    <n v="1"/>
    <x v="3"/>
    <s v="DEF-00300"/>
    <s v="Cancel Code 초기값이 없음."/>
    <s v="개발자테스트"/>
    <s v="김명준"/>
    <s v="최민지"/>
    <s v="3자테스터공통"/>
    <s v="Online"/>
    <s v="개선/변경"/>
    <s v="기타"/>
    <s v="결함등록기각"/>
    <s v=""/>
    <s v="Minor"/>
    <x v="1"/>
    <d v="2026-04-28T11:18:57"/>
    <d v="2026-04-28T14:17:16"/>
    <s v="운항지연에 대한 분류 메뉴로 Cancel은 별도의 메뉴에서 확인 가능하므로 결함등록기각으로 등록하겠습니다."/>
  </r>
  <r>
    <s v="UT-PM10205S"/>
    <s v="2-3차"/>
    <n v="1"/>
    <x v="1"/>
    <s v="DEF-00021"/>
    <s v="테스트 결과서가 없습니다."/>
    <s v="개발자테스트"/>
    <s v="임소정"/>
    <s v="양우상"/>
    <s v="3자테스터공통"/>
    <s v="Online"/>
    <s v="개선/변경"/>
    <s v="기타"/>
    <s v="결함등록기각"/>
    <s v=""/>
    <s v="Minor"/>
    <x v="1"/>
    <d v="2026-04-22T14:42:12"/>
    <d v="2026-04-27T13:39:01"/>
    <s v="메뉴 통합으로 인해 [UT-PM10201S] 로 테스트 부탁드립니다."/>
  </r>
  <r>
    <s v="UT-PM10206S"/>
    <s v="2-3차"/>
    <n v="1"/>
    <x v="1"/>
    <s v="DEF-00022"/>
    <s v="테스트 결과서가 없습니다."/>
    <s v="개발자테스트"/>
    <s v="임소정"/>
    <s v="양우상"/>
    <s v="3자테스터공통"/>
    <s v="Online"/>
    <s v="개선/변경"/>
    <s v="기타"/>
    <s v="결함등록기각"/>
    <s v=""/>
    <s v="Minor"/>
    <x v="1"/>
    <d v="2026-04-22T14:42:47"/>
    <d v="2026-04-27T13:39:19"/>
    <s v="메뉴 통합으로 인해 [UT-PM10202S] 로 테스트 부탁드립니다."/>
  </r>
  <r>
    <s v="UT-CAMN006S(A)"/>
    <s v="2-1차"/>
    <n v="1"/>
    <x v="3"/>
    <s v="DEF-00092"/>
    <s v="아이디가 다른 My Task 결과를 가져옵니다._x000a_IDTTEST08아이디로 처음 접속한 후 로그아웃 후 IDTTEST01로 접속했으나 My Data 정보는 잘 가져오지만 My Task는 Reload를 눌러도 안바뀝니다."/>
    <s v="개발자테스트"/>
    <s v="김명준"/>
    <s v="최민지"/>
    <s v="3자테스터공통"/>
    <s v="Online"/>
    <s v="결함"/>
    <s v="데이터"/>
    <s v="결함등록기각"/>
    <s v=""/>
    <s v="Major"/>
    <x v="1"/>
    <d v="2026-04-23T14:33:13"/>
    <d v="2026-04-24T10:58:45"/>
    <s v="부서에서 작성된 데이터를 불러오며, 테스트 시 ​IDTTEST08과 IDTTEST01은 부서가 TEST팀(41000029)같아 동일한 데이터가 노출되는것이 정상입니다. "/>
  </r>
  <r>
    <s v="UT-CASY040S(A)"/>
    <s v="2-3차"/>
    <n v="1"/>
    <x v="3"/>
    <s v="DEF-00093"/>
    <s v="시나리오명 상이_x000a_시나리오명 “EAI 메시지 모니터링”이 시나리오파일(엑셀) 및 AOMS에는 없음( 엑셀 : ESB 메시지 모니터링, AOMS : ESB Message Monitoring_x000a_"/>
    <s v="개발자테스트"/>
    <s v="김명준"/>
    <s v="김태훈"/>
    <s v="3자테스터공통"/>
    <s v="Online"/>
    <s v="개선/변경"/>
    <s v="UI"/>
    <s v="결함등록기각"/>
    <s v=""/>
    <s v="Minor"/>
    <x v="1"/>
    <d v="2026-04-23T14:39:16"/>
    <d v="2026-04-23T17:35:21"/>
    <s v="ESB의 기존 시스템 명 EAI로 최도 TMS 등록시 EAI 로 등록됨_x000a_EAI 인터페이스 = ESB 인터페이스 이며, 시나리오명 (한글과) AOMS 화면의 영문 표기는 결함/개선 건 아님"/>
  </r>
  <r>
    <s v="UT-FSQB170S"/>
    <s v="2-2차"/>
    <n v="1"/>
    <x v="2"/>
    <s v="DEF-00106"/>
    <s v="- 다른 보고서형식의 출력물들은 상단의 정보가 각 페이지마다 있는데, “포기물품 검색 일자별 조회(신규)”에는 없음_x000a_-엑셀파일의 출력시 페이지단위로 출력되지 않음(원본 2페이지 엑셀은 4페이지)_x000a_-AOMS 화면 프린트 시도하면, 출력할 내용이 아예 없음."/>
    <s v="개발자테스트"/>
    <s v="임소정"/>
    <s v="임소정"/>
    <s v="3자테스터공통"/>
    <s v="Online"/>
    <s v="개선/변경"/>
    <s v="UI"/>
    <s v="결함등록기각"/>
    <s v=""/>
    <s v="Minor"/>
    <x v="1"/>
    <d v="2026-04-23T17:23:38"/>
    <d v="2026-05-07T18:45:25"/>
    <s v="보고서는 현업과 협의된 내용임. 인쇄는 공통 기능으로 모듈 개발 내에서 처리 불가능"/>
  </r>
  <r>
    <s v="UT-PM20159S"/>
    <s v="2-2차"/>
    <n v="1"/>
    <x v="1"/>
    <s v="DEF-00311"/>
    <s v="기준일자 선택이 필수조건이 아님."/>
    <s v="개발자테스트"/>
    <s v="임소정"/>
    <s v="노세찬"/>
    <s v="3자테스터공통"/>
    <s v="Online"/>
    <s v="결함"/>
    <s v="기능"/>
    <s v="결함등록기각"/>
    <s v=""/>
    <s v="Minor"/>
    <x v="1"/>
    <d v="2026-04-28T13:10:47"/>
    <d v="2026-04-29T09:38:25"/>
    <s v="처리완료하였습니다. 개발서버 기준 (26년 04월 30일 오전에 확인가능합니다.)_x000a_DEF-00307 결함과 같은 내용이므로 기각합니다."/>
  </r>
  <r>
    <s v="UT-GO11601S"/>
    <s v="1-2차"/>
    <n v="1"/>
    <x v="0"/>
    <s v="DEF-00335"/>
    <s v="미래일자 조회 시 결과가 출력 됨"/>
    <s v="개발자테스트"/>
    <s v="신문호"/>
    <s v="김경준"/>
    <s v="3자테스터공통"/>
    <s v="Online"/>
    <s v="결함"/>
    <s v="기능"/>
    <s v="결함등록기각"/>
    <s v=""/>
    <s v="Major"/>
    <x v="1"/>
    <d v="2026-04-28T14:10:20"/>
    <d v="2026-04-30T15:52:16"/>
    <s v="정상"/>
  </r>
  <r>
    <s v="UT-GO11201S"/>
    <s v="1-1차"/>
    <n v="1"/>
    <x v="0"/>
    <s v="DEF-00337"/>
    <s v="항공기 정보 국내인데, 국가는 폴란드로 설정"/>
    <s v="개발자테스트"/>
    <s v="신문호"/>
    <s v="박정구"/>
    <s v="3자테스터공통"/>
    <s v="Online"/>
    <s v="결함"/>
    <s v="기능"/>
    <s v="결함등록기각"/>
    <s v=""/>
    <s v="Major"/>
    <x v="1"/>
    <d v="2026-04-28T14:16:39"/>
    <d v="2026-04-30T15:31:11"/>
    <s v="기존 화면과 동일하게 동작 "/>
  </r>
  <r>
    <s v="UT-FSQB190S"/>
    <s v="2-2차"/>
    <n v="1"/>
    <x v="2"/>
    <s v="DEF-00108"/>
    <s v="-제공되는 엑셀파일이 페이지단위로출력되지 않음(10페이지 -&gt; 20페이지)_x000a_-엑셀파일 출력시 2번째페이지부터는 상단 여백이 없고, 문서 제목 없음_x000a_-AOMS 화면내 프린트 버튼 클릭후 출력 미리보기 화면에 출력물내용없음."/>
    <s v="개발자테스트"/>
    <s v="임소정"/>
    <s v="임소정"/>
    <s v="3자테스터공통"/>
    <s v="Online"/>
    <s v="개선/변경"/>
    <s v="UI"/>
    <s v="결함등록기각"/>
    <s v=""/>
    <s v="Minor"/>
    <x v="1"/>
    <d v="2026-04-23T17:44:55"/>
    <d v="2026-04-29T15:59:08"/>
    <s v="엑셀, 넥사크로 공통 기능 문제"/>
  </r>
  <r>
    <s v="UT-FSEX012S"/>
    <s v="2-1차"/>
    <n v="1"/>
    <x v="2"/>
    <s v="DEF-00138"/>
    <s v="단위테스트_3 : 신규사용자 저장기능 안됨"/>
    <s v="개발자테스트"/>
    <s v="임소정"/>
    <s v="임소정"/>
    <s v="3자테스터공통"/>
    <s v="Online"/>
    <s v="결함"/>
    <s v="기능"/>
    <s v="결함등록기각"/>
    <s v=""/>
    <s v="Minor"/>
    <x v="1"/>
    <d v="2026-04-24T15:17:00"/>
    <d v="2026-04-29T16:02:19"/>
    <s v="신규사용자가 존재할 경우에만 저장 가능"/>
  </r>
  <r>
    <s v="UT-FSEX060S"/>
    <s v="2-1차"/>
    <n v="1"/>
    <x v="2"/>
    <s v="DEF-00140"/>
    <s v="단위테스트_2-3 : 오류 날짜 입력 안됨"/>
    <s v="개발자테스트"/>
    <s v="임소정"/>
    <s v="임소정"/>
    <s v="3자테스터공통"/>
    <s v="Online"/>
    <s v="개선/변경"/>
    <s v="기능"/>
    <s v="결함등록기각"/>
    <s v=""/>
    <s v="Minor"/>
    <x v="1"/>
    <d v="2026-04-24T15:26:05"/>
    <d v="2026-05-07T18:54:52"/>
    <s v="공통 datepicker 변경 개선으로 인한 내용."/>
  </r>
  <r>
    <s v="UT-FSEX070S"/>
    <s v="2-1차"/>
    <n v="1"/>
    <x v="2"/>
    <s v="DEF-00141"/>
    <s v="단위테스트_2-3 오류날짜 입력안됨 /5-1,2,3 입력창 비활성화 / 7. 엑셀버튼 모양 수정요"/>
    <s v="개발자테스트"/>
    <s v="임소정"/>
    <s v="임소정"/>
    <s v="3자테스터공통"/>
    <s v="Online"/>
    <s v="개선/변경"/>
    <s v="기능"/>
    <s v="결함등록기각"/>
    <s v=""/>
    <s v="Minor"/>
    <x v="1"/>
    <d v="2026-04-24T15:29:21"/>
    <d v="2026-05-07T18:55:38"/>
    <s v="- 공통 datepicker 변경 개선으로 인한 내용._x000a_- 현업 테스트 단계에서 화면 변경 발생. 아직 개발 진행 중_x000a_- 현업 요청."/>
  </r>
  <r>
    <s v="UT-PM20142M"/>
    <s v="2-1차"/>
    <n v="1"/>
    <x v="1"/>
    <s v="DEF-00176"/>
    <s v="테스트케이스 엑셀과 UI 다름._x000a_Config 자료가 정상 복사버튼 없음."/>
    <s v="개발자테스트"/>
    <s v="임소정"/>
    <s v="신문호"/>
    <s v="3자테스터공통"/>
    <s v="Online"/>
    <s v="개선/변경"/>
    <s v="UI"/>
    <s v="결함등록기각"/>
    <s v=""/>
    <s v="Minor"/>
    <x v="1"/>
    <d v="2026-04-27T13:07:06"/>
    <d v="2026-04-27T13:44:50"/>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r>
  <r>
    <s v="UT-PM20143M"/>
    <s v="2-1차"/>
    <n v="1"/>
    <x v="1"/>
    <s v="DEF-00178"/>
    <s v="테스트케이스 엑셀과 UI 다름._x000a_Config 자료가 정상 복사버튼 없음."/>
    <s v="개발자테스트"/>
    <s v="임소정"/>
    <s v="pmtbd1"/>
    <s v="3자테스터공통"/>
    <s v="Online"/>
    <s v="개선/변경"/>
    <s v="기타"/>
    <s v="결함등록기각"/>
    <s v=""/>
    <s v="Minor"/>
    <x v="1"/>
    <d v="2026-04-27T13:09:24"/>
    <d v="2026-04-27T13:45:05"/>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r>
  <r>
    <s v="UT-CASY016S(A)"/>
    <s v="1-1차"/>
    <n v="1"/>
    <x v="3"/>
    <s v="DEF-00371"/>
    <s v="우측 상단의 Search 버튼과 문자열 겹침"/>
    <s v="개발자테스트"/>
    <s v="김명준"/>
    <s v="최민지"/>
    <s v="3자테스터공통"/>
    <s v="Online"/>
    <s v="결함"/>
    <s v="UI"/>
    <s v="결함등록기각"/>
    <s v=""/>
    <s v="Minor"/>
    <x v="1"/>
    <d v="2026-04-28T15:18:46"/>
    <d v="2026-04-30T09:02:08"/>
    <s v="공통 퍼블(CSS) 부분이며, 해당 내용 퍼블 담당에게 내용 전달 하겠습니다."/>
  </r>
  <r>
    <s v="UT-CASY030S(A)"/>
    <s v="1-1차"/>
    <n v="1"/>
    <x v="3"/>
    <s v="DEF-00373"/>
    <s v="아래 화면처럼. 부서명 입력 필드 옆 Search 버튼과 겹침."/>
    <s v="개발자테스트"/>
    <s v="김명준"/>
    <s v="최민지"/>
    <s v="3자테스터공통"/>
    <s v="Online"/>
    <s v="결함"/>
    <s v="UI"/>
    <s v="결함등록기각"/>
    <s v=""/>
    <s v="Minor"/>
    <x v="1"/>
    <d v="2026-04-28T15:23:44"/>
    <d v="2026-04-30T09:34:40"/>
    <s v="공통 퍼블(CSS)부분으로 화면 크기 과도하게 줄이면 발상합니다._x000a_해당 내용 퍼블 담당에게 전달 하겠습니다."/>
  </r>
  <r>
    <s v="UT-CASY029S(A)"/>
    <s v="1-1차"/>
    <n v="1"/>
    <x v="3"/>
    <s v="DEF-00374"/>
    <s v="Menu Search - Menu Path 에서 분류를 선택 한 후 상단의 Search 버튼을누르면 분류 필터가 무시되고 전체 검색이 됩니다.  _x000a__x000a_Search 실행시 Menu Search 부분의 분류선택을 초기화 하거나, 해당 조건의 필터가 적용되도록 수정이 필요하다고 생각합니다. "/>
    <s v="개발자테스트"/>
    <s v="김명준"/>
    <s v="최민지"/>
    <s v="3자테스터공통"/>
    <s v="Online"/>
    <s v="결함"/>
    <s v="기능"/>
    <s v="결함등록기각"/>
    <s v=""/>
    <s v="Minor"/>
    <x v="1"/>
    <d v="2026-04-28T15:24:34"/>
    <d v="2026-04-30T09:33:20"/>
    <s v="조회 조건 없이 Search 버튼 선택 시 전체 검색 되는 것은 프로세스상 정상 로직 입니다,"/>
  </r>
  <r>
    <s v="UT-CAMN001S(A)"/>
    <s v="1-1차"/>
    <n v="1"/>
    <x v="3"/>
    <s v="DEF-00361"/>
    <s v="ID 입력시 키보드가 한글이면 입력이 안되는데, 사용자가 한글,영어 구분이 안되서 한글키에 대한 안내문이나 문구가 필요할 것 같습니다"/>
    <s v="개발자테스트"/>
    <s v="김명준"/>
    <s v="정연준"/>
    <s v="3자테스터공통"/>
    <s v="Online"/>
    <s v="개선/변경"/>
    <s v="기능"/>
    <s v="결함등록기각"/>
    <s v=""/>
    <s v="Minor"/>
    <x v="1"/>
    <d v="2026-04-28T15:01:40"/>
    <d v="2026-04-28T18:16:00"/>
    <s v="ID는 영문 기본값으로 별도의 한글 입력시 안내 문구 표출 미정입니다."/>
  </r>
  <r>
    <s v="UT-FSEX090M"/>
    <s v="2-3차"/>
    <n v="1"/>
    <x v="2"/>
    <s v="DEF-00362"/>
    <s v="검측지원현황 입력관리 화면에서 신규등록 권한이 없어서 테스트 불가"/>
    <s v="개발자테스트"/>
    <s v="임소정"/>
    <s v="임소정"/>
    <s v="3자테스터공통"/>
    <s v="Online"/>
    <s v="개선/변경"/>
    <s v="기타"/>
    <s v="결함등록기각"/>
    <s v=""/>
    <s v="Minor"/>
    <x v="1"/>
    <d v="2026-04-28T15:03:36"/>
    <d v="2026-05-07T19:08:25"/>
    <s v="권한은 아이디별로 설정 필요. 결함 아님."/>
  </r>
  <r>
    <s v="UT-CASY004S(A)"/>
    <s v="1-1차"/>
    <n v="1"/>
    <x v="3"/>
    <s v="DEF-00382"/>
    <s v="아래 화면처럼 파라미터 이름 입력 영역과 Search 버튼이 겹침"/>
    <s v="개발자테스트"/>
    <s v="김명준"/>
    <s v="정연준"/>
    <s v="3자테스터공통"/>
    <s v="Online"/>
    <s v="결함"/>
    <s v="UI"/>
    <s v="결함등록기각"/>
    <s v=""/>
    <s v="Major"/>
    <x v="1"/>
    <d v="2026-04-28T15:40:12"/>
    <d v="2026-04-28T18:34:55"/>
    <s v="공통 퍼블(CSS)영역으로 담당자에게 해당 사항 전달하겠습니다._x000a_결함등록기각으로 변경처리함. "/>
  </r>
  <r>
    <s v="UT-CASY037S(A)"/>
    <s v="1-2차"/>
    <n v="1"/>
    <x v="3"/>
    <s v="DEF-00376"/>
    <s v="아래 화면처럼. User Y/N 선택 영역과 Search 버튼 겹침"/>
    <s v="개발자테스트"/>
    <s v="김명준"/>
    <s v="최민지"/>
    <s v="3자테스터공통"/>
    <s v="Online"/>
    <s v="결함"/>
    <s v="UI"/>
    <s v="결함등록기각"/>
    <s v=""/>
    <s v="Minor"/>
    <x v="1"/>
    <d v="2026-04-28T15:27:23"/>
    <d v="2026-04-30T10:27:45"/>
    <s v="공통 퍼블로 테스트 환경 -&gt; 화면사이즈 창모드 / 화면 줄이면 메뉴 및 아이콘 배치로 인해 겹침 현상 발생 "/>
  </r>
  <r>
    <s v="UT-FSQA030S"/>
    <s v="1-2차"/>
    <n v="1"/>
    <x v="2"/>
    <s v="DEF-00398"/>
    <s v="T2 조회 한후 엑셀로 다운로드한 엑셀 문서에는 T1 자료가 다운로드 됨"/>
    <s v="개발자테스트"/>
    <s v="임소정"/>
    <s v="임소정"/>
    <s v="3자테스터공통"/>
    <s v="Online"/>
    <s v="결함"/>
    <s v="데이터"/>
    <s v="결함등록기각"/>
    <s v=""/>
    <s v="Critical"/>
    <x v="1"/>
    <d v="2026-04-28T16:51:16"/>
    <d v="2026-05-07T19:08:57"/>
    <s v="해당 엑셀 다운로드는 T1, T2 전체에 대한 엑셀 다운로드임"/>
  </r>
  <r>
    <s v="UT-PM20160S"/>
    <s v="2-2차"/>
    <n v="1"/>
    <x v="1"/>
    <s v="DEF-00418"/>
    <s v="엑셀저장 버튼 클릭시 그래프  비교 화면이 나타남"/>
    <s v="개발자테스트"/>
    <s v="임소정"/>
    <s v="노세찬"/>
    <s v="3자테스터공통"/>
    <s v="Online"/>
    <s v="결함"/>
    <s v="기능"/>
    <s v="결함등록기각"/>
    <s v=""/>
    <s v="Major"/>
    <x v="1"/>
    <d v="2026-04-28T17:58:24"/>
    <d v="2026-04-29T08:39:53"/>
    <s v="처리완료하였습니다. 개발서버 기준 (26년 04월 30일 오전에 확인가능합니다.)_x000a_DEF-00222 결함과 같은 내용이므로 기각합니다."/>
  </r>
  <r>
    <s v="UT-PM20159S"/>
    <s v="2-2차"/>
    <n v="1"/>
    <x v="1"/>
    <s v="DEF-00419"/>
    <s v="엑셀저장 버튼 클릭시 그래프 비교 화면이 표시됨."/>
    <s v="개발자테스트"/>
    <s v="임소정"/>
    <s v="노세찬"/>
    <s v="3자테스터공통"/>
    <s v="Online"/>
    <s v="결함"/>
    <s v="기능"/>
    <s v="결함등록기각"/>
    <s v=""/>
    <s v="Major"/>
    <x v="1"/>
    <d v="2026-04-28T17:59:20"/>
    <d v="2026-04-29T08:39:38"/>
    <s v="처리완료하였습니다. 개발서버 기준 (26년 04월 30일 오전에 확인가능합니다.)_x000a_DEF-00222 결함과 같은 내용이므로 기각합니다."/>
  </r>
  <r>
    <s v="UT-CASY019S(A)"/>
    <s v="1-2차"/>
    <n v="1"/>
    <x v="3"/>
    <s v="DEF-00424"/>
    <s v="종료일자가 현재일자보다 클수 없는 경우가 존재할수있나요?"/>
    <s v="개발자테스트"/>
    <s v="김명준"/>
    <s v="최민지"/>
    <s v="3자테스터공통"/>
    <s v="Online"/>
    <s v="결함"/>
    <s v="기능"/>
    <s v="결함등록기각"/>
    <s v=""/>
    <s v="Minor"/>
    <x v="1"/>
    <d v="2026-04-29T09:28:26"/>
    <d v="2026-04-30T09:04:16"/>
    <s v="종료일자가 현재 일자보다 크게 입력 할 경우 (종료일자가 현재일자보다 빠를 수 없습니다.) 팝업 메시지 발생으로 정상입니다."/>
  </r>
  <r>
    <s v="UT-FSQA010S"/>
    <s v="1-2차"/>
    <n v="1"/>
    <x v="2"/>
    <s v="DEF-00443"/>
    <s v="화면 하단 [저장] 버튼 표준 미준수 ( * 표준 :  Save)  "/>
    <s v="개발자테스트"/>
    <s v="임소정"/>
    <s v="임소정"/>
    <s v="3자테스터공통"/>
    <s v="Online"/>
    <s v="결함"/>
    <s v="UI"/>
    <s v="결함등록기각"/>
    <s v=""/>
    <s v="Major"/>
    <x v="1"/>
    <d v="2026-04-29T10:40:20"/>
    <d v="2026-05-07T19:26:00"/>
    <s v="저장도 표준임."/>
  </r>
  <r>
    <s v="UT-CASY007S(A)"/>
    <s v="1-2차"/>
    <n v="1"/>
    <x v="3"/>
    <s v="DEF-00461"/>
    <s v="나머지는 다 한글을 가져오고,Interface Message Module의 Module ID는 공통코드의 영문값을 가져오는거 같은데, 의도된 사항인지 궁금합니다."/>
    <s v="개발자테스트"/>
    <s v="김명준"/>
    <s v="최민지"/>
    <s v="3자테스터공통"/>
    <s v="Online"/>
    <s v="개선/변경"/>
    <s v="기능"/>
    <s v="결함등록기각"/>
    <s v=""/>
    <s v="Minor"/>
    <x v="1"/>
    <d v="2026-04-29T13:13:33"/>
    <d v="2026-04-30T08:58:58"/>
    <s v="모듈명 (국문,한글) 표출에 대한 내용은 설계에 의한 의도된 것으로 정상입니다."/>
  </r>
  <r>
    <s v="UT-FSEX021S"/>
    <s v="2-2차"/>
    <n v="1"/>
    <x v="2"/>
    <s v="DEF-00465"/>
    <s v="조회된 데이터 없음 표시 필요"/>
    <s v="개발자테스트"/>
    <s v="임소정"/>
    <s v="임소정"/>
    <s v="3자테스터공통"/>
    <s v="Online"/>
    <s v="개선/변경"/>
    <s v="기타"/>
    <s v="결함등록기각"/>
    <s v=""/>
    <s v="Minor"/>
    <x v="1"/>
    <d v="2026-04-29T13:43:30"/>
    <d v="2026-05-07T19:20:50"/>
    <s v="기존 로직 상 요일을 데이터로 뽑고 있어 처리 불가능함."/>
  </r>
  <r>
    <s v="UT-CAMN004M(A)"/>
    <s v="1-2차"/>
    <n v="1"/>
    <x v="3"/>
    <s v="DEF-00468"/>
    <s v="조회조건에 register Date가 존재하지않는데 일부로 지우신거면 기각하시면 될 것 같습니다"/>
    <s v="개발자테스트"/>
    <s v="김명준"/>
    <s v="최민지"/>
    <s v="3자테스터공통"/>
    <s v="Online"/>
    <s v="결함"/>
    <s v="인터페이스"/>
    <s v="결함등록기각"/>
    <s v=""/>
    <s v="Minor"/>
    <x v="1"/>
    <d v="2026-04-29T13:57:09"/>
    <d v="2026-04-29T18:35:38"/>
    <s v="해당 팝업은 조회 조건에 Date는 미 포함으로 정상입니다."/>
  </r>
  <r>
    <s v="UT-FSQB170S"/>
    <s v="2-2차"/>
    <n v="1"/>
    <x v="2"/>
    <s v="DEF-00469"/>
    <s v="DEF-00106 결함 관련해서 4/29일자로 저도 확인해봤는데, 한페이지에 모든열 맞추기 하면 되지 않을까요 ? "/>
    <s v="개발자테스트"/>
    <s v="임소정"/>
    <s v="임소정"/>
    <s v="3자테스터공통"/>
    <s v="Online"/>
    <s v="개선/변경"/>
    <s v="기타"/>
    <s v="결함등록기각"/>
    <s v=""/>
    <s v="Minor"/>
    <x v="1"/>
    <d v="2026-04-29T14:04:09"/>
    <d v="2026-05-07T19:32:30"/>
    <s v="화면과 관련 없는 내용으로 보임"/>
  </r>
  <r>
    <s v="UT-FSEY060S"/>
    <s v="2-2차"/>
    <n v="1"/>
    <x v="2"/>
    <s v="DEF-00495"/>
    <s v="테스트했던 UT-FSEX017S/UT-FSEX018S 와  UT-FSEY060S 테스트 메뉴, 내용이 다른게 없습니다"/>
    <s v="개발자테스트"/>
    <s v="임소정"/>
    <s v="임소정"/>
    <s v="3자테스터공통"/>
    <s v="Online"/>
    <s v="신규"/>
    <s v="기타"/>
    <s v="결함등록기각"/>
    <s v=""/>
    <s v="Minor"/>
    <x v="1"/>
    <d v="2026-04-29T15:15:29"/>
    <d v="2026-05-07T19:25:31"/>
    <s v="EX017,018은 보고서에 대한 내용이며 EY060은 화면에 대한 내용임"/>
  </r>
  <r>
    <s v="UT-CARF036S(A)"/>
    <s v="2-2차"/>
    <n v="1"/>
    <x v="3"/>
    <s v="DEF-00499"/>
    <s v="1. 저장된 엑셀파일에 Remark English Name 정보가 누락되어 있음_x000a_"/>
    <s v="개발자테스트"/>
    <s v="김명준"/>
    <s v="최민지"/>
    <s v="3자테스터공통"/>
    <s v="Online"/>
    <s v="개선/변경"/>
    <s v="UI"/>
    <s v="결함등록기각"/>
    <s v=""/>
    <s v="Minor"/>
    <x v="1"/>
    <d v="2026-04-29T15:37:17"/>
    <d v="2026-04-30T12:51:49"/>
    <s v="엑셀파일 저장은 AS-IS와 동일하게 구성하여 정상입니다."/>
  </r>
  <r>
    <s v="UT-CARF013S(A)"/>
    <s v="2-1차"/>
    <n v="1"/>
    <x v="3"/>
    <s v="DEF-00552"/>
    <s v="조회 조건 입력필드 터미널 Name과 ID 영역의 조건 입력시.. 키보드가 한글입력 모드에서는 키인해도 반응이 없음. 영문모드로 키인 하라든가.. 뭔가 매시지가 필요함"/>
    <s v="개발자테스트"/>
    <s v="김명준"/>
    <s v="정연준"/>
    <s v="3자테스터공통"/>
    <s v="Online"/>
    <s v="개선/변경"/>
    <s v="UI"/>
    <s v="결함등록기각"/>
    <s v=""/>
    <s v="Minor"/>
    <x v="1"/>
    <d v="2026-04-30T11:19:34"/>
    <d v="2026-04-30T12:46:22"/>
    <s v="검색 메뉴별 한글/영어 검색 조건이 다르며, 해당 조건은 AS-IS 및 설계서 기반으로 되어 있어 정상입니다."/>
  </r>
  <r>
    <s v="UT-PM10508S"/>
    <s v="2-3차"/>
    <n v="1"/>
    <x v="1"/>
    <s v="DEF-00016"/>
    <s v="데이터가 없어서 테스트 불가"/>
    <s v="개발자테스트"/>
    <s v="임소정"/>
    <s v="pmtbd3"/>
    <s v="3자테스터공통"/>
    <s v="Online"/>
    <s v="결함"/>
    <s v="데이터"/>
    <s v="결함등록기각"/>
    <s v=""/>
    <s v="Minor"/>
    <x v="1"/>
    <d v="2026-04-22T14:30:54"/>
    <d v="2026-04-27T13:38:10"/>
    <s v="PL 공석으로 인한 준비 미비._x000a_04월 24일 금요일부터 재테스트 가능하도록 세팅 완료_x000a_DEF-00003 과 같은 내용의 결함이므로 기각처리했습니다."/>
  </r>
  <r>
    <s v="UT-PM10507S"/>
    <s v="2-3차"/>
    <n v="1"/>
    <x v="1"/>
    <s v="DEF-00017"/>
    <s v="데이터가 없어서 테스트 불가"/>
    <s v="개발자테스트"/>
    <s v="임소정"/>
    <s v="pmtbd3"/>
    <s v="3자테스터공통"/>
    <s v="Online"/>
    <s v="결함"/>
    <s v="데이터"/>
    <s v="결함등록기각"/>
    <s v=""/>
    <s v="Minor"/>
    <x v="1"/>
    <d v="2026-04-22T14:31:19"/>
    <d v="2026-04-27T13:37:55"/>
    <s v="PL 공석으로 인한 준비 미비._x000a_04월 24일 금요일부터 재테스트 가능하도록 세팅 완료_x000a_DEF-00003 과 같은 내용의 결함이므로 기각처리했습니다."/>
  </r>
  <r>
    <s v="UT-CASY051S(A)"/>
    <s v="2-2차"/>
    <n v="1"/>
    <x v="3"/>
    <s v="DEF-00426"/>
    <s v="1.“Menu Name” 검색시 조회 결과가 없을 때 해당 텍스트 박스에 검색했던 키워드가 살아 있고,  _x000a_2. “Program Name” 검색시 조회 결과가 없을 때 해당 텍스트 박스에 검색했던 키워드가 사라짐_x000b_3. 동일한 현상이 제공되는 것이 좋을듯._x000a_"/>
    <s v="개발자테스트"/>
    <s v="김명준"/>
    <s v="최민지"/>
    <s v="3자테스터공통"/>
    <s v="Online"/>
    <s v="개선/변경"/>
    <s v="UI"/>
    <s v="결함등록기각"/>
    <s v=""/>
    <s v="Minor"/>
    <x v="1"/>
    <d v="2026-04-29T09:34:17"/>
    <d v="2026-04-30T10:44:04"/>
    <s v="Menu Name 검색 후 조회 결과 없을 시 조회 했던 내용 표출 하는 것은 정상 입니다. "/>
  </r>
  <r>
    <s v="UT-CASY052S(A)"/>
    <s v="2-2차"/>
    <n v="1"/>
    <x v="3"/>
    <s v="DEF-00430"/>
    <s v="1. 시나리오에 제공된 기간(2025-08-08~2025-08-09)이 아닌 다른 기간으로 변경해도 조회오류 발생(시나리오 순번 2)_x000a_"/>
    <s v="개발자테스트"/>
    <s v="김명준"/>
    <s v="최민지"/>
    <s v="3자테스터공통"/>
    <s v="Online"/>
    <s v="개선/변경"/>
    <s v="UI"/>
    <s v="결함등록기각"/>
    <s v=""/>
    <s v="Minor"/>
    <x v="1"/>
    <d v="2026-04-29T09:45:15"/>
    <d v="2026-04-30T10:52:15"/>
    <s v="단위테스트 후 코드값 규정화 되어 해당 테스트 기간 코드값은 현재 사용 불가로 이미지 파일 처점 나오는 것이 정상입니다."/>
  </r>
  <r>
    <s v="UT-CASY006S(A)"/>
    <s v="1-2차"/>
    <n v="1"/>
    <x v="3"/>
    <s v="DEF-00463"/>
    <s v="interface Message List에서 + 버튼으로 신규추가 한 후 Detail에서 Module, Job Table Name에서 +를 누르면 선택이 그대로 남아있어서 다음 List의  +,- 버튼이 interface message detail에서 진행중인 작업이 있습니다가 뜹니다._x000a_(Detail의 Module, Job Table Name을 건드리면 리스트에서 행을 뺀후 +를 눌러도 막힌다는 뜻)"/>
    <s v="개발자테스트"/>
    <s v="김명준"/>
    <s v="정연준"/>
    <s v="3자테스터공통"/>
    <s v="Online"/>
    <s v="결함"/>
    <s v="기능"/>
    <s v="결함등록기각"/>
    <s v=""/>
    <s v="Minor"/>
    <x v="1"/>
    <d v="2026-04-29T13:33:45"/>
    <d v="2026-04-30T08:54:09"/>
    <s v="추가 / 삭제 작업이 SAVE 완료되지 않은 상태로 추가 등 작업을 하면 해당 메시지 표출 되는 것은 정상입니다."/>
  </r>
  <r>
    <s v="UT-CAMN016M(A)"/>
    <s v="1-2차"/>
    <n v="1"/>
    <x v="3"/>
    <s v="DEF-00466"/>
    <s v="Save시 15자 안내를 해주긴하지만 안내문구에 6~15자로 안내했으면 maxlength 15자로 막는게 좋을 것 같습니다._x000a_(의도된거면 무시해도될것 같습니다)"/>
    <s v="개발자테스트"/>
    <s v="김명준"/>
    <s v="정연준"/>
    <s v="3자테스터공통"/>
    <s v="Online"/>
    <s v="개선/변경"/>
    <s v="기능"/>
    <s v="결함등록기각"/>
    <s v=""/>
    <s v="Minor"/>
    <x v="1"/>
    <d v="2026-04-29T13:46:13"/>
    <d v="2026-04-29T18:42:43"/>
    <s v="패스워드 안내 6~15자 안내로 정상입니다."/>
  </r>
  <r>
    <s v="UT-CARF032S(A)"/>
    <s v="2-2차"/>
    <n v="1"/>
    <x v="3"/>
    <s v="DEF-00484"/>
    <s v="1. 저장된 엑셀파일에  PageNo 정보가 누락되어 있음(Thumbnail Image정보도 누락)_x000a_"/>
    <s v="개발자테스트"/>
    <s v="김명준"/>
    <s v="최민지"/>
    <s v="3자테스터공통"/>
    <s v="Online"/>
    <s v="개선/변경"/>
    <s v="UI"/>
    <s v="결함등록기각"/>
    <s v=""/>
    <s v="Minor"/>
    <x v="1"/>
    <d v="2026-04-29T14:50:34"/>
    <d v="2026-04-30T12:41:44"/>
    <s v="엑셀파일 다운로드는 AS-IS의 출력 결과와 동일하게 개발되어 정상입니다."/>
  </r>
  <r>
    <s v="UT-FSEX021S"/>
    <s v="2-2차"/>
    <n v="1"/>
    <x v="2"/>
    <s v="DEF-00489"/>
    <s v="없는 일자에 대해 요일 정보는 빈 값 표출이 필요합니다. "/>
    <s v="개발자테스트"/>
    <s v="임소정"/>
    <s v="임소정"/>
    <s v="3자테스터공통"/>
    <s v="Online"/>
    <s v="개선/변경"/>
    <s v="UI"/>
    <s v="결함등록기각"/>
    <s v=""/>
    <s v="Minor"/>
    <x v="1"/>
    <d v="2026-04-29T15:01:29"/>
    <d v="2026-05-07T19:21:53"/>
    <s v="화면이 아닌 보고서에서 해당 로직은 구현이 어려우며 보고서는 별도의 요구사항이 없는 경우 수정 불가능함."/>
  </r>
  <r>
    <s v="UT-FSQB090S"/>
    <s v="2-1차"/>
    <n v="1"/>
    <x v="2"/>
    <s v="DEF-00493"/>
    <s v="1. 2페이지부터 상단 공백 생김._x000a_2. 월별 날짜 포멧 혹인 필요."/>
    <s v="개발자테스트"/>
    <s v="임소정"/>
    <s v="임소정"/>
    <s v="3자테스터공통"/>
    <s v="Online"/>
    <s v="개선/변경"/>
    <s v="UI"/>
    <s v="결함등록기각"/>
    <s v=""/>
    <s v="Major"/>
    <x v="1"/>
    <d v="2026-04-29T15:07:40"/>
    <d v="2026-05-07T19:31:30"/>
    <s v="보고서는 현업의 요구사항이 없는 경우 임의 수정 불가."/>
  </r>
  <r>
    <s v="UT-FSEX020S"/>
    <s v="2-1차"/>
    <n v="1"/>
    <x v="2"/>
    <s v="DEF-00515"/>
    <s v="버튼 기능명 필요"/>
    <s v="개발자테스트"/>
    <s v="임소정"/>
    <s v="임소정"/>
    <s v="3자테스터공통"/>
    <s v="Online"/>
    <s v="개선/변경"/>
    <s v="UI"/>
    <s v="결함등록기각"/>
    <s v=""/>
    <s v="Minor"/>
    <x v="1"/>
    <d v="2026-04-29T16:11:51"/>
    <d v="2026-05-07T19:13:51"/>
    <s v="엑셀 저장버튼은 기존유지가 요구사항임"/>
  </r>
  <r>
    <s v="UT-CARF027S(A)"/>
    <s v="2-2차"/>
    <n v="1"/>
    <x v="3"/>
    <s v="DEF-00757"/>
    <s v="필수값 체크 확인 필요"/>
    <s v="개발자테스트"/>
    <s v="김명준"/>
    <s v="최민지"/>
    <s v="3자테스터공통"/>
    <s v="Online"/>
    <s v="개선/변경"/>
    <s v="기능"/>
    <s v="결함등록기각"/>
    <s v=""/>
    <s v="Minor"/>
    <x v="1"/>
    <d v="2026-05-07T09:40:11"/>
    <d v="2026-05-07T11:22:31"/>
    <s v="운항지연정보의 필수 값은 -&gt; PAS Reason의 데이터를 사용 하는데. 필수값 공백은 원 데이터 PAS Reason에 값이 없어 공백으로 표시되는 것은 정상입니다. "/>
  </r>
  <r>
    <s v="UT-CASY039S(A)"/>
    <s v="2-3차"/>
    <n v="1"/>
    <x v="3"/>
    <s v="DEF-00091"/>
    <s v="AOMS 화면 우측 상단의 엑셀 클릭후 다운로드받은 파일을 확인 후 인쇄화면 전환시 여백문제는 없지만, 1개 페이지가 3개로 분리됨( 가로방향 전환 및 1페이지 맞춤 설정 지원 가능여부확인 필요)_x000a_"/>
    <s v="개발자테스트"/>
    <s v="김명준"/>
    <s v="김태훈"/>
    <s v="3자테스터공통"/>
    <s v="Online"/>
    <s v="개선/변경"/>
    <s v="UI"/>
    <s v="결함등록기각"/>
    <s v=""/>
    <s v="Minor"/>
    <x v="1"/>
    <d v="2026-04-23T13:57:50"/>
    <d v="2026-04-23T17:32:54"/>
    <s v="엑셀 다운로드 시 3000천건 이상을 다운받아 한페이지요 표출하려면 동일 현상 발생함. 조회 조건 변경 후 테스트 하면 해당 현상 발생 안함"/>
  </r>
  <r>
    <s v="UT-CARF040S(A)"/>
    <s v="1-2차"/>
    <n v="1"/>
    <x v="3"/>
    <s v="DEF-00130"/>
    <s v="에러 내역이 없어서 해결관련 테스트를 하지 못했습니다."/>
    <s v="개발자테스트"/>
    <s v="김명준"/>
    <s v="김태훈"/>
    <s v="3자테스터공통"/>
    <s v="Online"/>
    <s v="개선/변경"/>
    <s v="데이터"/>
    <s v="결함등록기각"/>
    <s v=""/>
    <s v="Minor"/>
    <x v="1"/>
    <d v="2026-04-24T14:01:01"/>
    <d v="2026-04-24T15:46:46"/>
    <s v="UT-CARF40S는 Check List 단위시험 시나리오 이며 첨부된 이미지의 ESB Massage Monitor은 ERROR 메시지 없을 시 미 표출 되는 것이 정상 화면으로 기각 등록 하겠습니다. "/>
  </r>
  <r>
    <s v="UT-FSSG170S"/>
    <s v="2-2차"/>
    <n v="1"/>
    <x v="2"/>
    <s v="DEF-00131"/>
    <s v="-엑셀파일 출력용지 : Letter (A4로 변경하면 1페이지로 출력)_x000a_-엑셀 표 제목 : 셀병합 재검토필요(맨 왼쪽열은 빈 공간으로 두고(출력범위에서는 제외되어야할 듯)_x000a_- AOMS 화면내 프린터 클릭후 출력화면에 종료시간 칼럼 이후 자료 확인 불가_x000a_"/>
    <s v="개발자테스트"/>
    <s v="임소정"/>
    <s v="임소정"/>
    <s v="3자테스터공통"/>
    <s v="Online"/>
    <s v="개선/변경"/>
    <s v="UI"/>
    <s v="결함등록기각"/>
    <s v=""/>
    <s v="Minor"/>
    <x v="1"/>
    <d v="2026-04-24T14:01:40"/>
    <d v="2026-05-07T18:05:30"/>
    <s v="엑셀 관련 내용은 엑셀의 기능임. _x000a_인쇄는 공통 기능으로 모듈 개발 내에서 처리 불가능"/>
  </r>
  <r>
    <s v="UT-CAMN001S(A)"/>
    <s v="1-1차"/>
    <n v="1"/>
    <x v="3"/>
    <s v="DEF-00134"/>
    <s v="우측상단 계정신청안내 앞 아이콘 하단부 짤립니다."/>
    <s v="개발자테스트"/>
    <s v="김명준"/>
    <s v="정연준"/>
    <s v="3자테스터공통"/>
    <s v="Online"/>
    <s v="개선/변경"/>
    <s v="UI"/>
    <s v="결함등록기각"/>
    <s v=""/>
    <s v="Minor"/>
    <x v="1"/>
    <d v="2026-04-24T14:43:54"/>
    <d v="2026-04-24T14:55:34"/>
    <s v="아이콘 디자인입니다."/>
  </r>
  <r>
    <s v="UT-CAMN001S(A)"/>
    <s v="1-1차"/>
    <n v="1"/>
    <x v="3"/>
    <s v="DEF-00135"/>
    <s v="브라우저 확대축소 시 Notice, FAQ만 크기가 변동됩니다._x000a_두번째 사진처럼 끝라인이 일치하지 않습니다."/>
    <s v="개발자테스트"/>
    <s v="김명준"/>
    <s v="정연준"/>
    <s v="3자테스터공통"/>
    <s v="Online"/>
    <s v="개선/변경"/>
    <s v="UI"/>
    <s v="결함등록기각"/>
    <s v=""/>
    <s v="Minor"/>
    <x v="1"/>
    <d v="2026-04-24T14:47:05"/>
    <d v="2026-04-24T15:03:39"/>
    <s v="AOMS CA 부분에서 퍼블 담당자에서 해당 현상 전달 하겠습니다._x000a_- AOMS-CA에서는 결함등록기각함."/>
  </r>
  <r>
    <s v="UT-FSEX040S"/>
    <s v="2-1차"/>
    <n v="1"/>
    <x v="2"/>
    <s v="DEF-00139"/>
    <s v="단위테스트_2-5 오류 날짜 입력 안됨"/>
    <s v="개발자테스트"/>
    <s v="임소정"/>
    <s v="임소정"/>
    <s v="3자테스터공통"/>
    <s v="Online"/>
    <s v="개선/변경"/>
    <s v="기능"/>
    <s v="결함등록기각"/>
    <s v=""/>
    <s v="Minor"/>
    <x v="1"/>
    <d v="2026-04-24T15:22:30"/>
    <d v="2026-04-30T13:10:40"/>
    <s v="날짜 컴포넌트 변경됨. 정상"/>
  </r>
  <r>
    <s v="UT-PM10104S"/>
    <s v="2-1차"/>
    <n v="1"/>
    <x v="1"/>
    <s v="DEF-00157"/>
    <s v="데이터 0건일 때 no data 뜨지 않음"/>
    <s v="개발자테스트"/>
    <s v="임소정"/>
    <s v="pmtbd3"/>
    <s v="3자테스터공통"/>
    <s v="Online"/>
    <s v="개선/변경"/>
    <s v="UI"/>
    <s v="결함등록기각"/>
    <s v=""/>
    <s v="Minor"/>
    <x v="1"/>
    <d v="2026-04-27T10:26:16"/>
    <d v="2026-04-29T08:06:50"/>
    <s v="처리완료하였습니다. 개발서버 기준 (26년 04월 30일 오전에 확인가능합니다.)_x000a_DEF-00154 결함과 같은 내용이므로 기각합니다."/>
  </r>
  <r>
    <s v="UT-GO11901S"/>
    <s v="2-1차"/>
    <n v="1"/>
    <x v="0"/>
    <s v="DEF-00161"/>
    <s v="집계기간을 지정 후 엑셀다운로드 클릭하여 다운로드 함._x000a_다운로드 목록에 나타남. 이후 엑셀파일 열기를 하여 Excel 파일을 내용을 확인하고.. Excel 파일을 닫음._x000a_이후 집계 기간을 바꾸거나 동일하게 하고 엑셀다운로드 클릭하면.. 다운로드 진행되지 않음._x000a_김포제출자료생성 화면을 닫고.. 죄측 메뉴 클릭하여 화면 열고.. 다시 진행하면, 엑셀 다운로드 됨. 그렇치만, 이때도 엑셀파일 조회 이후에 다시 다운로드 수행하면 다운로드 수행되지 않음"/>
    <s v="개발자테스트"/>
    <s v="신문호"/>
    <s v="박정구"/>
    <s v="3자테스터공통"/>
    <s v="Online"/>
    <s v="결함"/>
    <s v="기능"/>
    <s v="결함등록기각"/>
    <s v=""/>
    <s v="Minor"/>
    <x v="1"/>
    <d v="2026-04-27T10:47:51"/>
    <d v="2026-04-30T15:57:52"/>
    <s v="현재 정상작동중 좀더 상세한 설명 필요"/>
  </r>
  <r>
    <s v="UT-CAMN014M(A)"/>
    <s v="1-1차"/>
    <n v="1"/>
    <x v="3"/>
    <s v="DEF-00227"/>
    <s v="회사 선택후 회사 전화번호 입력의 포메팅이 4-3-4 로 고정되어 있어서 예를들어 010-1234-1234 혹은 031)1234-1234 등의 전화번호 입력이 불가능합니다. "/>
    <s v="개발자테스트"/>
    <s v="김명준"/>
    <s v="정연준"/>
    <s v="3자테스터공통"/>
    <s v="Online"/>
    <s v="결함"/>
    <s v="기능"/>
    <s v="결함등록기각"/>
    <s v=""/>
    <s v="Major"/>
    <x v="1"/>
    <d v="2026-04-27T16:55:44"/>
    <d v="2026-04-28T11:13:10"/>
    <s v="숫자 입력 기본값으로 특수 문자 입력 불가입니다."/>
  </r>
  <r>
    <s v="UT-CASY017M(A)"/>
    <s v="1-1차"/>
    <n v="1"/>
    <x v="3"/>
    <s v="DEF-00231"/>
    <s v="해당 메뉴를 찾을 수가 없음."/>
    <s v="개발자테스트"/>
    <s v="김명준"/>
    <s v="최민지"/>
    <s v="3자테스터공통"/>
    <s v="Online"/>
    <s v="결함"/>
    <s v="기능"/>
    <s v="결함등록기각"/>
    <s v=""/>
    <s v="Major"/>
    <x v="1"/>
    <d v="2026-04-27T17:11:10"/>
    <d v="2026-04-28T12:48:23"/>
    <s v="외부사용자등록은 외부 시스템에서 등록 되도록 변경됨_x000a_단위테스트 시 외부 모듈과 연계가 불가로 임시로 외부 사용자 등록 메뉴 만들어 테스트진행 하였음"/>
  </r>
  <r>
    <s v="UT-PM20126S"/>
    <s v="2-1차"/>
    <n v="1"/>
    <x v="1"/>
    <s v="DEF-00232"/>
    <s v="화면의 첫 째 필드에 커셔가 Set focus되어 있지 않음."/>
    <s v="개발자테스트"/>
    <s v="임소정"/>
    <s v="신문호"/>
    <s v="3자테스터공통"/>
    <s v="Online"/>
    <s v="개선/변경"/>
    <s v="UI"/>
    <s v="결함등록기각"/>
    <s v=""/>
    <s v="Minor"/>
    <x v="1"/>
    <d v="2026-04-27T17:12:16"/>
    <d v="2026-04-29T09:22:24"/>
    <s v="처리완료하였습니다. 개발서버 기준 (26년 04월 30일 오전에 확인가능합니다.)_x000a_DEF-00237 결함과 같은 내용이므로 기각합니다."/>
  </r>
  <r>
    <s v="UT-PM10102S"/>
    <s v="2-1차"/>
    <n v="1"/>
    <x v="1"/>
    <s v="DEF-00234"/>
    <s v="화면의 첫 째 필드에 커셔가 Set focus되어 있지 않음."/>
    <s v="개발자테스트"/>
    <s v="임소정"/>
    <s v="pmtbd1"/>
    <s v="3자테스터공통"/>
    <s v="Online"/>
    <s v="개선/변경"/>
    <s v="UI"/>
    <s v="결함등록기각"/>
    <s v=""/>
    <s v="Minor"/>
    <x v="1"/>
    <d v="2026-04-27T17:13:43"/>
    <d v="2026-04-29T08:07:23"/>
    <s v="처리완료하였습니다. 개발서버 기준 (26년 04월 30일 오전에 확인가능합니다.)_x000a_DEF-00237 결함과 같은 내용이므로 기각합니다."/>
  </r>
  <r>
    <s v="UT-PM10203S"/>
    <s v="2-2차"/>
    <n v="1"/>
    <x v="1"/>
    <s v="DEF-00193"/>
    <s v="해당 메뉴가 없습니다."/>
    <s v="개발자테스트"/>
    <s v="임소정"/>
    <s v="pmtbd2"/>
    <s v="3자테스터공통"/>
    <s v="Online"/>
    <s v="결함"/>
    <s v="기능"/>
    <s v="결함등록기각"/>
    <s v=""/>
    <s v="Critical"/>
    <x v="1"/>
    <d v="2026-04-27T14:21:46"/>
    <d v="2026-04-29T07:35:18"/>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r>
  <r>
    <s v="UT-PM20106M"/>
    <s v="1-2차"/>
    <n v="1"/>
    <x v="1"/>
    <s v="DEF-00199"/>
    <s v="결함아님."/>
    <s v="개발자테스트"/>
    <s v="임소정"/>
    <s v="염희석"/>
    <s v="3자테스터공통"/>
    <s v="Online"/>
    <s v="결함"/>
    <s v="기타"/>
    <s v="결함등록기각"/>
    <s v=""/>
    <s v="Major"/>
    <x v="1"/>
    <d v="2026-04-27T14:37:14"/>
    <d v="2026-04-29T07:37:09"/>
    <s v="결함아님"/>
  </r>
  <r>
    <s v="UT-PM10107S"/>
    <s v="2-2차"/>
    <n v="1"/>
    <x v="1"/>
    <s v="DEF-00200"/>
    <s v="테스트 결과서가 없습니다."/>
    <s v="개발자테스트"/>
    <s v="임소정"/>
    <s v="pmtbd3"/>
    <s v="3자테스터공통"/>
    <s v="Online"/>
    <s v="결함"/>
    <s v="기능"/>
    <s v="결함등록기각"/>
    <s v=""/>
    <s v="Critical"/>
    <x v="1"/>
    <d v="2026-04-27T14:42:10"/>
    <d v="2026-04-29T07:39:24"/>
    <s v="해당 메뉴는 넥사크로에서 리액트로 전환 요청이 있었고, 관련된 테스트 준비들은 26년 7월에 별도로 진행될 예정입니다."/>
  </r>
  <r>
    <s v="UT-PM10104S"/>
    <s v="2-1차"/>
    <n v="1"/>
    <x v="1"/>
    <s v="DEF-00236"/>
    <s v="화면의 첫 째 필드에 커셔가 Set focus되어 있지 않음."/>
    <s v="개발자테스트"/>
    <s v="임소정"/>
    <s v="pmtbd3"/>
    <s v="3자테스터공통"/>
    <s v="Online"/>
    <s v="개선/변경"/>
    <s v="UI"/>
    <s v="결함등록기각"/>
    <s v=""/>
    <s v="Minor"/>
    <x v="1"/>
    <d v="2026-04-27T17:14:42"/>
    <d v="2026-04-29T08:07:54"/>
    <s v="처리완료하였습니다. 개발서버 기준 (26년 04월 30일 오전에 확인가능합니다.)_x000a_DEF-00237 결함과 같은 내용이므로 기각합니다."/>
  </r>
  <r>
    <s v="UT-PM20155S"/>
    <s v="2-1차"/>
    <n v="1"/>
    <x v="1"/>
    <s v="DEF-00238"/>
    <s v="화면의 첫 째 필드에 커셔가 Set focus되어 있지 않음."/>
    <s v="개발자테스트"/>
    <s v="임소정"/>
    <s v="노세찬"/>
    <s v="3자테스터공통"/>
    <s v="Online"/>
    <s v="개선/변경"/>
    <s v="UI"/>
    <s v="결함등록기각"/>
    <s v=""/>
    <s v="Minor"/>
    <x v="1"/>
    <d v="2026-04-27T17:15:50"/>
    <d v="2026-04-29T08:21:29"/>
    <s v="처리완료하였습니다. 개발서버 기준 (26년 04월 30일 오전에 확인가능합니다.)_x000a_DEF-00237 결함과 같은 내용이므로 기각합니다"/>
  </r>
  <r>
    <s v="UT-PM20154S"/>
    <s v="2-1차"/>
    <n v="1"/>
    <x v="1"/>
    <s v="DEF-00239"/>
    <s v="화면의 첫 째 필드에 커셔가 Set focus되어 있지 않음."/>
    <s v="개발자테스트"/>
    <s v="임소정"/>
    <s v="노세찬"/>
    <s v="3자테스터공통"/>
    <s v="Online"/>
    <s v="개선/변경"/>
    <s v="UI"/>
    <s v="결함등록기각"/>
    <s v=""/>
    <s v="Minor"/>
    <x v="1"/>
    <d v="2026-04-27T17:16:05"/>
    <d v="2026-04-29T08:21:16"/>
    <s v="처리완료하였습니다. 개발서버 기준 (26년 04월 30일 오전에 확인가능합니다.)_x000a_DEF-00237 결함과 같은 내용이므로 기각합니다"/>
  </r>
  <r>
    <s v="UT-PM20153S"/>
    <s v="2-1차"/>
    <n v="1"/>
    <x v="1"/>
    <s v="DEF-00240"/>
    <s v="화면의 첫 째 필드에 커셔가 Set focus되어 있지 않음."/>
    <s v="개발자테스트"/>
    <s v="임소정"/>
    <s v="노세찬"/>
    <s v="3자테스터공통"/>
    <s v="Online"/>
    <s v="개선/변경"/>
    <s v="UI"/>
    <s v="결함등록기각"/>
    <s v=""/>
    <s v="Minor"/>
    <x v="1"/>
    <d v="2026-04-27T17:16:27"/>
    <d v="2026-04-29T08:21:03"/>
    <s v="처리완료하였습니다. 개발서버 기준 (26년 04월 30일 오전에 확인가능합니다.)_x000a_DEF-00237 결함과 같은 내용이므로 기각합니다"/>
  </r>
  <r>
    <s v="UT-PM20147S"/>
    <s v="2-1차"/>
    <n v="1"/>
    <x v="1"/>
    <s v="DEF-00241"/>
    <s v="화면의 첫 째 필드에 커셔가 Set focus되어 있지 않음."/>
    <s v="개발자테스트"/>
    <s v="임소정"/>
    <s v="pmtbd3"/>
    <s v="3자테스터공통"/>
    <s v="Online"/>
    <s v="개선/변경"/>
    <s v="UI"/>
    <s v="결함등록기각"/>
    <s v=""/>
    <s v="Minor"/>
    <x v="1"/>
    <d v="2026-04-27T17:16:54"/>
    <d v="2026-04-29T09:22:42"/>
    <s v="처리완료하였습니다. 개발서버 기준 (26년 04월 30일 오전에 확인가능합니다.)_x000a_DEF-00237 결함과 같은 내용이므로 기각합니다."/>
  </r>
  <r>
    <s v="UT-PM20144M"/>
    <s v="2-1차"/>
    <n v="1"/>
    <x v="1"/>
    <s v="DEF-00242"/>
    <s v="화면의 첫 째 필드에 커셔가 Set focus되어 있지 않음."/>
    <s v="개발자테스트"/>
    <s v="임소정"/>
    <s v="pmtbd1"/>
    <s v="3자테스터공통"/>
    <s v="Online"/>
    <s v="개선/변경"/>
    <s v="UI"/>
    <s v="결함등록기각"/>
    <s v=""/>
    <s v="Minor"/>
    <x v="1"/>
    <d v="2026-04-27T17:17:22"/>
    <d v="2026-04-29T08:20:45"/>
    <s v="처리완료하였습니다. 개발서버 기준 (26년 04월 30일 오전에 확인가능합니다.)_x000a_DEF-00237 결함과 같은 내용이므로 기각합니다"/>
  </r>
  <r>
    <s v="UT-PM20143M"/>
    <s v="2-1차"/>
    <n v="1"/>
    <x v="1"/>
    <s v="DEF-00243"/>
    <s v="화면의 첫 째 필드에 커셔가 Set focus되어 있지 않음."/>
    <s v="개발자테스트"/>
    <s v="임소정"/>
    <s v="pmtbd1"/>
    <s v="3자테스터공통"/>
    <s v="Online"/>
    <s v="개선/변경"/>
    <s v="UI"/>
    <s v="결함등록기각"/>
    <s v=""/>
    <s v="Minor"/>
    <x v="1"/>
    <d v="2026-04-27T17:17:31"/>
    <d v="2026-04-29T08:20:32"/>
    <s v="처리완료하였습니다. 개발서버 기준 (26년 04월 30일 오전에 확인가능합니다.)_x000a_DEF-00237 결함과 같은 내용이므로 기각합니다"/>
  </r>
  <r>
    <s v="UT-PM20142M"/>
    <s v="2-1차"/>
    <n v="1"/>
    <x v="1"/>
    <s v="DEF-00244"/>
    <s v="화면의 첫 째 필드에 커셔가 Set focus되어 있지 않음."/>
    <s v="개발자테스트"/>
    <s v="임소정"/>
    <s v="신문호"/>
    <s v="3자테스터공통"/>
    <s v="Online"/>
    <s v="개선/변경"/>
    <s v="UI"/>
    <s v="결함등록기각"/>
    <s v=""/>
    <s v="Minor"/>
    <x v="1"/>
    <d v="2026-04-27T17:17:39"/>
    <d v="2026-04-29T08:20:20"/>
    <s v="처리완료하였습니다. 개발서버 기준 (26년 04월 30일 오전에 확인가능합니다.)_x000a_DEF-00237 결함과 같은 내용이므로 기각합니다"/>
  </r>
  <r>
    <s v="UT-PM20141M"/>
    <s v="2-1차"/>
    <n v="1"/>
    <x v="1"/>
    <s v="DEF-00245"/>
    <s v="화면의 첫 째 필드에 커셔가 Set focus되어 있지 않음."/>
    <s v="개발자테스트"/>
    <s v="임소정"/>
    <s v="신문호"/>
    <s v="3자테스터공통"/>
    <s v="Online"/>
    <s v="개선/변경"/>
    <s v="UI"/>
    <s v="결함등록기각"/>
    <s v=""/>
    <s v="Minor"/>
    <x v="1"/>
    <d v="2026-04-27T17:17:49"/>
    <d v="2026-04-29T08:20:06"/>
    <s v="처리완료하였습니다. 개발서버 기준 (26년 04월 30일 오전에 확인가능합니다.)_x000a_DEF-00237 결함과 같은 내용이므로 기각합니다"/>
  </r>
  <r>
    <s v="UT-PM20140M"/>
    <s v="2-1차"/>
    <n v="1"/>
    <x v="1"/>
    <s v="DEF-00246"/>
    <s v="화면의 첫 째 필드에 커셔가 Set focus되어 있지 않음."/>
    <s v="개발자테스트"/>
    <s v="임소정"/>
    <s v="pmtbd1"/>
    <s v="3자테스터공통"/>
    <s v="Online"/>
    <s v="개선/변경"/>
    <s v="UI"/>
    <s v="결함등록기각"/>
    <s v=""/>
    <s v="Minor"/>
    <x v="1"/>
    <d v="2026-04-27T17:17:57"/>
    <d v="2026-04-29T08:19:51"/>
    <s v="처리완료하였습니다. 개발서버 기준 (26년 04월 30일 오전에 확인가능합니다.)_x000a_DEF-00237 결함과 같은 내용이므로 기각합니다"/>
  </r>
  <r>
    <s v="UT-PM20139M"/>
    <s v="2-1차"/>
    <n v="1"/>
    <x v="1"/>
    <s v="DEF-00247"/>
    <s v="화면의 첫 째 필드에 커셔가 Set focus되어 있지 않음."/>
    <s v="개발자테스트"/>
    <s v="임소정"/>
    <s v="신문호"/>
    <s v="3자테스터공통"/>
    <s v="Online"/>
    <s v="개선/변경"/>
    <s v="UI"/>
    <s v="결함등록기각"/>
    <s v=""/>
    <s v="Minor"/>
    <x v="1"/>
    <d v="2026-04-27T17:18:05"/>
    <d v="2026-04-29T08:19:38"/>
    <s v="처리완료하였습니다. 개발서버 기준 (26년 04월 30일 오전에 확인가능합니다.)_x000a_DEF-00237 결함과 같은 내용이므로 기각합니다"/>
  </r>
  <r>
    <s v="UT-PM20138M"/>
    <s v="2-1차"/>
    <n v="1"/>
    <x v="1"/>
    <s v="DEF-00248"/>
    <s v="화면의 첫 째 필드에 커셔가 Set focus되어 있지 않음."/>
    <s v="개발자테스트"/>
    <s v="임소정"/>
    <s v="신문호"/>
    <s v="3자테스터공통"/>
    <s v="Online"/>
    <s v="개선/변경"/>
    <s v="UI"/>
    <s v="결함등록기각"/>
    <s v=""/>
    <s v="Minor"/>
    <x v="1"/>
    <d v="2026-04-27T17:18:13"/>
    <d v="2026-04-29T08:19:22"/>
    <s v="처리완료하였습니다. 개발서버 기준 (26년 04월 30일 오전에 확인가능합니다.)_x000a_DEF-00237 결함과 같은 내용이므로 기각합니다"/>
  </r>
  <r>
    <s v="UT-PM20137M"/>
    <s v="2-1차"/>
    <n v="1"/>
    <x v="1"/>
    <s v="DEF-00249"/>
    <s v="화면의 첫 째 필드에 커셔가 Set focus되어 있지 않음."/>
    <s v="개발자테스트"/>
    <s v="임소정"/>
    <s v="pmtbd3"/>
    <s v="3자테스터공통"/>
    <s v="Online"/>
    <s v="개선/변경"/>
    <s v="UI"/>
    <s v="결함등록기각"/>
    <s v=""/>
    <s v="Minor"/>
    <x v="1"/>
    <d v="2026-04-27T17:18:20"/>
    <d v="2026-04-29T08:18:21"/>
    <s v="처리완료하였습니다. 개발서버 기준 (26년 04월 30일 오전에 확인가능합니다.)_x000a_DEF-00237 결함과 같은 내용이므로 기각합니다"/>
  </r>
  <r>
    <s v="UT-PM20136M"/>
    <s v="2-1차"/>
    <n v="1"/>
    <x v="1"/>
    <s v="DEF-00250"/>
    <s v="화면의 첫 째 필드에 커셔가 Set focus되어 있지 않음."/>
    <s v="개발자테스트"/>
    <s v="임소정"/>
    <s v="pmtbd3"/>
    <s v="3자테스터공통"/>
    <s v="Online"/>
    <s v="개선/변경"/>
    <s v="UI"/>
    <s v="결함등록기각"/>
    <s v=""/>
    <s v="Minor"/>
    <x v="1"/>
    <d v="2026-04-27T17:18:28"/>
    <d v="2026-04-29T08:18:03"/>
    <s v="처리완료하였습니다. 개발서버 기준 (26년 04월 30일 오전에 확인가능합니다.)_x000a_DEF-00237 결함과 같은 내용이므로 기각합니다"/>
  </r>
  <r>
    <s v="UT-PM20135M"/>
    <s v="2-1차"/>
    <n v="1"/>
    <x v="1"/>
    <s v="DEF-00251"/>
    <s v="화면의 첫 째 필드에 커셔가 Set focus되어 있지 않음."/>
    <s v="개발자테스트"/>
    <s v="임소정"/>
    <s v="pmtbd2"/>
    <s v="3자테스터공통"/>
    <s v="Online"/>
    <s v="개선/변경"/>
    <s v="UI"/>
    <s v="결함등록기각"/>
    <s v=""/>
    <s v="Minor"/>
    <x v="1"/>
    <d v="2026-04-27T17:18:35"/>
    <d v="2026-04-29T08:17:49"/>
    <s v="처리완료하였습니다. 개발서버 기준 (26년 04월 30일 오전에 확인가능합니다.)_x000a_DEF-00237 결함과 같은 내용이므로 기각합니다"/>
  </r>
  <r>
    <s v="UT-GO11201S"/>
    <s v="1-1차"/>
    <n v="1"/>
    <x v="0"/>
    <s v="DEF-00256"/>
    <s v="편명 입력 시 숫자만 입력 가능합니다._x000a__x000a_하지만 조회된 데이터는 영문 + 숫자 조합도 있으니 영문 입력도 가능해야하지 않을까요 ? "/>
    <s v="개발자테스트"/>
    <s v="신문호"/>
    <s v="박정구"/>
    <s v="3자테스터공통"/>
    <s v="Online"/>
    <s v="개선/변경"/>
    <s v="기타"/>
    <s v="결함등록기각"/>
    <s v=""/>
    <s v="Minor"/>
    <x v="1"/>
    <d v="2026-04-27T17:29:37"/>
    <d v="2026-04-30T15:29:48"/>
    <s v="테스트시 한영키 확인필요 영문은 정상작동중"/>
  </r>
  <r>
    <s v="UT-GO11101S"/>
    <s v="1-2차"/>
    <n v="1"/>
    <x v="0"/>
    <s v="DEF-00274"/>
    <s v="창을 줄이면 해당 테이블 가로 스크롤이 생기지 않아 확인할 수 없습니다. "/>
    <s v="개발자테스트"/>
    <s v="신문호"/>
    <s v="김경준"/>
    <s v="3자테스터공통"/>
    <s v="Online"/>
    <s v="개선/변경"/>
    <s v="UI"/>
    <s v="결함등록기각"/>
    <s v=""/>
    <s v="Minor"/>
    <x v="1"/>
    <d v="2026-04-28T09:53:39"/>
    <d v="2026-04-30T14:35:38"/>
    <s v="전체 스크롤이 생겨 확인가능 정상작동"/>
  </r>
  <r>
    <s v="UT-CASY040S(A)"/>
    <s v="2-3차"/>
    <n v="1"/>
    <x v="3"/>
    <s v="DEF-00305"/>
    <s v="1. 송신메시지, 수신메시지 클릭해도 에러내역에 출력되는 내역이 출력되지 않음._x000a_"/>
    <s v="개발자테스트"/>
    <s v="김명준"/>
    <s v="김태훈"/>
    <s v="3자테스터공통"/>
    <s v="Online"/>
    <s v="개선/변경"/>
    <s v="UI"/>
    <s v="결함등록기각"/>
    <s v=""/>
    <s v="Minor"/>
    <x v="1"/>
    <d v="2026-04-28T12:52:55"/>
    <d v="2026-04-30T10:37:19"/>
    <s v="미처리건수 와 에러 내역은 다른 메시지 출력으로 에러 내역이 없으면 메시지 미 표출이 정상입니다. "/>
  </r>
  <r>
    <s v="UT-PM20158S"/>
    <s v="2-2차"/>
    <n v="1"/>
    <x v="1"/>
    <s v="DEF-00310"/>
    <s v=" 1.기준일자 선택이 필수 입력이 조건이 아님. 필수여야 할거 같음."/>
    <s v="개발자테스트"/>
    <s v="임소정"/>
    <s v="노세찬"/>
    <s v="3자테스터공통"/>
    <s v="Online"/>
    <s v="개선/변경"/>
    <s v="기능"/>
    <s v="결함등록기각"/>
    <s v=""/>
    <s v="Minor"/>
    <x v="1"/>
    <d v="2026-04-28T13:07:55"/>
    <d v="2026-04-29T09:38:13"/>
    <s v="처리완료하였습니다. 개발서버 기준 (26년 04월 30일 오전에 확인가능합니다.)_x000a_DEF-00307 결함과 같은 내용이므로 기각합니다."/>
  </r>
  <r>
    <s v="UT-PM30102M"/>
    <s v="1-2차"/>
    <n v="1"/>
    <x v="1"/>
    <s v="DEF-00209"/>
    <s v="테스트결과서 없음. "/>
    <s v="개발자테스트"/>
    <s v="임소정"/>
    <s v="pmtbd1"/>
    <s v="3자테스터공통"/>
    <s v="Online"/>
    <s v="개선/변경"/>
    <s v="기타"/>
    <s v="결함등록기각"/>
    <s v=""/>
    <s v="Major"/>
    <x v="1"/>
    <d v="2026-04-27T15:10:18"/>
    <d v="2026-04-29T09:40:59"/>
    <s v="UT-PM30102R 테스트 문서로 확인부탁드립니다._x000a_문서자체가 없을시 별도로 연락부탁드립니다. 010-2990-2820"/>
  </r>
  <r>
    <s v="UT-GO11101S"/>
    <s v="1-2차"/>
    <n v="1"/>
    <x v="0"/>
    <s v="DEF-00214"/>
    <s v="F12 기능키 클릭으로 조회조건의 일자 항목에 FOCUS 이동 되지 않습니다. _x000a_다른 컴퓨터로도 확인해봐야 할것같습니다."/>
    <s v="개발자테스트"/>
    <s v="신문호"/>
    <s v="김경준"/>
    <s v="3자테스터공통"/>
    <s v="Online"/>
    <s v="결함"/>
    <s v="기타"/>
    <s v="결함등록기각"/>
    <s v=""/>
    <s v="Major"/>
    <x v="1"/>
    <d v="2026-04-27T16:05:31"/>
    <d v="2026-04-30T14:31:06"/>
    <s v="웹브라우저 환경이라 INPUT 박스에 FOCUS 해놓은 상태에서 눌러야 동작함"/>
  </r>
  <r>
    <s v="UT-GO11201S"/>
    <s v="1-1차"/>
    <n v="1"/>
    <x v="0"/>
    <s v="DEF-00262"/>
    <s v="하단 'SAVE' 버튼 다른 페이지들은 '저장' 입니다. (관리자 분이 UI 통일성도 잡으라 하셔서 적어요 ^^,,)"/>
    <s v="개발자테스트"/>
    <s v="신문호"/>
    <s v="박정구"/>
    <s v="3자테스터공통"/>
    <s v="Online"/>
    <s v="개선/변경"/>
    <s v="UI"/>
    <s v="결함등록기각"/>
    <s v=""/>
    <s v="Minor"/>
    <x v="1"/>
    <d v="2026-04-27T17:43:44"/>
    <d v="2026-04-30T15:30:08"/>
    <s v="둘다 표준임"/>
  </r>
  <r>
    <s v="UT-GO11102M"/>
    <s v="1-1차"/>
    <n v="1"/>
    <x v="0"/>
    <s v="DEF-00263"/>
    <s v="하단 'SAVE' 버튼 다른 페이지들은 '저장' 입니다. (관리자 분이 UI 통일성도 잡으라 하셔서 적어요 ^^,,)"/>
    <s v="개발자테스트"/>
    <s v="신문호"/>
    <s v="박정구"/>
    <s v="3자테스터공통"/>
    <s v="Online"/>
    <s v="개선/변경"/>
    <s v="UI"/>
    <s v="결함등록기각"/>
    <s v=""/>
    <s v="Minor"/>
    <x v="1"/>
    <d v="2026-04-27T17:44:19"/>
    <d v="2026-04-30T15:28:19"/>
    <s v="저장 , SAVE둘다 표준임"/>
  </r>
  <r>
    <s v="UT-PM10206S"/>
    <s v="2-3차"/>
    <n v="1"/>
    <x v="1"/>
    <s v="DEF-00281"/>
    <s v="테스트 결과서 없음."/>
    <s v="개발자테스트"/>
    <s v="임소정"/>
    <s v="양우상"/>
    <s v="3자테스터공통"/>
    <s v="Online"/>
    <s v="결함"/>
    <s v="문서화"/>
    <s v="결함등록기각"/>
    <s v=""/>
    <s v="Critical"/>
    <x v="1"/>
    <d v="2026-04-28T10:21:07"/>
    <d v="2026-04-29T07:36:29"/>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r>
  <r>
    <s v="UT-PM20160S"/>
    <s v="2-2차"/>
    <n v="1"/>
    <x v="1"/>
    <s v="DEF-00314"/>
    <s v="1. 기준일자가 필수입력 사항으로 표시 안됨"/>
    <s v="개발자테스트"/>
    <s v="임소정"/>
    <s v="노세찬"/>
    <s v="3자테스터공통"/>
    <s v="Online"/>
    <s v="결함"/>
    <s v="기능"/>
    <s v="결함등록기각"/>
    <s v=""/>
    <s v="Minor"/>
    <x v="1"/>
    <d v="2026-04-28T13:21:32"/>
    <d v="2026-04-29T09:38:37"/>
    <s v="처리완료하였습니다. 개발서버 기준 (26년 04월 30일 오전에 확인가능합니다.)_x000a_DEF-00307 결함과 같은 내용이므로 기각합니다."/>
  </r>
  <r>
    <s v="UT-GO11101S"/>
    <s v="1-2차"/>
    <n v="1"/>
    <x v="0"/>
    <s v="DEF-00327"/>
    <s v="GD error 사유 입력 후 저장을 하면 행검색이 됩니다. 이후 저장 결과 팝업이 뜹니다._x000a_저장과 함께 데이터를 재 로딩 하는 것 같은데, 저장에 대한 팝업만 떠야할것같아요"/>
    <s v="개발자테스트"/>
    <s v="신문호"/>
    <s v="김경준"/>
    <s v="3자테스터공통"/>
    <s v="Online"/>
    <s v="개선/변경"/>
    <s v="UI"/>
    <s v="결함등록기각"/>
    <s v=""/>
    <s v="Minor"/>
    <x v="1"/>
    <d v="2026-04-28T13:50:20"/>
    <d v="2026-04-30T15:24:49"/>
    <s v="현재 정상작동중"/>
  </r>
  <r>
    <s v="UT-GO11101S"/>
    <s v="1-2차"/>
    <n v="1"/>
    <x v="0"/>
    <s v="DEF-00329"/>
    <s v="F8은 현재 포커스 된 FLT에 대한 에러 조회라는 것을 가독성있게 할 필요가 있을것같습니다._x000a_Ctrl + F8 과 F8 조회차이를 한눈에 알기 어렵습니다._x000a_또한 function key 가 노트북에 따라 동작 하지 않는다 하니 테스트를 해보셔야 할것같습니다."/>
    <s v="개발자테스트"/>
    <s v="신문호"/>
    <s v="김경준"/>
    <s v="3자테스터공통"/>
    <s v="Online"/>
    <s v="개선/변경"/>
    <s v="UI"/>
    <s v="결함등록기각"/>
    <s v=""/>
    <s v="Minor"/>
    <x v="1"/>
    <d v="2026-04-28T13:54:51"/>
    <d v="2026-04-30T15:27:59"/>
    <s v="현재화면은 현업요청에따라 기존 IIS와 모두 동일하게 구성되게 해야함"/>
  </r>
  <r>
    <s v="UT-FSQA170S"/>
    <s v="1-1차"/>
    <n v="1"/>
    <x v="2"/>
    <s v="DEF-00369"/>
    <s v="결함아님"/>
    <s v="개발자테스트"/>
    <s v="임소정"/>
    <s v="임소정"/>
    <s v="3자테스터공통"/>
    <s v="Online"/>
    <s v="개선/변경"/>
    <s v="기능"/>
    <s v="결함등록기각"/>
    <s v=""/>
    <s v="Minor"/>
    <x v="1"/>
    <d v="2026-04-28T15:11:31"/>
    <d v="2026-05-07T18:06:29"/>
    <s v="기각요청"/>
  </r>
  <r>
    <s v="UT-CASY035S(A)"/>
    <s v="1-2차"/>
    <n v="1"/>
    <x v="3"/>
    <s v="DEF-00394"/>
    <s v="아래 화면과 같이 Request 사유 상세 영역 입력 불가임._x000a_Save 버튼 클릭하면, 요청 사유는 필수 입력이라는 메시지 나타나며.. 진행 불가함. 좌측에서 2개 항목을 우측으로 이동 후 하나를 좌측으로 이동하면.. 입력 사유 영역이 입력 불가로 바뀜"/>
    <s v="개발자테스트"/>
    <s v="김명준"/>
    <s v="최민지"/>
    <s v="3자테스터공통"/>
    <s v="Online"/>
    <s v="결함"/>
    <s v="기능"/>
    <s v="결함등록기각"/>
    <s v=""/>
    <s v="Major"/>
    <x v="1"/>
    <d v="2026-04-28T16:38:44"/>
    <d v="2026-04-30T10:25:55"/>
    <s v="값 입력 되는것 확인됨 결함등록기각으로 등록하겠습니다."/>
  </r>
  <r>
    <s v="UT-CASY051S(A)"/>
    <s v="2-2차"/>
    <n v="1"/>
    <x v="3"/>
    <s v="DEF-00423"/>
    <s v="화면에는 조회기간이 특정일(시작일/종료일 구조가 아님)만 입력 가능한데, 테스트 시나리오 및 증적에는 기간 관련 자료가 있음"/>
    <s v="개발자테스트"/>
    <s v="김명준"/>
    <s v="최민지"/>
    <s v="3자테스터공통"/>
    <s v="Online"/>
    <s v="개선/변경"/>
    <s v="UI"/>
    <s v="결함등록기각"/>
    <s v=""/>
    <s v="Minor"/>
    <x v="1"/>
    <d v="2026-04-29T09:13:27"/>
    <d v="2026-04-30T10:40:16"/>
    <s v="단위테스트 후 공항공사 요청으로 1일치 조회 조건으로 변경되어 시작일 종료일 조회에서 날짜 조회로 변경 함 정상입니다."/>
  </r>
  <r>
    <s v="UT-CARF037S(A)"/>
    <s v="1-1차"/>
    <n v="1"/>
    <x v="3"/>
    <s v="DEF-00476"/>
    <s v="화면 배율을 눌리면 Search 버튼이 영역을 침범함 반응형 불가?인가요"/>
    <s v="개발자테스트"/>
    <s v="김명준"/>
    <s v="김태훈"/>
    <s v="3자테스터공통"/>
    <s v="Online"/>
    <s v="개선/변경"/>
    <s v="UI"/>
    <s v="결함등록기각"/>
    <s v=""/>
    <s v="Minor"/>
    <x v="1"/>
    <d v="2026-04-29T14:32:33"/>
    <d v="2026-04-30T12:55:06"/>
    <s v="공통 퍼블로 퍼블 담당자에게 전달 하겠습니다."/>
  </r>
  <r>
    <s v="UT-FSQB190S"/>
    <s v="2-2차"/>
    <n v="1"/>
    <x v="2"/>
    <s v="DEF-00506"/>
    <s v="[C_4] 총계 row에서 휴대수하물의 경우 정상적으로 집계하고 있으나 위탁수하물, 총계는 집계하고 있지 않음"/>
    <s v="개발자테스트"/>
    <s v="임소정"/>
    <s v="임소정"/>
    <s v="3자테스터공통"/>
    <s v="Online"/>
    <s v="결함"/>
    <s v="UI"/>
    <s v="결함등록기각"/>
    <s v=""/>
    <s v="Major"/>
    <x v="1"/>
    <d v="2026-04-29T15:49:18"/>
    <d v="2026-04-30T13:14:53"/>
    <s v="기존과 동일."/>
  </r>
  <r>
    <s v="UT-CARF031S(A)"/>
    <s v="2-2차"/>
    <n v="1"/>
    <x v="3"/>
    <s v="DEF-00510"/>
    <s v="1. 저장된 엑셀파일의 열 순서가 화면상의 순서와 상이(고객 요청사항이 아니면, 맞출 필요가 있어보임, 이름도 상이)_x000a_"/>
    <s v="개발자테스트"/>
    <s v="김명준"/>
    <s v="최민지"/>
    <s v="3자테스터공통"/>
    <s v="Online"/>
    <s v="개선/변경"/>
    <s v="UI"/>
    <s v="결함등록기각"/>
    <s v=""/>
    <s v="Minor"/>
    <x v="1"/>
    <d v="2026-04-29T16:01:52"/>
    <d v="2026-04-30T11:04:43"/>
    <s v="엑셀파일의 순서는 기존 AS-IS의 순서와 동일하게 설정되어 있습니다."/>
  </r>
  <r>
    <s v="UT-FSSG170S"/>
    <s v="2-2차"/>
    <n v="1"/>
    <x v="2"/>
    <s v="DEF-00516"/>
    <s v="풀 내 print 버튼을 누르면 보이는 미리보기 화면입니다. 많이 깨집니다 "/>
    <s v="개발자테스트"/>
    <s v="임소정"/>
    <s v="임소정"/>
    <s v="3자테스터공통"/>
    <s v="Online"/>
    <s v="개선/변경"/>
    <s v="UI"/>
    <s v="결함등록기각"/>
    <s v=""/>
    <s v="Minor"/>
    <x v="1"/>
    <d v="2026-04-29T16:12:49"/>
    <d v="2026-05-06T16:10:48"/>
    <s v="공통 기능으로 모듈 개발 내에서 처리 불가능"/>
  </r>
  <r>
    <s v="UT-FSSG170S"/>
    <s v="2-2차"/>
    <n v="1"/>
    <x v="2"/>
    <s v="DEF-00520"/>
    <s v="진행중인 건에 대해서는 조회가 되지 않는건지 궁금합니다._x000a_조회일자가 시작일자를 기준으로한다면 해당 내용에 대해 페이지에 명시가 돼야한다 생각합니다. "/>
    <s v="개발자테스트"/>
    <s v="임소정"/>
    <s v="임소정"/>
    <s v="3자테스터공통"/>
    <s v="Online"/>
    <s v="개선/변경"/>
    <s v="UI"/>
    <s v="결함등록기각"/>
    <s v=""/>
    <s v="Minor"/>
    <x v="1"/>
    <d v="2026-04-29T16:22:16"/>
    <d v="2026-05-06T16:15:27"/>
    <s v="현업에서 수정 없이 기존 로직 유지를 요구함."/>
  </r>
  <r>
    <s v="UT-FSEX060S"/>
    <s v="2-1차"/>
    <n v="1"/>
    <x v="2"/>
    <s v="DEF-00526"/>
    <s v="자동 계산일자에 대한 로직 확인 필요_x000a_날짜 수정 시 시작/종료에 대한 기간 일이 계산 되지만 일을 수정했을 때는 시작 또는 종료 일이 변경이 되지 않음. 그러다 보니 일을 수정하게 되면 입력된 시간/종료 의 기간과 다른 값을 저장할 수 있음."/>
    <s v="개발자테스트"/>
    <s v="임소정"/>
    <s v="임소정"/>
    <s v="3자테스터공통"/>
    <s v="Online"/>
    <s v="개선/변경"/>
    <s v="기타"/>
    <s v="결함등록기각"/>
    <s v=""/>
    <s v="Minor"/>
    <x v="1"/>
    <d v="2026-04-29T17:24:20"/>
    <d v="2026-04-30T13:11:51"/>
    <s v="일수는 직접 입력하는 로직이 정상. 자동 계산은 추가 개선 기능임."/>
  </r>
  <r>
    <s v="UT-TabFrame(A)"/>
    <s v="1-1차"/>
    <n v="1"/>
    <x v="3"/>
    <s v="DEF-00533"/>
    <s v="화면 4개 Open 상태에서 상단 Tab 기능 우측의 &quot;3 Tile&quot;을 클릭하면.. 아래 화면처럼 Cascade 형태로 배치됨. 화면 3개와 4개 일때 다르게 동작함."/>
    <s v="개발자테스트"/>
    <s v="김명준"/>
    <s v="김태훈"/>
    <s v="3자테스터공통"/>
    <s v="Online"/>
    <s v="결함"/>
    <s v="UI"/>
    <s v="결함등록기각"/>
    <s v=""/>
    <s v="Minor"/>
    <x v="1"/>
    <d v="2026-04-30T09:28:49"/>
    <d v="2026-04-30T09:42:13"/>
    <s v="해당 메뉴 분할 종류에 따라 (3~4)표현 되는 방식이 다른것은 정상입니다._x000a_"/>
  </r>
  <r>
    <s v="UT-CASY005S(A)"/>
    <s v="1-1차"/>
    <n v="1"/>
    <x v="3"/>
    <s v="DEF-00535"/>
    <s v="파라미터 관리 화면 하단의 좌우 스크로바가 불필요한데.. 존재하며 기능 동작하지 않음"/>
    <s v="개발자테스트"/>
    <s v="김명준"/>
    <s v="정연준"/>
    <s v="3자테스터공통"/>
    <s v="Online"/>
    <s v="결함"/>
    <s v="UI"/>
    <s v="결함등록기각"/>
    <s v=""/>
    <s v="Minor"/>
    <x v="1"/>
    <d v="2026-04-30T09:52:26"/>
    <d v="2026-04-30T10:14:12"/>
    <s v="화면 분할 후 사이즈 줄이면 화면 크기로 인해 스크롤 나타는 것은 정상입니다."/>
  </r>
  <r>
    <s v="UT-CASY005S(A)"/>
    <s v="1-1차"/>
    <n v="1"/>
    <x v="3"/>
    <s v="DEF-00536"/>
    <s v="화면 크기 축소시 상단의 Search 버튼이 가려짐. 하단의 Save 버튼은 정상적으로 이동됨. 하단의 좌우 스크로에 의해 이동되지도 않음"/>
    <s v="개발자테스트"/>
    <s v="김명준"/>
    <s v="정연준"/>
    <s v="3자테스터공통"/>
    <s v="Online"/>
    <s v="결함"/>
    <s v="UI"/>
    <s v="결함등록기각"/>
    <s v=""/>
    <s v="Minor"/>
    <x v="1"/>
    <d v="2026-04-30T09:57:58"/>
    <d v="2026-04-30T10:18:06"/>
    <s v="공통 퍼블로 화면 비율(마우스로) 작게 조정 시 상단 서치 부분과 하단 저장의 위치가 달라 안보이는 것은 정상입니다. (상단 메뉴로 인한 범위 설정 다름)"/>
  </r>
  <r>
    <s v="UT-FSEY070S"/>
    <s v="2-2차"/>
    <n v="1"/>
    <x v="2"/>
    <s v="DEF-00545"/>
    <s v="[X_1] 29, 30, 31일이 없는 월에도 항상 일자와 요일이 표기되어 있음"/>
    <s v="개발자테스트"/>
    <s v="임소정"/>
    <s v="임소정"/>
    <s v="3자테스터공통"/>
    <s v="Online"/>
    <s v="결함"/>
    <s v="UI"/>
    <s v="결함등록기각"/>
    <s v=""/>
    <s v="Minor"/>
    <x v="1"/>
    <d v="2026-04-30T10:58:17"/>
    <d v="2026-04-30T13:14:22"/>
    <s v="기존 로직 유지"/>
  </r>
  <r>
    <s v="UT-CARF007S(A)"/>
    <s v="2-1차"/>
    <n v="1"/>
    <x v="3"/>
    <s v="DEF-00548"/>
    <s v="화면 일부 축소시 우측 상세 화면의 하단에 불필요한 좌우 스크롤 바가 나타남."/>
    <s v="개발자테스트"/>
    <s v="김명준"/>
    <s v="최민지"/>
    <s v="3자테스터공통"/>
    <s v="Online"/>
    <s v="결함"/>
    <s v="UI"/>
    <s v="결함등록기각"/>
    <s v=""/>
    <s v="Minor"/>
    <x v="1"/>
    <d v="2026-04-30T11:09:25"/>
    <d v="2026-04-30T12:43:30"/>
    <s v="공통 퍼블로 창모드 -&gt; 화면크기는 화면의 메뉴 구성에 따라 크기 줄일 시 스크롤 생성되는 것은 정상입니다."/>
  </r>
  <r>
    <s v="UT-CARF019S(A)"/>
    <s v="2-1차"/>
    <n v="1"/>
    <x v="3"/>
    <s v="DEF-00550"/>
    <s v="1. 화면 배율 100%임에도 불구하고 하단의 “SAVE”버튼이 일부 잘려서 보여짐. (90%에서는 잘 보임, 110%에서는 더 가려짐) _x000a_ – 테스트환경(노트북(1920*1080) _x000a_ - 연결된 모니터에서는 100%에서는 잘 보임_x000a_※ 적정 화면 크기에 대한 합의가 있다면 패쓰.._x000a_  그러나, 노트북이라도 100%에서 잘리는게 보이면 조금...... _x000a_"/>
    <s v="개발자테스트"/>
    <s v="김명준"/>
    <s v="정연준"/>
    <s v="3자테스터공통"/>
    <s v="Online"/>
    <s v="개선/변경"/>
    <s v="UI"/>
    <s v="결함등록기각"/>
    <s v=""/>
    <s v="Minor"/>
    <x v="1"/>
    <d v="2026-04-30T11:15:21"/>
    <d v="2026-04-30T12:50:22"/>
    <s v="공통 퍼블로 퍼블담당자에게 전달겠습니다._x000a_동일한 규격의 노트북 + 모니터에서 정상 표출 됩니다."/>
  </r>
  <r>
    <s v="UT-CARF012S(A)"/>
    <s v="2-1차"/>
    <n v="1"/>
    <x v="3"/>
    <s v="DEF-00551"/>
    <s v="조회 조건 입력 필드인 케로셀ID 또는 Exit ID 영역에 입력시.. 자판이 한글입력 모드에서는 키인해도 반응이 없음. 영문모드로 전환 후 입력하라든가.. 뭔가 안내 메시지가 필요함."/>
    <s v="개발자테스트"/>
    <s v="김명준"/>
    <s v="정연준"/>
    <s v="3자테스터공통"/>
    <s v="Online"/>
    <s v="개선/변경"/>
    <s v="UI"/>
    <s v="결함등록기각"/>
    <s v=""/>
    <s v="Minor"/>
    <x v="1"/>
    <d v="2026-04-30T11:15:53"/>
    <d v="2026-04-30T12:45:04"/>
    <s v="해당기능 영문 입력만 가능한 메뉴이며, 한글 입력불가 등 메시지 표출 팝업 미사용으로 정상입니다."/>
  </r>
  <r>
    <s v="UT-CARF014S(A)"/>
    <s v="2-1차"/>
    <n v="1"/>
    <x v="3"/>
    <s v="DEF-00553"/>
    <s v="출구ID 조건 입력시.. 키보드가 한글 입력모드에서는 키인해도 반응이 없음. 영문모드로 키인하라던가 뭔가 메시지 필요할듯.."/>
    <s v="개발자테스트"/>
    <s v="김명준"/>
    <s v="정연준"/>
    <s v="3자테스터공통"/>
    <s v="Online"/>
    <s v="개선/변경"/>
    <s v="UI"/>
    <s v="결함등록기각"/>
    <s v=""/>
    <s v="Minor"/>
    <x v="1"/>
    <d v="2026-04-30T11:29:24"/>
    <d v="2026-04-30T12:46:44"/>
    <s v="검색 메뉴별 한글/영어 검색 조건이 다르며, 해당 조건은 AS-IS 및 설계서 기반으로 되어 있어 정상입니다."/>
  </r>
  <r>
    <s v="UT-CARF015S(A)"/>
    <s v="2-1차"/>
    <n v="1"/>
    <x v="3"/>
    <s v="DEF-00554"/>
    <s v="조회 조건 입력 필드인 IP는 숫자만 입력 가능하고.. 케로셀 번호 필드는 한글 입력 불가한 것을 키인할때.. 잘못 입력되면 안내되길 바람"/>
    <s v="개발자테스트"/>
    <s v="김명준"/>
    <s v="정연준"/>
    <s v="3자테스터공통"/>
    <s v="Online"/>
    <s v="개선/변경"/>
    <s v="UI"/>
    <s v="결함등록기각"/>
    <s v=""/>
    <s v="Minor"/>
    <x v="1"/>
    <d v="2026-04-30T12:49:41"/>
    <d v="2026-04-30T12:53:55"/>
    <s v="검색 조건에 따라 영문/한글/숫자만 입력 되도록 되어 있습니다._x000a_별도의 메세지 표출 예정 없음 "/>
  </r>
  <r>
    <s v="UT-CARF017S(A)"/>
    <s v="2-1차"/>
    <n v="1"/>
    <x v="3"/>
    <s v="DEF-00555"/>
    <s v="조회 조건 입력 필드에 한글 입력 불가함을 키인 잘못할때 안내되길 바람"/>
    <s v="개발자테스트"/>
    <s v="김명준"/>
    <s v="정연준"/>
    <s v="3자테스터공통"/>
    <s v="Online"/>
    <s v="개선/변경"/>
    <s v="UI"/>
    <s v="결함등록기각"/>
    <s v=""/>
    <s v="Minor"/>
    <x v="1"/>
    <d v="2026-04-30T12:52:23"/>
    <d v="2026-04-30T13:08:54"/>
    <s v="메뉴별 조회조건 다름 한글/영문/숫자 별도 안내 안함"/>
  </r>
  <r>
    <s v="UT-CARF018S(A)"/>
    <s v="2-1차"/>
    <n v="1"/>
    <x v="3"/>
    <s v="DEF-00559"/>
    <s v="동일한 ICAO Code가 입력되어도 중복에러가 발생하지 않음(IATA Code와 ICAO Code는 중복되지 않아야하는 공항명칭 룰인지 확인 필요)"/>
    <s v="개발자테스트"/>
    <s v="김명준"/>
    <s v="정연준"/>
    <s v="3자테스터공통"/>
    <s v="Online"/>
    <s v="개선/변경"/>
    <s v="UI"/>
    <s v="결함등록기각"/>
    <s v=""/>
    <s v="Minor"/>
    <x v="1"/>
    <d v="2026-04-30T13:07:28"/>
    <d v="2026-05-06T09:28:10"/>
    <s v="AS-IS 동일하게 IATA, ICAO Code 중복 체크를 하고 있어 정상입니다."/>
  </r>
  <r>
    <s v="UT-FSEY050S"/>
    <s v="2-1차"/>
    <n v="1"/>
    <x v="2"/>
    <s v="DEF-00561"/>
    <s v="검색조건 기간이 시작년월일 ~ 종료년월일 이지만 조회되는 내용은 종료년월일의 년에 대한 데이터를 조회 함._x000a_검색조건 조회기간에 대해 조정이 필요해 보임."/>
    <s v="개발자테스트"/>
    <s v="임소정"/>
    <s v="임소정"/>
    <s v="3자테스터공통"/>
    <s v="Online"/>
    <s v="개선/변경"/>
    <s v="기능"/>
    <s v="결함등록기각"/>
    <s v=""/>
    <s v="Minor"/>
    <x v="1"/>
    <d v="2026-04-30T13:14:45"/>
    <d v="2026-05-06T16:40:06"/>
    <s v="현업 요구사항에 의한 변경이며 내용에 대한 문구 작성되어있음"/>
  </r>
  <r>
    <s v="UT-FSEY040S"/>
    <s v="2-1차"/>
    <n v="1"/>
    <x v="2"/>
    <s v="DEF-00562"/>
    <s v="검색조건 기간이 시작년월일 ~ 종료년월일 이지만 조회되는 내용은 종료년월일의 년에 대한 데이터를 조회 함._x000a_검색조건 조회기간에 대해 조정이 필요해 보임."/>
    <s v="개발자테스트"/>
    <s v="임소정"/>
    <s v="임소정"/>
    <s v="3자테스터공통"/>
    <s v="Online"/>
    <s v="개선/변경"/>
    <s v="기능"/>
    <s v="결함등록기각"/>
    <s v=""/>
    <s v="Minor"/>
    <x v="1"/>
    <d v="2026-04-30T13:16:32"/>
    <d v="2026-05-06T16:42:23"/>
    <s v="현업 요구사항에 의한 검색 조건 변경이 있었음. 해당 내용은 현업 요구사항임"/>
  </r>
  <r>
    <s v="UT-FSQB080S"/>
    <s v="2-1차"/>
    <n v="1"/>
    <x v="2"/>
    <s v="DEF-00563"/>
    <s v="[X_1] 같은 합계 성격의 column이지만, 기내반입 금지물품 적발 현황의 합계 셀은 색상이 설정되지 않음"/>
    <s v="개발자테스트"/>
    <s v="임소정"/>
    <s v="임소정"/>
    <s v="3자테스터공통"/>
    <s v="Online"/>
    <s v="개선/변경"/>
    <s v="UI"/>
    <s v="결함등록기각"/>
    <s v=""/>
    <s v="Minor"/>
    <x v="1"/>
    <d v="2026-04-30T13:19:24"/>
    <d v="2026-05-06T16:26:36"/>
    <s v="보고서는 현업에서 협의한 내용이므로 별도의 요구사항이 존재하지 않으면 기존 UI를 유지하는게 요구사항임"/>
  </r>
  <r>
    <s v="UT-CASY002S(A)"/>
    <s v="1-1차"/>
    <n v="1"/>
    <x v="3"/>
    <s v="DEF-00384"/>
    <s v="아래 화면처럼 Y/N 입력 영역과 Search 버튼이 겹침"/>
    <s v="개발자테스트"/>
    <s v="김명준"/>
    <s v="정연준"/>
    <s v="3자테스터공통"/>
    <s v="Online"/>
    <s v="결함"/>
    <s v="UI"/>
    <s v="결함등록기각"/>
    <s v=""/>
    <s v="Minor"/>
    <x v="1"/>
    <d v="2026-04-28T15:42:03"/>
    <d v="2026-04-28T18:33:54"/>
    <s v="공통 퍼블(CSS)영역으로 담당자에게 해당 사항 전달하겠습니다._x000a_결함등록기각으로 변경처리함. "/>
  </r>
  <r>
    <s v="UT-CASY002S(A)"/>
    <s v="1-1차"/>
    <n v="1"/>
    <x v="3"/>
    <s v="DEF-00386"/>
    <s v="우측 하단의 Save 버튼과 문자열 겹침"/>
    <s v="개발자테스트"/>
    <s v="김명준"/>
    <s v="정연준"/>
    <s v="3자테스터공통"/>
    <s v="Online"/>
    <s v="결함"/>
    <s v="UI"/>
    <s v="결함등록기각"/>
    <s v=""/>
    <s v="Minor"/>
    <x v="1"/>
    <d v="2026-04-28T15:43:44"/>
    <d v="2026-04-28T18:34:15"/>
    <s v="공통 퍼블(CSS)영역으로 담당자에게 해당 사항 전달하겠습니다._x000a_결함등록기각으로 변경처리함. "/>
  </r>
  <r>
    <s v="UT-CASY026S(A)"/>
    <s v="2-1차"/>
    <n v="1"/>
    <x v="3"/>
    <s v="DEF-00388"/>
    <s v="title은 최대 글자수를 초과시 입력 자체가 안되는데,_x000a_context는  글자수를 초과 입력이 허용되고 저장시 alert 이 뜸_x000a_"/>
    <s v="개발자테스트"/>
    <s v="김명준"/>
    <s v="정연준"/>
    <s v="3자테스터공통"/>
    <s v="Online"/>
    <s v="결함"/>
    <s v="프로세스"/>
    <s v="결함등록기각"/>
    <s v=""/>
    <s v="Critical"/>
    <x v="1"/>
    <d v="2026-04-28T15:45:46"/>
    <d v="2026-04-30T09:31:46"/>
    <s v="헤당 글자수 입력할때마다 Bytes 관련_x000a_1차 Bytes 숫자료 사용자에게 알림_x000a_2차 저장시 Bytes 초가 알림으로 정상입니다."/>
  </r>
  <r>
    <s v="UT-CARF040S(A)"/>
    <s v="1-2차"/>
    <n v="1"/>
    <x v="3"/>
    <s v="DEF-00406"/>
    <s v="아이템 삭제가 진행되지 않습니다._x000a__x000a_List1, List2 동일._x000a_검색된 아이템을 포커스 한 후 - 버튼으로 삭제 선택을 하고 SAVE 버튼을 누르면 잠깐 체크한 아이템이 사라지는데 저장완료 ALERT 의 확인버튼을 누르면 다시 나타납니다. _x000a__x000a_DB 에서 삭제 처리가 제대로 안되는것 같습니다. "/>
    <s v="개발자테스트"/>
    <s v="김명준"/>
    <s v="김태훈"/>
    <s v="3자테스터공통"/>
    <s v="Online"/>
    <s v="결함"/>
    <s v="기능"/>
    <s v="결함등록기각"/>
    <s v=""/>
    <s v="Critical"/>
    <x v="1"/>
    <d v="2026-04-28T17:28:18"/>
    <d v="2026-04-29T13:40:52"/>
    <s v="List 1, List 2 등 AOMS 에서 (-) 삭제선택 -&gt; Save시 데이터 지워졌다 다시 나타나는 상황은 AOMS는 삭제의 개념(DB 데이터삭제) 가 아닌 (-) 삭제선택 -&gt; Save시 Use Y/N 이 Y-&gt;N으로 변경되도록 하는 기능으로 정삭 작동입니다. "/>
  </r>
  <r>
    <s v="UT-PM20158S"/>
    <s v="2-2차"/>
    <n v="1"/>
    <x v="1"/>
    <s v="DEF-00420"/>
    <s v="엑셀 저장 버튼 클릭시 그래프 비교 화면이 나타남._x000a_(엑셀 파일은 다운이 안됨)"/>
    <s v="개발자테스트"/>
    <s v="임소정"/>
    <s v="노세찬"/>
    <s v="3자테스터공통"/>
    <s v="Online"/>
    <s v="결함"/>
    <s v="기능"/>
    <s v="결함등록기각"/>
    <s v=""/>
    <s v="Major"/>
    <x v="1"/>
    <d v="2026-04-28T18:02:58"/>
    <d v="2026-04-29T08:39:18"/>
    <s v="처리완료하였습니다. 개발서버 기준 (26년 04월 30일 오전에 확인가능합니다.)_x000a_DEF-00222 결함과 같은 내용이므로 기각합니다."/>
  </r>
  <r>
    <s v="UT-PM20157S"/>
    <s v="2-2차"/>
    <n v="1"/>
    <x v="1"/>
    <s v="DEF-00421"/>
    <s v="엑셀저장 버튼 클릭시 그래프 비교화면이 나타남(엑셀파일은 저장이 안됨)"/>
    <s v="개발자테스트"/>
    <s v="임소정"/>
    <s v="노세찬"/>
    <s v="3자테스터공통"/>
    <s v="Online"/>
    <s v="결함"/>
    <s v="기능"/>
    <s v="결함등록기각"/>
    <s v=""/>
    <s v="Major"/>
    <x v="1"/>
    <d v="2026-04-28T18:03:57"/>
    <d v="2026-04-29T08:39:04"/>
    <s v="처리완료하였습니다. 개발서버 기준 (26년 04월 30일 오전에 확인가능합니다.)_x000a_DEF-00222 결함과 같은 내용이므로 기각합니다."/>
  </r>
  <r>
    <s v="UT-PM20156S"/>
    <s v="2-2차"/>
    <n v="1"/>
    <x v="1"/>
    <s v="DEF-00422"/>
    <s v="엑셀저장 버튼 클릭시 그래프 비교 화면이 나타남.(엑셀파일은 저장 안됨)"/>
    <s v="개발자테스트"/>
    <s v="임소정"/>
    <s v="노세찬"/>
    <s v="3자테스터공통"/>
    <s v="Online"/>
    <s v="결함"/>
    <s v="기능"/>
    <s v="결함등록기각"/>
    <s v=""/>
    <s v="Major"/>
    <x v="1"/>
    <d v="2026-04-28T18:04:43"/>
    <d v="2026-04-29T08:38:49"/>
    <s v="처리완료하였습니다. 개발서버 기준 (26년 04월 30일 오전에 확인가능합니다.)_x000a_DEF-00222 결함과 같은 내용이므로 기각합니다."/>
  </r>
  <r>
    <s v="UT-FSEX020S"/>
    <s v="2-1차"/>
    <n v="1"/>
    <x v="2"/>
    <s v="DEF-00509"/>
    <s v="수정버튼을 눌러야 체크되어 있는 것이 보임. "/>
    <s v="개발자테스트"/>
    <s v="임소정"/>
    <s v="임소정"/>
    <s v="3자테스터공통"/>
    <s v="Online"/>
    <s v="결함"/>
    <s v="기능"/>
    <s v="조치요청"/>
    <s v="임소정"/>
    <s v="Major"/>
    <x v="2"/>
    <d v="2026-04-29T15:57:14"/>
    <d v="2026-05-08T08:42:17"/>
    <s v=""/>
  </r>
  <r>
    <s v="UT-FSEX021S"/>
    <s v="2-2차"/>
    <n v="1"/>
    <x v="2"/>
    <s v="DEF-00122"/>
    <s v="-페이지번호 누락_x000a_-MS-WORD파일 출력 에러(용지크기 오류, 출력대상 오류)_x000a_-엑셀파일 출력(용지 확인, 1페이지-&gt; 2페이지 조정)_x000a_-다운로드받은 각 파일들 왼쪽에 쏠림현상(출력대상 내용이 많지만, 좌우 여백 고려할 필요-&gt;관련 기능이 있다면 좌측여백 조정 지원 필요) _x000a_-AOMS화면 프린터 클릭 출력후 화면에서 출력내용 없음."/>
    <s v="개발자테스트"/>
    <s v="임소정"/>
    <s v="임소정"/>
    <s v="3자테스터공통"/>
    <s v="Online"/>
    <s v="개선/변경"/>
    <s v="UI"/>
    <s v="조치요청"/>
    <s v="임소정"/>
    <s v="Minor"/>
    <x v="2"/>
    <d v="2026-04-24T10:40:47"/>
    <d v="2026-04-29T16:00:46"/>
    <s v=""/>
  </r>
  <r>
    <s v="UT-FSEX019S"/>
    <s v="2-2차"/>
    <n v="1"/>
    <x v="2"/>
    <s v="DEF-00113"/>
    <s v="-페이지 하단 페이지 번호 누락_x000a_-다운로드받은 엑셀파일 출력 용지 방향을 세로로 설정 필요(1페이지가 2페이지로 출력됨)_x000a_-AOMS화면내 출력내용의 왼편으로 쏠림(셀크기 조정 기능이 있다면 적용 필요)_x000a_-AOMS화면내 프린터 클릭후 출력내용이 안 보임._x000a_-AOMS 화면내 시기 선택 관련 다른 화면과 상이(다만, 본 화면은 년/월 선택조건)"/>
    <s v="개발자테스트"/>
    <s v="임소정"/>
    <s v="임소정"/>
    <s v="3자테스터공통"/>
    <s v="Online"/>
    <s v="개선/변경"/>
    <s v="UI"/>
    <s v="조치요청"/>
    <s v="임소정"/>
    <s v="Minor"/>
    <x v="2"/>
    <d v="2026-04-24T09:37:43"/>
    <d v="2026-04-29T16:00:34"/>
    <s v=""/>
  </r>
  <r>
    <s v="UT-CASY001S(A)"/>
    <s v="1-1차"/>
    <n v="1"/>
    <x v="3"/>
    <s v="DEF-00144"/>
    <s v="보여지는 Message List에는 없지만 데이터는 있을 경우 중복데이터 오류메시지가 아닌 서버오류 메시지가 나옵니다. "/>
    <s v="개발자테스트"/>
    <s v="김명준"/>
    <s v="정연준"/>
    <s v="3자테스터공통"/>
    <s v="Online"/>
    <s v="개선/변경"/>
    <s v="데이터"/>
    <s v="최종확인    "/>
    <s v=""/>
    <s v="Minor"/>
    <x v="3"/>
    <d v="2026-04-24T15:54:54"/>
    <d v="2026-04-29T16:24:52"/>
    <s v=""/>
  </r>
  <r>
    <s v="UT-CASY014S(A)"/>
    <s v="1-1차"/>
    <n v="1"/>
    <x v="3"/>
    <s v="DEF-00150"/>
    <s v="보여지는 List에는 없지만 데이터는 있을 경우 중복데이터 오류메시지가 아닌 서버오류 메시지가 나옵니다._x000a__x000a_데이터 조회기능과 생성기능이 같이있는 페이지 경우 같은 오류가 나옵니다._x000a_이 이후 생기는 페이지는 결함으로 올리지 않겠습니다._x000a_같은 종류의 페이지 확인 부탁드립니다."/>
    <s v="개발자테스트"/>
    <s v="김명준"/>
    <s v="최민지"/>
    <s v="3자테스터공통"/>
    <s v="Online"/>
    <s v="결함"/>
    <s v="데이터"/>
    <s v="최종확인    "/>
    <s v=""/>
    <s v="Minor"/>
    <x v="3"/>
    <d v="2026-04-24T17:00:51"/>
    <d v="2026-04-30T10:21:13"/>
    <s v=""/>
  </r>
  <r>
    <s v="UT-CASY006S(A)"/>
    <s v="1-2차"/>
    <n v="1"/>
    <x v="3"/>
    <s v="DEF-00380"/>
    <s v="아래의 첫화면에서 아래로 스크롤하면.. 내용만 스크롤 되지 않고.. 화면 전체가 올라가서.. 상단 Search 버튼은 사라지고.. 하단의 Save 버튼은 함께 따라 올라옴"/>
    <s v="개발자테스트"/>
    <s v="김명준"/>
    <s v="정연준"/>
    <s v="3자테스터공통"/>
    <s v="Online"/>
    <s v="결함"/>
    <s v="UI"/>
    <s v="최종확인    "/>
    <s v=""/>
    <s v="Minor"/>
    <x v="3"/>
    <d v="2026-04-28T15:37:19"/>
    <d v="2026-04-29T13:21:41"/>
    <s v=""/>
  </r>
  <r>
    <s v="UT-CAMN002M(A)"/>
    <s v="1-2차"/>
    <n v="1"/>
    <x v="3"/>
    <s v="DEF-00096"/>
    <s v="로그인중 OTP 인증 불가로 테스트 진행 불가"/>
    <s v="개발자테스트"/>
    <s v="김명준"/>
    <s v="정연준"/>
    <s v="3자테스터공통"/>
    <s v="Online"/>
    <s v="개선/변경"/>
    <s v="UI"/>
    <s v="최종확인    "/>
    <s v=""/>
    <s v="Minor"/>
    <x v="3"/>
    <d v="2026-04-23T15:19:41"/>
    <d v="2026-04-30T10:05:13"/>
    <s v=""/>
  </r>
  <r>
    <s v="UT-CASY010S(A)"/>
    <s v="1-2차"/>
    <n v="1"/>
    <x v="3"/>
    <s v="DEF-00125"/>
    <s v="검색창에서 검색을 하지 않은 상태에서는 중복데이터 알림이 나오지만_x000a_검색 후 추가를 하면 아래 이미지와 같은 오류메시지가 나옵니다."/>
    <s v="개발자테스트"/>
    <s v="김명준"/>
    <s v="최민지"/>
    <s v="3자테스터공통"/>
    <s v="Online"/>
    <s v="개선/변경"/>
    <s v="UI"/>
    <s v="최종확인    "/>
    <s v=""/>
    <s v="Minor"/>
    <x v="3"/>
    <d v="2026-04-24T11:22:40"/>
    <d v="2026-04-29T10:05:36"/>
    <s v=""/>
  </r>
  <r>
    <s v="UT-CARF037S(A)"/>
    <s v="1-1차"/>
    <n v="1"/>
    <x v="3"/>
    <s v="DEF-00265"/>
    <s v="공통코드관리 에 해당하는 메뉴를 찾을 수 없습니다. _x000a_영문 메뉴 경로 필요."/>
    <s v="개발자테스트"/>
    <s v="김명준"/>
    <s v="김태훈"/>
    <s v="3자테스터공통"/>
    <s v="Online"/>
    <s v="결함"/>
    <s v="기능"/>
    <s v="최종확인    "/>
    <s v=""/>
    <s v="Major"/>
    <x v="3"/>
    <d v="2026-04-27T17:48:45"/>
    <d v="2026-04-29T14:33:07"/>
    <s v=""/>
  </r>
  <r>
    <s v="UT-PM10103S"/>
    <s v="2-1차"/>
    <n v="1"/>
    <x v="1"/>
    <s v="DEF-00235"/>
    <s v="화면의 첫 째 필드에 커셔가 Set focus되어 있지 않음."/>
    <s v="개발자테스트"/>
    <s v="임소정"/>
    <s v="pmtbd2"/>
    <s v="3자테스터공통"/>
    <s v="Online"/>
    <s v="개선/변경"/>
    <s v="UI"/>
    <s v="최종확인    "/>
    <s v=""/>
    <s v="Minor"/>
    <x v="3"/>
    <d v="2026-04-27T17:14:13"/>
    <d v="2026-05-06T17:53:21"/>
    <s v=""/>
  </r>
  <r>
    <s v="UT-CAMN015M(A)"/>
    <s v="1-1차"/>
    <n v="1"/>
    <x v="3"/>
    <s v="DEF-00230"/>
    <s v="파일첨부  팝업 메뉴를 찾을 수가 없음."/>
    <s v="개발자테스트"/>
    <s v="김명준"/>
    <s v="정연준"/>
    <s v="3자테스터공통"/>
    <s v="Online"/>
    <s v="결함"/>
    <s v="기능"/>
    <s v="최종확인    "/>
    <s v=""/>
    <s v="Major"/>
    <x v="3"/>
    <d v="2026-04-27T17:05:19"/>
    <d v="2026-04-29T17:10:27"/>
    <s v=""/>
  </r>
  <r>
    <s v="UT-CAMN014M(A)"/>
    <s v="1-1차"/>
    <n v="1"/>
    <x v="3"/>
    <s v="DEF-00523"/>
    <s v="Company Type readonly로 막아놓을꺼면 빈칸으로 남겨두거나, 삭제하면 좋을것 같습니다"/>
    <s v="개발자테스트"/>
    <s v="김명준"/>
    <s v="정연준"/>
    <s v="3자테스터공통"/>
    <s v="Online"/>
    <s v="개선/변경"/>
    <s v="기능"/>
    <s v="확인요청"/>
    <s v="3자테스터공통"/>
    <s v="Minor"/>
    <x v="4"/>
    <d v="2026-04-29T17:08:43"/>
    <d v="2026-05-06T09:24:59"/>
    <s v=""/>
  </r>
  <r>
    <s v="UT-CASY002S(A)"/>
    <s v="1-1차"/>
    <n v="1"/>
    <x v="3"/>
    <s v="DEF-00528"/>
    <s v="program descripton validator 걸렸을때 undefined의 길이라고 뜹니다"/>
    <s v="개발자테스트"/>
    <s v="김명준"/>
    <s v="정연준"/>
    <s v="3자테스터공통"/>
    <s v="Online"/>
    <s v="결함"/>
    <s v="UI"/>
    <s v="확인요청"/>
    <s v="3자테스터공통"/>
    <s v="Minor"/>
    <x v="4"/>
    <d v="2026-04-29T17:48:17"/>
    <d v="2026-05-06T09:25:56"/>
    <s v=""/>
  </r>
  <r>
    <s v="UT-FSEX080M"/>
    <s v="2-2차"/>
    <n v="1"/>
    <x v="2"/>
    <s v="DEF-00529"/>
    <s v="[X_1] 필수 필드들 중, '탐지/식별 구분', '운항통제', '단계' 필드에는 양식에 나열된 값 뿐 아니라 '해당없음' 항목도 입력 가능하므로 양식에도 이를 반영하면 좋을 것 같습니다."/>
    <s v="개발자테스트"/>
    <s v="임소정"/>
    <s v="임소정"/>
    <s v="3자테스터공통"/>
    <s v="Online"/>
    <s v="개선/변경"/>
    <s v="UI"/>
    <s v="확인요청"/>
    <s v="3자테스터공통"/>
    <s v="Minor"/>
    <x v="4"/>
    <d v="2026-04-29T17:49:29"/>
    <d v="2026-05-07T19:22:57"/>
    <s v=""/>
  </r>
  <r>
    <s v="UT-FSEX070S"/>
    <s v="2-1차"/>
    <n v="1"/>
    <x v="2"/>
    <s v="DEF-00543"/>
    <s v="이미지 미리보기 팝업에서 닫기 버튼 위치 조정을 하여 가로스크로 제거 피료"/>
    <s v="개발자테스트"/>
    <s v="임소정"/>
    <s v="임소정"/>
    <s v="3자테스터공통"/>
    <s v="Online"/>
    <s v="개선/변경"/>
    <s v="UI"/>
    <s v="확인요청"/>
    <s v="3자테스터공통"/>
    <s v="Minor"/>
    <x v="4"/>
    <d v="2026-04-30T10:54:11"/>
    <d v="2026-05-07T19:40:15"/>
    <s v=""/>
  </r>
  <r>
    <s v="UT-CARF004S(A)"/>
    <s v="2-2차"/>
    <n v="1"/>
    <x v="3"/>
    <s v="DEF-00703"/>
    <s v="시작, 종료 일자 안내 메시자 나오지만 입력 가능하고 저장도 처리 됨."/>
    <s v="개발자테스트"/>
    <s v="김명준"/>
    <s v="최민지"/>
    <s v="3자테스터공통"/>
    <s v="Online"/>
    <s v="개선/변경"/>
    <s v="기능"/>
    <s v="확인요청"/>
    <s v="3자테스터공통"/>
    <s v="Major"/>
    <x v="4"/>
    <d v="2026-05-06T11:12:08"/>
    <d v="2026-05-07T10:48:15"/>
    <s v=""/>
  </r>
  <r>
    <s v="UT-CARF004S(A)"/>
    <s v="2-2차"/>
    <n v="1"/>
    <x v="3"/>
    <s v="DEF-00704"/>
    <s v="입력된 건은 - 삭제 처리가 안됨."/>
    <s v="개발자테스트"/>
    <s v="김명준"/>
    <s v="최민지"/>
    <s v="3자테스터공통"/>
    <s v="Online"/>
    <s v="개선/변경"/>
    <s v="기능"/>
    <s v="확인요청"/>
    <s v="3자테스터공통"/>
    <s v="Major"/>
    <x v="4"/>
    <d v="2026-05-06T11:14:22"/>
    <d v="2026-05-07T10:49:28"/>
    <s v=""/>
  </r>
  <r>
    <s v="UT-PM10304S"/>
    <s v="2-3차"/>
    <n v="1"/>
    <x v="1"/>
    <s v="DEF-00003"/>
    <s v="데이터가 없어서 테스트가 불가합니다."/>
    <s v="개발자테스트"/>
    <s v="임소정"/>
    <s v="pmtbd2"/>
    <s v="3자테스터공통"/>
    <s v="Online"/>
    <s v="결함"/>
    <s v="데이터"/>
    <s v="확인요청"/>
    <s v="3자테스터공통"/>
    <s v="Major"/>
    <x v="4"/>
    <d v="2026-04-22T11:08:35"/>
    <d v="2026-04-27T13:35:27"/>
    <s v=""/>
  </r>
  <r>
    <s v="UT-FSEX018S"/>
    <s v="2-2차"/>
    <n v="1"/>
    <x v="2"/>
    <s v="DEF-00111"/>
    <s v="엑셀 파일 화면 및 출력화면 하단에 페이지번호 누락_x000a_이전 &quot;훈련현황 조회&quot; 와 마찬가지로 AOMS화면내 프린터 클릭시 출력할 내용이 안 보임"/>
    <s v="개발자테스트"/>
    <s v="임소정"/>
    <s v="임소정"/>
    <s v="3자테스터공통"/>
    <s v="Online"/>
    <s v="개선/변경"/>
    <s v="UI"/>
    <s v="확인요청"/>
    <s v="3자테스터공통"/>
    <s v="Minor"/>
    <x v="4"/>
    <d v="2026-04-24T09:30:49"/>
    <d v="2026-05-06T16:52:53"/>
    <s v=""/>
  </r>
  <r>
    <s v="UT-CASY008S(A)"/>
    <s v="1-1차"/>
    <n v="1"/>
    <x v="3"/>
    <s v="DEF-00148"/>
    <s v="보여지는 List에는 없지만 데이터는 있을 경우 중복데이터 오류메시지가 아닌 서버오류 메시지가 나옵니다. "/>
    <s v="개발자테스트"/>
    <s v="김명준"/>
    <s v="정연준"/>
    <s v="3자테스터공통"/>
    <s v="Online"/>
    <s v="결함"/>
    <s v="데이터"/>
    <s v="확인요청"/>
    <s v="3자테스터공통"/>
    <s v="Minor"/>
    <x v="4"/>
    <d v="2026-04-24T16:50:04"/>
    <d v="2026-04-28T12:42:14"/>
    <s v=""/>
  </r>
  <r>
    <s v="UT-PM10201S"/>
    <s v="2-2차"/>
    <n v="1"/>
    <x v="1"/>
    <s v="DEF-00191"/>
    <s v="해당 메뉴가 없습니다."/>
    <s v="개발자테스트"/>
    <s v="임소정"/>
    <s v="pmtbd1"/>
    <s v="3자테스터공통"/>
    <s v="Online"/>
    <s v="결함"/>
    <s v="기능"/>
    <s v="결함등록기각"/>
    <s v="3자테스터공통"/>
    <s v="Critical"/>
    <x v="4"/>
    <d v="2026-04-27T14:20:48"/>
    <d v="2026-04-29T07:34:47"/>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r>
  <r>
    <s v="UT-PM10101S"/>
    <s v="2-1차"/>
    <n v="1"/>
    <x v="1"/>
    <s v="DEF-00237"/>
    <s v="화면의 첫 째 필드(날짜)에 커셔가 Set focus되어 있지 않음. "/>
    <s v="개발자테스트"/>
    <s v="임소정"/>
    <s v="신문호"/>
    <s v="3자테스터공통"/>
    <s v="Online"/>
    <s v="개선/변경"/>
    <s v="UI"/>
    <s v="확인요청"/>
    <s v="3자테스터공통"/>
    <s v="Minor"/>
    <x v="4"/>
    <d v="2026-04-27T17:15:15"/>
    <d v="2026-04-29T08:04:35"/>
    <s v=""/>
  </r>
  <r>
    <s v="UT-CASY028S(A)"/>
    <s v="1-1차"/>
    <n v="1"/>
    <x v="3"/>
    <s v="DEF-00252"/>
    <s v="역할그룹관리 에 해당하는 메뉴를 찾을 수가 없음. _x000a_접근 경로명 정보 필요. "/>
    <s v="개발자테스트"/>
    <s v="김명준"/>
    <s v="최민지"/>
    <s v="3자테스터공통"/>
    <s v="Online"/>
    <s v="결함"/>
    <s v="기능"/>
    <s v="확인요청"/>
    <s v="3자테스터공통"/>
    <s v="Major"/>
    <x v="4"/>
    <d v="2026-04-27T17:21:05"/>
    <d v="2026-04-28T12:52:18"/>
    <s v=""/>
  </r>
  <r>
    <s v="UT-GO11101S"/>
    <s v="1-2차"/>
    <n v="1"/>
    <x v="0"/>
    <s v="DEF-00280"/>
    <s v="오타 같습니다. "/>
    <s v="개발자테스트"/>
    <s v="신문호"/>
    <s v="김경준"/>
    <s v="3자테스터공통"/>
    <s v="Online"/>
    <s v="개선/변경"/>
    <s v="기타"/>
    <s v="확인요청"/>
    <s v="3자테스터공통"/>
    <s v="Minor"/>
    <x v="4"/>
    <d v="2026-04-28T10:20:13"/>
    <d v="2026-04-30T15:11:03"/>
    <s v=""/>
  </r>
  <r>
    <s v="UT-FSQA050S"/>
    <s v="1-1차"/>
    <n v="1"/>
    <x v="2"/>
    <s v="DEF-00318"/>
    <s v="화면 로딩시 아래와 같은 오류가 뜸. _x000a_(포기물품 정보의 근무지가 근무지 자회사 매핑정보와 일치하는 데이터가 없습니다.)"/>
    <s v="개발자테스트"/>
    <s v="임소정"/>
    <s v="임소정"/>
    <s v="3자테스터공통"/>
    <s v="Online"/>
    <s v="결함"/>
    <s v="기능"/>
    <s v="확인요청"/>
    <s v="3자테스터공통"/>
    <s v="Minor"/>
    <x v="4"/>
    <d v="2026-04-28T13:36:17"/>
    <d v="2026-05-07T19:09:32"/>
    <s v=""/>
  </r>
  <r>
    <s v="UT-CAMN005M(A)"/>
    <s v="1-2차"/>
    <n v="1"/>
    <x v="3"/>
    <s v="DEF-00467"/>
    <s v="최초로그인 계정 알려주시면 그떄 다시 테스트 해보겠습니다!"/>
    <s v="개발자테스트"/>
    <s v="김명준"/>
    <s v="정연준"/>
    <s v="3자테스터공통"/>
    <s v="Online"/>
    <s v="신규"/>
    <s v="기타"/>
    <s v="확인요청"/>
    <s v="3자테스터공통"/>
    <s v="Minor"/>
    <x v="4"/>
    <d v="2026-04-29T13:52:50"/>
    <d v="2026-04-29T18:40:39"/>
    <s v=""/>
  </r>
  <r>
    <s v="UT-FSEX020S"/>
    <s v="2-1차"/>
    <n v="1"/>
    <x v="2"/>
    <s v="DEF-00504"/>
    <s v="최대 입려값 확인 필요"/>
    <s v="개발자테스트"/>
    <s v="임소정"/>
    <s v="임소정"/>
    <s v="3자테스터공통"/>
    <s v="Online"/>
    <s v="결함"/>
    <s v="기능"/>
    <s v="확인요청"/>
    <s v="3자테스터공통"/>
    <s v="Critical"/>
    <x v="4"/>
    <d v="2026-04-29T15:46:18"/>
    <d v="2026-05-08T08:39:57"/>
    <s v=""/>
  </r>
  <r>
    <s v="UT-FSEX020S"/>
    <s v="2-1차"/>
    <n v="1"/>
    <x v="2"/>
    <s v="DEF-00505"/>
    <s v="최대 입력값 확인 필요"/>
    <s v="개발자테스트"/>
    <s v="임소정"/>
    <s v="임소정"/>
    <s v="3자테스터공통"/>
    <s v="Online"/>
    <s v="결함"/>
    <s v="기능"/>
    <s v="확인요청"/>
    <s v="3자테스터공통"/>
    <s v="Critical"/>
    <x v="4"/>
    <d v="2026-04-29T15:47:02"/>
    <d v="2026-05-08T08:41:02"/>
    <s v=""/>
  </r>
  <r>
    <s v="UT-FSEX020S"/>
    <s v="2-1차"/>
    <n v="1"/>
    <x v="2"/>
    <s v="DEF-00507"/>
    <s v="최대 입력값 확인 필요"/>
    <s v="개발자테스트"/>
    <s v="임소정"/>
    <s v="임소정"/>
    <s v="3자테스터공통"/>
    <s v="Online"/>
    <s v="결함"/>
    <s v="기능"/>
    <s v="확인요청"/>
    <s v="3자테스터공통"/>
    <s v="Critical"/>
    <x v="4"/>
    <d v="2026-04-29T15:49:36"/>
    <d v="2026-05-08T08:41:37"/>
    <s v=""/>
  </r>
  <r>
    <s v="UT-CASY033S(A)"/>
    <s v="1-1차"/>
    <n v="1"/>
    <x v="3"/>
    <s v="DEF-00511"/>
    <s v="데이터가 0인 상태에서 Count 영역을 지운후 Save치면 변경된 내용이 없다는 alert가 표시"/>
    <s v="개발자테스트"/>
    <s v="김명준"/>
    <s v="최민지"/>
    <s v="3자테스터공통"/>
    <s v="Online"/>
    <s v="결함"/>
    <s v="기능"/>
    <s v="확인요청"/>
    <s v="3자테스터공통"/>
    <s v="Minor"/>
    <x v="4"/>
    <d v="2026-04-29T16:03:50"/>
    <d v="2026-05-06T09:26:21"/>
    <s v=""/>
  </r>
  <r>
    <s v="UT-FSEX080S"/>
    <s v="2-2차"/>
    <n v="1"/>
    <x v="2"/>
    <s v="DEF-00524"/>
    <s v="[S_9] '시간(b-a)' 필드는 세부내용의 하위 필드가 아닌 탐지/식별 시간의 하위 필드이기 때문에 셀 병합이 잘못되었음."/>
    <s v="개발자테스트"/>
    <s v="임소정"/>
    <s v="임소정"/>
    <s v="3자테스터공통"/>
    <s v="Online"/>
    <s v="결함"/>
    <s v="UI"/>
    <s v="확인요청"/>
    <s v="3자테스터공통"/>
    <s v="Minor"/>
    <x v="4"/>
    <d v="2026-04-29T17:09:42"/>
    <d v="2026-05-07T19:23:27"/>
    <s v=""/>
  </r>
  <r>
    <s v="UT-TitleFrame(A)"/>
    <s v="1-1차"/>
    <n v="1"/>
    <x v="3"/>
    <s v="DEF-00525"/>
    <s v="X버튼의 미동작입니다. X버튼은 무슨 기능을 하는건가요? "/>
    <s v="개발자테스트"/>
    <s v="김명준"/>
    <s v="김태훈"/>
    <s v="3자테스터공통"/>
    <s v="Online"/>
    <s v="결함"/>
    <s v="기능"/>
    <s v="확인요청"/>
    <s v="3자테스터공통"/>
    <s v="Minor"/>
    <x v="4"/>
    <d v="2026-04-29T17:22:44"/>
    <d v="2026-04-30T08:45:20"/>
    <s v=""/>
  </r>
  <r>
    <s v="UT-CARF010S(A)"/>
    <s v="2-2차"/>
    <n v="1"/>
    <x v="3"/>
    <s v="DEF-00527"/>
    <s v="1. 화면에서 CCTY → CCTV로 변경 필요_x000a_-&gt;엑셀에서는 CCTV로 입력되어 있음._x000a_"/>
    <s v="개발자테스트"/>
    <s v="김명준"/>
    <s v="최민지"/>
    <s v="3자테스터공통"/>
    <s v="Online"/>
    <s v="개선/변경"/>
    <s v="UI"/>
    <s v="확인요청"/>
    <s v="3자테스터공통"/>
    <s v="Minor"/>
    <x v="4"/>
    <d v="2026-04-29T17:27:51"/>
    <d v="2026-04-30T10:53:58"/>
    <s v=""/>
  </r>
  <r>
    <s v="UT-FSEX080M"/>
    <s v="2-2차"/>
    <n v="1"/>
    <x v="2"/>
    <s v="DEF-00531"/>
    <s v="[X_2] '세부내용' 누락"/>
    <s v="개발자테스트"/>
    <s v="임소정"/>
    <s v="임소정"/>
    <s v="3자테스터공통"/>
    <s v="Online"/>
    <s v="개선/변경"/>
    <s v="UI"/>
    <s v="확인요청"/>
    <s v="3자테스터공통"/>
    <s v="Minor"/>
    <x v="4"/>
    <d v="2026-04-29T17:56:44"/>
    <d v="2026-05-07T19:22:43"/>
    <s v=""/>
  </r>
  <r>
    <s v="UT-FSEY040S"/>
    <s v="2-1차"/>
    <n v="1"/>
    <x v="2"/>
    <s v="DEF-00568"/>
    <s v="-점검 현황 자료와 점검 상세현황 조회 자료간 불일치_x000a_-점검 상세현황조회에는 조회기간이 없음._x000a_"/>
    <s v="개발자테스트"/>
    <s v="임소정"/>
    <s v="임소정"/>
    <s v="3자테스터공통"/>
    <s v="Online"/>
    <s v="결함"/>
    <s v="기능"/>
    <s v="확인요청"/>
    <s v="3자테스터공통"/>
    <s v="Critical"/>
    <x v="4"/>
    <d v="2026-04-30T14:23:50"/>
    <d v="2026-05-08T08:52:54"/>
    <s v=""/>
  </r>
  <r>
    <s v="UT-GO12101S"/>
    <s v="2-1차"/>
    <n v="1"/>
    <x v="0"/>
    <s v="DEF-00482"/>
    <s v="&quot;4. 노선별 실적&quot; 조회시 오류발생함"/>
    <s v="개발자테스트"/>
    <s v="신문호"/>
    <s v="박정구"/>
    <s v="3자테스터공통"/>
    <s v="Online"/>
    <s v="결함"/>
    <s v="기능"/>
    <s v="확인요청"/>
    <s v="3자테스터공통"/>
    <s v="Major"/>
    <x v="4"/>
    <d v="2026-04-29T14:49:10"/>
    <d v="2026-04-30T17:28:08"/>
    <s v=""/>
  </r>
  <r>
    <s v="UT-GO11601S"/>
    <s v="1-2차"/>
    <n v="1"/>
    <x v="0"/>
    <s v="DEF-00213"/>
    <s v="하단 그리드 조회 조건에 맞는 데이터 없음 2022-09-20 ~ 2022-09-30"/>
    <s v="개발자테스트"/>
    <s v="신문호"/>
    <s v="김경준"/>
    <s v="3자테스터공통"/>
    <s v="Online"/>
    <s v="결함"/>
    <s v="데이터"/>
    <s v="확인요청"/>
    <s v="3자테스터공통"/>
    <s v="Minor"/>
    <x v="4"/>
    <d v="2026-04-27T15:29:35"/>
    <d v="2026-04-30T15:47:16"/>
    <s v=""/>
  </r>
  <r>
    <s v="UT-GO12304M"/>
    <s v="1-1차"/>
    <n v="1"/>
    <x v="0"/>
    <s v="DEF-00266"/>
    <s v="그룹명 입력에 길이 제한이 있는것같기는 하나, 최대치 입력 후 저장을 누르면 오류가 납니다. "/>
    <s v="개발자테스트"/>
    <s v="신문호"/>
    <s v="김경준"/>
    <s v="3자테스터공통"/>
    <s v="Online"/>
    <s v="개선/변경"/>
    <s v="기타"/>
    <s v="확인요청"/>
    <s v="3자테스터공통"/>
    <s v="Minor"/>
    <x v="4"/>
    <d v="2026-04-27T17:50:25"/>
    <d v="2026-05-06T11:28:36"/>
    <s v=""/>
  </r>
  <r>
    <s v="UT-GO12305M"/>
    <s v="1-1차"/>
    <n v="1"/>
    <x v="0"/>
    <s v="DEF-00267"/>
    <s v="그룹명 입력에 길이 제한이 있는것같기는 하나, 최대치 입력 후 저장을 누르면 오류가 납니다."/>
    <s v="개발자테스트"/>
    <s v="신문호"/>
    <s v="김경준"/>
    <s v="3자테스터공통"/>
    <s v="Online"/>
    <s v="개선/변경"/>
    <s v="기타"/>
    <s v="확인요청"/>
    <s v="3자테스터공통"/>
    <s v="Minor"/>
    <x v="4"/>
    <d v="2026-04-27T17:51:59"/>
    <d v="2026-05-06T11:37:44"/>
    <s v=""/>
  </r>
  <r>
    <s v="UT-PM20156S"/>
    <s v="2-2차"/>
    <n v="1"/>
    <x v="1"/>
    <s v="DEF-00307"/>
    <s v="기준일자 선택이 필수조건이 아님."/>
    <s v="개발자테스트"/>
    <s v="임소정"/>
    <s v="노세찬"/>
    <s v="3자테스터공통"/>
    <s v="Online"/>
    <s v="개선/변경"/>
    <s v="기능"/>
    <s v="확인요청"/>
    <s v="3자테스터공통"/>
    <s v="Minor"/>
    <x v="4"/>
    <d v="2026-04-28T13:01:58"/>
    <d v="2026-04-29T09:37:27"/>
    <s v=""/>
  </r>
  <r>
    <s v="UT-CASY003S(A)"/>
    <s v="1-1차"/>
    <n v="1"/>
    <x v="3"/>
    <s v="DEF-00343"/>
    <s v="프로그램 관리에서 프로그램 id는 영문+숫자만 입력 가능한데,_x000a_메유 관리에서 프로그램은 국문 입력이 돔"/>
    <s v="개발자테스트"/>
    <s v="김명준"/>
    <s v="최민지"/>
    <s v="3자테스터공통"/>
    <s v="Online"/>
    <s v="결함"/>
    <s v="기능"/>
    <s v="확인요청"/>
    <s v="3자테스터공통"/>
    <s v="Major"/>
    <x v="4"/>
    <d v="2026-04-28T14:32:43"/>
    <d v="2026-04-29T19:12:27"/>
    <s v=""/>
  </r>
  <r>
    <s v="UT-FSEY070S"/>
    <s v="2-2차"/>
    <n v="1"/>
    <x v="2"/>
    <s v="DEF-00129"/>
    <s v="- AOMS프린터버튼클릭후출력내용없음_x000a_-문서 하단 페이지번호 누락_x000a_- 워드파일 출력화면에 문서의 일부출력. &amp; 페이지종류가 &quot;사용자 지정&quot;_x000a_- 엑셀파일 출력화면 화면 분할됨. &amp; 페이지 종류가 &quot;Letter&quot;로 지정됨"/>
    <s v="개발자테스트"/>
    <s v="임소정"/>
    <s v="임소정"/>
    <s v="3자테스터공통"/>
    <s v="Online"/>
    <s v="개선/변경"/>
    <s v="UI"/>
    <s v="확인요청"/>
    <s v="3자테스터공통"/>
    <s v="Major"/>
    <x v="4"/>
    <d v="2026-04-24T13:26:18"/>
    <d v="2026-05-08T08:54:02"/>
    <s v=""/>
  </r>
  <r>
    <s v="UT-CAMN001S(A)"/>
    <s v="1-1차"/>
    <n v="1"/>
    <x v="3"/>
    <s v="DEF-00365"/>
    <s v="비밀번호 유효일이 적용된 계정, 사번 계정 등을 모르겠어서 테스트가 불가능합니다..혹시라도 알려주시면 다시 테스트해보겠습니다"/>
    <s v="개발자테스트"/>
    <s v="김명준"/>
    <s v="정연준"/>
    <s v="3자테스터공통"/>
    <s v="Online"/>
    <s v="개선/변경"/>
    <s v="프로세스"/>
    <s v="확인요청"/>
    <s v="3자테스터공통"/>
    <s v="Minor"/>
    <x v="4"/>
    <d v="2026-04-28T15:07:03"/>
    <d v="2026-04-28T18:23:43"/>
    <s v=""/>
  </r>
  <r>
    <s v="UT-FSQA210S"/>
    <s v="1-2차"/>
    <n v="1"/>
    <x v="2"/>
    <s v="DEF-00675"/>
    <s v="등록된 승객 정보에 남 여 구분되어 있는데.. 목록에는 승객 성별 나타나지 않음."/>
    <s v="개발자테스트"/>
    <s v="임소정"/>
    <s v="임소정"/>
    <s v="3자테스터공통"/>
    <s v="Online"/>
    <s v="결함"/>
    <s v="기능"/>
    <s v="확인요청"/>
    <s v="3자테스터공통"/>
    <s v="Minor"/>
    <x v="4"/>
    <d v="2026-05-04T17:45:23"/>
    <d v="2026-05-08T09:05:58"/>
    <s v=""/>
  </r>
  <r>
    <s v="UT-CARF004S(A)"/>
    <s v="2-2차"/>
    <n v="1"/>
    <x v="3"/>
    <s v="DEF-00693"/>
    <s v="수정 시 오류 뜸. 최대 입력값 확인 필요."/>
    <s v="개발자테스트"/>
    <s v="김명준"/>
    <s v="최민지"/>
    <s v="3자테스터공통"/>
    <s v="Online"/>
    <s v="결함"/>
    <s v="기능"/>
    <s v="확인요청"/>
    <s v="3자테스터공통"/>
    <s v="Critical"/>
    <x v="4"/>
    <d v="2026-05-06T10:43:36"/>
    <d v="2026-05-07T10:47:29"/>
    <s v=""/>
  </r>
  <r>
    <s v="UT-CARF006S(A)"/>
    <s v="2-2차"/>
    <n v="1"/>
    <x v="3"/>
    <s v="DEF-00718"/>
    <s v="정상 조회 후 조회 값이 없는 조회조건 입력 후 잔존해 있는 데이터 수정 후 저장하면 오류 발생"/>
    <s v="개발자테스트"/>
    <s v="김명준"/>
    <s v="최민지"/>
    <s v="3자테스터공통"/>
    <s v="Online"/>
    <s v="결함"/>
    <s v="기능"/>
    <s v="확인요청"/>
    <s v="3자테스터공통"/>
    <s v="Critical"/>
    <x v="4"/>
    <d v="2026-05-06T14:54:47"/>
    <d v="2026-05-07T10:50:56"/>
    <s v=""/>
  </r>
  <r>
    <s v="UT-FSQA052S"/>
    <s v="1-1차"/>
    <n v="1"/>
    <x v="2"/>
    <s v="DEF-00363"/>
    <s v="단위테스트 6. 행추가 후 저장은 되나 포기물품리스트에 업데이트 안됨 전,후 사진 참조                                                                                  단위테스트 7. 행 내용 수정후 저장은 되나 데이터 변경 안됨, 사진 전후 참조"/>
    <s v="개발자테스트"/>
    <s v="임소정"/>
    <s v="임소정"/>
    <s v="3자테스터공통"/>
    <s v="Online"/>
    <s v="개선/변경"/>
    <s v="기능"/>
    <s v="확인요청"/>
    <s v="3자테스터공통"/>
    <s v="Minor"/>
    <x v="4"/>
    <d v="2026-04-28T15:03:57"/>
    <d v="2026-05-07T19:09:52"/>
    <s v=""/>
  </r>
  <r>
    <s v="UT-CARF011S(A)"/>
    <s v="2-2차"/>
    <n v="1"/>
    <x v="3"/>
    <s v="DEF-00744"/>
    <s v="0.24 와 같이 1 미만의 소수점으로 입력 시 .24 식으로 앞에 0이 보이지 않음."/>
    <s v="개발자테스트"/>
    <s v="김명준"/>
    <s v="최민지"/>
    <s v="3자테스터공통"/>
    <s v="Online"/>
    <s v="개선/변경"/>
    <s v="데이터"/>
    <s v="확인요청"/>
    <s v="3자테스터공통"/>
    <s v="Major"/>
    <x v="4"/>
    <d v="2026-05-06T17:09:50"/>
    <d v="2026-05-07T10:53:58"/>
    <s v=""/>
  </r>
  <r>
    <s v="UT-FSQB080S"/>
    <s v="2-1차"/>
    <n v="1"/>
    <x v="2"/>
    <s v="DEF-00479"/>
    <s v="PDF 로 저장 시 줄내림으로 되어 있는 금액 짤림._x000a_월의 열 크기를 조정 또는 다들 방법을 활용하여 줄내림 되는 금액 열에 대한 열 크기 조절 필요."/>
    <s v="개발자테스트"/>
    <s v="임소정"/>
    <s v="임소정"/>
    <s v="3자테스터공통"/>
    <s v="Online"/>
    <s v="결함"/>
    <s v="UI"/>
    <s v="확인요청"/>
    <s v="3자테스터공통"/>
    <s v="Critical"/>
    <x v="4"/>
    <d v="2026-04-29T14:40:52"/>
    <d v="2026-05-08T09:11:22"/>
    <s v=""/>
  </r>
  <r>
    <s v="UT-FSEX019S"/>
    <s v="2-2차"/>
    <n v="1"/>
    <x v="2"/>
    <s v="DEF-00464"/>
    <s v="천 단위 표시"/>
    <s v="개발자테스트"/>
    <s v="임소정"/>
    <s v="임소정"/>
    <s v="3자테스터공통"/>
    <s v="Online"/>
    <s v="개선/변경"/>
    <s v="데이터"/>
    <s v="확인요청"/>
    <s v="3자테스터공통"/>
    <s v="Minor"/>
    <x v="4"/>
    <d v="2026-04-29T13:37:49"/>
    <d v="2026-05-08T08:38:25"/>
    <s v=""/>
  </r>
  <r>
    <s v="UT-CARF001S(A)"/>
    <s v="2-2차"/>
    <n v="1"/>
    <x v="3"/>
    <s v="DEF-00132"/>
    <s v="SAVE 버튼이 비활성화 되어 있다."/>
    <s v="개발자테스트"/>
    <s v="김명준"/>
    <s v="최민지"/>
    <s v="3자테스터공통"/>
    <s v="Online"/>
    <s v="결함"/>
    <s v="기능"/>
    <s v="재조치요청"/>
    <s v="3자테스터공통"/>
    <s v="Major"/>
    <x v="4"/>
    <d v="2026-04-24T14:32:35"/>
    <d v="2026-04-29T14:21:27"/>
    <s v=""/>
  </r>
  <r>
    <s v="UT-CASY005S(A)"/>
    <s v="1-1차"/>
    <n v="1"/>
    <x v="3"/>
    <s v="DEF-00146"/>
    <s v="보여지는 List에는 없지만 데이터는 있을 경우 중복데이터 오류메시지가 아닌 서버오류 메시지가 나옵니다. "/>
    <s v="개발자테스트"/>
    <s v="김명준"/>
    <s v="정연준"/>
    <s v="3자테스터공통"/>
    <s v="Online"/>
    <s v="결함"/>
    <s v="데이터"/>
    <s v="확인요청"/>
    <s v="3자테스터공통"/>
    <s v="Major"/>
    <x v="4"/>
    <d v="2026-04-24T16:33:38"/>
    <d v="2026-04-28T12:39:16"/>
    <s v=""/>
  </r>
  <r>
    <s v="UT-CASY032S(A)"/>
    <s v="1-1차"/>
    <n v="1"/>
    <x v="3"/>
    <s v="DEF-00532"/>
    <s v="1. 화면내 오타 추정(확인 필요) : “Permisson” -&gt; “Permission”_x000a_"/>
    <s v="개발자테스트"/>
    <s v="김명준"/>
    <s v="최민지"/>
    <s v="3자테스터공통"/>
    <s v="Online"/>
    <s v="개선/변경"/>
    <s v="UI"/>
    <s v="확인요청"/>
    <s v="3자테스터공통"/>
    <s v="Minor"/>
    <x v="4"/>
    <d v="2026-04-30T09:09:53"/>
    <d v="2026-05-07T10:45:45"/>
    <s v=""/>
  </r>
  <r>
    <s v="UT-CASY008S(A)"/>
    <s v="1-1차"/>
    <n v="1"/>
    <x v="3"/>
    <s v="DEF-00538"/>
    <s v="우측 Push Message 상세 화면의 입력 및 콤보 영역과 바탕 다자인 크기가 불일치함._x000a_또한, 화면 축소시 고정 text 표출 등 화면이 일그러짐"/>
    <s v="개발자테스트"/>
    <s v="김명준"/>
    <s v="정연준"/>
    <s v="3자테스터공통"/>
    <s v="Online"/>
    <s v="결함"/>
    <s v="UI"/>
    <s v="확인요청"/>
    <s v="3자테스터공통"/>
    <s v="Minor"/>
    <x v="4"/>
    <d v="2026-04-30T10:05:23"/>
    <d v="2026-05-07T10:59:41"/>
    <s v=""/>
  </r>
  <r>
    <s v="UT-FSEX080M"/>
    <s v="2-2차"/>
    <n v="1"/>
    <x v="2"/>
    <s v="DEF-00539"/>
    <s v="[X_3] '시간(b-a)' 필드는 세부내용의 하위 필드가 아닌 탐지/식별 시간의 하위 필드이기 때문에 셀 병합이 잘못되었음."/>
    <s v="개발자테스트"/>
    <s v="임소정"/>
    <s v="임소정"/>
    <s v="3자테스터공통"/>
    <s v="Online"/>
    <s v="결함"/>
    <s v="UI"/>
    <s v="확인요청"/>
    <s v="3자테스터공통"/>
    <s v="Minor"/>
    <x v="4"/>
    <d v="2026-04-30T10:09:36"/>
    <d v="2026-05-08T08:43:14"/>
    <s v=""/>
  </r>
  <r>
    <s v="UT-FSQA210S"/>
    <s v="1-2차"/>
    <n v="1"/>
    <x v="2"/>
    <s v="DEF-00677"/>
    <s v="아래 화면처럼 검색 감독자 인터뷰 및 인터뷰 의견 체크 및 입력하여 등록했는데.. 목록에는 등록된거로 나타나지 않음"/>
    <s v="개발자테스트"/>
    <s v="임소정"/>
    <s v="임소정"/>
    <s v="3자테스터공통"/>
    <s v="Online"/>
    <s v="결함"/>
    <s v="기능"/>
    <s v="확인요청"/>
    <s v="3자테스터공통"/>
    <s v="Minor"/>
    <x v="4"/>
    <d v="2026-05-04T17:57:51"/>
    <d v="2026-05-06T16:34:13"/>
    <s v=""/>
  </r>
  <r>
    <s v="UT-FSQB060S"/>
    <s v="1-1차"/>
    <n v="1"/>
    <x v="2"/>
    <s v="DEF-00691"/>
    <s v="2026-04-27 터미널구분 전체 데이터 조회하면 T2 인천국제공항보안 데이터값이 뜨지만 T2 똑같은날짜에 조회하면 데이터값이 뜨지않습니다."/>
    <s v="개발자테스트"/>
    <s v="임소정"/>
    <s v="임소정"/>
    <s v="3자테스터공통"/>
    <s v="Online"/>
    <s v="결함"/>
    <s v="기능"/>
    <s v="확인요청"/>
    <s v="3자테스터공통"/>
    <s v="Major"/>
    <x v="4"/>
    <d v="2026-05-06T10:22:34"/>
    <d v="2026-05-08T09:10:27"/>
    <s v=""/>
  </r>
  <r>
    <s v="UT-FSQA210S"/>
    <s v="1-2차"/>
    <n v="1"/>
    <x v="2"/>
    <s v="DEF-00220"/>
    <s v="단위테스트 7. 모든 검색버트, 입력창 활성화 안되어 있음(11~12번 테스트 안됨)"/>
    <s v="개발자테스트"/>
    <s v="임소정"/>
    <s v="임소정"/>
    <s v="3자테스터공통"/>
    <s v="Online"/>
    <s v="개선/변경"/>
    <s v="기능"/>
    <s v="확인요청"/>
    <s v="3자테스터공통"/>
    <s v="Minor"/>
    <x v="4"/>
    <d v="2026-04-27T16:38:00"/>
    <d v="2026-05-07T19:00:20"/>
    <s v=""/>
  </r>
  <r>
    <s v="UT-CASY038S(A)"/>
    <s v="2-3차"/>
    <n v="1"/>
    <x v="3"/>
    <s v="DEF-00290"/>
    <s v="1. Date 정보를 입력하지 않았는데, 오류 메시지가 바로 뜨지 않고, 실행(Loading)되고, 결과물이 출력됨_x000a_"/>
    <s v="개발자테스트"/>
    <s v="김명준"/>
    <s v="김태훈"/>
    <s v="3자테스터공통"/>
    <s v="Online"/>
    <s v="결함"/>
    <s v="UI"/>
    <s v="확인요청"/>
    <s v="3자테스터공통"/>
    <s v="Minor"/>
    <x v="4"/>
    <d v="2026-04-28T11:00:28"/>
    <d v="2026-04-30T10:30:17"/>
    <s v=""/>
  </r>
  <r>
    <s v="UT-FSEX090S"/>
    <s v="2-3차"/>
    <n v="1"/>
    <x v="2"/>
    <s v="DEF-00717"/>
    <s v="아래 화면 우측 하단의 신규, 저장, 삭제 버튼이 클릭되지 않음."/>
    <s v="개발자테스트"/>
    <s v="임소정"/>
    <s v="임소정"/>
    <s v="3자테스터공통"/>
    <s v="Online"/>
    <s v="결함"/>
    <s v="기능"/>
    <s v="확인요청"/>
    <s v="3자테스터공통"/>
    <s v="Major"/>
    <x v="4"/>
    <d v="2026-05-06T14:49:36"/>
    <d v="2026-05-06T16:43:28"/>
    <s v=""/>
  </r>
  <r>
    <s v="UT-CARF008S(A)"/>
    <s v="2-2차"/>
    <n v="1"/>
    <x v="3"/>
    <s v="DEF-00719"/>
    <s v="Gate No 은 숫자만 가능한 것 같은데... 정렬 시 문자열로 정렬이 됨._x000a_"/>
    <s v="개발자테스트"/>
    <s v="김명준"/>
    <s v="최민지"/>
    <s v="3자테스터공통"/>
    <s v="Online"/>
    <s v="개선/변경"/>
    <s v="UI"/>
    <s v="확인요청"/>
    <s v="3자테스터공통"/>
    <s v="Minor"/>
    <x v="4"/>
    <d v="2026-05-06T15:07:08"/>
    <d v="2026-05-07T10:52:29"/>
    <s v=""/>
  </r>
  <r>
    <s v="UT-CASY070M(A)"/>
    <s v="2-3차"/>
    <n v="1"/>
    <x v="3"/>
    <s v="DEF-00071"/>
    <s v="우측 상단 프린터 아이콘 클릭 후 제공되는 출력화면에는 소스화면에서 제공되는 테이블의 일부(TYPE)까지만 출력되고, NULL 이후로는 출력되지 않음."/>
    <s v="개발자테스트"/>
    <s v="김명준"/>
    <s v="정연준"/>
    <s v="3자테스터공통"/>
    <s v="Online"/>
    <s v="개선/변경"/>
    <s v="UI"/>
    <s v="확인요청"/>
    <s v="3자테스터공통"/>
    <s v="Major"/>
    <x v="4"/>
    <d v="2026-04-23T10:38:48"/>
    <d v="2026-04-30T10:52:59"/>
    <s v=""/>
  </r>
  <r>
    <s v="UT-CASY038S(A)"/>
    <s v="2-3차"/>
    <n v="1"/>
    <x v="3"/>
    <s v="DEF-00075"/>
    <s v="시나리오명 상이(TSM-엑셀-AOMS)"/>
    <s v="개발자테스트"/>
    <s v="김명준"/>
    <s v="김태훈"/>
    <s v="3자테스터공통"/>
    <s v="Online"/>
    <s v="개선/변경"/>
    <s v="UI"/>
    <s v="확인요청"/>
    <s v="3자테스터공통"/>
    <s v="Minor"/>
    <x v="4"/>
    <d v="2026-04-23T10:54:22"/>
    <d v="2026-04-23T16:59:03"/>
    <s v=""/>
  </r>
  <r>
    <s v="UT-CASY038S(A)"/>
    <s v="2-3차"/>
    <n v="1"/>
    <x v="3"/>
    <s v="DEF-00081"/>
    <s v="시나리오(엑셀파일) 순번 5번 에러로그 조회 기능을 위한 UI없음._x000a_시나리오(엑셀파일) 순번 6번 확인을 위해서는 &quot;TRACE LOG&quot; 버튼을 눌러야하지만 비활성화되어 있음."/>
    <s v="개발자테스트"/>
    <s v="김명준"/>
    <s v="김태훈"/>
    <s v="3자테스터공통"/>
    <s v="Online"/>
    <s v="결함"/>
    <s v="UI"/>
    <s v="확인요청"/>
    <s v="3자테스터공통"/>
    <s v="Critical"/>
    <x v="4"/>
    <d v="2026-04-23T11:14:09"/>
    <d v="2026-04-23T17:16:38"/>
    <s v=""/>
  </r>
  <r>
    <s v="UT-CASY052S(A)"/>
    <s v="2-2차"/>
    <n v="1"/>
    <x v="3"/>
    <s v="DEF-00102"/>
    <s v="조회시 서버오류가 뜸."/>
    <s v="개발자테스트"/>
    <s v="김명준"/>
    <s v="최민지"/>
    <s v="3자테스터공통"/>
    <s v="Online"/>
    <s v="결함"/>
    <s v="기능"/>
    <s v="확인요청"/>
    <s v="3자테스터공통"/>
    <s v="Major"/>
    <x v="4"/>
    <d v="2026-04-23T15:57:08"/>
    <d v="2026-04-23T16:25:53"/>
    <s v=""/>
  </r>
  <r>
    <s v="UT-FSEX017S"/>
    <s v="2-2차"/>
    <n v="1"/>
    <x v="2"/>
    <s v="DEF-00110"/>
    <s v="엑셀파일 및 출력화면 하단 페이지번호 누락"/>
    <s v="개발자테스트"/>
    <s v="임소정"/>
    <s v="임소정"/>
    <s v="3자테스터공통"/>
    <s v="Online"/>
    <s v="개선/변경"/>
    <s v="UI"/>
    <s v="확인요청"/>
    <s v="3자테스터공통"/>
    <s v="Minor"/>
    <x v="4"/>
    <d v="2026-04-24T09:16:56"/>
    <d v="2026-05-06T16:53:13"/>
    <s v=""/>
  </r>
  <r>
    <s v="UT-CARF018S(A)"/>
    <s v="2-1차"/>
    <n v="1"/>
    <x v="3"/>
    <s v="DEF-00114"/>
    <s v="최초 접속 시 USE Y/N에 기본선택이 전체가 아닙니다._x000a_아래 3개는 전체로 나옵니다."/>
    <s v="개발자테스트"/>
    <s v="김명준"/>
    <s v="정연준"/>
    <s v="3자테스터공통"/>
    <s v="Online"/>
    <s v="결함"/>
    <s v="UI"/>
    <s v="확인요청"/>
    <s v="3자테스터공통"/>
    <s v="Major"/>
    <x v="4"/>
    <d v="2026-04-24T09:39:25"/>
    <d v="2026-04-27T10:32:41"/>
    <s v=""/>
  </r>
  <r>
    <s v="UT-CARF010S(A)"/>
    <s v="2-2차"/>
    <n v="1"/>
    <x v="3"/>
    <s v="DEF-00115"/>
    <s v="수정후 저장시 수정된 칼럼이 비활성화  됨"/>
    <s v="개발자테스트"/>
    <s v="김명준"/>
    <s v="최민지"/>
    <s v="3자테스터공통"/>
    <s v="Online"/>
    <s v="개선/변경"/>
    <s v="기능"/>
    <s v="확인요청"/>
    <s v="3자테스터공통"/>
    <s v="Major"/>
    <x v="4"/>
    <d v="2026-04-24T09:42:07"/>
    <d v="2026-04-27T10:35:26"/>
    <s v=""/>
  </r>
  <r>
    <s v="UT-CASY025S(A)"/>
    <s v="2-1차"/>
    <n v="1"/>
    <x v="3"/>
    <s v="DEF-00095"/>
    <s v="Register Date 범위랑은 상관없이 전부 불러옵니다._x000a_날짜를 선택하여 검색하여도 아래 데이터는 변하지 않습니다."/>
    <s v="개발자테스트"/>
    <s v="김명준"/>
    <s v="정연준"/>
    <s v="3자테스터공통"/>
    <s v="Online"/>
    <s v="결함"/>
    <s v="기능"/>
    <s v="확인요청"/>
    <s v="3자테스터공통"/>
    <s v="Major"/>
    <x v="4"/>
    <d v="2026-04-23T15:18:09"/>
    <d v="2026-04-24T10:53:29"/>
    <s v=""/>
  </r>
  <r>
    <s v="UT-CASY026S(A)"/>
    <s v="2-1차"/>
    <n v="1"/>
    <x v="3"/>
    <s v="DEF-00097"/>
    <s v="검색 기능이 작동하지 않습니다._x000a_날짜와 제목을 설정해도 변함이 없습니다._x000a_(Notice Dept는 검색가능)"/>
    <s v="개발자테스트"/>
    <s v="김명준"/>
    <s v="정연준"/>
    <s v="3자테스터공통"/>
    <s v="Online"/>
    <s v="결함"/>
    <s v="기능"/>
    <s v="확인요청"/>
    <s v="3자테스터공통"/>
    <s v="Major"/>
    <x v="4"/>
    <d v="2026-04-23T15:23:50"/>
    <d v="2026-04-24T10:55:40"/>
    <s v=""/>
  </r>
  <r>
    <s v="UT-CASY006S(A)"/>
    <s v="1-2차"/>
    <n v="1"/>
    <x v="3"/>
    <s v="DEF-00123"/>
    <s v="추가 시 이전에 조회했던 모듈, 테이블, 서브타입 정보가 남아있습니다._x000a_저장 시 같이 저장됩니다. _x000a_오른쪽 하단 SAVE버튼 위치가 이상하게 나옵니다."/>
    <s v="개발자테스트"/>
    <s v="김명준"/>
    <s v="정연준"/>
    <s v="3자테스터공통"/>
    <s v="Online"/>
    <s v="결함"/>
    <s v="기능"/>
    <s v="재조치요청"/>
    <s v="3자테스터공통"/>
    <s v="Major"/>
    <x v="4"/>
    <d v="2026-04-24T10:58:42"/>
    <d v="2026-04-29T13:19:43"/>
    <s v=""/>
  </r>
  <r>
    <s v="UT-CARF002S(A)"/>
    <s v="2-2차"/>
    <n v="1"/>
    <x v="3"/>
    <s v="DEF-00133"/>
    <s v="SAVE 버튼이 비활성화 되어 있다."/>
    <s v="개발자테스트"/>
    <s v="김명준"/>
    <s v="최민지"/>
    <s v="3자테스터공통"/>
    <s v="Online"/>
    <s v="결함"/>
    <s v="기능"/>
    <s v="재조치요청"/>
    <s v="3자테스터공통"/>
    <s v="Major"/>
    <x v="4"/>
    <d v="2026-04-24T14:35:55"/>
    <d v="2026-04-29T14:17:04"/>
    <s v=""/>
  </r>
  <r>
    <s v="UT-CASY002S(A)"/>
    <s v="1-1차"/>
    <n v="1"/>
    <x v="3"/>
    <s v="DEF-00145"/>
    <s v="보여지는 List에는 없지만 데이터는 있을 경우 중복데이터 오류메시지가 아닌 서버오류 메시지가 나옵니다. "/>
    <s v="개발자테스트"/>
    <s v="김명준"/>
    <s v="정연준"/>
    <s v="3자테스터공통"/>
    <s v="Online"/>
    <s v="결함"/>
    <s v="데이터"/>
    <s v="확인요청"/>
    <s v="3자테스터공통"/>
    <s v="Minor"/>
    <x v="4"/>
    <d v="2026-04-24T16:04:52"/>
    <d v="2026-04-28T12:36:13"/>
    <s v=""/>
  </r>
  <r>
    <s v="UT-PM10101S"/>
    <s v="2-1차"/>
    <n v="1"/>
    <x v="1"/>
    <s v="DEF-00154"/>
    <s v="운항 데이터 0건일 때 no data 뜨지 않음"/>
    <s v="개발자테스트"/>
    <s v="임소정"/>
    <s v="신문호"/>
    <s v="3자테스터공통"/>
    <s v="Online"/>
    <s v="개선/변경"/>
    <s v="UI"/>
    <s v="확인요청"/>
    <s v="3자테스터공통"/>
    <s v="Minor"/>
    <x v="4"/>
    <d v="2026-04-27T10:12:14"/>
    <d v="2026-04-29T08:04:15"/>
    <s v=""/>
  </r>
  <r>
    <s v="UT-GO12301S"/>
    <s v="1-1차"/>
    <n v="1"/>
    <x v="0"/>
    <s v="DEF-00202"/>
    <s v="조회 시작 월 데이터가 결과에서 제외 됨._x000a_테스트 케이스 예상 : 2025-04 ~ 2025-11 조회 -&gt; 4월 ~ 11월 조회_x000a_실제 테스트 : 2025-04 ~ 2025-11 조회 -&gt; 5월 ~ 11월 조회"/>
    <s v="개발자테스트"/>
    <s v="신문호"/>
    <s v="김경준"/>
    <s v="3자테스터공통"/>
    <s v="Online"/>
    <s v="결함"/>
    <s v="데이터"/>
    <s v="확인요청"/>
    <s v="3자테스터공통"/>
    <s v="Major"/>
    <x v="4"/>
    <d v="2026-04-27T14:43:01"/>
    <d v="2026-05-06T11:24:56"/>
    <s v=""/>
  </r>
  <r>
    <s v="UT-PM30101S"/>
    <s v="1-2차"/>
    <n v="1"/>
    <x v="1"/>
    <s v="DEF-00206"/>
    <s v="실행버튼 클릭시 서버오류 발생"/>
    <s v="개발자테스트"/>
    <s v="임소정"/>
    <s v="pmtbd1"/>
    <s v="3자테스터공통"/>
    <s v="Online"/>
    <s v="결함"/>
    <s v="기능"/>
    <s v="확인요청"/>
    <s v="3자테스터공통"/>
    <s v="Major"/>
    <x v="4"/>
    <d v="2026-04-27T15:04:30"/>
    <d v="2026-04-29T09:10:00"/>
    <s v=""/>
  </r>
  <r>
    <s v="UT-FSQA040S"/>
    <s v="1-2차"/>
    <n v="1"/>
    <x v="2"/>
    <s v="DEF-00219"/>
    <s v="단위테스트 19. 승인버튼 클리시 데이터 저장  ---&gt; 승인버튼 없음(19~24번 까지 테크트 불가함)"/>
    <s v="개발자테스트"/>
    <s v="임소정"/>
    <s v="임소정"/>
    <s v="3자테스터공통"/>
    <s v="Online"/>
    <s v="개선/변경"/>
    <s v="기능"/>
    <s v="확인요청"/>
    <s v="3자테스터공통"/>
    <s v="Minor"/>
    <x v="4"/>
    <d v="2026-04-27T16:35:59"/>
    <d v="2026-05-07T18:59:02"/>
    <s v=""/>
  </r>
  <r>
    <s v="UT-CASY029S(A)"/>
    <s v="1-1차"/>
    <n v="1"/>
    <x v="3"/>
    <s v="DEF-00254"/>
    <s v="역할메뉴 매핑정보관리 메뉴를 찾을 수 없음._x000a_경로 정보 필요. "/>
    <s v="개발자테스트"/>
    <s v="김명준"/>
    <s v="최민지"/>
    <s v="3자테스터공통"/>
    <s v="Online"/>
    <s v="결함"/>
    <s v="기능"/>
    <s v="확인요청"/>
    <s v="3자테스터공통"/>
    <s v="Major"/>
    <x v="4"/>
    <d v="2026-04-27T17:22:52"/>
    <d v="2026-04-28T12:54:09"/>
    <s v=""/>
  </r>
  <r>
    <s v="UT-CASY070M(A)"/>
    <s v="2-3차"/>
    <n v="1"/>
    <x v="3"/>
    <s v="DEF-00282"/>
    <s v="-화면 첫번째 필드에 커서가 Set Focus가 되어 있지 않음._x000a_-오타로 추정됨 -&gt; “M: 모달 팝엄”_x000a_"/>
    <s v="개발자테스트"/>
    <s v="김명준"/>
    <s v="정연준"/>
    <s v="3자테스터공통"/>
    <s v="Online"/>
    <s v="개선/변경"/>
    <s v="UI"/>
    <s v="확인요청"/>
    <s v="3자테스터공통"/>
    <s v="Minor"/>
    <x v="4"/>
    <d v="2026-04-28T10:25:42"/>
    <d v="2026-04-29T13:43:40"/>
    <s v=""/>
  </r>
  <r>
    <s v="UT-GO11101S"/>
    <s v="1-2차"/>
    <n v="1"/>
    <x v="0"/>
    <s v="DEF-00324"/>
    <s v="활성화된 코드 목록에 숫자 0 이 있는데, input 에는 숫자 입력이 불가합니다. "/>
    <s v="개발자테스트"/>
    <s v="신문호"/>
    <s v="김경준"/>
    <s v="3자테스터공통"/>
    <s v="Online"/>
    <s v="개선/변경"/>
    <s v="기타"/>
    <s v="확인요청"/>
    <s v="3자테스터공통"/>
    <s v="Minor"/>
    <x v="4"/>
    <d v="2026-04-28T13:45:19"/>
    <d v="2026-04-30T15:18:55"/>
    <s v=""/>
  </r>
  <r>
    <s v="UT-PM10106S"/>
    <s v="2-2차"/>
    <n v="1"/>
    <x v="1"/>
    <s v="DEF-00410"/>
    <s v="테스트 결과서 없음"/>
    <s v="개발자테스트"/>
    <s v="임소정"/>
    <s v="신문호"/>
    <s v="3자테스터공통"/>
    <s v="Online"/>
    <s v="개선/변경"/>
    <s v="기타"/>
    <s v="결함등록기각"/>
    <s v="3자테스터공통"/>
    <s v="Minor"/>
    <x v="4"/>
    <d v="2026-04-28T17:38:35"/>
    <d v="2026-04-29T07:34:47"/>
    <s v="해당 메뉴는 공사담당자와 협의하여 제거했습니다."/>
  </r>
  <r>
    <s v="UT-CARF037S(A)"/>
    <s v="1-1차"/>
    <n v="1"/>
    <x v="3"/>
    <s v="DEF-00490"/>
    <s v="Common Code detail의 내용을 수정 후 List에서 다른 행을 선택하면_x000a_변경된 데이터가 있습니다. 계속하시겠습니까? 가 뜨는데 취소버튼을 누르면 창이 닫히지 않음"/>
    <s v="개발자테스트"/>
    <s v="김명준"/>
    <s v="김태훈"/>
    <s v="3자테스터공통"/>
    <s v="Online"/>
    <s v="결함"/>
    <s v="기능"/>
    <s v="확인요청"/>
    <s v="3자테스터공통"/>
    <s v="Minor"/>
    <x v="4"/>
    <d v="2026-04-29T15:01:53"/>
    <d v="2026-05-06T09:28:37"/>
    <s v=""/>
  </r>
  <r>
    <s v="UT-CARF037S(A)"/>
    <s v="1-1차"/>
    <n v="1"/>
    <x v="3"/>
    <s v="DEF-00492"/>
    <s v="Type Name을 빈값으로 두고 저장했을때 Type Name은 필수입니다 가 아니라 Code Name은 필수입니다로 표시"/>
    <s v="개발자테스트"/>
    <s v="김명준"/>
    <s v="김태훈"/>
    <s v="3자테스터공통"/>
    <s v="Online"/>
    <s v="개선/변경"/>
    <s v="UI"/>
    <s v="확인요청"/>
    <s v="3자테스터공통"/>
    <s v="Minor"/>
    <x v="4"/>
    <d v="2026-04-29T15:05:09"/>
    <d v="2026-05-06T09:29:18"/>
    <s v=""/>
  </r>
  <r>
    <s v="UT-FSSG170S"/>
    <s v="2-2차"/>
    <n v="1"/>
    <x v="2"/>
    <s v="DEF-00497"/>
    <s v="첫 진입 시 첫 필드에 (조회일자) 포커스 필요"/>
    <s v="개발자테스트"/>
    <s v="임소정"/>
    <s v="임소정"/>
    <s v="3자테스터공통"/>
    <s v="Online"/>
    <s v="개선/변경"/>
    <s v="UI"/>
    <s v="확인요청"/>
    <s v="3자테스터공통"/>
    <s v="Minor"/>
    <x v="4"/>
    <d v="2026-04-29T15:25:05"/>
    <d v="2026-05-07T19:33:53"/>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4">
  <r>
    <s v="UT-GO12705S"/>
    <s v="2-1차"/>
    <n v="1"/>
    <s v="공항운영(GO)"/>
    <s v="DEF-00205"/>
    <s v="기준일자 기준으로 검색해도 운항일자 날짜가 다름_x000a_ex) 2025-05-15 : 기준일자 =&gt; 운항일자=&gt;20250605"/>
    <s v="개발자테스트"/>
    <s v="신문호"/>
    <s v="김경준"/>
    <s v="3자테스터공통"/>
    <s v="Online"/>
    <s v="결함"/>
    <s v="데이터"/>
    <s v="결함검토요청"/>
    <s v="신문호"/>
    <s v="Major"/>
    <s v="결함검토요청"/>
    <d v="2026-04-27T14:51:49"/>
    <d v="2026-04-27T14:51:49"/>
    <s v=""/>
    <x v="0"/>
    <s v="기준일자/조회일자 불일치"/>
    <s v="기준일자 기준으로 검색해도 운항일자 날짜가 다름"/>
    <s v="기준일자 기준으로 검색해도 운항일자 날짜가 다름 ex) 2025-05-15 : 기준일자 =&gt; 운항일자=&gt;20250605"/>
    <m/>
    <m/>
    <s v="날짜 컴포넌트 표준화, 기준일자-운항일자 등 필드 매핑 점검 및 기간 가드 추가"/>
  </r>
  <r>
    <s v="UT-GO41701S"/>
    <s v="2-2차"/>
    <n v="1"/>
    <s v="공항운영(GO)"/>
    <s v="DEF-00225"/>
    <s v="운영년월의 년도입력간 validator 필요. 9999년도 이런식으로 입력이 가능합니다."/>
    <s v="개발자테스트"/>
    <s v="신문호"/>
    <s v="신문호"/>
    <s v="3자테스터공통"/>
    <s v="Online"/>
    <s v="개선/변경"/>
    <s v="기능"/>
    <s v="결함검토요청"/>
    <s v="신문호"/>
    <s v="Minor"/>
    <s v="결함검토요청"/>
    <d v="2026-04-27T16:49:10"/>
    <d v="2026-04-27T16:49:10"/>
    <s v=""/>
    <x v="0"/>
    <s v="날짜 입력 유효성"/>
    <s v="운영년월의 년도입력간 validator 필요. 9999년도 이런식으로 입력이 가능합니다."/>
    <s v="운영년월의 년도입력간 validator 필요. 9999년도 이런식으로 입력이 가능합니다."/>
    <m/>
    <m/>
    <s v="날짜 컴포넌트 표준화, 기준일자-운항일자 등 필드 매핑 점검 및 기간 가드 추가"/>
  </r>
  <r>
    <s v="UT-GO11950S"/>
    <s v="2-2차"/>
    <n v="1"/>
    <s v="공항운영(GO)"/>
    <s v="DEF-00226"/>
    <s v="주간 실적조회 엑셀 다운로드가 되지 않음(잘못올렸습니다 죄송합니다)"/>
    <s v="개발자테스트"/>
    <s v="신문호"/>
    <s v="신문호"/>
    <s v="3자테스터공통"/>
    <s v="Online"/>
    <s v="결함"/>
    <s v="기능"/>
    <s v="결함검토요청"/>
    <s v="신문호"/>
    <s v="Critical"/>
    <s v="결함검토요청"/>
    <d v="2026-04-27T16:54:34"/>
    <d v="2026-04-27T17:09:00"/>
    <s v=""/>
    <x v="1"/>
    <s v="엑셀 다운로드 오류"/>
    <s v="주간 실적조회 엑셀 다운로드가 되지 않음(잘못올렸습니다 죄송합니다)"/>
    <s v="주간 실적조회 엑셀 다운로드가 되지 않음(잘못올렸습니다 죄송합니다)"/>
    <m/>
    <m/>
    <s v="엑셀/PDF 공통 출력 모듈 점검, 컬럼 매핑·서식 검증 및 예외 처리"/>
  </r>
  <r>
    <s v="UT-GO11950S"/>
    <s v="2-2차"/>
    <n v="1"/>
    <s v="공항운영(GO)"/>
    <s v="DEF-00228"/>
    <s v="일일 실적조회의 연간 그래프간 데이터가 존재하지 않을때 사용자가 이해가게끔 표시할수 있어야 할거 같습니다"/>
    <s v="개발자테스트"/>
    <s v="신문호"/>
    <s v="신문호"/>
    <s v="3자테스터공통"/>
    <s v="Online"/>
    <s v="개선/변경"/>
    <s v="UI"/>
    <s v="결함검토요청"/>
    <s v="신문호"/>
    <s v="Minor"/>
    <s v="결함검토요청"/>
    <d v="2026-04-27T16:58:02"/>
    <d v="2026-04-27T16:58:02"/>
    <s v=""/>
    <x v="2"/>
    <s v="무데이터 표시 미흡"/>
    <s v="일일 실적조회의 연간 그래프간 데이터가 존재하지 않을때 사용자가 이해가게끔 표시할수 있어야 할거 같습니다"/>
    <s v="일일 실적조회의 연간 그래프간 데이터가 존재하지 않을때 사용자가 이해가게끔 표시할수 있어야 할거 같습니다"/>
    <m/>
    <m/>
    <s v="차트 공통 컴포넌트 점검, 무데이터 처리 및 축/범례 표준화"/>
  </r>
  <r>
    <s v="UT-GO11950S"/>
    <s v="2-2차"/>
    <n v="1"/>
    <s v="공항운영(GO)"/>
    <s v="DEF-00229"/>
    <s v="일일 실적조희의 그래프 버튼의 미동작"/>
    <s v="개발자테스트"/>
    <s v="신문호"/>
    <s v="신문호"/>
    <s v="3자테스터공통"/>
    <s v="Online"/>
    <s v="결함"/>
    <s v="기능"/>
    <s v="결함검토요청"/>
    <s v="신문호"/>
    <s v="Minor"/>
    <s v="결함검토요청"/>
    <d v="2026-04-27T16:58:48"/>
    <d v="2026-04-27T16:58:48"/>
    <s v=""/>
    <x v="2"/>
    <s v="차트 표시 오류"/>
    <s v="일일 실적조희의 그래프 버튼의 미동작"/>
    <s v="일일 실적조희의 그래프 버튼의 미동작"/>
    <m/>
    <m/>
    <s v="차트 공통 컴포넌트 점검, 무데이터 처리 및 축/범례 표준화"/>
  </r>
  <r>
    <s v="UT-GO11960S"/>
    <s v="2-2차"/>
    <n v="1"/>
    <s v="공항운영(GO)"/>
    <s v="DEF-00233"/>
    <s v="일자부분에 다른 페이지와 다르게 required 빨간 표시가 안되어있음"/>
    <s v="개발자테스트"/>
    <s v="신문호"/>
    <s v="신문호"/>
    <s v="3자테스터공통"/>
    <s v="Online"/>
    <s v="개선/변경"/>
    <s v="UI"/>
    <s v="결함검토요청"/>
    <s v="신문호"/>
    <s v="Minor"/>
    <s v="결함검토요청"/>
    <d v="2026-04-27T17:12:49"/>
    <d v="2026-04-28T14:13:39"/>
    <s v=""/>
    <x v="0"/>
    <s v="날짜 표시/포맷"/>
    <s v="일자부분에 다른 페이지와 다르게 required 빨간 표시가 안되어있음"/>
    <s v="일자부분에 다른 페이지와 다르게 required 빨간 표시가 안되어있음"/>
    <m/>
    <m/>
    <s v="날짜 컴포넌트 표준화, 기준일자-운항일자 등 필드 매핑 점검 및 기간 가드 추가"/>
  </r>
  <r>
    <s v="UT-GO13303S"/>
    <s v="2-1차"/>
    <n v="1"/>
    <s v="공항운영(GO)"/>
    <s v="DEF-00192"/>
    <s v="빈 엑셀양식 다운로드 후 양식대로 데이터 삽입해도 업로드 실패하였습니다 발생"/>
    <s v="개발자테스트"/>
    <s v="신문호"/>
    <s v="박정구"/>
    <s v="3자테스터공통"/>
    <s v="Online"/>
    <s v="결함"/>
    <s v="기능"/>
    <s v="결함검토요청"/>
    <s v="신문호"/>
    <s v="Major"/>
    <s v="결함검토요청"/>
    <d v="2026-04-27T14:21:30"/>
    <d v="2026-04-27T14:21:30"/>
    <s v=""/>
    <x v="1"/>
    <s v="엑셀 다운로드 오류"/>
    <s v="빈 엑셀양식 다운로드 후 양식대로 데이터 삽입해도 업로드 실패하였습니다 발생"/>
    <s v="빈 엑셀양식 다운로드 후 양식대로 데이터 삽입해도 업로드 실패하였습니다 발생"/>
    <m/>
    <m/>
    <s v="엑셀/PDF 공통 출력 모듈 점검, 컬럼 매핑·서식 검증 및 예외 처리"/>
  </r>
  <r>
    <s v="UT-GO12909S"/>
    <s v="2-1차"/>
    <n v="1"/>
    <s v="공항운영(GO)"/>
    <s v="DEF-00195"/>
    <s v="12909S 테스트 시험내용과 화면이 일치하지않음"/>
    <s v="개발자테스트"/>
    <s v="신문호"/>
    <s v="박정구"/>
    <s v="3자테스터공통"/>
    <s v="Online"/>
    <s v="결함"/>
    <s v="문서화"/>
    <s v="결함검토요청"/>
    <s v="신문호"/>
    <s v="Minor"/>
    <s v="결함검토요청"/>
    <d v="2026-04-27T14:23:00"/>
    <d v="2026-04-27T14:23:00"/>
    <s v=""/>
    <x v="3"/>
    <s v="데이터 정합성"/>
    <s v="12909S 테스트 시험내용과 화면이 일치하지않음"/>
    <s v="12909S 테스트 시험내용과 화면이 일치하지않음"/>
    <m/>
    <m/>
    <s v="원천 데이터-화면 매핑 재검증, 집계 로직 단위 테스트 보강"/>
  </r>
  <r>
    <s v="UT-GO12511S"/>
    <s v="2-1차"/>
    <n v="1"/>
    <s v="공항운영(GO)"/>
    <s v="DEF-00196"/>
    <s v="화면 우측 상단의 Search 버튼과 주기 선택 이 겹침._x000a_화면을 축소하면.. 화면이 더 일그러짐.."/>
    <s v="개발자테스트"/>
    <s v="신문호"/>
    <s v="김경준"/>
    <s v="3자테스터공통"/>
    <s v="Online"/>
    <s v="결함"/>
    <s v="UI"/>
    <s v="결함검토요청"/>
    <s v="신문호"/>
    <s v="Minor"/>
    <s v="결함검토요청"/>
    <d v="2026-04-27T14:31:52"/>
    <d v="2026-04-27T14:31:52"/>
    <s v=""/>
    <x v="2"/>
    <s v="축/눈금 표시"/>
    <s v="화면 우측 상단의 Search 버튼과 주기 선택 이 겹침."/>
    <s v="화면 우측 상단의 Search 버튼과 주기 선택 이 겹침. 화면을 축소하면.. 화면이 더 일그러짐.."/>
    <m/>
    <m/>
    <s v="차트 공통 컴포넌트 점검, 무데이터 처리 및 축/범례 표준화"/>
  </r>
  <r>
    <s v="UT-GO12507S"/>
    <s v="2-1차"/>
    <n v="1"/>
    <s v="공항운영(GO)"/>
    <s v="DEF-00197"/>
    <s v="Search로는 동작하지만 최초 load시 서버 오류입니다. 관리자에게 문의하세요 발생_x000a_"/>
    <s v="개발자테스트"/>
    <s v="신문호"/>
    <s v="김경준"/>
    <s v="3자테스터공통"/>
    <s v="Online"/>
    <s v="결함"/>
    <s v="기능"/>
    <s v="결함검토요청"/>
    <s v="신문호"/>
    <s v="Minor"/>
    <s v="결함검토요청"/>
    <d v="2026-04-27T14:32:09"/>
    <d v="2026-04-27T14:32:09"/>
    <s v=""/>
    <x v="4"/>
    <s v="조회 조건 처리"/>
    <s v="Search로는 동작하지만 최초 load시 서버 오류입니다. 관리자에게 문의하세요 발생"/>
    <s v="Search로는 동작하지만 최초 load시 서버 오류입니다. 관리자에게 문의하세요 발생"/>
    <m/>
    <m/>
    <s v="조회 SQL/조건 매핑 재검토, 정렬·필터 기본값 정의서와 일치화"/>
  </r>
  <r>
    <s v="UT-GO11961S"/>
    <s v="2-2차"/>
    <n v="1"/>
    <s v="공항운영(GO)"/>
    <s v="DEF-00253"/>
    <s v="날짜가 9999-01-01 ~ 9999-02-01 이여도 데이터가 표출됨"/>
    <s v="개발자테스트"/>
    <s v="신문호"/>
    <s v="신문호"/>
    <s v="3자테스터공통"/>
    <s v="Online"/>
    <s v="결함"/>
    <s v="데이터"/>
    <s v="결함검토요청"/>
    <s v="신문호"/>
    <s v="Critical"/>
    <s v="결함검토요청"/>
    <d v="2026-04-27T17:22:43"/>
    <d v="2026-04-27T17:54:59"/>
    <s v=""/>
    <x v="0"/>
    <s v="날짜 입력 유효성"/>
    <s v="날짜가 9999-01-01 ~ 9999-02-01 이여도 데이터가 표출됨"/>
    <s v="날짜가 9999-01-01 ~ 9999-02-01 이여도 데이터가 표출됨"/>
    <m/>
    <m/>
    <s v="날짜 컴포넌트 표준화, 기준일자-운항일자 등 필드 매핑 점검 및 기간 가드 추가"/>
  </r>
  <r>
    <s v="UT-GO11963S"/>
    <s v="2-2차"/>
    <n v="1"/>
    <s v="공항운영(GO)"/>
    <s v="DEF-00255"/>
    <s v="월간 실적 조회 간 날짜를 종료일자 날짜를 지정하지 않아도 검색이 가능함"/>
    <s v="개발자테스트"/>
    <s v="신문호"/>
    <s v="신문호"/>
    <s v="3자테스터공통"/>
    <s v="Online"/>
    <s v="결함"/>
    <s v="기능"/>
    <s v="결함검토요청"/>
    <s v="신문호"/>
    <s v="Critical"/>
    <s v="결함검토요청"/>
    <d v="2026-04-27T17:27:53"/>
    <d v="2026-04-27T17:27:53"/>
    <s v=""/>
    <x v="0"/>
    <s v="기간 범위 처리"/>
    <s v="월간 실적 조회 간 날짜를 종료일자 날짜를 지정하지 않아도 검색이 가능함"/>
    <s v="월간 실적 조회 간 날짜를 종료일자 날짜를 지정하지 않아도 검색이 가능함"/>
    <m/>
    <m/>
    <s v="날짜 컴포넌트 표준화, 기준일자-운항일자 등 필드 매핑 점검 및 기간 가드 추가"/>
  </r>
  <r>
    <s v="UT-GO12507S"/>
    <s v="2-1차"/>
    <n v="1"/>
    <s v="공항운영(GO)"/>
    <s v="DEF-00275"/>
    <s v="조건에 의한 조회 Test에서.. 항로를 선택 조회하였지만. 전체 항로 선택과 동일한 결과 조회됨."/>
    <s v="개발자테스트"/>
    <s v="신문호"/>
    <s v="김경준"/>
    <s v="3자테스터공통"/>
    <s v="Online"/>
    <s v="결함"/>
    <s v="데이터"/>
    <s v="결함검토요청"/>
    <s v="신문호"/>
    <s v="Minor"/>
    <s v="결함검토요청"/>
    <d v="2026-04-28T09:56:34"/>
    <d v="2026-04-28T09:56:34"/>
    <s v=""/>
    <x v="4"/>
    <s v="조회 조건 처리"/>
    <s v="조건에 의한 조회 Test에서.. 항로를 선택 조회하였지만. 전체 항로 선택과 동일한 결과 조회됨."/>
    <s v="조건에 의한 조회 Test에서.. 항로를 선택 조회하였지만. 전체 항로 선택과 동일한 결과 조회됨."/>
    <m/>
    <m/>
    <s v="조회 SQL/조건 매핑 재검토, 정렬·필터 기본값 정의서와 일치화"/>
  </r>
  <r>
    <s v="UT-GO12511S"/>
    <s v="2-1차"/>
    <n v="1"/>
    <s v="공항운영(GO)"/>
    <s v="DEF-00279"/>
    <s v="화면 크기를 일부 축소하면.. 아래 화면처럼.. 상단 화면이 일그러짐."/>
    <s v="개발자테스트"/>
    <s v="신문호"/>
    <s v="김경준"/>
    <s v="3자테스터공통"/>
    <s v="Online"/>
    <s v="결함"/>
    <s v="UI"/>
    <s v="결함검토요청"/>
    <s v="신문호"/>
    <s v="Minor"/>
    <s v="결함검토요청"/>
    <d v="2026-04-28T10:16:28"/>
    <d v="2026-04-28T10:16:29"/>
    <s v=""/>
    <x v="2"/>
    <s v="축/눈금 표시"/>
    <s v="화면 크기를 일부 축소하면.. 아래 화면처럼.. 상단 화면이 일그러짐."/>
    <s v="화면 크기를 일부 축소하면.. 아래 화면처럼.. 상단 화면이 일그러짐."/>
    <m/>
    <m/>
    <s v="차트 공통 컴포넌트 점검, 무데이터 처리 및 축/범례 표준화"/>
  </r>
  <r>
    <s v="UT-GO12705S"/>
    <s v="2-1차"/>
    <n v="1"/>
    <s v="공항운영(GO)"/>
    <s v="DEF-00284"/>
    <s v="지연사유 선택과 무관하게 전체가 조회됨."/>
    <s v="개발자테스트"/>
    <s v="신문호"/>
    <s v="김경준"/>
    <s v="3자테스터공통"/>
    <s v="Online"/>
    <s v="결함"/>
    <s v="데이터"/>
    <s v="결함검토요청"/>
    <s v="신문호"/>
    <s v="Major"/>
    <s v="결함검토요청"/>
    <d v="2026-04-28T10:32:44"/>
    <d v="2026-04-28T10:32:44"/>
    <s v=""/>
    <x v="4"/>
    <s v="조회 조건 처리"/>
    <s v="지연사유 선택과 무관하게 전체가 조회됨."/>
    <s v="지연사유 선택과 무관하게 전체가 조회됨."/>
    <m/>
    <m/>
    <s v="조회 SQL/조건 매핑 재검토, 정렬·필터 기본값 정의서와 일치화"/>
  </r>
  <r>
    <s v="UT-GO12903S"/>
    <s v="2-2차"/>
    <n v="1"/>
    <s v="공항운영(GO)"/>
    <s v="DEF-00285"/>
    <s v="국토부기준 노선구분은 combo 박스인데 눌렀을때 아무 리스트도 뜨지 않음 공통코드가 없는지 확인이 필요할 것 같습니다"/>
    <s v="개발자테스트"/>
    <s v="신문호"/>
    <s v="신문호"/>
    <s v="3자테스터공통"/>
    <s v="Online"/>
    <s v="결함"/>
    <s v="기능"/>
    <s v="결함검토요청"/>
    <s v="신문호"/>
    <s v="Minor"/>
    <s v="결함검토요청"/>
    <d v="2026-04-28T10:32:47"/>
    <d v="2026-04-28T14:03:48"/>
    <s v=""/>
    <x v="5"/>
    <s v="기타 검토"/>
    <s v="국토부기준 노선구분은 combo 박스인데 눌렀을때 아무 리스트도 뜨지 않음 공통코드가 없는지 확인이 필요…"/>
    <s v="국토부기준 노선구분은 combo 박스인데 눌렀을때 아무 리스트도 뜨지 않음 공통코드가 없는지 확인이 필요할 것 같습니다"/>
    <m/>
    <m/>
    <s v="담당 PL과 결함 성격 재정의 후 분류 보완"/>
  </r>
  <r>
    <s v="UT-PM10301S"/>
    <s v="2-3차"/>
    <n v="1"/>
    <s v="예측관리(PM)"/>
    <s v="DEF-00286"/>
    <s v="캘린더에 날짜를 클릭해도 캘린더가 닫히지 않고 캘린더 TYPE이 다름"/>
    <s v="개발자테스트"/>
    <s v="임소정"/>
    <s v="신문호"/>
    <s v="3자테스터공통"/>
    <s v="Online"/>
    <s v="개선/변경"/>
    <s v="UI"/>
    <s v="결함검토요청"/>
    <s v="염희석"/>
    <s v="Minor"/>
    <s v="결함검토요청"/>
    <d v="2026-04-28T10:36:04"/>
    <d v="2026-04-28T10:36:04"/>
    <s v=""/>
    <x v="0"/>
    <s v="날짜 표시/포맷"/>
    <s v="캘린더에 날짜를 클릭해도 캘린더가 닫히지 않고 캘린더 TYPE이 다름"/>
    <s v="캘린더에 날짜를 클릭해도 캘린더가 닫히지 않고 캘린더 TYPE이 다름"/>
    <m/>
    <m/>
    <s v="날짜 컴포넌트 표준화, 기준일자-운항일자 등 필드 매핑 점검 및 기간 가드 추가"/>
  </r>
  <r>
    <s v="UT-GO12909S"/>
    <s v="2-1차"/>
    <n v="1"/>
    <s v="공항운영(GO)"/>
    <s v="DEF-00287"/>
    <s v="화물터미널주기현황 클릭하면.. 아무런 조회조건 입력 영역없이 조회 버튼만 존재하고.. 조회버튼 클릭하면.. 오늘자 현황이 조회됨._x000a_만일 날자 지정없이 오늘자만 조회하는 기능이라면. 조회버튼은 불필요할듯.. 아니면, 날자 선택 기능이 누락됨."/>
    <s v="개발자테스트"/>
    <s v="신문호"/>
    <s v="박정구"/>
    <s v="3자테스터공통"/>
    <s v="Online"/>
    <s v="결함"/>
    <s v="인터페이스"/>
    <s v="결함검토요청"/>
    <s v="신문호"/>
    <s v="Minor"/>
    <s v="결함검토요청"/>
    <d v="2026-04-28T10:41:28"/>
    <d v="2026-04-28T10:41:29"/>
    <s v=""/>
    <x v="4"/>
    <s v="조회 조건 처리"/>
    <s v="화물터미널주기현황 클릭하면.. 아무런 조회조건 입력 영역없이 조회 버튼만 존재하고.. 조회버튼 클릭하면.…"/>
    <s v="화물터미널주기현황 클릭하면.. 아무런 조회조건 입력 영역없이 조회 버튼만 존재하고.. 조회버튼 클릭하면.. 오늘자 현황이 조회됨. 만일 날자 지정없이 오늘자만 조회하는 기능이라면. 조회버튼은 불필요할듯.. 아니면, 날자 선택 기능이 누락됨."/>
    <m/>
    <m/>
    <s v="조회 SQL/조건 매핑 재검토, 정렬·필터 기본값 정의서와 일치화"/>
  </r>
  <r>
    <s v="UT-PM10301S"/>
    <s v="2-3차"/>
    <n v="1"/>
    <s v="예측관리(PM)"/>
    <s v="DEF-00288"/>
    <s v="1. 2026-04-28로 정상 조회 후 _x000a_2. 데이터가 없는 날짜 조회_x000a_  - 아래 시뮬레이션 요약 그래프에 데이터가 남아 있음_x000a_3. 상태 그대로 시뮬레이션 요약 밑에 출국장을 변경_x000a_4. 2026-04-28로 정상 조회_x000a_5. 시뮬레이션 요약에 데이터 조회 안됨."/>
    <s v="개발자테스트"/>
    <s v="임소정"/>
    <s v="신문호"/>
    <s v="3자테스터공통"/>
    <s v="Online"/>
    <s v="개선/변경"/>
    <s v="기능"/>
    <s v="결함검토요청"/>
    <s v="염희석"/>
    <s v="Major"/>
    <s v="결함검토요청"/>
    <d v="2026-04-28T10:52:46"/>
    <d v="2026-04-28T10:52:46"/>
    <s v=""/>
    <x v="2"/>
    <s v="무데이터 표시 미흡"/>
    <s v="1. 2026-04-28로 정상 조회 후"/>
    <s v="1. 2026-04-28로 정상 조회 후  2. 데이터가 없는 날짜 조회   - 아래 시뮬레이션 요약 그래프에 데이터가 남아 있음 3. 상태 그대로 시뮬레이션 요약 밑에 출국장을 변경 4. 2026-04-28로 정상 조회 5. 시뮬레이션 요약에 데…"/>
    <m/>
    <m/>
    <s v="차트 공통 컴포넌트 점검, 무데이터 처리 및 축/범례 표준화"/>
  </r>
  <r>
    <s v="UT-GO12516S"/>
    <s v="2-2차"/>
    <n v="1"/>
    <s v="공항운영(GO)"/>
    <s v="DEF-00291"/>
    <s v="출도착, 조회조건에 전체라는 default 값이 있는 콤보박스들은 최초 load시에 전체값이 떠야할것 같습니다."/>
    <s v="개발자테스트"/>
    <s v="신문호"/>
    <s v="김경준"/>
    <s v="3자테스터공통"/>
    <s v="Online"/>
    <s v="개선/변경"/>
    <s v="기능"/>
    <s v="결함검토요청"/>
    <s v="신문호"/>
    <s v="Minor"/>
    <s v="결함검토요청"/>
    <d v="2026-04-28T11:04:04"/>
    <d v="2026-04-28T11:04:04"/>
    <s v=""/>
    <x v="4"/>
    <s v="조회 조건 처리"/>
    <s v="출도착, 조회조건에 전체라는 default 값이 있는 콤보박스들은 최초 load시에 전체값이 떠야할것 같…"/>
    <s v="출도착, 조회조건에 전체라는 default 값이 있는 콤보박스들은 최초 load시에 전체값이 떠야할것 같습니다."/>
    <m/>
    <m/>
    <s v="조회 SQL/조건 매핑 재검토, 정렬·필터 기본값 정의서와 일치화"/>
  </r>
  <r>
    <s v="UT-GO13303S"/>
    <s v="2-1차"/>
    <n v="1"/>
    <s v="공항운영(GO)"/>
    <s v="DEF-00293"/>
    <s v="다운로드 받은 업로드 양식 파일의 각 필드별 입력이 필요한 형식의 예시가 제시되어야 함. "/>
    <s v="개발자테스트"/>
    <s v="신문호"/>
    <s v="박정구"/>
    <s v="3자테스터공통"/>
    <s v="Online"/>
    <s v="개선/변경"/>
    <s v="프로세스"/>
    <s v="결함검토요청"/>
    <s v="신문호"/>
    <s v="Minor"/>
    <s v="결함검토요청"/>
    <d v="2026-04-28T11:10:41"/>
    <d v="2026-04-28T11:10:42"/>
    <s v=""/>
    <x v="1"/>
    <s v="파일 출력/다운로드"/>
    <s v="다운로드 받은 업로드 양식 파일의 각 필드별 입력이 필요한 형식의 예시가 제시되어야 함."/>
    <s v="다운로드 받은 업로드 양식 파일의 각 필드별 입력이 필요한 형식의 예시가 제시되어야 함."/>
    <m/>
    <m/>
    <s v="엑셀/PDF 공통 출력 모듈 점검, 컬럼 매핑·서식 검증 및 예외 처리"/>
  </r>
  <r>
    <s v="UT-PM10302S"/>
    <s v="2-3차"/>
    <n v="1"/>
    <s v="예측관리(PM)"/>
    <s v="DEF-00294"/>
    <s v="기준일자 없이 조회가 됨_x000a_- 필수값 체크 확인 필요"/>
    <s v="개발자테스트"/>
    <s v="임소정"/>
    <s v="pmtbd1"/>
    <s v="3자테스터공통"/>
    <s v="Online"/>
    <s v="결함"/>
    <s v="기능"/>
    <s v="결함검토요청"/>
    <s v="염희석"/>
    <s v="Critical"/>
    <s v="결함검토요청"/>
    <d v="2026-04-28T11:10:47"/>
    <d v="2026-04-28T11:10:47"/>
    <s v=""/>
    <x v="0"/>
    <s v="기준일자/조회일자 불일치"/>
    <s v="기준일자 없이 조회가 됨"/>
    <s v="기준일자 없이 조회가 됨 - 필수값 체크 확인 필요"/>
    <m/>
    <m/>
    <s v="날짜 컴포넌트 표준화, 기준일자-운항일자 등 필드 매핑 점검 및 기간 가드 추가"/>
  </r>
  <r>
    <s v="UT-GO61602S"/>
    <s v="2-1차"/>
    <n v="1"/>
    <s v="공항운영(GO)"/>
    <s v="DEF-00306"/>
    <s v="화면 상단의 숫자 필드 값 수정 가능한데.. 이후 어떤 액션을 할 수 있는지.. 모호함. 우측 조회 버튼은 자동 갱신 주기 변경 수행 여부의 버튼으로만 보임."/>
    <s v="개발자테스트"/>
    <s v="신문호"/>
    <s v="박정구"/>
    <s v="3자테스터공통"/>
    <s v="Online"/>
    <s v="개선/변경"/>
    <s v="UI"/>
    <s v="결함검토요청"/>
    <s v="신문호"/>
    <s v="Minor"/>
    <s v="결함검토요청"/>
    <d v="2026-04-28T12:59:09"/>
    <d v="2026-04-28T12:59:09"/>
    <s v=""/>
    <x v="4"/>
    <s v="조회 조건 처리"/>
    <s v="화면 상단의 숫자 필드 값 수정 가능한데.. 이후 어떤 액션을 할 수 있는지.. 모호함. 우측 조회 버튼…"/>
    <s v="화면 상단의 숫자 필드 값 수정 가능한데.. 이후 어떤 액션을 할 수 있는지.. 모호함. 우측 조회 버튼은 자동 갱신 주기 변경 수행 여부의 버튼으로만 보임."/>
    <m/>
    <m/>
    <s v="조회 SQL/조건 매핑 재검토, 정렬·필터 기본값 정의서와 일치화"/>
  </r>
  <r>
    <s v="UT-PM10305S"/>
    <s v="2-3차"/>
    <n v="1"/>
    <s v="예측관리(PM)"/>
    <s v="DEF-00313"/>
    <s v="전주에 대한 데이터 표시 안됨._x000a_"/>
    <s v="개발자테스트"/>
    <s v="임소정"/>
    <s v="pmtbd2"/>
    <s v="3자테스터공통"/>
    <s v="Online"/>
    <s v="결함"/>
    <s v="데이터"/>
    <s v="결함검토요청"/>
    <s v="염희석"/>
    <s v="Major"/>
    <s v="결함검토요청"/>
    <d v="2026-04-28T13:20:54"/>
    <d v="2026-04-28T13:20:54"/>
    <s v=""/>
    <x v="3"/>
    <s v="데이터 정합성"/>
    <s v="전주에 대한 데이터 표시 안됨."/>
    <s v="전주에 대한 데이터 표시 안됨."/>
    <m/>
    <m/>
    <s v="원천 데이터-화면 매핑 재검증, 집계 로직 단위 테스트 보강"/>
  </r>
  <r>
    <s v="UT-GO62401S"/>
    <s v="2-1차"/>
    <n v="1"/>
    <s v="공항운영(GO)"/>
    <s v="DEF-00186"/>
    <s v="조건에 따른 조회결과가 표출되지 않음."/>
    <s v="개발자테스트"/>
    <s v="신문호"/>
    <s v="김경준"/>
    <s v="3자테스터공통"/>
    <s v="Online"/>
    <s v="결함"/>
    <s v="데이터"/>
    <s v="결함검토요청"/>
    <s v="신문호"/>
    <s v="Minor"/>
    <s v="결함검토요청"/>
    <d v="2026-04-27T13:55:47"/>
    <d v="2026-04-27T13:55:47"/>
    <s v=""/>
    <x v="4"/>
    <s v="조회 조건 처리"/>
    <s v="조건에 따른 조회결과가 표출되지 않음."/>
    <s v="조건에 따른 조회결과가 표출되지 않음."/>
    <m/>
    <m/>
    <s v="조회 SQL/조건 매핑 재검토, 정렬·필터 기본값 정의서와 일치화"/>
  </r>
  <r>
    <s v="UT-GO11951S"/>
    <s v="2-1차"/>
    <n v="1"/>
    <s v="공항운영(GO)"/>
    <s v="DEF-00187"/>
    <s v="각 입력 필드값의 유효성 점검이 이루어지는지 의문임.._x000a_대부분의 값이 제한없이 입력 저장되는데.._x000a_무의미한 숫자값이 제한 없이 입력 저장됨"/>
    <s v="개발자테스트"/>
    <s v="신문호"/>
    <s v="김경준"/>
    <s v="3자테스터공통"/>
    <s v="Online"/>
    <s v="개선/변경"/>
    <s v="프로세스"/>
    <s v="결함검토요청"/>
    <s v="신문호"/>
    <s v="Minor"/>
    <s v="결함검토요청"/>
    <d v="2026-04-27T14:06:46"/>
    <d v="2026-04-27T14:06:46"/>
    <s v=""/>
    <x v="6"/>
    <s v="입력값 유효성"/>
    <s v="각 입력 필드값의 유효성 점검이 이루어지는지 의문임.."/>
    <s v="각 입력 필드값의 유효성 점검이 이루어지는지 의문임.. 대부분의 값이 제한없이 입력 저장되는데.. 무의미한 숫자값이 제한 없이 입력 저장됨"/>
    <m/>
    <m/>
    <s v="프론트/백엔드 양측에 입력 유효성 검증 추가 및 공통 validator 적용"/>
  </r>
  <r>
    <s v="UT-GO41301S"/>
    <s v="1-1차"/>
    <n v="1"/>
    <s v="공항운영(GO)"/>
    <s v="DEF-00208"/>
    <s v="search 이후, 드롭다운을 default 값(전체)으로 변경해야 할 것 같습니다. "/>
    <s v="개발자테스트"/>
    <s v="신문호"/>
    <s v="김경준"/>
    <s v="3자테스터공통"/>
    <s v="Online"/>
    <s v="개선/변경"/>
    <s v="UI"/>
    <s v="결함검토요청"/>
    <s v="신문호"/>
    <s v="Minor"/>
    <s v="결함검토요청"/>
    <d v="2026-04-27T15:05:33"/>
    <d v="2026-04-27T15:05:33"/>
    <s v=""/>
    <x v="1"/>
    <s v="파일 출력/다운로드"/>
    <s v="search 이후, 드롭다운을 default 값(전체)으로 변경해야 할 것 같습니다."/>
    <s v="search 이후, 드롭다운을 default 값(전체)으로 변경해야 할 것 같습니다."/>
    <m/>
    <m/>
    <s v="엑셀/PDF 공통 출력 모듈 점검, 컬럼 매핑·서식 검증 및 예외 처리"/>
  </r>
  <r>
    <s v="UT-GO12903S"/>
    <s v="2-2차"/>
    <n v="1"/>
    <s v="공항운영(GO)"/>
    <s v="DEF-00283"/>
    <s v="최초 Load시 서버 오류 문구가 발생합니다."/>
    <s v="개발자테스트"/>
    <s v="신문호"/>
    <s v="신문호"/>
    <s v="3자테스터공통"/>
    <s v="Online"/>
    <s v="결함"/>
    <s v="기능"/>
    <s v="결함검토요청"/>
    <s v="신문호"/>
    <s v="Minor"/>
    <s v="결함검토요청"/>
    <d v="2026-04-28T10:29:18"/>
    <d v="2026-04-28T10:29:18"/>
    <s v=""/>
    <x v="7"/>
    <s v="문구/오타"/>
    <s v="최초 Load시 서버 오류 문구가 발생합니다."/>
    <s v="최초 Load시 서버 오류 문구가 발생합니다."/>
    <m/>
    <m/>
    <s v="UX 가이드라인에 따라 표준 안내·툴팁 문구 적용, 무데이터/오류 메시지 정비"/>
  </r>
  <r>
    <s v="UT-GO23701S"/>
    <s v="1-2차"/>
    <n v="1"/>
    <s v="공항운영(GO)"/>
    <s v="DEF-00319"/>
    <s v="집계연도가 빈값일때 통계 생성을 누르면 로딩이 됩니다. _x000a_이후 집계 완료 팝업이 뜹니다. "/>
    <s v="개발자테스트"/>
    <s v="신문호"/>
    <s v="김경준"/>
    <s v="3자테스터공통"/>
    <s v="Online"/>
    <s v="개선/변경"/>
    <s v="기타"/>
    <s v="결함검토요청"/>
    <s v="신문호"/>
    <s v="Major"/>
    <s v="결함검토요청"/>
    <d v="2026-04-28T13:36:55"/>
    <d v="2026-04-28T13:36:55"/>
    <s v=""/>
    <x v="7"/>
    <s v="메시지 표시"/>
    <s v="집계연도가 빈값일때 통계 생성을 누르면 로딩이 됩니다."/>
    <s v="집계연도가 빈값일때 통계 생성을 누르면 로딩이 됩니다.  이후 집계 완료 팝업이 뜹니다."/>
    <m/>
    <m/>
    <s v="UX 가이드라인에 따라 표준 안내·툴팁 문구 적용, 무데이터/오류 메시지 정비"/>
  </r>
  <r>
    <s v="UT-GO11960S"/>
    <s v="2-2차"/>
    <n v="1"/>
    <s v="공항운영(GO)"/>
    <s v="DEF-00320"/>
    <s v="스크롤로 내려가긴하는데 스크롤 표시가없어서 사용자가 아래에 데이터가 더 존재하는지 확인하기 어려운거 같습니다"/>
    <s v="개발자테스트"/>
    <s v="신문호"/>
    <s v="신문호"/>
    <s v="3자테스터공통"/>
    <s v="Online"/>
    <s v="개선/변경"/>
    <s v="UI"/>
    <s v="결함검토요청"/>
    <s v="신문호"/>
    <s v="Minor"/>
    <s v="결함검토요청"/>
    <d v="2026-04-28T13:39:30"/>
    <d v="2026-04-28T13:39:30"/>
    <s v=""/>
    <x v="3"/>
    <s v="데이터 정합성"/>
    <s v="스크롤로 내려가긴하는데 스크롤 표시가없어서 사용자가 아래에 데이터가 더 존재하는지 확인하기 어려운거 같습니다"/>
    <s v="스크롤로 내려가긴하는데 스크롤 표시가없어서 사용자가 아래에 데이터가 더 존재하는지 확인하기 어려운거 같습니다"/>
    <m/>
    <m/>
    <s v="원천 데이터-화면 매핑 재검증, 집계 로직 단위 테스트 보강"/>
  </r>
  <r>
    <s v="UT-PM10306S"/>
    <s v="2-3차"/>
    <n v="1"/>
    <s v="예측관리(PM)"/>
    <s v="DEF-00325"/>
    <s v="1. 터미널 T1 번으로 조회하면 아이랜드 C에 데이터가 존재_x000a_2. 터미널 T2 로 변경 후 조회 _x000a_3. 표보기 또는 차트보기로 이동 후 맵보기로 왔을 때 데이터 사라짐_x000a_4. 데이터가 없는 상태에서 아이랜드 코드 클릭 시 차트보기로 이동 함."/>
    <s v="개발자테스트"/>
    <s v="임소정"/>
    <s v="pmtbd3"/>
    <s v="3자테스터공통"/>
    <s v="Online"/>
    <s v="결함"/>
    <s v="기능"/>
    <s v="결함검토요청"/>
    <s v="염희석"/>
    <s v="Critical"/>
    <s v="결함검토요청"/>
    <d v="2026-04-28T13:49:14"/>
    <d v="2026-04-28T13:51:27"/>
    <s v=""/>
    <x v="2"/>
    <s v="무데이터 표시 미흡"/>
    <s v="1. 터미널 T1 번으로 조회하면 아이랜드 C에 데이터가 존재"/>
    <s v="1. 터미널 T1 번으로 조회하면 아이랜드 C에 데이터가 존재 2. 터미널 T2 로 변경 후 조회  3. 표보기 또는 차트보기로 이동 후 맵보기로 왔을 때 데이터 사라짐 4. 데이터가 없는 상태에서 아이랜드 코드 클릭 시 차트보기로 이동 함."/>
    <m/>
    <m/>
    <s v="차트 공통 컴포넌트 점검, 무데이터 처리 및 축/범례 표준화"/>
  </r>
  <r>
    <s v="UT-GO62301S"/>
    <s v="2-1차"/>
    <n v="1"/>
    <s v="공항운영(GO)"/>
    <s v="DEF-00185"/>
    <s v="조건에 따른 조회결과가 표출되지 않음."/>
    <s v="개발자테스트"/>
    <s v="신문호"/>
    <s v="김경준"/>
    <s v="3자테스터공통"/>
    <s v="Online"/>
    <s v="결함"/>
    <s v="데이터"/>
    <s v="결함검토요청"/>
    <s v="신문호"/>
    <s v="Minor"/>
    <s v="결함검토요청"/>
    <d v="2026-04-27T13:53:29"/>
    <d v="2026-04-27T13:53:29"/>
    <s v=""/>
    <x v="4"/>
    <s v="조회 조건 처리"/>
    <s v="조건에 따른 조회결과가 표출되지 않음."/>
    <s v="조건에 따른 조회결과가 표출되지 않음."/>
    <m/>
    <m/>
    <s v="조회 SQL/조건 매핑 재검토, 정렬·필터 기본값 정의서와 일치화"/>
  </r>
  <r>
    <s v="UT-GO41206M"/>
    <s v="1-2차"/>
    <n v="1"/>
    <s v="공항운영(GO)"/>
    <s v="DEF-00370"/>
    <s v="엑셀 내 화물 단위 명시 누락"/>
    <s v="개발자테스트"/>
    <s v="신문호"/>
    <s v="김경준"/>
    <s v="3자테스터공통"/>
    <s v="Online"/>
    <s v="개선/변경"/>
    <s v="기타"/>
    <s v="결함검토요청"/>
    <s v="신문호"/>
    <s v="Minor"/>
    <s v="결함검토요청"/>
    <d v="2026-04-28T15:12:25"/>
    <d v="2026-04-28T15:12:25"/>
    <s v=""/>
    <x v="1"/>
    <s v="엑셀 다운로드 오류"/>
    <s v="엑셀 내 화물 단위 명시 누락"/>
    <s v="엑셀 내 화물 단위 명시 누락"/>
    <m/>
    <m/>
    <s v="엑셀/PDF 공통 출력 모듈 점검, 컬럼 매핑·서식 검증 및 예외 처리"/>
  </r>
  <r>
    <s v="UT-GO12903S"/>
    <s v="2-2차"/>
    <n v="1"/>
    <s v="공항운영(GO)"/>
    <s v="DEF-00377"/>
    <s v="조건에 주기장 정보 입력시_x000a_from ~ to_x000a_1 ~ ==&gt; 유효한 범위가 아님_x000a_  ~ 9==&gt; 조회는 되나 결과는 이상"/>
    <s v="개발자테스트"/>
    <s v="신문호"/>
    <s v="신문호"/>
    <s v="3자테스터공통"/>
    <s v="Online"/>
    <s v="결함"/>
    <s v="기능"/>
    <s v="결함검토요청"/>
    <s v="신문호"/>
    <s v="Major"/>
    <s v="결함검토요청"/>
    <d v="2026-04-28T15:28:39"/>
    <d v="2026-04-28T15:28:39"/>
    <s v=""/>
    <x v="4"/>
    <s v="조회 조건 처리"/>
    <s v="조건에 주기장 정보 입력시"/>
    <s v="조건에 주기장 정보 입력시 from ~ to 1 ~ ==&gt; 유효한 범위가 아님   ~ 9==&gt; 조회는 되나 결과는 이상"/>
    <m/>
    <m/>
    <s v="조회 SQL/조건 매핑 재검토, 정렬·필터 기본값 정의서와 일치화"/>
  </r>
  <r>
    <s v="UT-PM20101S"/>
    <s v="1-2차"/>
    <n v="1"/>
    <s v="예측관리(PM)"/>
    <s v="DEF-00433"/>
    <s v="차트이미지가 잘립니다._x000a_승객 단위인데 결과 라인이 음수로 내려가는게 문제인것같습니다 "/>
    <s v="개발자테스트"/>
    <s v="임소정"/>
    <s v="신문호"/>
    <s v="3자테스터공통"/>
    <s v="Online"/>
    <s v="개선/변경"/>
    <s v="UI"/>
    <s v="결함검토요청"/>
    <s v="임소정"/>
    <s v="Minor"/>
    <s v="결함검토요청"/>
    <d v="2026-04-29T10:12:47"/>
    <d v="2026-04-29T10:12:47"/>
    <s v=""/>
    <x v="2"/>
    <s v="차트 표시 오류"/>
    <s v="차트이미지가 잘립니다."/>
    <s v="차트이미지가 잘립니다. 승객 단위인데 결과 라인이 음수로 내려가는게 문제인것같습니다"/>
    <m/>
    <m/>
    <s v="차트 공통 컴포넌트 점검, 무데이터 처리 및 축/범례 표준화"/>
  </r>
  <r>
    <s v="UT-PM20159S"/>
    <s v="2-2차"/>
    <n v="1"/>
    <s v="예측관리(PM)"/>
    <s v="DEF-00437"/>
    <s v="+ 버튼으로 그래프 비교를 할경우 화면 비율 100% 상태에서 승객수 기존 , 시뮬레이션 글자가 짤림"/>
    <s v="개발자테스트"/>
    <s v="임소정"/>
    <s v="노세찬"/>
    <s v="3자테스터공통"/>
    <s v="Online"/>
    <s v="결함"/>
    <s v="UI"/>
    <s v="결함검토요청"/>
    <s v="임소정"/>
    <s v="Minor"/>
    <s v="결함검토요청"/>
    <d v="2026-04-29T10:23:43"/>
    <d v="2026-04-29T10:23:43"/>
    <s v=""/>
    <x v="2"/>
    <s v="차트 표시 오류"/>
    <s v="+ 버튼으로 그래프 비교를 할경우 화면 비율 100% 상태에서 승객수 기존 , 시뮬레이션 글자가 짤림"/>
    <s v="+ 버튼으로 그래프 비교를 할경우 화면 비율 100% 상태에서 승객수 기존 , 시뮬레이션 글자가 짤림"/>
    <m/>
    <m/>
    <s v="차트 공통 컴포넌트 점검, 무데이터 처리 및 축/범례 표준화"/>
  </r>
  <r>
    <s v="UT-PM20101S"/>
    <s v="1-2차"/>
    <n v="1"/>
    <s v="예측관리(PM)"/>
    <s v="DEF-00438"/>
    <s v="하단 데이터는 어떤 데이터인지 예상이 되지 않습니다. _x000a_데이터에 대한 안내가 필요해보입니다. "/>
    <s v="개발자테스트"/>
    <s v="임소정"/>
    <s v="신문호"/>
    <s v="3자테스터공통"/>
    <s v="Online"/>
    <s v="개선/변경"/>
    <s v="UI"/>
    <s v="결함검토요청"/>
    <s v="임소정"/>
    <s v="Minor"/>
    <s v="결함검토요청"/>
    <d v="2026-04-29T10:27:52"/>
    <d v="2026-04-29T10:27:52"/>
    <s v=""/>
    <x v="7"/>
    <s v="안내 메시지 부재"/>
    <s v="하단 데이터는 어떤 데이터인지 예상이 되지 않습니다."/>
    <s v="하단 데이터는 어떤 데이터인지 예상이 되지 않습니다.  데이터에 대한 안내가 필요해보입니다."/>
    <m/>
    <m/>
    <s v="UX 가이드라인에 따라 표준 안내·툴팁 문구 적용, 무데이터/오류 메시지 정비"/>
  </r>
  <r>
    <s v="UT-PM20160S"/>
    <s v="2-2차"/>
    <n v="1"/>
    <s v="예측관리(PM)"/>
    <s v="DEF-00439"/>
    <s v="+ 버튼으로 그래프 비교를 할경우 화면 비율 100% 상태에서 환승검색대 갯수 글자 짤림 ,  승객수 그래프 하단 기존 , 시뮬레이션 글자가 짤림"/>
    <s v="개발자테스트"/>
    <s v="임소정"/>
    <s v="노세찬"/>
    <s v="3자테스터공통"/>
    <s v="Online"/>
    <s v="결함"/>
    <s v="UI"/>
    <s v="결함검토요청"/>
    <s v="임소정"/>
    <s v="Minor"/>
    <s v="결함검토요청"/>
    <d v="2026-04-29T10:27:55"/>
    <d v="2026-04-29T10:27:55"/>
    <s v=""/>
    <x v="2"/>
    <s v="차트 표시 오류"/>
    <s v="+ 버튼으로 그래프 비교를 할경우 화면 비율 100% 상태에서 환승검색대 갯수 글자 짤림 ,  승객수 그…"/>
    <s v="+ 버튼으로 그래프 비교를 할경우 화면 비율 100% 상태에서 환승검색대 갯수 글자 짤림 ,  승객수 그래프 하단 기존 , 시뮬레이션 글자가 짤림"/>
    <m/>
    <m/>
    <s v="차트 공통 컴포넌트 점검, 무데이터 처리 및 축/범례 표준화"/>
  </r>
  <r>
    <s v="UT-PM20136M"/>
    <s v="2-1차"/>
    <n v="1"/>
    <s v="예측관리(PM)"/>
    <s v="DEF-00474"/>
    <s v="테스트케이스 엑셀과 UI 가 다릅니다. Config 자료가 정상 복사버튼 없음_x000a_완료 되어있지만 아직 ui 상에는 안보임 "/>
    <s v="개발자테스트"/>
    <s v="임소정"/>
    <s v="pmtbd3"/>
    <s v="3자테스터공통"/>
    <s v="Online"/>
    <s v="결함"/>
    <s v="UI"/>
    <s v="결함검토요청"/>
    <s v="임소정"/>
    <s v="Minor"/>
    <s v="결함검토요청"/>
    <d v="2026-04-29T14:31:51"/>
    <d v="2026-04-29T14:31:51"/>
    <s v=""/>
    <x v="1"/>
    <s v="엑셀 다운로드 오류"/>
    <s v="테스트케이스 엑셀과 UI 가 다릅니다. Config 자료가 정상 복사버튼 없음"/>
    <s v="테스트케이스 엑셀과 UI 가 다릅니다. Config 자료가 정상 복사버튼 없음 완료 되어있지만 아직 ui 상에는 안보임"/>
    <m/>
    <m/>
    <s v="엑셀/PDF 공통 출력 모듈 점검, 컬럼 매핑·서식 검증 및 예외 처리"/>
  </r>
  <r>
    <s v="UT-FSSG170S"/>
    <s v="2-2차"/>
    <n v="1"/>
    <s v="항공보안(FS)"/>
    <s v="DEF-00502"/>
    <s v="데이터 수정 후 저장 전 엑셀 다운로드를 누른 결과입니다._x000a_수정된 (저장되지 않은) 데이터가 엑셀에 그대로 나옵니다._x000a_수정된 필드가 있다면 엑셀 다운로드를 막아야 할것같습니다. "/>
    <s v="개발자테스트"/>
    <s v="임소정"/>
    <s v="임소정"/>
    <s v="3자테스터공통"/>
    <s v="Online"/>
    <s v="개선/변경"/>
    <s v="기타"/>
    <s v="결함검토요청"/>
    <s v="임소정"/>
    <s v="Minor"/>
    <s v="결함검토요청"/>
    <d v="2026-04-29T15:41:09"/>
    <d v="2026-04-29T15:41:09"/>
    <s v=""/>
    <x v="1"/>
    <s v="엑셀 다운로드 오류"/>
    <s v="데이터 수정 후 저장 전 엑셀 다운로드를 누른 결과입니다."/>
    <s v="데이터 수정 후 저장 전 엑셀 다운로드를 누른 결과입니다. 수정된 (저장되지 않은) 데이터가 엑셀에 그대로 나옵니다. 수정된 필드가 있다면 엑셀 다운로드를 막아야 할것같습니다."/>
    <m/>
    <m/>
    <s v="엑셀/PDF 공통 출력 모듈 점검, 컬럼 매핑·서식 검증 및 예외 처리"/>
  </r>
  <r>
    <s v="UT-FSEX020S"/>
    <s v="2-1차"/>
    <n v="1"/>
    <s v="항공보안(FS)"/>
    <s v="DEF-00503"/>
    <s v="최대 입력 확인 필요"/>
    <s v="개발자테스트"/>
    <s v="임소정"/>
    <s v="임소정"/>
    <s v="3자테스터공통"/>
    <s v="Online"/>
    <s v="결함"/>
    <s v="기능"/>
    <s v="결함검토요청"/>
    <s v="임소정"/>
    <s v="Critical"/>
    <s v="결함검토요청"/>
    <d v="2026-04-29T15:45:01"/>
    <d v="2026-04-29T15:45:01"/>
    <s v=""/>
    <x v="5"/>
    <s v="기타 검토"/>
    <s v="최대 입력 확인 필요"/>
    <s v="최대 입력 확인 필요"/>
    <m/>
    <m/>
    <s v="담당 PL과 결함 성격 재정의 후 분류 보완"/>
  </r>
  <r>
    <s v="UT-FSSG170S"/>
    <s v="2-2차"/>
    <n v="1"/>
    <s v="항공보안(FS)"/>
    <s v="DEF-00508"/>
    <s v="숫자/영문만 입력할 수 있도록 input 유효성 검사가 필요해 보입니다. _x000a_또는 아래 사진 팝업 확인 후 데이터 위반 필드에 포커스가 가면 좋을것 같습니다. "/>
    <s v="개발자테스트"/>
    <s v="임소정"/>
    <s v="임소정"/>
    <s v="3자테스터공통"/>
    <s v="Online"/>
    <s v="개선/변경"/>
    <s v="UI"/>
    <s v="결함검토요청"/>
    <s v="임소정"/>
    <s v="Minor"/>
    <s v="결함검토요청"/>
    <d v="2026-04-29T15:54:32"/>
    <d v="2026-04-29T15:54:32"/>
    <s v=""/>
    <x v="6"/>
    <s v="입력 문자 제한"/>
    <s v="숫자/영문만 입력할 수 있도록 input 유효성 검사가 필요해 보입니다."/>
    <s v="숫자/영문만 입력할 수 있도록 input 유효성 검사가 필요해 보입니다.  또는 아래 사진 팝업 확인 후 데이터 위반 필드에 포커스가 가면 좋을것 같습니다."/>
    <m/>
    <m/>
    <s v="프론트/백엔드 양측에 입력 유효성 검증 추가 및 공통 validator 적용"/>
  </r>
  <r>
    <s v="UT-FSSG170S"/>
    <s v="2-2차"/>
    <n v="1"/>
    <s v="항공보안(FS)"/>
    <s v="DEF-00512"/>
    <s v="input 필드에 대해 잘못된 값이라면 border 색상 변경 또는 입력값 무효화 등 이 필요해보입니다. "/>
    <s v="개발자테스트"/>
    <s v="임소정"/>
    <s v="임소정"/>
    <s v="3자테스터공통"/>
    <s v="Online"/>
    <s v="개선/변경"/>
    <s v="UI"/>
    <s v="결함검토요청"/>
    <s v="임소정"/>
    <s v="Minor"/>
    <s v="결함검토요청"/>
    <d v="2026-04-29T16:04:02"/>
    <d v="2026-04-29T16:04:02"/>
    <s v=""/>
    <x v="8"/>
    <s v="색상/배경"/>
    <s v="input 필드에 대해 잘못된 값이라면 border 색상 변경 또는 입력값 무효화 등 이 필요해보입니다."/>
    <s v="input 필드에 대해 잘못된 값이라면 border 색상 변경 또는 입력값 무효화 등 이 필요해보입니다."/>
    <m/>
    <m/>
    <s v="디자인 시스템(GNB/그리드/타이포) 준수 점검, 잘림·정렬 보정"/>
  </r>
  <r>
    <s v="UT-FSEX080S"/>
    <s v="2-2차"/>
    <n v="1"/>
    <s v="항공보안(FS)"/>
    <s v="DEF-00537"/>
    <s v="[X_1] row 삭제 후 일괄등록 시, 신규 일괄등록한 row의 피해현황 출/도착 데이터에 삭제했던 row에 등록된 피해현황 출/도착 데이터가 매핑되어 데이터가 오염됨._x000a__x000a_[재현 절차 (스크린샷)]_x000a_1. 피해현황 출/도착을 입력하기 위한 선행조건인 운항통제를 '운항중단'으로 설정 후, 출/도착에 각각 데이터를 입력한 뒤 등록_x000a_2. 1. 에서 등록했던 row 삭제_x000a_3. 신규 일괄등록_x000a_4. 신규 일괄등록된 데이터에 2. 에서 삭제했던(1. 에서 등록했던) row의 피해현황 출/도착 값이 매핑되어 데이터가 오염됨"/>
    <s v="개발자테스트"/>
    <s v="임소정"/>
    <s v="임소정"/>
    <s v="3자테스터공통"/>
    <s v="Online"/>
    <s v="결함"/>
    <s v="데이터"/>
    <s v="결함검토요청"/>
    <s v="임소정"/>
    <s v="Critical"/>
    <s v="결함검토요청"/>
    <d v="2026-04-30T09:58:06"/>
    <d v="2026-04-30T10:00:43"/>
    <s v=""/>
    <x v="4"/>
    <s v="조회 조건 처리"/>
    <s v="[X_1] row 삭제 후 일괄등록 시, 신규 일괄등록한 row의 피해현황 출/도착 데이터에 삭제했던 r…"/>
    <s v="[X_1] row 삭제 후 일괄등록 시, 신규 일괄등록한 row의 피해현황 출/도착 데이터에 삭제했던 row에 등록된 피해현황 출/도착 데이터가 매핑되어 데이터가 오염됨.  [재현 절차 (스크린샷)] 1. 피해현황 출/도착을 입력하기 위한 선행조건…"/>
    <m/>
    <m/>
    <s v="조회 SQL/조건 매핑 재검토, 정렬·필터 기본값 정의서와 일치화"/>
  </r>
  <r>
    <s v="UT-FSEX040M"/>
    <s v="2-1차"/>
    <n v="1"/>
    <s v="항공보안(FS)"/>
    <s v="DEF-00541"/>
    <s v="신규로 팝업을 오픈하고 내용 작성 후 저장. 해당 상태에서 다시 저장 버튼 누르면 &quot;기존의 자료와 식별자/키가 중복되었습니다.&quot; 알림창이 뜨고 저장이 안됨._x000a_(신규로 오픈된 팝업에서 저장 후 팝업이 오픈되어 있는 상태로 유지되어 다시 저장을 하면 다시 신규로 저장하는 프로세스로 인지하는 듯 합니다.)"/>
    <s v="개발자테스트"/>
    <s v="임소정"/>
    <s v="임소정"/>
    <s v="3자테스터공통"/>
    <s v="Online"/>
    <s v="결함"/>
    <s v="프로세스"/>
    <s v="결함검토요청"/>
    <s v="임소정"/>
    <s v="Major"/>
    <s v="결함검토요청"/>
    <d v="2026-04-30T10:37:33"/>
    <d v="2026-04-30T10:37:33"/>
    <s v=""/>
    <x v="7"/>
    <s v="메시지 표시"/>
    <s v="신규로 팝업을 오픈하고 내용 작성 후 저장. 해당 상태에서 다시 저장 버튼 누르면 &quot;기존의 자료와 식별자…"/>
    <s v="신규로 팝업을 오픈하고 내용 작성 후 저장. 해당 상태에서 다시 저장 버튼 누르면 &quot;기존의 자료와 식별자/키가 중복되었습니다.&quot; 알림창이 뜨고 저장이 안됨. (신규로 오픈된 팝업에서 저장 후 팝업이 오픈되어 있는 상태로 유지되어 다시 저장을 하면 …"/>
    <m/>
    <m/>
    <s v="UX 가이드라인에 따라 표준 안내·툴팁 문구 적용, 무데이터/오류 메시지 정비"/>
  </r>
  <r>
    <s v="UT-FSEX070S"/>
    <s v="2-1차"/>
    <n v="1"/>
    <s v="항공보안(FS)"/>
    <s v="DEF-00544"/>
    <s v="입력 최대값 확인 필요"/>
    <s v="개발자테스트"/>
    <s v="임소정"/>
    <s v="임소정"/>
    <s v="3자테스터공통"/>
    <s v="Online"/>
    <s v="결함"/>
    <s v="기능"/>
    <s v="결함검토요청"/>
    <s v="임소정"/>
    <s v="Critical"/>
    <s v="결함검토요청"/>
    <d v="2026-04-30T10:56:06"/>
    <d v="2026-04-30T10:56:06"/>
    <s v=""/>
    <x v="3"/>
    <s v="데이터 정합성"/>
    <s v="입력 최대값 확인 필요"/>
    <s v="입력 최대값 확인 필요"/>
    <m/>
    <m/>
    <s v="원천 데이터-화면 매핑 재검증, 집계 로직 단위 테스트 보강"/>
  </r>
  <r>
    <s v="UT-PM10511S"/>
    <s v="2-3차"/>
    <n v="1"/>
    <s v="예측관리(PM)"/>
    <s v="DEF-00569"/>
    <s v="시뮬레이션 결과를 확인할 수 없어 테스트 진행 불가(Cast Express관련)"/>
    <s v="개발자테스트"/>
    <s v="임소정"/>
    <s v="pmtbd3"/>
    <s v="3자테스터공통"/>
    <s v="Online"/>
    <s v="개선/변경"/>
    <s v="기능"/>
    <s v="결함검토요청"/>
    <s v="임소정"/>
    <s v="Major"/>
    <s v="결함검토요청"/>
    <d v="2026-04-30T14:50:44"/>
    <d v="2026-04-30T14:50:44"/>
    <s v=""/>
    <x v="9"/>
    <s v="개선/변경 요청"/>
    <s v="시뮬레이션 결과를 확인할 수 없어 테스트 진행 불가(Cast Express관련)"/>
    <s v="시뮬레이션 결과를 확인할 수 없어 테스트 진행 불가(Cast Express관련)"/>
    <m/>
    <m/>
    <s v="차기 반영 일감으로 등록 후 우선순위 협의, 정책 가이드 반영"/>
  </r>
  <r>
    <s v="UT-GO62301S"/>
    <s v="2-1차"/>
    <n v="1"/>
    <s v="공항운영(GO)"/>
    <s v="DEF-00328"/>
    <s v="우측하단 인쇄 버튼이 PRINT 와 같이 영문으로 표시됨. 전체적으로 일관성 맞춤 필요함."/>
    <s v="개발자테스트"/>
    <s v="신문호"/>
    <s v="김경준"/>
    <s v="3자테스터공통"/>
    <s v="Online"/>
    <s v="결함"/>
    <s v="UI"/>
    <s v="결함검토요청"/>
    <s v="신문호"/>
    <s v="Minor"/>
    <s v="결함검토요청"/>
    <d v="2026-04-28T13:54:51"/>
    <d v="2026-04-28T13:54:51"/>
    <s v=""/>
    <x v="1"/>
    <s v="인쇄/프린트"/>
    <s v="우측하단 인쇄 버튼이 PRINT 와 같이 영문으로 표시됨. 전체적으로 일관성 맞춤 필요함."/>
    <s v="우측하단 인쇄 버튼이 PRINT 와 같이 영문으로 표시됨. 전체적으로 일관성 맞춤 필요함."/>
    <m/>
    <m/>
    <s v="엑셀/PDF 공통 출력 모듈 점검, 컬럼 매핑·서식 검증 및 예외 처리"/>
  </r>
  <r>
    <s v="UT-GO41204M"/>
    <s v="1-2차"/>
    <n v="1"/>
    <s v="공항운영(GO)"/>
    <s v="DEF-00356"/>
    <s v="여러번 시도했지만 에러가 뜹니다.. (요약보고 구)"/>
    <s v="개발자테스트"/>
    <s v="신문호"/>
    <s v="김경준"/>
    <s v="3자테스터공통"/>
    <s v="Online"/>
    <s v="결함"/>
    <s v="기능"/>
    <s v="결함검토요청"/>
    <s v="신문호"/>
    <s v="Major"/>
    <s v="결함검토요청"/>
    <d v="2026-04-28T14:49:25"/>
    <d v="2026-04-28T15:02:46"/>
    <s v=""/>
    <x v="10"/>
    <s v="시스템 오류/예외"/>
    <s v="여러번 시도했지만 에러가 뜹니다.. (요약보고 구)"/>
    <s v="여러번 시도했지만 에러가 뜹니다.. (요약보고 구)"/>
    <m/>
    <m/>
    <s v="전역 에러 핸들러 점검, 사용자 친화적 오류 메시지 노출"/>
  </r>
  <r>
    <s v="UT-GO41218M"/>
    <s v="1-2차"/>
    <n v="1"/>
    <s v="공항운영(GO)"/>
    <s v="DEF-00383"/>
    <s v="샘플 다운로드 후 엑셀 업로드가 1회만 가능합니다._x000a_2번째 부터 서버오류 팝업이 뜹니다. _x000a__x000a_1회 업로드 이후 동작에 대해 아래와 같은 방법도 좋을것같습니다. _x000a_1. 업로드 버튼 disable _x000a_2. 팝업 내용 변경 (업로드 횟수를 초과했습니다. 등)_x000a_3. 이전 업로드 파일 clear 후 늘 새로운 내용 덮어쓰기"/>
    <s v="개발자테스트"/>
    <s v="신문호"/>
    <s v="김경준"/>
    <s v="3자테스터공통"/>
    <s v="Online"/>
    <s v="개선/변경"/>
    <s v="UI"/>
    <s v="결함검토요청"/>
    <s v="신문호"/>
    <s v="Minor"/>
    <s v="결함검토요청"/>
    <d v="2026-04-28T15:41:58"/>
    <d v="2026-04-28T15:41:58"/>
    <s v=""/>
    <x v="1"/>
    <s v="엑셀 다운로드 오류"/>
    <s v="샘플 다운로드 후 엑셀 업로드가 1회만 가능합니다."/>
    <s v="샘플 다운로드 후 엑셀 업로드가 1회만 가능합니다. 2번째 부터 서버오류 팝업이 뜹니다.   1회 업로드 이후 동작에 대해 아래와 같은 방법도 좋을것같습니다.  1. 업로드 버튼 disable  2. 팝업 내용 변경 (업로드 횟수를 초과했습니다. …"/>
    <m/>
    <m/>
    <s v="엑셀/PDF 공통 출력 모듈 점검, 컬럼 매핑·서식 검증 및 예외 처리"/>
  </r>
  <r>
    <s v="UT-PM10402S"/>
    <s v="2-3차"/>
    <n v="1"/>
    <s v="예측관리(PM)"/>
    <s v="DEF-00385"/>
    <s v="UT-PM10401S 에 등록된 운항편 전체 비율로 수정에 대한 불러오기 버튼 클릭과 관련된 내용 확인 필요"/>
    <s v="개발자테스트"/>
    <s v="임소정"/>
    <s v="pmtbd3"/>
    <s v="3자테스터공통"/>
    <s v="Online"/>
    <s v="결함"/>
    <s v="기능"/>
    <s v="결함검토요청"/>
    <s v="염희석"/>
    <s v="Major"/>
    <s v="결함검토요청"/>
    <d v="2026-04-28T15:42:58"/>
    <d v="2026-04-28T15:42:58"/>
    <s v=""/>
    <x v="11"/>
    <s v="버튼 동작 오류"/>
    <s v="UT-PM10401S 에 등록된 운항편 전체 비율로 수정에 대한 불러오기 버튼 클릭과 관련된 내용 확인 필요"/>
    <s v="UT-PM10401S 에 등록된 운항편 전체 비율로 수정에 대한 불러오기 버튼 클릭과 관련된 내용 확인 필요"/>
    <m/>
    <m/>
    <s v="버튼/상태 컴포넌트 표준 적용, 활성·비활성 조건 명세화"/>
  </r>
  <r>
    <s v="UT-GO41218M"/>
    <s v="1-2차"/>
    <n v="1"/>
    <s v="공항운영(GO)"/>
    <s v="DEF-00387"/>
    <s v="야간, 주간 모두 조회가 잘 되지 않습니다.. _x000a_조회가 되는 특별한 조건이 있는걸까요 ?"/>
    <s v="개발자테스트"/>
    <s v="신문호"/>
    <s v="김경준"/>
    <s v="3자테스터공통"/>
    <s v="Online"/>
    <s v="결함"/>
    <s v="기능"/>
    <s v="결함검토요청"/>
    <s v="신문호"/>
    <s v="Major"/>
    <s v="결함검토요청"/>
    <d v="2026-04-28T15:44:31"/>
    <d v="2026-04-28T15:44:31"/>
    <s v=""/>
    <x v="4"/>
    <s v="조회 조건 처리"/>
    <s v="야간, 주간 모두 조회가 잘 되지 않습니다.."/>
    <s v="야간, 주간 모두 조회가 잘 되지 않습니다..  조회가 되는 특별한 조건이 있는걸까요 ?"/>
    <m/>
    <m/>
    <s v="조회 SQL/조건 매핑 재검토, 정렬·필터 기본값 정의서와 일치화"/>
  </r>
  <r>
    <s v="UT-PM10401S"/>
    <s v="2-3차"/>
    <n v="1"/>
    <s v="예측관리(PM)"/>
    <s v="DEF-00389"/>
    <s v="- 출구장 수정 부분에 시간 설정 후 현재상태 저장 안됨."/>
    <s v="개발자테스트"/>
    <s v="임소정"/>
    <s v="pmtbd3"/>
    <s v="3자테스터공통"/>
    <s v="Online"/>
    <s v="결함"/>
    <s v="기능"/>
    <s v="결함검토요청"/>
    <s v="염희석"/>
    <s v="Critical"/>
    <s v="결함검토요청"/>
    <d v="2026-04-28T15:46:13"/>
    <d v="2026-04-28T15:46:13"/>
    <s v=""/>
    <x v="11"/>
    <s v="상태값 처리"/>
    <s v="- 출구장 수정 부분에 시간 설정 후 현재상태 저장 안됨."/>
    <s v="- 출구장 수정 부분에 시간 설정 후 현재상태 저장 안됨."/>
    <m/>
    <m/>
    <s v="버튼/상태 컴포넌트 표준 적용, 활성·비활성 조건 명세화"/>
  </r>
  <r>
    <s v="UT-PM10105S"/>
    <s v="2-2차"/>
    <n v="1"/>
    <s v="예측관리(PM)"/>
    <s v="DEF-00407"/>
    <s v="시작일자나 종료일자  누락시에도 조회가 된다._x000a_(필수입력값이므로 조회가 되면 안됨)"/>
    <s v="개발자테스트"/>
    <s v="임소정"/>
    <s v="신문호"/>
    <s v="3자테스터공통"/>
    <s v="Online"/>
    <s v="개선/변경"/>
    <s v="기능"/>
    <s v="결함검토요청"/>
    <s v="염희석"/>
    <s v="Minor"/>
    <s v="결함검토요청"/>
    <d v="2026-04-28T17:33:06"/>
    <d v="2026-04-28T17:34:46"/>
    <s v=""/>
    <x v="0"/>
    <s v="기간 범위 처리"/>
    <s v="시작일자나 종료일자  누락시에도 조회가 된다."/>
    <s v="시작일자나 종료일자  누락시에도 조회가 된다. (필수입력값이므로 조회가 되면 안됨)"/>
    <m/>
    <m/>
    <s v="날짜 컴포넌트 표준화, 기준일자-운항일자 등 필드 매핑 점검 및 기간 가드 추가"/>
  </r>
  <r>
    <s v="UT-GO61202S"/>
    <s v="1-2차"/>
    <n v="1"/>
    <s v="공항운영(GO)"/>
    <s v="DEF-00409"/>
    <s v="아이콘 크기 조절가능한 이유가 궁금해요ㅕ"/>
    <s v="개발자테스트"/>
    <s v="신문호"/>
    <s v="박정구"/>
    <s v="3자테스터공통"/>
    <s v="Online"/>
    <s v="개선/변경"/>
    <s v="UI"/>
    <s v="결함검토요청"/>
    <s v="신문호"/>
    <s v="Minor"/>
    <s v="결함검토요청"/>
    <d v="2026-04-28T17:37:34"/>
    <d v="2026-04-28T17:37:34"/>
    <s v=""/>
    <x v="8"/>
    <s v="폰트/크기"/>
    <s v="아이콘 크기 조절가능한 이유가 궁금해요ㅕ"/>
    <s v="아이콘 크기 조절가능한 이유가 궁금해요ㅕ"/>
    <m/>
    <m/>
    <s v="디자인 시스템(GNB/그리드/타이포) 준수 점검, 잘림·정렬 보정"/>
  </r>
  <r>
    <s v="UT-GO52803S"/>
    <s v="1-2차"/>
    <n v="1"/>
    <s v="공항운영(GO)"/>
    <s v="DEF-00428"/>
    <s v="테스트케이스 엑셀 파일이 없습니다."/>
    <s v="개발자테스트"/>
    <s v="신문호"/>
    <s v="김경준"/>
    <s v="3자테스터공통"/>
    <s v="Online"/>
    <s v="신규"/>
    <s v="기타"/>
    <s v="결함검토요청"/>
    <s v="신문호"/>
    <s v="Minor"/>
    <s v="결함검토요청"/>
    <d v="2026-04-29T09:37:46"/>
    <d v="2026-04-29T09:37:46"/>
    <s v=""/>
    <x v="1"/>
    <s v="엑셀 다운로드 오류"/>
    <s v="테스트케이스 엑셀 파일이 없습니다."/>
    <s v="테스트케이스 엑셀 파일이 없습니다."/>
    <m/>
    <m/>
    <s v="엑셀/PDF 공통 출력 모듈 점검, 컬럼 매핑·서식 검증 및 예외 처리"/>
  </r>
  <r>
    <s v="UT-GO52804S"/>
    <s v="1-2차"/>
    <n v="1"/>
    <s v="공항운영(GO)"/>
    <s v="DEF-00429"/>
    <s v="테스트케이스 엑셀 파일이 없습니다."/>
    <s v="개발자테스트"/>
    <s v="신문호"/>
    <s v="김경준"/>
    <s v="3자테스터공통"/>
    <s v="Online"/>
    <s v="개선/변경"/>
    <s v="기타"/>
    <s v="결함검토요청"/>
    <s v="신문호"/>
    <s v="Minor"/>
    <s v="결함검토요청"/>
    <d v="2026-04-29T09:37:58"/>
    <d v="2026-04-29T09:37:58"/>
    <s v=""/>
    <x v="1"/>
    <s v="엑셀 다운로드 오류"/>
    <s v="테스트케이스 엑셀 파일이 없습니다."/>
    <s v="테스트케이스 엑셀 파일이 없습니다."/>
    <m/>
    <m/>
    <s v="엑셀/PDF 공통 출력 모듈 점검, 컬럼 매핑·서식 검증 및 예외 처리"/>
  </r>
  <r>
    <s v="UT-PM20156S"/>
    <s v="2-2차"/>
    <n v="1"/>
    <s v="예측관리(PM)"/>
    <s v="DEF-00431"/>
    <s v="그래프 비교 시 x 축이 정확하게 보이지 않습니다! "/>
    <s v="개발자테스트"/>
    <s v="임소정"/>
    <s v="노세찬"/>
    <s v="3자테스터공통"/>
    <s v="Online"/>
    <s v="개선/변경"/>
    <s v="UI"/>
    <s v="결함검토요청"/>
    <s v="임소정"/>
    <s v="Minor"/>
    <s v="결함검토요청"/>
    <d v="2026-04-29T09:57:36"/>
    <d v="2026-04-29T09:57:36"/>
    <s v=""/>
    <x v="2"/>
    <s v="축/눈금 표시"/>
    <s v="그래프 비교 시 x 축이 정확하게 보이지 않습니다!"/>
    <s v="그래프 비교 시 x 축이 정확하게 보이지 않습니다!"/>
    <m/>
    <m/>
    <s v="차트 공통 컴포넌트 점검, 무데이터 처리 및 축/범례 표준화"/>
  </r>
  <r>
    <s v="UT-PM20157S"/>
    <s v="2-2차"/>
    <n v="1"/>
    <s v="예측관리(PM)"/>
    <s v="DEF-00432"/>
    <s v="  + 버튼으로 그래프 비교를 할경우 화면 비율 100% 상태에서 승객수  _x000a_기존 , 시뮬레이션 글자가 짤림 "/>
    <s v="개발자테스트"/>
    <s v="임소정"/>
    <s v="노세찬"/>
    <s v="3자테스터공통"/>
    <s v="Online"/>
    <s v="결함"/>
    <s v="UI"/>
    <s v="결함검토요청"/>
    <s v="염희석"/>
    <s v="Minor"/>
    <s v="결함검토요청"/>
    <d v="2026-04-29T10:00:47"/>
    <d v="2026-04-29T10:00:47"/>
    <s v=""/>
    <x v="2"/>
    <s v="차트 표시 오류"/>
    <s v="+ 버튼으로 그래프 비교를 할경우 화면 비율 100% 상태에서 승객수"/>
    <s v="+ 버튼으로 그래프 비교를 할경우 화면 비율 100% 상태에서 승객수   기존 , 시뮬레이션 글자가 짤림"/>
    <m/>
    <m/>
    <s v="차트 공통 컴포넌트 점검, 무데이터 처리 및 축/범례 표준화"/>
  </r>
  <r>
    <s v="UT-PM10106S"/>
    <s v="2-2차"/>
    <n v="1"/>
    <s v="예측관리(PM)"/>
    <s v="DEF-00445"/>
    <s v="예측관리 -&gt; 입력정보 관리 카테고리 안에 연계데이터 상태 상세 관리 항목은 없음 "/>
    <s v="개발자테스트"/>
    <s v="임소정"/>
    <s v="신문호"/>
    <s v="3자테스터공통"/>
    <s v="Online"/>
    <s v="결함"/>
    <s v="기타"/>
    <s v="결함검토요청"/>
    <s v="임소정"/>
    <s v="Minor"/>
    <s v="결함검토요청"/>
    <d v="2026-04-29T10:49:20"/>
    <d v="2026-04-29T10:49:20"/>
    <s v=""/>
    <x v="11"/>
    <s v="상태값 처리"/>
    <s v="예측관리 -&gt; 입력정보 관리 카테고리 안에 연계데이터 상태 상세 관리 항목은 없음"/>
    <s v="예측관리 -&gt; 입력정보 관리 카테고리 안에 연계데이터 상태 상세 관리 항목은 없음"/>
    <m/>
    <m/>
    <s v="버튼/상태 컴포넌트 표준 적용, 활성·비활성 조건 명세화"/>
  </r>
  <r>
    <s v="UT-PM20106M"/>
    <s v="1-2차"/>
    <n v="1"/>
    <s v="예측관리(PM)"/>
    <s v="DEF-00446"/>
    <s v="창을 줄였을때 스크롤이 생기지 않습니다. "/>
    <s v="개발자테스트"/>
    <s v="임소정"/>
    <s v="염희석"/>
    <s v="3자테스터공통"/>
    <s v="Online"/>
    <s v="개선/변경"/>
    <s v="UI"/>
    <s v="결함검토요청"/>
    <s v="임소정"/>
    <s v="Minor"/>
    <s v="결함검토요청"/>
    <d v="2026-04-29T10:50:11"/>
    <d v="2026-04-29T10:50:11"/>
    <s v=""/>
    <x v="9"/>
    <s v="개선/변경 요청"/>
    <s v="창을 줄였을때 스크롤이 생기지 않습니다."/>
    <s v="창을 줄였을때 스크롤이 생기지 않습니다."/>
    <m/>
    <m/>
    <s v="차기 반영 일감으로 등록 후 우선순위 협의, 정책 가이드 반영"/>
  </r>
  <r>
    <s v="UT-GO12707S"/>
    <s v="2-3차"/>
    <n v="1"/>
    <s v="공항운영(GO)"/>
    <s v="DEF-00449"/>
    <s v="검색 조건 정렬 필요"/>
    <s v="개발자테스트"/>
    <s v="신문호"/>
    <s v="김경준"/>
    <s v="3자테스터공통"/>
    <s v="Online"/>
    <s v="개선/변경"/>
    <s v="UI"/>
    <s v="결함검토요청"/>
    <s v="신문호"/>
    <s v="Minor"/>
    <s v="결함검토요청"/>
    <d v="2026-04-29T10:58:54"/>
    <d v="2026-04-29T10:58:54"/>
    <s v=""/>
    <x v="4"/>
    <s v="정렬 오류"/>
    <s v="검색 조건 정렬 필요"/>
    <s v="검색 조건 정렬 필요"/>
    <m/>
    <m/>
    <s v="조회 SQL/조건 매핑 재검토, 정렬·필터 기본값 정의서와 일치화"/>
  </r>
  <r>
    <s v="UT-PM20101S"/>
    <s v="1-2차"/>
    <n v="1"/>
    <s v="예측관리(PM)"/>
    <s v="DEF-00453"/>
    <s v="시간대별 상세 셀 색상이 통일돼야할것같아요"/>
    <s v="개발자테스트"/>
    <s v="임소정"/>
    <s v="신문호"/>
    <s v="3자테스터공통"/>
    <s v="Online"/>
    <s v="개선/변경"/>
    <s v="UI"/>
    <s v="결함검토요청"/>
    <s v="임소정"/>
    <s v="Minor"/>
    <s v="결함검토요청"/>
    <d v="2026-04-29T11:09:53"/>
    <d v="2026-04-29T11:09:53"/>
    <s v=""/>
    <x v="8"/>
    <s v="색상/배경"/>
    <s v="시간대별 상세 셀 색상이 통일돼야할것같아요"/>
    <s v="시간대별 상세 셀 색상이 통일돼야할것같아요"/>
    <m/>
    <m/>
    <s v="디자인 시스템(GNB/그리드/타이포) 준수 점검, 잘림·정렬 보정"/>
  </r>
  <r>
    <s v="UT-FSQB140S"/>
    <s v="1-2차"/>
    <n v="1"/>
    <s v="항공보안(FS)"/>
    <s v="DEF-00454"/>
    <s v="포기물품 기증일자 선택시 하단 [포기물품 기증현황] 항목에 상세 내용 display 하는데 속도가 느리네요. (3~4초 )"/>
    <s v="개발자테스트"/>
    <s v="임소정"/>
    <s v="임소정"/>
    <s v="3자테스터공통"/>
    <s v="Online"/>
    <s v="개선/변경"/>
    <s v="성능"/>
    <s v="결함검토요청"/>
    <s v="임소정"/>
    <s v="Major"/>
    <s v="결함검토요청"/>
    <d v="2026-04-29T11:14:11"/>
    <d v="2026-04-29T11:14:11"/>
    <s v=""/>
    <x v="0"/>
    <s v="날짜 표시/포맷"/>
    <s v="포기물품 기증일자 선택시 하단 [포기물품 기증현황] 항목에 상세 내용 display 하는데 속도가 느리네…"/>
    <s v="포기물품 기증일자 선택시 하단 [포기물품 기증현황] 항목에 상세 내용 display 하는데 속도가 느리네요. (3~4초 )"/>
    <m/>
    <m/>
    <s v="날짜 컴포넌트 표준화, 기준일자-운항일자 등 필드 매핑 점검 및 기간 가드 추가"/>
  </r>
  <r>
    <s v="UT-PM10201S"/>
    <s v="2-2차"/>
    <n v="1"/>
    <s v="예측관리(PM)"/>
    <s v="DEF-00455"/>
    <s v="UI 변경으로 인한 단위테스트 수정 "/>
    <s v="개발자테스트"/>
    <s v="임소정"/>
    <s v="pmtbd1"/>
    <s v="3자테스터공통"/>
    <s v="Online"/>
    <s v="개선/변경"/>
    <s v="문서화"/>
    <s v="결함검토요청"/>
    <s v="임소정"/>
    <s v="Minor"/>
    <s v="결함검토요청"/>
    <d v="2026-04-29T11:18:18"/>
    <d v="2026-04-29T11:18:18"/>
    <s v=""/>
    <x v="8"/>
    <s v="레이아웃/UI"/>
    <s v="UI 변경으로 인한 단위테스트 수정"/>
    <s v="UI 변경으로 인한 단위테스트 수정"/>
    <m/>
    <m/>
    <s v="디자인 시스템(GNB/그리드/타이포) 준수 점검, 잘림·정렬 보정"/>
  </r>
  <r>
    <s v="UT-PM10202S"/>
    <s v="2-2차"/>
    <n v="1"/>
    <s v="예측관리(PM)"/>
    <s v="DEF-00456"/>
    <s v="운영시간 조회 데이터가 없어서 데이터 증적후 재 테스트"/>
    <s v="개발자테스트"/>
    <s v="임소정"/>
    <s v="pmtbd1"/>
    <s v="3자테스터공통"/>
    <s v="Online"/>
    <s v="개선/변경"/>
    <s v="데이터"/>
    <s v="결함검토요청"/>
    <s v="임소정"/>
    <s v="Minor"/>
    <s v="결함검토요청"/>
    <d v="2026-04-29T11:18:48"/>
    <d v="2026-04-29T11:18:48"/>
    <s v=""/>
    <x v="4"/>
    <s v="조회 조건 처리"/>
    <s v="운영시간 조회 데이터가 없어서 데이터 증적후 재 테스트"/>
    <s v="운영시간 조회 데이터가 없어서 데이터 증적후 재 테스트"/>
    <m/>
    <m/>
    <s v="조회 SQL/조건 매핑 재검토, 정렬·필터 기본값 정의서와 일치화"/>
  </r>
  <r>
    <s v="UT-GO12910S"/>
    <s v="2-3차"/>
    <n v="1"/>
    <s v="공항운영(GO)"/>
    <s v="DEF-00457"/>
    <s v="1 일평균(명)의 전주와 금주에 빨간색 폰트가 맞는지 확인 필요_x000a_2. 0.0 인데 빨간색 상향 표시 확인 필요_x000a_3. 국제여객과 일평균에 대해서 증감율 병합이 맞는지 확인 필요_x000a_4. 왼쪽 테두리 없음._x000a_5. 오타 수정(날자 =&gt; 날짜)_x000a_6. 증감율 환승율만 계산되는 것 같아 보임."/>
    <s v="개발자테스트"/>
    <s v="신문호"/>
    <s v="신문호"/>
    <s v="3자테스터공통"/>
    <s v="Online"/>
    <s v="개선/변경"/>
    <s v="기능"/>
    <s v="결함검토요청"/>
    <s v="신문호"/>
    <s v="Major"/>
    <s v="결함검토요청"/>
    <d v="2026-04-29T11:19:01"/>
    <d v="2026-04-29T11:19:01"/>
    <s v=""/>
    <x v="0"/>
    <s v="날짜 표시/포맷"/>
    <s v="1 일평균(명)의 전주와 금주에 빨간색 폰트가 맞는지 확인 필요"/>
    <s v="1 일평균(명)의 전주와 금주에 빨간색 폰트가 맞는지 확인 필요 2. 0.0 인데 빨간색 상향 표시 확인 필요 3. 국제여객과 일평균에 대해서 증감율 병합이 맞는지 확인 필요 4. 왼쪽 테두리 없음. 5. 오타 수정(날자 =&gt; 날짜) 6. 증감율 …"/>
    <m/>
    <m/>
    <s v="날짜 컴포넌트 표준화, 기준일자-운항일자 등 필드 매핑 점검 및 기간 가드 추가"/>
  </r>
  <r>
    <s v="UT-PM20107M"/>
    <s v="1-2차"/>
    <n v="1"/>
    <s v="예측관리(PM)"/>
    <s v="DEF-00459"/>
    <s v="첫번째 사진에서 데이터가 없을 때 '조회된 데이터가 없습니다.' 가 뜨지 않습니다. "/>
    <s v="개발자테스트"/>
    <s v="임소정"/>
    <s v="pmtbd2"/>
    <s v="3자테스터공통"/>
    <s v="Online"/>
    <s v="개선/변경"/>
    <s v="UI"/>
    <s v="결함검토요청"/>
    <s v="임소정"/>
    <s v="Minor"/>
    <s v="결함검토요청"/>
    <d v="2026-04-29T11:25:32"/>
    <d v="2026-04-29T13:10:35"/>
    <s v=""/>
    <x v="4"/>
    <s v="조회 조건 처리"/>
    <s v="첫번째 사진에서 데이터가 없을 때 '조회된 데이터가 없습니다.' 가 뜨지 않습니다."/>
    <s v="첫번째 사진에서 데이터가 없을 때 '조회된 데이터가 없습니다.' 가 뜨지 않습니다."/>
    <m/>
    <m/>
    <s v="조회 SQL/조건 매핑 재검토, 정렬·필터 기본값 정의서와 일치화"/>
  </r>
  <r>
    <s v="UT-PM20136M"/>
    <s v="2-1차"/>
    <n v="1"/>
    <s v="예측관리(PM)"/>
    <s v="DEF-00478"/>
    <s v="단위테스트 증적이랑  현재 ui 화면 버튼이 다름 "/>
    <s v="개발자테스트"/>
    <s v="임소정"/>
    <s v="pmtbd3"/>
    <s v="3자테스터공통"/>
    <s v="Online"/>
    <s v="결함"/>
    <s v="문서화"/>
    <s v="결함검토요청"/>
    <s v="임소정"/>
    <s v="Minor"/>
    <s v="결함검토요청"/>
    <d v="2026-04-29T14:38:35"/>
    <d v="2026-04-29T14:38:35"/>
    <s v=""/>
    <x v="8"/>
    <s v="레이아웃/UI"/>
    <s v="단위테스트 증적이랑  현재 ui 화면 버튼이 다름"/>
    <s v="단위테스트 증적이랑  현재 ui 화면 버튼이 다름"/>
    <m/>
    <m/>
    <s v="디자인 시스템(GNB/그리드/타이포) 준수 점검, 잘림·정렬 보정"/>
  </r>
  <r>
    <s v="UT-FSEX090M"/>
    <s v="2-3차"/>
    <n v="1"/>
    <s v="항공보안(FS)"/>
    <s v="DEF-00480"/>
    <s v="[S_3] '일자' 필드를 수정하면 다른 어떤 필드를 수정하든 수정하지 않든 정상적으로 수정이 가능하지만, '일자' 필드를 수정하지 않은 상태로 다른 어떤 필드든 수정 시 데이터 제약조건 위반 에러가 표출되며 수정되지 않음"/>
    <s v="개발자테스트"/>
    <s v="임소정"/>
    <s v="임소정"/>
    <s v="3자테스터공통"/>
    <s v="Online"/>
    <s v="결함"/>
    <s v="기능"/>
    <s v="결함검토요청"/>
    <s v="임소정"/>
    <s v="Critical"/>
    <s v="결함검토요청"/>
    <d v="2026-04-29T14:46:39"/>
    <d v="2026-04-29T14:46:39"/>
    <s v=""/>
    <x v="0"/>
    <s v="날짜 표시/포맷"/>
    <s v="[S_3] '일자' 필드를 수정하면 다른 어떤 필드를 수정하든 수정하지 않든 정상적으로 수정이 가능하지만…"/>
    <s v="[S_3] '일자' 필드를 수정하면 다른 어떤 필드를 수정하든 수정하지 않든 정상적으로 수정이 가능하지만, '일자' 필드를 수정하지 않은 상태로 다른 어떤 필드든 수정 시 데이터 제약조건 위반 에러가 표출되며 수정되지 않음"/>
    <m/>
    <m/>
    <s v="날짜 컴포넌트 표준화, 기준일자-운항일자 등 필드 매핑 점검 및 기간 가드 추가"/>
  </r>
  <r>
    <s v="UT-PM10309S"/>
    <s v="2-3차"/>
    <n v="1"/>
    <s v="예측관리(PM)"/>
    <s v="DEF-00007"/>
    <s v="캡처 이미지처럼 글자수 때문에 디자인이 깨지는 현상 발생."/>
    <s v="개발자테스트"/>
    <s v="임소정"/>
    <s v="pmtbd2"/>
    <s v="3자테스터공통"/>
    <s v="Online"/>
    <s v="개선/변경"/>
    <s v="UI"/>
    <s v="결함검토요청"/>
    <s v="염희석"/>
    <s v="Minor"/>
    <s v="결함검토요청"/>
    <d v="2026-04-22T13:12:06"/>
    <d v="2026-04-22T13:12:06"/>
    <s v=""/>
    <x v="6"/>
    <s v="입력 길이 제한"/>
    <s v="캡처 이미지처럼 글자수 때문에 디자인이 깨지는 현상 발생."/>
    <s v="캡처 이미지처럼 글자수 때문에 디자인이 깨지는 현상 발생."/>
    <m/>
    <m/>
    <s v="프론트/백엔드 양측에 입력 유효성 검증 추가 및 공통 validator 적용"/>
  </r>
  <r>
    <s v="UT-GO12511S"/>
    <s v="2-1차"/>
    <n v="1"/>
    <s v="공항운영(GO)"/>
    <s v="DEF-00198"/>
    <s v="우측 상단의 15분 이상, 16분 이상 선택에 따른 조회 결과가 동일함.."/>
    <s v="개발자테스트"/>
    <s v="신문호"/>
    <s v="김경준"/>
    <s v="3자테스터공통"/>
    <s v="Online"/>
    <s v="결함"/>
    <s v="데이터"/>
    <s v="결함검토요청"/>
    <s v="신문호"/>
    <s v="Minor"/>
    <s v="결함검토요청"/>
    <d v="2026-04-27T14:36:46"/>
    <d v="2026-04-27T14:36:46"/>
    <s v=""/>
    <x v="4"/>
    <s v="조회 조건 처리"/>
    <s v="우측 상단의 15분 이상, 16분 이상 선택에 따른 조회 결과가 동일함.."/>
    <s v="우측 상단의 15분 이상, 16분 이상 선택에 따른 조회 결과가 동일함.."/>
    <m/>
    <m/>
    <s v="조회 SQL/조건 매핑 재검토, 정렬·필터 기본값 정의서와 일치화"/>
  </r>
  <r>
    <s v="UT-GO11965S"/>
    <s v="2-2차"/>
    <n v="1"/>
    <s v="공항운영(GO)"/>
    <s v="DEF-00260"/>
    <s v="기간지정 일일 최대수송실적 조회간 9999년도로 조회하면 2026년으로 조회 막아야할거같습니다"/>
    <s v="개발자테스트"/>
    <s v="신문호"/>
    <s v="신문호"/>
    <s v="3자테스터공통"/>
    <s v="Online"/>
    <s v="개선/변경"/>
    <s v="기능"/>
    <s v="결함검토요청"/>
    <s v="신문호"/>
    <s v="Major"/>
    <s v="결함검토요청"/>
    <d v="2026-04-27T17:41:27"/>
    <d v="2026-04-27T17:41:27"/>
    <s v=""/>
    <x v="0"/>
    <s v="날짜 입력 유효성"/>
    <s v="기간지정 일일 최대수송실적 조회간 9999년도로 조회하면 2026년으로 조회 막아야할거같습니다"/>
    <s v="기간지정 일일 최대수송실적 조회간 9999년도로 조회하면 2026년으로 조회 막아야할거같습니다"/>
    <m/>
    <m/>
    <s v="날짜 컴포넌트 표준화, 기준일자-운항일자 등 필드 매핑 점검 및 기간 가드 추가"/>
  </r>
  <r>
    <s v="UT-GO21401S"/>
    <s v="2-2차"/>
    <n v="1"/>
    <s v="공항운영(GO)"/>
    <s v="DEF-00264"/>
    <s v="수하물 실적예측정보/등록 수정간 데이터 길이 제한이 걸려있지않음 무한대로 입력가능함"/>
    <s v="개발자테스트"/>
    <s v="신문호"/>
    <s v="신문호"/>
    <s v="3자테스터공통"/>
    <s v="Online"/>
    <s v="개선/변경"/>
    <s v="기능"/>
    <s v="결함검토요청"/>
    <s v="신문호"/>
    <s v="Minor"/>
    <s v="결함검토요청"/>
    <d v="2026-04-27T17:46:39"/>
    <d v="2026-04-27T17:46:39"/>
    <s v=""/>
    <x v="3"/>
    <s v="데이터 정합성"/>
    <s v="수하물 실적예측정보/등록 수정간 데이터 길이 제한이 걸려있지않음 무한대로 입력가능함"/>
    <s v="수하물 실적예측정보/등록 수정간 데이터 길이 제한이 걸려있지않음 무한대로 입력가능함"/>
    <m/>
    <m/>
    <s v="원천 데이터-화면 매핑 재검증, 집계 로직 단위 테스트 보강"/>
  </r>
  <r>
    <s v="UT-PM10302S"/>
    <s v="2-3차"/>
    <n v="1"/>
    <s v="예측관리(PM)"/>
    <s v="DEF-00298"/>
    <s v="환승장 탭을 선택한 뒤 조회버튼 클릭 시 다시 입국장 탭 선택됨."/>
    <s v="개발자테스트"/>
    <s v="임소정"/>
    <s v="pmtbd1"/>
    <s v="3자테스터공통"/>
    <s v="Online"/>
    <s v="개선/변경"/>
    <s v="기능"/>
    <s v="결함검토요청"/>
    <s v="염희석"/>
    <s v="Minor"/>
    <s v="결함검토요청"/>
    <d v="2026-04-28T11:13:22"/>
    <d v="2026-04-28T11:13:22"/>
    <s v=""/>
    <x v="4"/>
    <s v="조회 조건 처리"/>
    <s v="환승장 탭을 선택한 뒤 조회버튼 클릭 시 다시 입국장 탭 선택됨."/>
    <s v="환승장 탭을 선택한 뒤 조회버튼 클릭 시 다시 입국장 탭 선택됨."/>
    <m/>
    <m/>
    <s v="조회 SQL/조건 매핑 재검토, 정렬·필터 기본값 정의서와 일치화"/>
  </r>
  <r>
    <s v="UT-GO13303S"/>
    <s v="2-1차"/>
    <n v="1"/>
    <s v="공항운영(GO)"/>
    <s v="DEF-00301"/>
    <s v="아래와 같이 기존 Data 조회하여. Upload 양식에 기입하고 Upload 시도하였지만. 파일 업로드 실패함."/>
    <s v="개발자테스트"/>
    <s v="신문호"/>
    <s v="박정구"/>
    <s v="3자테스터공통"/>
    <s v="Online"/>
    <s v="결함"/>
    <s v="기능"/>
    <s v="결함검토요청"/>
    <s v="신문호"/>
    <s v="Major"/>
    <s v="결함검토요청"/>
    <d v="2026-04-28T11:18:59"/>
    <d v="2026-04-28T11:18:59"/>
    <s v=""/>
    <x v="4"/>
    <s v="조회 조건 처리"/>
    <s v="아래와 같이 기존 Data 조회하여. Upload 양식에 기입하고 Upload 시도하였지만. 파일 업로드…"/>
    <s v="아래와 같이 기존 Data 조회하여. Upload 양식에 기입하고 Upload 시도하였지만. 파일 업로드 실패함."/>
    <m/>
    <m/>
    <s v="조회 SQL/조건 매핑 재검토, 정렬·필터 기본값 정의서와 일치화"/>
  </r>
  <r>
    <s v="UT-GO23801S"/>
    <s v="1-2차"/>
    <n v="1"/>
    <s v="공항운영(GO)"/>
    <s v="DEF-00302"/>
    <s v="엑셀 다운 시 일자 항목 데이터 확인이 필요할것같습니다. "/>
    <s v="개발자테스트"/>
    <s v="신문호"/>
    <s v="박정구"/>
    <s v="3자테스터공통"/>
    <s v="Online"/>
    <s v="개선/변경"/>
    <s v="기타"/>
    <s v="결함검토요청"/>
    <s v="신문호"/>
    <s v="Minor"/>
    <s v="결함검토요청"/>
    <d v="2026-04-28T11:19:49"/>
    <d v="2026-04-28T11:19:49"/>
    <s v=""/>
    <x v="1"/>
    <s v="엑셀 다운로드 오류"/>
    <s v="엑셀 다운 시 일자 항목 데이터 확인이 필요할것같습니다."/>
    <s v="엑셀 다운 시 일자 항목 데이터 확인이 필요할것같습니다."/>
    <m/>
    <m/>
    <s v="엑셀/PDF 공통 출력 모듈 점검, 컬럼 매핑·서식 검증 및 예외 처리"/>
  </r>
  <r>
    <s v="UT-PM10303S"/>
    <s v="2-3차"/>
    <n v="1"/>
    <s v="예측관리(PM)"/>
    <s v="DEF-00303"/>
    <s v="!! 해당 결함 그냥 결함 완료 처리 부탁드립니다.!!_x000a_해당 결함은 시나리오ID : UT-PM10304S에 동일하게 작성 했습니다._x000a__x000a_세로 스크롤이 그리드의 오른쪽 끝에만 표시됨._x000a_ - 그리드에서 세로 스크롤이 표시되는 곳을 벗어나면 스크롤이 보이지 않음."/>
    <s v="개발자테스트"/>
    <s v="임소정"/>
    <s v="pmtbd2"/>
    <s v="3자테스터공통"/>
    <s v="Online"/>
    <s v="개선/변경"/>
    <s v="UI"/>
    <s v="결함검토요청"/>
    <s v="염희석"/>
    <s v="Minor"/>
    <s v="결함검토요청"/>
    <d v="2026-04-28T11:21:05"/>
    <d v="2026-04-28T13:15:15"/>
    <s v=""/>
    <x v="8"/>
    <s v="레이아웃/UI"/>
    <s v="!! 해당 결함 그냥 결함 완료 처리 부탁드립니다.!!"/>
    <s v="!! 해당 결함 그냥 결함 완료 처리 부탁드립니다.!! 해당 결함은 시나리오ID : UT-PM10304S에 동일하게 작성 했습니다.  세로 스크롤이 그리드의 오른쪽 끝에만 표시됨.  - 그리드에서 세로 스크롤이 표시되는 곳을 벗어나면 스크롤이 보이…"/>
    <m/>
    <m/>
    <s v="디자인 시스템(GNB/그리드/타이포) 준수 점검, 잘림·정렬 보정"/>
  </r>
  <r>
    <s v="UT-GO23801S"/>
    <s v="1-2차"/>
    <n v="1"/>
    <s v="공항운영(GO)"/>
    <s v="DEF-00304"/>
    <s v="엑셀 내 합계 행 데이터 표현도 확인해야할것같아요"/>
    <s v="개발자테스트"/>
    <s v="신문호"/>
    <s v="박정구"/>
    <s v="3자테스터공통"/>
    <s v="Online"/>
    <s v="개선/변경"/>
    <s v="기타"/>
    <s v="결함검토요청"/>
    <s v="신문호"/>
    <s v="Minor"/>
    <s v="결함검토요청"/>
    <d v="2026-04-28T11:21:36"/>
    <d v="2026-04-28T11:21:36"/>
    <s v=""/>
    <x v="1"/>
    <s v="엑셀 다운로드 오류"/>
    <s v="엑셀 내 합계 행 데이터 표현도 확인해야할것같아요"/>
    <s v="엑셀 내 합계 행 데이터 표현도 확인해야할것같아요"/>
    <m/>
    <m/>
    <s v="엑셀/PDF 공통 출력 모듈 점검, 컬럼 매핑·서식 검증 및 예외 처리"/>
  </r>
  <r>
    <s v="UT-PM10311S"/>
    <s v="2-3차"/>
    <n v="1"/>
    <s v="예측관리(PM)"/>
    <s v="DEF-00008"/>
    <s v="맵보기, 표보기에는 데이터가 있지만 차트보기에서는 아무것도 안나옵니다."/>
    <s v="개발자테스트"/>
    <s v="임소정"/>
    <s v="pmtbd2"/>
    <s v="3자테스터공통"/>
    <s v="Online"/>
    <s v="결함"/>
    <s v="데이터"/>
    <s v="결함검토요청"/>
    <s v="염희석"/>
    <s v="Major"/>
    <s v="결함검토요청"/>
    <d v="2026-04-22T13:26:36"/>
    <d v="2026-04-22T13:26:36"/>
    <s v=""/>
    <x v="2"/>
    <s v="차트 표시 오류"/>
    <s v="맵보기, 표보기에는 데이터가 있지만 차트보기에서는 아무것도 안나옵니다."/>
    <s v="맵보기, 표보기에는 데이터가 있지만 차트보기에서는 아무것도 안나옵니다."/>
    <m/>
    <m/>
    <s v="차트 공통 컴포넌트 점검, 무데이터 처리 및 축/범례 표준화"/>
  </r>
  <r>
    <s v="UT-GO12906S"/>
    <s v="2-3차"/>
    <n v="1"/>
    <s v="공항운영(GO)"/>
    <s v="DEF-00024"/>
    <s v="조건에 따른 조회결과가 표출되지 않음. (2025.06.10, 13:00, Grade : 전체)"/>
    <s v="개발자테스트"/>
    <s v="신문호"/>
    <s v="신문호"/>
    <s v="3자테스터공통"/>
    <s v="Online"/>
    <s v="결함"/>
    <s v="기능"/>
    <s v="결함검토요청"/>
    <s v="신문호"/>
    <s v="Major"/>
    <s v="결함검토요청"/>
    <d v="2026-04-22T15:03:57"/>
    <d v="2026-04-22T15:25:40"/>
    <s v=""/>
    <x v="4"/>
    <s v="조회 조건 처리"/>
    <s v="조건에 따른 조회결과가 표출되지 않음. (2025.06.10, 13:00, Grade : 전체)"/>
    <s v="조건에 따른 조회결과가 표출되지 않음. (2025.06.10, 13:00, Grade : 전체)"/>
    <m/>
    <m/>
    <s v="조회 SQL/조건 매핑 재검토, 정렬·필터 기본값 정의서와 일치화"/>
  </r>
  <r>
    <s v="UT-GO12510S"/>
    <s v="2-3차"/>
    <n v="1"/>
    <s v="공항운영(GO)"/>
    <s v="DEF-00025"/>
    <s v="상단 검색창에서 &quot;LCC균등배정실적&quot;, &quot;LCC&quot; 검색을 시도했으나, 결과를 제공하지 못함(실제 계류장운영팀 폴더에는 존재하고 있음)"/>
    <s v="개발자테스트"/>
    <s v="신문호"/>
    <s v="김경준"/>
    <s v="3자테스터공통"/>
    <s v="Online"/>
    <s v="개선/변경"/>
    <s v="UI"/>
    <s v="결함검토요청"/>
    <s v="신문호"/>
    <s v="Minor"/>
    <s v="결함검토요청"/>
    <d v="2026-04-22T15:05:36"/>
    <d v="2026-04-22T15:05:37"/>
    <s v=""/>
    <x v="4"/>
    <s v="조회 조건 처리"/>
    <s v="상단 검색창에서 &quot;LCC균등배정실적&quot;, &quot;LCC&quot; 검색을 시도했으나, 결과를 제공하지 못함(실제 계류장운…"/>
    <s v="상단 검색창에서 &quot;LCC균등배정실적&quot;, &quot;LCC&quot; 검색을 시도했으나, 결과를 제공하지 못함(실제 계류장운영팀 폴더에는 존재하고 있음)"/>
    <m/>
    <m/>
    <s v="조회 SQL/조건 매핑 재검토, 정렬·필터 기본값 정의서와 일치화"/>
  </r>
  <r>
    <s v="UT-GO12912S"/>
    <s v="2-3차"/>
    <n v="1"/>
    <s v="공항운영(GO)"/>
    <s v="DEF-00026"/>
    <s v="[S-2]조건에 따른 조회결과가 표출되지 않음. (2025.06.10, 13:00, Grade : 전체)"/>
    <s v="개발자테스트"/>
    <s v="신문호"/>
    <s v="신문호"/>
    <s v="3자테스터공통"/>
    <s v="Online"/>
    <s v="결함"/>
    <s v="기능"/>
    <s v="결함검토요청"/>
    <s v="신문호"/>
    <s v="Major"/>
    <s v="결함검토요청"/>
    <d v="2026-04-22T15:14:38"/>
    <d v="2026-04-22T15:33:05"/>
    <s v=""/>
    <x v="4"/>
    <s v="조회 조건 처리"/>
    <s v="[S-2]조건에 따른 조회결과가 표출되지 않음. (2025.06.10, 13:00, Grade : 전체)"/>
    <s v="[S-2]조건에 따른 조회결과가 표출되지 않음. (2025.06.10, 13:00, Grade : 전체)"/>
    <m/>
    <m/>
    <s v="조회 SQL/조건 매핑 재검토, 정렬·필터 기본값 정의서와 일치화"/>
  </r>
  <r>
    <s v="UT-PM10304S"/>
    <s v="2-3차"/>
    <n v="1"/>
    <s v="예측관리(PM)"/>
    <s v="DEF-00312"/>
    <s v="세로 스크롤이 그리드의 오른쪽 끝에만 표시됨._x000a_ - 그리드에서 세로 스크롤이 표시되는 곳을 벗어나면 스크롤이 보이지 않음."/>
    <s v="개발자테스트"/>
    <s v="임소정"/>
    <s v="pmtbd2"/>
    <s v="3자테스터공통"/>
    <s v="Online"/>
    <s v="개선/변경"/>
    <s v="UI"/>
    <s v="결함검토요청"/>
    <s v="염희석"/>
    <s v="Minor"/>
    <s v="결함검토요청"/>
    <d v="2026-04-28T13:16:53"/>
    <d v="2026-04-28T13:16:53"/>
    <s v=""/>
    <x v="8"/>
    <s v="레이아웃/UI"/>
    <s v="세로 스크롤이 그리드의 오른쪽 끝에만 표시됨."/>
    <s v="세로 스크롤이 그리드의 오른쪽 끝에만 표시됨.  - 그리드에서 세로 스크롤이 표시되는 곳을 벗어나면 스크롤이 보이지 않음."/>
    <m/>
    <m/>
    <s v="디자인 시스템(GNB/그리드/타이포) 준수 점검, 잘림·정렬 보정"/>
  </r>
  <r>
    <s v="UT-GO62201S"/>
    <s v="2-1차"/>
    <n v="1"/>
    <s v="공항운영(GO)"/>
    <s v="DEF-00326"/>
    <s v="아래 화면과 같이 선택일시 목록 아래를 클릭하면.. 선택 불필요한 영역까지 선택됨"/>
    <s v="개발자테스트"/>
    <s v="신문호"/>
    <s v="김경준"/>
    <s v="3자테스터공통"/>
    <s v="Online"/>
    <s v="결함"/>
    <s v="UI"/>
    <s v="결함검토요청"/>
    <s v="신문호"/>
    <s v="Minor"/>
    <s v="결함검토요청"/>
    <d v="2026-04-28T13:49:53"/>
    <d v="2026-04-28T13:49:53"/>
    <s v=""/>
    <x v="11"/>
    <s v="선택/체크 동작"/>
    <s v="아래 화면과 같이 선택일시 목록 아래를 클릭하면.. 선택 불필요한 영역까지 선택됨"/>
    <s v="아래 화면과 같이 선택일시 목록 아래를 클릭하면.. 선택 불필요한 영역까지 선택됨"/>
    <m/>
    <m/>
    <s v="버튼/상태 컴포넌트 표준 적용, 활성·비활성 조건 명세화"/>
  </r>
  <r>
    <s v="UT-PM10308S"/>
    <s v="2-3차"/>
    <n v="1"/>
    <s v="예측관리(PM)"/>
    <s v="DEF-00330"/>
    <s v="시작 시간 또는 종료 시간이 &quot;0&quot; 인 데이터는 그리드에 표시 되지 않음._x000a_- 표보기에서 셀프백드랍 기준 시간 5:60분 부터인데 차트보기에서는 6:30분부터 표시됨.  데이터가 &quot;0&quot; 5:30, 6:00 는 표시되지 않고 있음."/>
    <s v="개발자테스트"/>
    <s v="임소정"/>
    <s v="pmtbd3"/>
    <s v="3자테스터공통"/>
    <s v="Online"/>
    <s v="개선/변경"/>
    <s v="데이터"/>
    <s v="결함검토요청"/>
    <s v="염희석"/>
    <s v="Major"/>
    <s v="결함검토요청"/>
    <d v="2026-04-28T13:56:36"/>
    <d v="2026-04-28T13:56:36"/>
    <s v=""/>
    <x v="2"/>
    <s v="차트 표시 오류"/>
    <s v="시작 시간 또는 종료 시간이 &quot;0&quot; 인 데이터는 그리드에 표시 되지 않음."/>
    <s v="시작 시간 또는 종료 시간이 &quot;0&quot; 인 데이터는 그리드에 표시 되지 않음. - 표보기에서 셀프백드랍 기준 시간 5:60분 부터인데 차트보기에서는 6:30분부터 표시됨.  데이터가 &quot;0&quot; 5:30, 6:00 는 표시되지 않고 있음."/>
    <m/>
    <m/>
    <s v="차트 공통 컴포넌트 점검, 무데이터 처리 및 축/범례 표준화"/>
  </r>
  <r>
    <s v="UT-GO62201S"/>
    <s v="2-1차"/>
    <n v="1"/>
    <s v="공항운영(GO)"/>
    <s v="DEF-00333"/>
    <s v="우측 화면 하단의 인쇄 버튼 명칭의 PRINT로 일관성 확인 필요. 현재는 화면별로 혼재되어 있음."/>
    <s v="개발자테스트"/>
    <s v="신문호"/>
    <s v="김경준"/>
    <s v="3자테스터공통"/>
    <s v="Online"/>
    <s v="결함"/>
    <s v="UI"/>
    <s v="결함검토요청"/>
    <s v="신문호"/>
    <s v="Minor"/>
    <s v="결함검토요청"/>
    <d v="2026-04-28T14:03:43"/>
    <d v="2026-04-28T14:03:43"/>
    <s v=""/>
    <x v="1"/>
    <s v="인쇄/프린트"/>
    <s v="우측 화면 하단의 인쇄 버튼 명칭의 PRINT로 일관성 확인 필요. 현재는 화면별로 혼재되어 있음."/>
    <s v="우측 화면 하단의 인쇄 버튼 명칭의 PRINT로 일관성 확인 필요. 현재는 화면별로 혼재되어 있음."/>
    <m/>
    <m/>
    <s v="엑셀/PDF 공통 출력 모듈 점검, 컬럼 매핑·서식 검증 및 예외 처리"/>
  </r>
  <r>
    <s v="UT-GO31419S"/>
    <s v="1-2차"/>
    <n v="1"/>
    <s v="공항운영(GO)"/>
    <s v="DEF-00336"/>
    <s v="테이블 스크롤이 이상합니다. _x000a_또한 중간 구분선은 왜 있는지 잘 모르겠습니다. "/>
    <s v="개발자테스트"/>
    <s v="신문호"/>
    <s v="gotbd4"/>
    <s v="3자테스터공통"/>
    <s v="Online"/>
    <s v="개선/변경"/>
    <s v="UI"/>
    <s v="결함검토요청"/>
    <s v="신문호"/>
    <s v="Major"/>
    <s v="결함검토요청"/>
    <d v="2026-04-28T14:14:18"/>
    <d v="2026-04-28T14:16:28"/>
    <s v=""/>
    <x v="9"/>
    <s v="개선/변경 요청"/>
    <s v="테이블 스크롤이 이상합니다."/>
    <s v="테이블 스크롤이 이상합니다.  또한 중간 구분선은 왜 있는지 잘 모르겠습니다."/>
    <m/>
    <m/>
    <s v="차기 반영 일감으로 등록 후 우선순위 협의, 정책 가이드 반영"/>
  </r>
  <r>
    <s v="UT-GO31419S"/>
    <s v="1-2차"/>
    <n v="1"/>
    <s v="공항운영(GO)"/>
    <s v="DEF-00338"/>
    <s v="아이콘이 잘린걸까요 ,,? "/>
    <s v="개발자테스트"/>
    <s v="신문호"/>
    <s v="gotbd4"/>
    <s v="3자테스터공통"/>
    <s v="Online"/>
    <s v="개선/변경"/>
    <s v="UI"/>
    <s v="결함검토요청"/>
    <s v="신문호"/>
    <s v="Minor"/>
    <s v="결함검토요청"/>
    <d v="2026-04-28T14:19:06"/>
    <d v="2026-04-28T14:19:06"/>
    <s v=""/>
    <x v="9"/>
    <s v="개선/변경 요청"/>
    <s v="아이콘이 잘린걸까요 ,,?"/>
    <s v="아이콘이 잘린걸까요 ,,?"/>
    <m/>
    <m/>
    <s v="차기 반영 일감으로 등록 후 우선순위 협의, 정책 가이드 반영"/>
  </r>
  <r>
    <s v="UT-GO31419S"/>
    <s v="1-2차"/>
    <n v="1"/>
    <s v="공항운영(GO)"/>
    <s v="DEF-00340"/>
    <s v="창을 줄이면 테이블 내 스크롤이 보이지 않습니다. _x000a_합계는 어떤 데이터에 대한 합계인지 알 수 없습니다.  (0편 0편 등 .. )"/>
    <s v="개발자테스트"/>
    <s v="신문호"/>
    <s v="gotbd4"/>
    <s v="3자테스터공통"/>
    <s v="Online"/>
    <s v="개선/변경"/>
    <s v="UI"/>
    <s v="결함검토요청"/>
    <s v="신문호"/>
    <s v="Minor"/>
    <s v="결함검토요청"/>
    <d v="2026-04-28T14:24:31"/>
    <d v="2026-04-28T14:24:31"/>
    <s v=""/>
    <x v="3"/>
    <s v="집계/계산 오류"/>
    <s v="창을 줄이면 테이블 내 스크롤이 보이지 않습니다."/>
    <s v="창을 줄이면 테이블 내 스크롤이 보이지 않습니다.  합계는 어떤 데이터에 대한 합계인지 알 수 없습니다.  (0편 0편 등 .. )"/>
    <m/>
    <m/>
    <s v="원천 데이터-화면 매핑 재검증, 집계 로직 단위 테스트 보강"/>
  </r>
  <r>
    <s v="UT-GO31419S"/>
    <s v="1-2차"/>
    <n v="1"/>
    <s v="공항운영(GO)"/>
    <s v="DEF-00341"/>
    <s v="데이터가 1건인데 th 에 order 가 있습니다. "/>
    <s v="개발자테스트"/>
    <s v="신문호"/>
    <s v="gotbd4"/>
    <s v="3자테스터공통"/>
    <s v="Online"/>
    <s v="개선/변경"/>
    <s v="UI"/>
    <s v="결함검토요청"/>
    <s v="신문호"/>
    <s v="Minor"/>
    <s v="결함검토요청"/>
    <d v="2026-04-28T14:28:28"/>
    <d v="2026-04-28T14:28:28"/>
    <s v=""/>
    <x v="3"/>
    <s v="데이터 정합성"/>
    <s v="데이터가 1건인데 th 에 order 가 있습니다."/>
    <s v="데이터가 1건인데 th 에 order 가 있습니다."/>
    <m/>
    <m/>
    <s v="원천 데이터-화면 매핑 재검증, 집계 로직 단위 테스트 보강"/>
  </r>
  <r>
    <s v="UT-PM10309S"/>
    <s v="2-3차"/>
    <n v="1"/>
    <s v="예측관리(PM)"/>
    <s v="DEF-00342"/>
    <s v="해당 테스트 이전에 등록된 결함 해결 됐는데 처리상태 미변경으로 인해 완료 처리 불가능._x000a__x000a_해당 시나리오 테스트 &quot;정상&quot; 완료"/>
    <s v="개발자테스트"/>
    <s v="임소정"/>
    <s v="pmtbd2"/>
    <s v="3자테스터공통"/>
    <s v="Online"/>
    <s v="개선/변경"/>
    <s v="기타"/>
    <s v="결함검토요청"/>
    <s v="염희석"/>
    <s v="Minor"/>
    <s v="결함검토요청"/>
    <d v="2026-04-28T14:31:08"/>
    <d v="2026-04-28T14:31:08"/>
    <s v=""/>
    <x v="11"/>
    <s v="상태값 처리"/>
    <s v="해당 테스트 이전에 등록된 결함 해결 됐는데 처리상태 미변경으로 인해 완료 처리 불가능."/>
    <s v="해당 테스트 이전에 등록된 결함 해결 됐는데 처리상태 미변경으로 인해 완료 처리 불가능.  해당 시나리오 테스트 &quot;정상&quot; 완료"/>
    <m/>
    <m/>
    <s v="버튼/상태 컴포넌트 표준 적용, 활성·비활성 조건 명세화"/>
  </r>
  <r>
    <s v="UT-PM10310S"/>
    <s v="2-3차"/>
    <n v="1"/>
    <s v="예측관리(PM)"/>
    <s v="DEF-00344"/>
    <s v="세로 스크롤이 그리드의 오른쪽 끝에만 표시됨. _x000a_- 그리드에서 세로 스크롤이 표시되는 곳을 벗어나면 스크롤이 보이지 않음."/>
    <s v="개발자테스트"/>
    <s v="임소정"/>
    <s v="pmtbd2"/>
    <s v="3자테스터공통"/>
    <s v="Online"/>
    <s v="개선/변경"/>
    <s v="UI"/>
    <s v="결함검토요청"/>
    <s v="염희석"/>
    <s v="Minor"/>
    <s v="결함검토요청"/>
    <d v="2026-04-28T14:33:06"/>
    <d v="2026-04-28T14:33:06"/>
    <s v=""/>
    <x v="8"/>
    <s v="레이아웃/UI"/>
    <s v="세로 스크롤이 그리드의 오른쪽 끝에만 표시됨."/>
    <s v="세로 스크롤이 그리드의 오른쪽 끝에만 표시됨.  - 그리드에서 세로 스크롤이 표시되는 곳을 벗어나면 스크롤이 보이지 않음."/>
    <m/>
    <m/>
    <s v="디자인 시스템(GNB/그리드/타이포) 준수 점검, 잘림·정렬 보정"/>
  </r>
  <r>
    <s v="UT-GO31420M"/>
    <s v="1-2차"/>
    <n v="1"/>
    <s v="공항운영(GO)"/>
    <s v="DEF-00345"/>
    <s v="조회된 데이터가 없을때, NO DATA 가 뜨지 않습니다. "/>
    <s v="개발자테스트"/>
    <s v="신문호"/>
    <s v="gotbd4"/>
    <s v="3자테스터공통"/>
    <s v="Online"/>
    <s v="개선/변경"/>
    <s v="UI"/>
    <s v="결함검토요청"/>
    <s v="신문호"/>
    <s v="Minor"/>
    <s v="결함검토요청"/>
    <d v="2026-04-28T14:34:15"/>
    <d v="2026-04-28T14:34:15"/>
    <s v=""/>
    <x v="4"/>
    <s v="조회 조건 처리"/>
    <s v="조회된 데이터가 없을때, NO DATA 가 뜨지 않습니다."/>
    <s v="조회된 데이터가 없을때, NO DATA 가 뜨지 않습니다."/>
    <m/>
    <m/>
    <s v="조회 SQL/조건 매핑 재검토, 정렬·필터 기본값 정의서와 일치화"/>
  </r>
  <r>
    <s v="UT-GO31420M"/>
    <s v="1-2차"/>
    <n v="1"/>
    <s v="공항운영(GO)"/>
    <s v="DEF-00346"/>
    <s v="스크롤이 동작하지 않습니다. _x000a_-&gt; 테이블 헤더에서 스크롤을 하면 아래 셀 스크롤이 됩니다 ! 그러나 수정해야할것같습니다 .. "/>
    <s v="개발자테스트"/>
    <s v="신문호"/>
    <s v="gotbd4"/>
    <s v="3자테스터공통"/>
    <s v="Online"/>
    <s v="개선/변경"/>
    <s v="UI"/>
    <s v="결함검토요청"/>
    <s v="신문호"/>
    <s v="Major"/>
    <s v="결함검토요청"/>
    <d v="2026-04-28T14:35:52"/>
    <d v="2026-04-28T14:43:31"/>
    <s v=""/>
    <x v="9"/>
    <s v="개선/변경 요청"/>
    <s v="스크롤이 동작하지 않습니다."/>
    <s v="스크롤이 동작하지 않습니다.  -&gt; 테이블 헤더에서 스크롤을 하면 아래 셀 스크롤이 됩니다 ! 그러나 수정해야할것같습니다 .."/>
    <m/>
    <m/>
    <s v="차기 반영 일감으로 등록 후 우선순위 협의, 정책 가이드 반영"/>
  </r>
  <r>
    <s v="UT-GO21401S"/>
    <s v="2-2차"/>
    <n v="1"/>
    <s v="공항운영(GO)"/>
    <s v="DEF-00177"/>
    <s v="수하물 실척예측정보 등록간 양식대로 입력하였으나 데이터 제약조건 위반 발생"/>
    <s v="개발자테스트"/>
    <s v="신문호"/>
    <s v="신문호"/>
    <s v="3자테스터공통"/>
    <s v="Online"/>
    <s v="결함"/>
    <s v="기능"/>
    <s v="결함검토요청"/>
    <s v="신문호"/>
    <s v="Major"/>
    <s v="결함검토요청"/>
    <d v="2026-04-27T13:07:19"/>
    <d v="2026-04-27T13:07:19"/>
    <s v=""/>
    <x v="4"/>
    <s v="조회 조건 처리"/>
    <s v="수하물 실척예측정보 등록간 양식대로 입력하였으나 데이터 제약조건 위반 발생"/>
    <s v="수하물 실척예측정보 등록간 양식대로 입력하였으나 데이터 제약조건 위반 발생"/>
    <m/>
    <m/>
    <s v="조회 SQL/조건 매핑 재검토, 정렬·필터 기본값 정의서와 일치화"/>
  </r>
  <r>
    <s v="UT-GO12903S"/>
    <s v="2-2차"/>
    <n v="1"/>
    <s v="공항운영(GO)"/>
    <s v="DEF-00347"/>
    <s v="페이지별로 SearchForm이 검색조건에 의해 사이즈가 커졌을떄_x000a_각 페이지마다 Search의 위치가 다름 위?아래? 일관성이 필요해보임"/>
    <s v="개발자테스트"/>
    <s v="신문호"/>
    <s v="신문호"/>
    <s v="3자테스터공통"/>
    <s v="Online"/>
    <s v="개선/변경"/>
    <s v="UI"/>
    <s v="결함검토요청"/>
    <s v="신문호"/>
    <s v="Minor"/>
    <s v="결함검토요청"/>
    <d v="2026-04-28T14:36:24"/>
    <d v="2026-04-28T14:36:24"/>
    <s v=""/>
    <x v="4"/>
    <s v="조회 조건 처리"/>
    <s v="페이지별로 SearchForm이 검색조건에 의해 사이즈가 커졌을떄"/>
    <s v="페이지별로 SearchForm이 검색조건에 의해 사이즈가 커졌을떄 각 페이지마다 Search의 위치가 다름 위?아래? 일관성이 필요해보임"/>
    <m/>
    <m/>
    <s v="조회 SQL/조건 매핑 재검토, 정렬·필터 기본값 정의서와 일치화"/>
  </r>
  <r>
    <s v="UT-GO31420M"/>
    <s v="1-2차"/>
    <n v="1"/>
    <s v="공항운영(GO)"/>
    <s v="DEF-00348"/>
    <s v="어떤 데이터에 대한 합계인지 모르겠습니다. "/>
    <s v="개발자테스트"/>
    <s v="신문호"/>
    <s v="gotbd4"/>
    <s v="3자테스터공통"/>
    <s v="Online"/>
    <s v="개선/변경"/>
    <s v="UI"/>
    <s v="결함검토요청"/>
    <s v="신문호"/>
    <s v="Minor"/>
    <s v="결함검토요청"/>
    <d v="2026-04-28T14:36:51"/>
    <d v="2026-04-28T14:36:51"/>
    <s v=""/>
    <x v="3"/>
    <s v="집계/계산 오류"/>
    <s v="어떤 데이터에 대한 합계인지 모르겠습니다."/>
    <s v="어떤 데이터에 대한 합계인지 모르겠습니다."/>
    <m/>
    <m/>
    <s v="원천 데이터-화면 매핑 재검증, 집계 로직 단위 테스트 보강"/>
  </r>
  <r>
    <s v="UT-PM10310S"/>
    <s v="2-3차"/>
    <n v="1"/>
    <s v="예측관리(PM)"/>
    <s v="DEF-00349"/>
    <s v="화면 사이즈를 조금 줄이면 그리드의 가로 스크롤이 밖으로 빠지고 안에 안에 그리드 내용의 사이즈에 대한 스크롤이 생김._x000a_그로 인해 상단 타이틀과 내용에 대한 그리드 틀이 깨짐"/>
    <s v="개발자테스트"/>
    <s v="임소정"/>
    <s v="pmtbd2"/>
    <s v="3자테스터공통"/>
    <s v="Online"/>
    <s v="개선/변경"/>
    <s v="UI"/>
    <s v="결함검토요청"/>
    <s v="염희석"/>
    <s v="Major"/>
    <s v="결함검토요청"/>
    <d v="2026-04-28T14:38:38"/>
    <d v="2026-04-28T14:38:38"/>
    <s v=""/>
    <x v="9"/>
    <s v="개선/변경 요청"/>
    <s v="화면 사이즈를 조금 줄이면 그리드의 가로 스크롤이 밖으로 빠지고 안에 안에 그리드 내용의 사이즈에 대한 …"/>
    <s v="화면 사이즈를 조금 줄이면 그리드의 가로 스크롤이 밖으로 빠지고 안에 안에 그리드 내용의 사이즈에 대한 스크롤이 생김. 그로 인해 상단 타이틀과 내용에 대한 그리드 틀이 깨짐"/>
    <m/>
    <m/>
    <s v="차기 반영 일감으로 등록 후 우선순위 협의, 정책 가이드 반영"/>
  </r>
  <r>
    <s v="UT-GO31420M"/>
    <s v="1-2차"/>
    <n v="1"/>
    <s v="공항운영(GO)"/>
    <s v="DEF-00350"/>
    <s v="윗쪽 셀은 정렬에 영향을 받지 않는데 의도를 이해하지못했습니다. "/>
    <s v="개발자테스트"/>
    <s v="신문호"/>
    <s v="gotbd4"/>
    <s v="3자테스터공통"/>
    <s v="Online"/>
    <s v="개선/변경"/>
    <s v="UI"/>
    <s v="결함검토요청"/>
    <s v="신문호"/>
    <s v="Minor"/>
    <s v="결함검토요청"/>
    <d v="2026-04-28T14:39:05"/>
    <d v="2026-04-28T14:39:05"/>
    <s v=""/>
    <x v="4"/>
    <s v="정렬 오류"/>
    <s v="윗쪽 셀은 정렬에 영향을 받지 않는데 의도를 이해하지못했습니다."/>
    <s v="윗쪽 셀은 정렬에 영향을 받지 않는데 의도를 이해하지못했습니다."/>
    <m/>
    <m/>
    <s v="조회 SQL/조건 매핑 재검토, 정렬·필터 기본값 정의서와 일치화"/>
  </r>
  <r>
    <s v="UT-GO31420M"/>
    <s v="1-2차"/>
    <n v="1"/>
    <s v="공항운영(GO)"/>
    <s v="DEF-00351"/>
    <s v="창의 크기에 따라 스크롤이 생기지 않습니다. "/>
    <s v="개발자테스트"/>
    <s v="신문호"/>
    <s v="gotbd4"/>
    <s v="3자테스터공통"/>
    <s v="Online"/>
    <s v="개선/변경"/>
    <s v="UI"/>
    <s v="결함검토요청"/>
    <s v="신문호"/>
    <s v="Minor"/>
    <s v="결함검토요청"/>
    <d v="2026-04-28T14:40:18"/>
    <d v="2026-04-28T14:40:18"/>
    <s v=""/>
    <x v="8"/>
    <s v="폰트/크기"/>
    <s v="창의 크기에 따라 스크롤이 생기지 않습니다."/>
    <s v="창의 크기에 따라 스크롤이 생기지 않습니다."/>
    <m/>
    <m/>
    <s v="디자인 시스템(GNB/그리드/타이포) 준수 점검, 잘림·정렬 보정"/>
  </r>
  <r>
    <s v="UT-PM10311S"/>
    <s v="2-3차"/>
    <n v="1"/>
    <s v="예측관리(PM)"/>
    <s v="DEF-00352"/>
    <s v="타이틀 정렬(중앙 정렬 필요)"/>
    <s v="개발자테스트"/>
    <s v="임소정"/>
    <s v="pmtbd2"/>
    <s v="3자테스터공통"/>
    <s v="Online"/>
    <s v="개선/변경"/>
    <s v="UI"/>
    <s v="결함검토요청"/>
    <s v="염희석"/>
    <s v="Minor"/>
    <s v="결함검토요청"/>
    <d v="2026-04-28T14:40:57"/>
    <d v="2026-04-28T14:40:57"/>
    <s v=""/>
    <x v="4"/>
    <s v="정렬 오류"/>
    <s v="타이틀 정렬(중앙 정렬 필요)"/>
    <s v="타이틀 정렬(중앙 정렬 필요)"/>
    <m/>
    <m/>
    <s v="조회 SQL/조건 매핑 재검토, 정렬·필터 기본값 정의서와 일치화"/>
  </r>
  <r>
    <s v="UT-FSEX060M"/>
    <s v="1-1차"/>
    <n v="1"/>
    <s v="항공보안(FS)"/>
    <s v="DEF-00353"/>
    <s v="단위테스트 자료 없음"/>
    <s v="개발자테스트"/>
    <s v="임소정"/>
    <s v="임소정"/>
    <s v="3자테스터공통"/>
    <s v="Online"/>
    <s v="개선/변경"/>
    <s v="기능"/>
    <s v="결함검토요청"/>
    <s v="임소정"/>
    <s v="Minor"/>
    <s v="결함검토요청"/>
    <d v="2026-04-28T14:41:46"/>
    <d v="2026-04-28T14:41:46"/>
    <s v=""/>
    <x v="9"/>
    <s v="개선/변경 요청"/>
    <s v="단위테스트 자료 없음"/>
    <s v="단위테스트 자료 없음"/>
    <m/>
    <m/>
    <s v="차기 반영 일감으로 등록 후 우선순위 협의, 정책 가이드 반영"/>
  </r>
  <r>
    <s v="UT-PM10311S"/>
    <s v="2-3차"/>
    <n v="1"/>
    <s v="예측관리(PM)"/>
    <s v="DEF-00354"/>
    <s v="맵보기에서 터미널 T1을 선택하고 조회 후 차트보기로 이동 시 차트가 보여지지 않음."/>
    <s v="개발자테스트"/>
    <s v="임소정"/>
    <s v="pmtbd2"/>
    <s v="3자테스터공통"/>
    <s v="Online"/>
    <s v="결함"/>
    <s v="기능"/>
    <s v="결함검토요청"/>
    <s v="염희석"/>
    <s v="Critical"/>
    <s v="결함검토요청"/>
    <d v="2026-04-28T14:43:47"/>
    <d v="2026-04-28T14:43:47"/>
    <s v=""/>
    <x v="2"/>
    <s v="차트 표시 오류"/>
    <s v="맵보기에서 터미널 T1을 선택하고 조회 후 차트보기로 이동 시 차트가 보여지지 않음."/>
    <s v="맵보기에서 터미널 T1을 선택하고 조회 후 차트보기로 이동 시 차트가 보여지지 않음."/>
    <m/>
    <m/>
    <s v="차트 공통 컴포넌트 점검, 무데이터 처리 및 축/범례 표준화"/>
  </r>
  <r>
    <s v="UT-PM10311S"/>
    <s v="2-3차"/>
    <n v="1"/>
    <s v="예측관리(PM)"/>
    <s v="DEF-00355"/>
    <s v="테스트 결과서 내용과 개발된 프로그램이 다름 차트 확인 필요"/>
    <s v="개발자테스트"/>
    <s v="임소정"/>
    <s v="pmtbd2"/>
    <s v="3자테스터공통"/>
    <s v="Online"/>
    <s v="개선/변경"/>
    <s v="문서화"/>
    <s v="결함검토요청"/>
    <s v="염희석"/>
    <s v="Major"/>
    <s v="결함검토요청"/>
    <d v="2026-04-28T14:45:27"/>
    <d v="2026-04-28T14:45:27"/>
    <s v=""/>
    <x v="2"/>
    <s v="차트 표시 오류"/>
    <s v="테스트 결과서 내용과 개발된 프로그램이 다름 차트 확인 필요"/>
    <s v="테스트 결과서 내용과 개발된 프로그램이 다름 차트 확인 필요"/>
    <m/>
    <m/>
    <s v="차트 공통 컴포넌트 점검, 무데이터 처리 및 축/범례 표준화"/>
  </r>
  <r>
    <s v="UT-PM10401S"/>
    <s v="2-3차"/>
    <n v="1"/>
    <s v="예측관리(PM)"/>
    <s v="DEF-00357"/>
    <s v="캘린더 날자 선택 시 input에 날짜가 적용되지만 캘린더 팝업이 닫히지 않음."/>
    <s v="개발자테스트"/>
    <s v="임소정"/>
    <s v="pmtbd3"/>
    <s v="3자테스터공통"/>
    <s v="Online"/>
    <s v="개선/변경"/>
    <s v="UI"/>
    <s v="결함검토요청"/>
    <s v="염희석"/>
    <s v="Minor"/>
    <s v="결함검토요청"/>
    <d v="2026-04-28T14:49:58"/>
    <d v="2026-04-28T14:49:58"/>
    <s v=""/>
    <x v="0"/>
    <s v="날짜 표시/포맷"/>
    <s v="캘린더 날자 선택 시 input에 날짜가 적용되지만 캘린더 팝업이 닫히지 않음."/>
    <s v="캘린더 날자 선택 시 input에 날짜가 적용되지만 캘린더 팝업이 닫히지 않음."/>
    <m/>
    <m/>
    <s v="날짜 컴포넌트 표준화, 기준일자-운항일자 등 필드 매핑 점검 및 기간 가드 추가"/>
  </r>
  <r>
    <s v="UT-PM10401S"/>
    <s v="2-3차"/>
    <n v="1"/>
    <s v="예측관리(PM)"/>
    <s v="DEF-00366"/>
    <s v="보안검색대 수정에서 시 분 선택 시 input에는 값이 저장되지만 선태 select box 가 남아 있음."/>
    <s v="개발자테스트"/>
    <s v="임소정"/>
    <s v="pmtbd3"/>
    <s v="3자테스터공통"/>
    <s v="Online"/>
    <s v="개선/변경"/>
    <s v="UI"/>
    <s v="결함검토요청"/>
    <s v="염희석"/>
    <s v="Minor"/>
    <s v="결함검토요청"/>
    <d v="2026-04-28T15:07:07"/>
    <d v="2026-04-28T15:07:07"/>
    <s v=""/>
    <x v="4"/>
    <s v="조회 조건 처리"/>
    <s v="보안검색대 수정에서 시 분 선택 시 input에는 값이 저장되지만 선태 select box 가 남아 있음."/>
    <s v="보안검색대 수정에서 시 분 선택 시 input에는 값이 저장되지만 선태 select box 가 남아 있음."/>
    <m/>
    <m/>
    <s v="조회 SQL/조건 매핑 재검토, 정렬·필터 기본값 정의서와 일치화"/>
  </r>
  <r>
    <s v="UT-PM10401S"/>
    <s v="2-3차"/>
    <n v="1"/>
    <s v="예측관리(PM)"/>
    <s v="DEF-00367"/>
    <s v="시작 시간이 종료 시간보다 느린데 현재상태 저장 됨."/>
    <s v="개발자테스트"/>
    <s v="임소정"/>
    <s v="pmtbd3"/>
    <s v="3자테스터공통"/>
    <s v="Online"/>
    <s v="결함"/>
    <s v="기능"/>
    <s v="결함검토요청"/>
    <s v="염희석"/>
    <s v="Critical"/>
    <s v="결함검토요청"/>
    <d v="2026-04-28T15:08:18"/>
    <d v="2026-04-28T15:08:19"/>
    <s v=""/>
    <x v="11"/>
    <s v="상태값 처리"/>
    <s v="시작 시간이 종료 시간보다 느린데 현재상태 저장 됨."/>
    <s v="시작 시간이 종료 시간보다 느린데 현재상태 저장 됨."/>
    <m/>
    <m/>
    <s v="버튼/상태 컴포넌트 표준 적용, 활성·비활성 조건 명세화"/>
  </r>
  <r>
    <s v="UT-GO41206M"/>
    <s v="1-2차"/>
    <n v="1"/>
    <s v="공항운영(GO)"/>
    <s v="DEF-00368"/>
    <s v="엑셀 저장 시 숫자 단위 확인 필요"/>
    <s v="개발자테스트"/>
    <s v="신문호"/>
    <s v="김경준"/>
    <s v="3자테스터공통"/>
    <s v="Online"/>
    <s v="개선/변경"/>
    <s v="기타"/>
    <s v="결함검토요청"/>
    <s v="신문호"/>
    <s v="Minor"/>
    <s v="결함검토요청"/>
    <d v="2026-04-28T15:09:51"/>
    <d v="2026-04-28T15:09:51"/>
    <s v=""/>
    <x v="1"/>
    <s v="엑셀 다운로드 오류"/>
    <s v="엑셀 저장 시 숫자 단위 확인 필요"/>
    <s v="엑셀 저장 시 숫자 단위 확인 필요"/>
    <m/>
    <m/>
    <s v="엑셀/PDF 공통 출력 모듈 점검, 컬럼 매핑·서식 검증 및 예외 처리"/>
  </r>
  <r>
    <s v="UT-GO41211S"/>
    <s v="1-2차"/>
    <n v="1"/>
    <s v="공항운영(GO)"/>
    <s v="DEF-00372"/>
    <s v="어떤 데이터가 검색되는지 알 수 없습니다 "/>
    <s v="개발자테스트"/>
    <s v="신문호"/>
    <s v="김경준"/>
    <s v="3자테스터공통"/>
    <s v="Online"/>
    <s v="개선/변경"/>
    <s v="UI"/>
    <s v="결함검토요청"/>
    <s v="신문호"/>
    <s v="Minor"/>
    <s v="결함검토요청"/>
    <d v="2026-04-28T15:21:35"/>
    <d v="2026-04-28T15:21:35"/>
    <s v=""/>
    <x v="4"/>
    <s v="조회 조건 처리"/>
    <s v="어떤 데이터가 검색되는지 알 수 없습니다"/>
    <s v="어떤 데이터가 검색되는지 알 수 없습니다"/>
    <m/>
    <m/>
    <s v="조회 SQL/조건 매핑 재검토, 정렬·필터 기본값 정의서와 일치화"/>
  </r>
  <r>
    <s v="UT-GO41211S"/>
    <s v="1-2차"/>
    <n v="1"/>
    <s v="공항운영(GO)"/>
    <s v="DEF-00375"/>
    <s v="테스트 시나리오 대로 2025-06-19, 2020-11-02 검색을 했지만 [주차장 사용현황] 데이터가 없어 확인하지 못했습니다. "/>
    <s v="개발자테스트"/>
    <s v="신문호"/>
    <s v="김경준"/>
    <s v="3자테스터공통"/>
    <s v="Online"/>
    <s v="개선/변경"/>
    <s v="데이터"/>
    <s v="결함검토요청"/>
    <s v="신문호"/>
    <s v="Minor"/>
    <s v="결함검토요청"/>
    <d v="2026-04-28T15:26:09"/>
    <d v="2026-04-28T15:26:09"/>
    <s v=""/>
    <x v="4"/>
    <s v="조회 조건 처리"/>
    <s v="테스트 시나리오 대로 2025-06-19, 2020-11-02 검색을 했지만 [주차장 사용현황] 데이터가…"/>
    <s v="테스트 시나리오 대로 2025-06-19, 2020-11-02 검색을 했지만 [주차장 사용현황] 데이터가 없어 확인하지 못했습니다."/>
    <m/>
    <m/>
    <s v="조회 SQL/조건 매핑 재검토, 정렬·필터 기본값 정의서와 일치화"/>
  </r>
  <r>
    <s v="UT-GO41701S"/>
    <s v="2-2차"/>
    <n v="1"/>
    <s v="공항운영(GO)"/>
    <s v="DEF-00673"/>
    <s v="[X_1] 피크타임 항목이 제대로 계산되지 않는 것 같습니다 (날짜에 관계없이 모두 0시로 표기됩니다)."/>
    <s v="개발자테스트"/>
    <s v="신문호"/>
    <s v="신문호"/>
    <s v="3자테스터공통"/>
    <s v="Online"/>
    <s v="결함"/>
    <s v="기능"/>
    <s v="결함검토요청"/>
    <s v="신문호"/>
    <s v="Major"/>
    <s v="결함검토요청"/>
    <d v="2026-05-04T17:37:28"/>
    <d v="2026-05-04T17:37:28"/>
    <s v=""/>
    <x v="0"/>
    <s v="날짜 표시/포맷"/>
    <s v="[X_1] 피크타임 항목이 제대로 계산되지 않는 것 같습니다 (날짜에 관계없이 모두 0시로 표기됩니다)."/>
    <s v="[X_1] 피크타임 항목이 제대로 계산되지 않는 것 같습니다 (날짜에 관계없이 모두 0시로 표기됩니다)."/>
    <m/>
    <m/>
    <s v="날짜 컴포넌트 표준화, 기준일자-운항일자 등 필드 매핑 점검 및 기간 가드 추가"/>
  </r>
  <r>
    <s v="UT-GO41701S"/>
    <s v="2-2차"/>
    <n v="1"/>
    <s v="공항운영(GO)"/>
    <s v="DEF-00674"/>
    <s v="[C_1] 매월 셋째, 넷째, 다섯번째 주 일요일의 피크타임, 단기 주차율, 장기 주차율 텍스트가 다른 날짜의 텍스트와 스타일이 상이합니다."/>
    <s v="개발자테스트"/>
    <s v="신문호"/>
    <s v="신문호"/>
    <s v="3자테스터공통"/>
    <s v="Online"/>
    <s v="결함"/>
    <s v="UI"/>
    <s v="결함검토요청"/>
    <s v="신문호"/>
    <s v="Minor"/>
    <s v="결함검토요청"/>
    <d v="2026-05-04T17:39:58"/>
    <d v="2026-05-04T17:39:58"/>
    <s v=""/>
    <x v="0"/>
    <s v="날짜 표시/포맷"/>
    <s v="[C_1] 매월 셋째, 넷째, 다섯번째 주 일요일의 피크타임, 단기 주차율, 장기 주차율 텍스트가 다른 …"/>
    <s v="[C_1] 매월 셋째, 넷째, 다섯번째 주 일요일의 피크타임, 단기 주차율, 장기 주차율 텍스트가 다른 날짜의 텍스트와 스타일이 상이합니다."/>
    <m/>
    <m/>
    <s v="날짜 컴포넌트 표준화, 기준일자-운항일자 등 필드 매핑 점검 및 기간 가드 추가"/>
  </r>
  <r>
    <s v="UT-PM10310S"/>
    <s v="2-3차"/>
    <n v="1"/>
    <s v="예측관리(PM)"/>
    <s v="DEF-00676"/>
    <s v="①최초 화면전체 모드 기준 표 보기에는 하단 좌우스크롤바 1개,_x000a_② 화면크기 조정후 스크롤바 2개 생성,_x000a_③ 다시 전체 화면 모드로 전환했지만, 하단 좌우스크롤 2개 유지 _x000a_"/>
    <s v="개발자테스트"/>
    <s v="임소정"/>
    <s v="pmtbd2"/>
    <s v="3자테스터공통"/>
    <s v="Online"/>
    <s v="개선/변경"/>
    <s v="UI"/>
    <s v="결함검토요청"/>
    <s v="임소정"/>
    <s v="Minor"/>
    <s v="결함검토요청"/>
    <d v="2026-05-04T17:52:24"/>
    <d v="2026-05-04T17:52:24"/>
    <s v=""/>
    <x v="8"/>
    <s v="폰트/크기"/>
    <s v="①최초 화면전체 모드 기준 표 보기에는 하단 좌우스크롤바 1개,"/>
    <s v="①최초 화면전체 모드 기준 표 보기에는 하단 좌우스크롤바 1개, ② 화면크기 조정후 스크롤바 2개 생성, ③ 다시 전체 화면 모드로 전환했지만, 하단 좌우스크롤 2개 유지"/>
    <m/>
    <m/>
    <s v="디자인 시스템(GNB/그리드/타이포) 준수 점검, 잘림·정렬 보정"/>
  </r>
  <r>
    <s v="UT-FSEX090M"/>
    <s v="2-3차"/>
    <n v="1"/>
    <s v="항공보안(FS)"/>
    <s v="DEF-00678"/>
    <s v="출시, 입시 입력값이 잘 못 됐을 때 안내 메세지에 어떤 입력 항목에 대한 메세지 인지 알 수가 없으며, 확인 버튼 클리 후 문제된 항목으로 focus 처리가 안됨._x000a_"/>
    <s v="개발자테스트"/>
    <s v="임소정"/>
    <s v="임소정"/>
    <s v="3자테스터공통"/>
    <s v="Online"/>
    <s v="개선/변경"/>
    <s v="UI"/>
    <s v="결함검토요청"/>
    <s v="임소정"/>
    <s v="Minor"/>
    <s v="결함검토요청"/>
    <d v="2026-05-06T08:47:25"/>
    <d v="2026-05-06T08:47:25"/>
    <s v=""/>
    <x v="7"/>
    <s v="안내 메시지 부재"/>
    <s v="출시, 입시 입력값이 잘 못 됐을 때 안내 메세지에 어떤 입력 항목에 대한 메세지 인지 알 수가 없으며,…"/>
    <s v="출시, 입시 입력값이 잘 못 됐을 때 안내 메세지에 어떤 입력 항목에 대한 메세지 인지 알 수가 없으며, 확인 버튼 클리 후 문제된 항목으로 focus 처리가 안됨."/>
    <m/>
    <m/>
    <s v="UX 가이드라인에 따라 표준 안내·툴팁 문구 적용, 무데이터/오류 메시지 정비"/>
  </r>
  <r>
    <s v="UT-PM10405S"/>
    <s v="2-3차"/>
    <n v="1"/>
    <s v="예측관리(PM)"/>
    <s v="DEF-00686"/>
    <s v="①아일랜드 G의 셀프체크인 키오스크를 24시까지 선택하고 저장_x000a_②시뮬레이션 다시 불러오면 저장 이전 상태로 복구됨_x000a_"/>
    <s v="개발자테스트"/>
    <s v="임소정"/>
    <s v="pmtbd1"/>
    <s v="3자테스터공통"/>
    <s v="Online"/>
    <s v="개선/변경"/>
    <s v="UI"/>
    <s v="결함검토요청"/>
    <s v="임소정"/>
    <s v="Minor"/>
    <s v="결함검토요청"/>
    <d v="2026-05-06T09:43:35"/>
    <d v="2026-05-06T09:43:35"/>
    <s v=""/>
    <x v="11"/>
    <s v="선택/체크 동작"/>
    <s v="①아일랜드 G의 셀프체크인 키오스크를 24시까지 선택하고 저장"/>
    <s v="①아일랜드 G의 셀프체크인 키오스크를 24시까지 선택하고 저장 ②시뮬레이션 다시 불러오면 저장 이전 상태로 복구됨"/>
    <m/>
    <m/>
    <s v="버튼/상태 컴포넌트 표준 적용, 활성·비활성 조건 명세화"/>
  </r>
  <r>
    <s v="UT-GO42101S"/>
    <s v="2-2차"/>
    <n v="1"/>
    <s v="공항운영(GO)"/>
    <s v="DEF-00705"/>
    <s v="[S_1-1] 종료일자 미입력 시에도 '시작일자' 항목은 필수 입력항목이라는 alert이 표출됩니다."/>
    <s v="개발자테스트"/>
    <s v="신문호"/>
    <s v="김경준"/>
    <s v="3자테스터공통"/>
    <s v="Online"/>
    <s v="결함"/>
    <s v="UI"/>
    <s v="결함검토요청"/>
    <s v="신문호"/>
    <s v="Minor"/>
    <s v="결함검토요청"/>
    <d v="2026-05-06T11:22:15"/>
    <d v="2026-05-06T11:22:15"/>
    <s v=""/>
    <x v="0"/>
    <s v="기간 범위 처리"/>
    <s v="[S_1-1] 종료일자 미입력 시에도 '시작일자' 항목은 필수 입력항목이라는 alert이 표출됩니다."/>
    <s v="[S_1-1] 종료일자 미입력 시에도 '시작일자' 항목은 필수 입력항목이라는 alert이 표출됩니다."/>
    <m/>
    <m/>
    <s v="날짜 컴포넌트 표준화, 기준일자-운항일자 등 필드 매핑 점검 및 기간 가드 추가"/>
  </r>
  <r>
    <s v="UT-GO12903S"/>
    <s v="2-2차"/>
    <n v="1"/>
    <s v="공항운영(GO)"/>
    <s v="DEF-00721"/>
    <s v="[C_10] [C_12] 날짜 포맷이 서로 상이합니다 (YYYY-MM-DD, YYYYMMDD, YYYY/MM/DD)."/>
    <s v="개발자테스트"/>
    <s v="신문호"/>
    <s v="신문호"/>
    <s v="3자테스터공통"/>
    <s v="Online"/>
    <s v="결함"/>
    <s v="UI"/>
    <s v="결함검토요청"/>
    <s v="신문호"/>
    <s v="Minor"/>
    <s v="결함검토요청"/>
    <d v="2026-05-06T15:10:16"/>
    <d v="2026-05-06T15:10:16"/>
    <s v=""/>
    <x v="0"/>
    <s v="날짜 표시/포맷"/>
    <s v="[C_10] [C_12] 날짜 포맷이 서로 상이합니다 (YYYY-MM-DD, YYYYMMDD, YYYY/…"/>
    <s v="[C_10] [C_12] 날짜 포맷이 서로 상이합니다 (YYYY-MM-DD, YYYYMMDD, YYYY/MM/DD)."/>
    <m/>
    <m/>
    <s v="날짜 컴포넌트 표준화, 기준일자-운항일자 등 필드 매핑 점검 및 기간 가드 추가"/>
  </r>
  <r>
    <s v="UT-PM20129S"/>
    <s v="2-1차"/>
    <n v="1"/>
    <s v="예측관리(PM)"/>
    <s v="DEF-00723"/>
    <s v="화면의 첫 째 필드에 커셔가 Set focus되어 있지 않음."/>
    <s v="개발자테스트"/>
    <s v="임소정"/>
    <s v="pmtbd2"/>
    <s v="3자테스터공통"/>
    <s v="Online"/>
    <s v="개선/변경"/>
    <s v="UI"/>
    <s v="결함검토요청"/>
    <s v="임소정"/>
    <s v="Minor"/>
    <s v="결함검토요청"/>
    <d v="2026-05-06T15:18:34"/>
    <d v="2026-05-06T15:18:34"/>
    <s v=""/>
    <x v="9"/>
    <s v="개선/변경 요청"/>
    <s v="화면의 첫 째 필드에 커셔가 Set focus되어 있지 않음."/>
    <s v="화면의 첫 째 필드에 커셔가 Set focus되어 있지 않음."/>
    <m/>
    <m/>
    <s v="차기 반영 일감으로 등록 후 우선순위 협의, 정책 가이드 반영"/>
  </r>
  <r>
    <s v="UT-GO12904S"/>
    <s v="2-2차"/>
    <n v="1"/>
    <s v="공항운영(GO)"/>
    <s v="DEF-00725"/>
    <s v="[C_1] 보고서상에 'YY.MM.DD. HH시 기준 작성' 란은 있으나, 시간(HH)이 들어갈 위치에 값이 없는데, 수기로 기재하도록 남겨둔 것인지 누락된 것인지 확인해 주시면 감사하겠습니다."/>
    <s v="개발자테스트"/>
    <s v="신문호"/>
    <s v="신문호"/>
    <s v="3자테스터공통"/>
    <s v="Online"/>
    <s v="결함"/>
    <s v="UI"/>
    <s v="결함검토요청"/>
    <s v="신문호"/>
    <s v="Minor"/>
    <s v="결함검토요청"/>
    <d v="2026-05-06T15:40:45"/>
    <d v="2026-05-06T16:34:08"/>
    <s v=""/>
    <x v="3"/>
    <s v="데이터 정합성"/>
    <s v="[C_1] 보고서상에 'YY.MM.DD. HH시 기준 작성' 란은 있으나, 시간(HH)이 들어갈 위치에 …"/>
    <s v="[C_1] 보고서상에 'YY.MM.DD. HH시 기준 작성' 란은 있으나, 시간(HH)이 들어갈 위치에 값이 없는데, 수기로 기재하도록 남겨둔 것인지 누락된 것인지 확인해 주시면 감사하겠습니다."/>
    <m/>
    <m/>
    <s v="원천 데이터-화면 매핑 재검증, 집계 로직 단위 테스트 보강"/>
  </r>
  <r>
    <s v="UT-GO12908S"/>
    <s v="2-2차"/>
    <n v="1"/>
    <s v="공항운영(GO)"/>
    <s v="DEF-00728"/>
    <s v="[C_1] 요일이 들어갈 위치로 보이나 값이 누락됨"/>
    <s v="개발자테스트"/>
    <s v="신문호"/>
    <s v="신문호"/>
    <s v="3자테스터공통"/>
    <s v="Online"/>
    <s v="결함"/>
    <s v="UI"/>
    <s v="결함검토요청"/>
    <s v="신문호"/>
    <s v="Minor"/>
    <s v="결함검토요청"/>
    <d v="2026-05-06T15:57:03"/>
    <d v="2026-05-06T15:57:03"/>
    <s v=""/>
    <x v="3"/>
    <s v="데이터 정합성"/>
    <s v="[C_1] 요일이 들어갈 위치로 보이나 값이 누락됨"/>
    <s v="[C_1] 요일이 들어갈 위치로 보이나 값이 누락됨"/>
    <m/>
    <m/>
    <s v="원천 데이터-화면 매핑 재검증, 집계 로직 단위 테스트 보강"/>
  </r>
  <r>
    <s v="UT-GO12908S"/>
    <s v="2-2차"/>
    <n v="1"/>
    <s v="공항운영(GO)"/>
    <s v="DEF-00729"/>
    <s v="[X_1] 검색 컴포넌트에는 보고서 조회기준'일시' 라고 되어 있으나 '일'은 설정 불가하고 시간만 설정 가능합니다."/>
    <s v="개발자테스트"/>
    <s v="신문호"/>
    <s v="신문호"/>
    <s v="3자테스터공통"/>
    <s v="Online"/>
    <s v="결함"/>
    <s v="UI"/>
    <s v="결함검토요청"/>
    <s v="신문호"/>
    <s v="Minor"/>
    <s v="결함검토요청"/>
    <d v="2026-05-06T16:01:27"/>
    <d v="2026-05-06T16:01:27"/>
    <s v=""/>
    <x v="4"/>
    <s v="조회 조건 처리"/>
    <s v="[X_1] 검색 컴포넌트에는 보고서 조회기준'일시' 라고 되어 있으나 '일'은 설정 불가하고 시간만 설정…"/>
    <s v="[X_1] 검색 컴포넌트에는 보고서 조회기준'일시' 라고 되어 있으나 '일'은 설정 불가하고 시간만 설정 가능합니다."/>
    <m/>
    <m/>
    <s v="조회 SQL/조건 매핑 재검토, 정렬·필터 기본값 정의서와 일치화"/>
  </r>
  <r>
    <s v="UT-PM10307S"/>
    <s v="2-3차"/>
    <n v="1"/>
    <s v="예측관리(PM)"/>
    <s v="DEF-00321"/>
    <s v="차트보기 또는 맵보기 이동 후 다시 표보기로 오면 아일랜드 코드 사라짐."/>
    <s v="개발자테스트"/>
    <s v="임소정"/>
    <s v="pmtbd3"/>
    <s v="3자테스터공통"/>
    <s v="Online"/>
    <s v="결함"/>
    <s v="UI"/>
    <s v="결함검토요청"/>
    <s v="염희석"/>
    <s v="Minor"/>
    <s v="결함검토요청"/>
    <d v="2026-04-28T13:40:27"/>
    <d v="2026-04-28T13:40:27"/>
    <s v=""/>
    <x v="2"/>
    <s v="차트 표시 오류"/>
    <s v="차트보기 또는 맵보기 이동 후 다시 표보기로 오면 아일랜드 코드 사라짐."/>
    <s v="차트보기 또는 맵보기 이동 후 다시 표보기로 오면 아일랜드 코드 사라짐."/>
    <m/>
    <m/>
    <s v="차트 공통 컴포넌트 점검, 무데이터 처리 및 축/범례 표준화"/>
  </r>
  <r>
    <s v="UT-GO11101S"/>
    <s v="1-2차"/>
    <n v="1"/>
    <s v="공항운영(GO)"/>
    <s v="DEF-00322"/>
    <s v="GD 항목에 데이터가 있지 않은데 초기 스크롤이 생깁니다. "/>
    <s v="개발자테스트"/>
    <s v="신문호"/>
    <s v="김경준"/>
    <s v="3자테스터공통"/>
    <s v="Online"/>
    <s v="개선/변경"/>
    <s v="UI"/>
    <s v="결함검토요청"/>
    <s v="신문호"/>
    <s v="Minor"/>
    <s v="결함검토요청"/>
    <d v="2026-04-28T13:40:45"/>
    <d v="2026-04-28T13:40:45"/>
    <s v=""/>
    <x v="3"/>
    <s v="데이터 정합성"/>
    <s v="GD 항목에 데이터가 있지 않은데 초기 스크롤이 생깁니다."/>
    <s v="GD 항목에 데이터가 있지 않은데 초기 스크롤이 생깁니다."/>
    <m/>
    <m/>
    <s v="원천 데이터-화면 매핑 재검증, 집계 로직 단위 테스트 보강"/>
  </r>
  <r>
    <s v="UT-PM10308S"/>
    <s v="2-3차"/>
    <n v="1"/>
    <s v="예측관리(PM)"/>
    <s v="DEF-00331"/>
    <s v="테스트 결과서 내용과 개발된 프로그램이 다름_x000a_차트 확인 필요"/>
    <s v="개발자테스트"/>
    <s v="임소정"/>
    <s v="pmtbd3"/>
    <s v="3자테스터공통"/>
    <s v="Online"/>
    <s v="개선/변경"/>
    <s v="문서화"/>
    <s v="결함검토요청"/>
    <s v="염희석"/>
    <s v="Major"/>
    <s v="결함검토요청"/>
    <d v="2026-04-28T13:59:44"/>
    <d v="2026-04-28T13:59:44"/>
    <s v=""/>
    <x v="2"/>
    <s v="차트 표시 오류"/>
    <s v="테스트 결과서 내용과 개발된 프로그램이 다름"/>
    <s v="테스트 결과서 내용과 개발된 프로그램이 다름 차트 확인 필요"/>
    <m/>
    <m/>
    <s v="차트 공통 컴포넌트 점검, 무데이터 처리 및 축/범례 표준화"/>
  </r>
  <r>
    <s v="UT-PM10305S"/>
    <s v="2-3차"/>
    <n v="1"/>
    <s v="예측관리(PM)"/>
    <s v="DEF-00332"/>
    <s v="테스트 결과 내용과 개발된 프로그램이 다름"/>
    <s v="개발자테스트"/>
    <s v="임소정"/>
    <s v="pmtbd2"/>
    <s v="3자테스터공통"/>
    <s v="Online"/>
    <s v="개선/변경"/>
    <s v="문서화"/>
    <s v="결함검토요청"/>
    <s v="염희석"/>
    <s v="Major"/>
    <s v="결함검토요청"/>
    <d v="2026-04-28T14:01:23"/>
    <d v="2026-04-28T14:01:23"/>
    <s v=""/>
    <x v="3"/>
    <s v="데이터 정합성"/>
    <s v="테스트 결과 내용과 개발된 프로그램이 다름"/>
    <s v="테스트 결과 내용과 개발된 프로그램이 다름"/>
    <m/>
    <m/>
    <s v="원천 데이터-화면 매핑 재검증, 집계 로직 단위 테스트 보강"/>
  </r>
  <r>
    <s v="UT-GO23701S"/>
    <s v="1-2차"/>
    <n v="1"/>
    <s v="공항운영(GO)"/>
    <s v="DEF-00334"/>
    <s v="통계 생성 버튼을 눌러야 데이터들이 뜨니 해당 페이지 내 search 버튼의 기능에 대해 알 수 없습니다. "/>
    <s v="개발자테스트"/>
    <s v="신문호"/>
    <s v="김경준"/>
    <s v="3자테스터공통"/>
    <s v="Online"/>
    <s v="개선/변경"/>
    <s v="UI"/>
    <s v="결함검토요청"/>
    <s v="신문호"/>
    <s v="Minor"/>
    <s v="결함검토요청"/>
    <d v="2026-04-28T14:05:56"/>
    <d v="2026-04-28T14:05:56"/>
    <s v=""/>
    <x v="4"/>
    <s v="조회 조건 처리"/>
    <s v="통계 생성 버튼을 눌러야 데이터들이 뜨니 해당 페이지 내 search 버튼의 기능에 대해 알 수 없습니다."/>
    <s v="통계 생성 버튼을 눌러야 데이터들이 뜨니 해당 페이지 내 search 버튼의 기능에 대해 알 수 없습니다."/>
    <m/>
    <m/>
    <s v="조회 SQL/조건 매핑 재검토, 정렬·필터 기본값 정의서와 일치화"/>
  </r>
  <r>
    <s v="UT-GO41202M"/>
    <s v="1-2차"/>
    <n v="1"/>
    <s v="공항운영(GO)"/>
    <s v="DEF-00358"/>
    <s v="모든 input에 0을 입력한 후 저장하니 저장이 됐습니다. "/>
    <s v="개발자테스트"/>
    <s v="신문호"/>
    <s v="김경준"/>
    <s v="3자테스터공통"/>
    <s v="Online"/>
    <s v="결함"/>
    <s v="기능"/>
    <s v="결함검토요청"/>
    <s v="신문호"/>
    <s v="Major"/>
    <s v="결함검토요청"/>
    <d v="2026-04-28T14:54:05"/>
    <d v="2026-04-28T14:54:05"/>
    <s v=""/>
    <x v="5"/>
    <s v="기타 검토"/>
    <s v="모든 input에 0을 입력한 후 저장하니 저장이 됐습니다."/>
    <s v="모든 input에 0을 입력한 후 저장하니 저장이 됐습니다."/>
    <m/>
    <m/>
    <s v="담당 PL과 결함 성격 재정의 후 분류 보완"/>
  </r>
  <r>
    <s v="UT-PM10401S"/>
    <s v="2-3차"/>
    <n v="1"/>
    <s v="예측관리(PM)"/>
    <s v="DEF-00359"/>
    <s v="전일이 당일을 기준로 전일 고정되어 있음."/>
    <s v="개발자테스트"/>
    <s v="임소정"/>
    <s v="pmtbd3"/>
    <s v="3자테스터공통"/>
    <s v="Online"/>
    <s v="결함"/>
    <s v="기능"/>
    <s v="결함검토요청"/>
    <s v="염희석"/>
    <s v="Major"/>
    <s v="결함검토요청"/>
    <d v="2026-04-28T14:54:13"/>
    <d v="2026-04-28T14:54:13"/>
    <s v=""/>
    <x v="5"/>
    <s v="기타 검토"/>
    <s v="전일이 당일을 기준로 전일 고정되어 있음."/>
    <s v="전일이 당일을 기준로 전일 고정되어 있음."/>
    <m/>
    <m/>
    <s v="담당 PL과 결함 성격 재정의 후 분류 보완"/>
  </r>
  <r>
    <s v="UT-PM10401S"/>
    <s v="2-3차"/>
    <n v="1"/>
    <s v="예측관리(PM)"/>
    <s v="DEF-00360"/>
    <s v="아이콘 확인 필요._x000a_해당 아이콘은 파일 다운로드 아이콘으로 보임."/>
    <s v="개발자테스트"/>
    <s v="임소정"/>
    <s v="pmtbd3"/>
    <s v="3자테스터공통"/>
    <s v="Online"/>
    <s v="개선/변경"/>
    <s v="UI"/>
    <s v="결함검토요청"/>
    <s v="염희석"/>
    <s v="Minor"/>
    <s v="결함검토요청"/>
    <d v="2026-04-28T14:55:44"/>
    <d v="2026-04-28T14:55:44"/>
    <s v=""/>
    <x v="1"/>
    <s v="파일 출력/다운로드"/>
    <s v="아이콘 확인 필요."/>
    <s v="아이콘 확인 필요. 해당 아이콘은 파일 다운로드 아이콘으로 보임."/>
    <m/>
    <m/>
    <s v="엑셀/PDF 공통 출력 모듈 점검, 컬럼 매핑·서식 검증 및 예외 처리"/>
  </r>
  <r>
    <s v="UT-PM10401S"/>
    <s v="2-3차"/>
    <n v="1"/>
    <s v="예측관리(PM)"/>
    <s v="DEF-00364"/>
    <s v="운항편 전체 비율로 수정에 값을 입력 후 상위 부분에 다시 &quot;불러오기&quot;를 수행할 경우 운항편 수와 여객 수가 입력된 운항편 전체 비율로 수정이 적용되지 않은 상태로 불러 오기가 됨. "/>
    <s v="개발자테스트"/>
    <s v="임소정"/>
    <s v="pmtbd3"/>
    <s v="3자테스터공통"/>
    <s v="Online"/>
    <s v="결함"/>
    <s v="기능"/>
    <s v="결함검토요청"/>
    <s v="염희석"/>
    <s v="Major"/>
    <s v="결함검토요청"/>
    <d v="2026-04-28T15:05:23"/>
    <d v="2026-04-28T15:05:23"/>
    <s v=""/>
    <x v="11"/>
    <s v="상태값 처리"/>
    <s v="운항편 전체 비율로 수정에 값을 입력 후 상위 부분에 다시 &quot;불러오기&quot;를 수행할 경우 운항편 수와 여객 …"/>
    <s v="운항편 전체 비율로 수정에 값을 입력 후 상위 부분에 다시 &quot;불러오기&quot;를 수행할 경우 운항편 수와 여객 수가 입력된 운항편 전체 비율로 수정이 적용되지 않은 상태로 불러 오기가 됨."/>
    <m/>
    <m/>
    <s v="버튼/상태 컴포넌트 표준 적용, 활성·비활성 조건 명세화"/>
  </r>
  <r>
    <s v="UT-PM10405S"/>
    <s v="2-3차"/>
    <n v="1"/>
    <s v="예측관리(PM)"/>
    <s v="DEF-00390"/>
    <s v="UT-PM10401S 에 등록된 시간 선택과 갯수 입력 최대값 검증 확인 필요"/>
    <s v="개발자테스트"/>
    <s v="임소정"/>
    <s v="pmtbd1"/>
    <s v="3자테스터공통"/>
    <s v="Online"/>
    <s v="결함"/>
    <s v="데이터"/>
    <s v="결함검토요청"/>
    <s v="염희석"/>
    <s v="Critical"/>
    <s v="결함검토요청"/>
    <d v="2026-04-28T15:47:21"/>
    <d v="2026-04-28T15:47:21"/>
    <s v=""/>
    <x v="11"/>
    <s v="선택/체크 동작"/>
    <s v="UT-PM10401S 에 등록된 시간 선택과 갯수 입력 최대값 검증 확인 필요"/>
    <s v="UT-PM10401S 에 등록된 시간 선택과 갯수 입력 최대값 검증 확인 필요"/>
    <m/>
    <m/>
    <s v="버튼/상태 컴포넌트 표준 적용, 활성·비활성 조건 명세화"/>
  </r>
  <r>
    <s v="UT-PM10501S"/>
    <s v="2-3차"/>
    <n v="1"/>
    <s v="예측관리(PM)"/>
    <s v="DEF-00391"/>
    <s v="입력값들에 대한 비활성화 처리가 됐는데 운영시간은 수정 가능함"/>
    <s v="개발자테스트"/>
    <s v="임소정"/>
    <s v="신문호"/>
    <s v="3자테스터공통"/>
    <s v="Online"/>
    <s v="개선/변경"/>
    <s v="UI"/>
    <s v="결함검토요청"/>
    <s v="염희석"/>
    <s v="Major"/>
    <s v="결함검토요청"/>
    <d v="2026-04-28T15:57:42"/>
    <d v="2026-04-28T15:57:43"/>
    <s v=""/>
    <x v="11"/>
    <s v="활성/비활성 처리"/>
    <s v="입력값들에 대한 비활성화 처리가 됐는데 운영시간은 수정 가능함"/>
    <s v="입력값들에 대한 비활성화 처리가 됐는데 운영시간은 수정 가능함"/>
    <m/>
    <m/>
    <s v="버튼/상태 컴포넌트 표준 적용, 활성·비활성 조건 명세화"/>
  </r>
  <r>
    <s v="UT-GO12505S"/>
    <s v="2-3차"/>
    <n v="1"/>
    <s v="공항운영(GO)"/>
    <s v="DEF-00402"/>
    <s v="&quot;접이현시간가 없는 경우에는&quot; 오타로 보임_x000a_&quot;접이현시간이 없는 경우에는&quot; 으로 수정 필요해 보임."/>
    <s v="개발자테스트"/>
    <s v="신문호"/>
    <s v="김경준"/>
    <s v="3자테스터공통"/>
    <s v="Online"/>
    <s v="개선/변경"/>
    <s v="기타"/>
    <s v="결함검토요청"/>
    <s v="신문호"/>
    <s v="Minor"/>
    <s v="결함검토요청"/>
    <d v="2026-04-28T17:11:20"/>
    <d v="2026-04-28T17:11:20"/>
    <s v=""/>
    <x v="12"/>
    <s v="오타"/>
    <s v="&quot;접이현시간가 없는 경우에는&quot; 오타로 보임"/>
    <s v="&quot;접이현시간가 없는 경우에는&quot; 오타로 보임 &quot;접이현시간이 없는 경우에는&quot; 으로 수정 필요해 보임."/>
    <m/>
    <m/>
    <s v="용어집 기준으로 라벨 일괄 정비, 오타/표기 표준 적용"/>
  </r>
  <r>
    <s v="UT-GO41901S"/>
    <s v="1-2차"/>
    <n v="1"/>
    <s v="공항운영(GO)"/>
    <s v="DEF-00403"/>
    <s v="출도착지 데이터가 동일합니다. _x000a_"/>
    <s v="개발자테스트"/>
    <s v="신문호"/>
    <s v="박정구"/>
    <s v="3자테스터공통"/>
    <s v="Online"/>
    <s v="결함"/>
    <s v="UI"/>
    <s v="결함검토요청"/>
    <s v="신문호"/>
    <s v="Major"/>
    <s v="결함검토요청"/>
    <d v="2026-04-28T17:15:16"/>
    <d v="2026-04-28T17:15:16"/>
    <s v=""/>
    <x v="3"/>
    <s v="데이터 정합성"/>
    <s v="출도착지 데이터가 동일합니다."/>
    <s v="출도착지 데이터가 동일합니다."/>
    <m/>
    <m/>
    <s v="원천 데이터-화면 매핑 재검증, 집계 로직 단위 테스트 보강"/>
  </r>
  <r>
    <s v="UT-GO41211S"/>
    <s v="1-2차"/>
    <n v="1"/>
    <s v="공항운영(GO)"/>
    <s v="DEF-00378"/>
    <s v="9999 년도로 검색은 가능하나 목표리스트는 2100년이 최대 입력치입니다. _x000a_통일이 필요할것같습니다"/>
    <s v="개발자테스트"/>
    <s v="신문호"/>
    <s v="김경준"/>
    <s v="3자테스터공통"/>
    <s v="Online"/>
    <s v="개선/변경"/>
    <s v="UI"/>
    <s v="결함검토요청"/>
    <s v="신문호"/>
    <s v="Minor"/>
    <s v="결함검토요청"/>
    <d v="2026-04-28T15:30:44"/>
    <d v="2026-04-28T15:30:44"/>
    <s v=""/>
    <x v="0"/>
    <s v="날짜 입력 유효성"/>
    <s v="9999 년도로 검색은 가능하나 목표리스트는 2100년이 최대 입력치입니다."/>
    <s v="9999 년도로 검색은 가능하나 목표리스트는 2100년이 최대 입력치입니다.  통일이 필요할것같습니다"/>
    <m/>
    <m/>
    <s v="날짜 컴포넌트 표준화, 기준일자-운항일자 등 필드 매핑 점검 및 기간 가드 추가"/>
  </r>
  <r>
    <s v="UT-PM10401S"/>
    <s v="2-3차"/>
    <n v="1"/>
    <s v="예측관리(PM)"/>
    <s v="DEF-00379"/>
    <s v="입력 최대값 검증 필요"/>
    <s v="개발자테스트"/>
    <s v="임소정"/>
    <s v="pmtbd3"/>
    <s v="3자테스터공통"/>
    <s v="Online"/>
    <s v="결함"/>
    <s v="데이터"/>
    <s v="결함검토요청"/>
    <s v="염희석"/>
    <s v="Critical"/>
    <s v="결함검토요청"/>
    <d v="2026-04-28T15:34:20"/>
    <d v="2026-04-28T15:34:20"/>
    <s v=""/>
    <x v="3"/>
    <s v="데이터 정합성"/>
    <s v="입력 최대값 검증 필요"/>
    <s v="입력 최대값 검증 필요"/>
    <m/>
    <m/>
    <s v="원천 데이터-화면 매핑 재검증, 집계 로직 단위 테스트 보강"/>
  </r>
  <r>
    <s v="UT-PM10401S"/>
    <s v="2-3차"/>
    <n v="1"/>
    <s v="예측관리(PM)"/>
    <s v="DEF-00381"/>
    <s v="단위 구분 필요."/>
    <s v="개발자테스트"/>
    <s v="임소정"/>
    <s v="pmtbd3"/>
    <s v="3자테스터공통"/>
    <s v="Online"/>
    <s v="개선/변경"/>
    <s v="UI"/>
    <s v="결함검토요청"/>
    <s v="염희석"/>
    <s v="Minor"/>
    <s v="결함검토요청"/>
    <d v="2026-04-28T15:39:09"/>
    <d v="2026-04-28T15:39:09"/>
    <s v=""/>
    <x v="9"/>
    <s v="개선/변경 요청"/>
    <s v="단위 구분 필요."/>
    <s v="단위 구분 필요."/>
    <m/>
    <m/>
    <s v="차기 반영 일감으로 등록 후 우선순위 협의, 정책 가이드 반영"/>
  </r>
  <r>
    <s v="UT-GO12503S"/>
    <s v="1-2차"/>
    <n v="1"/>
    <s v="공항운영(GO)"/>
    <s v="DEF-00392"/>
    <s v="조회된 모든 건수가 계산 불가입니다. 검증이 필요할것같아요"/>
    <s v="개발자테스트"/>
    <s v="신문호"/>
    <s v="박정구"/>
    <s v="3자테스터공통"/>
    <s v="Online"/>
    <s v="개선/변경"/>
    <s v="데이터"/>
    <s v="결함검토요청"/>
    <s v="신문호"/>
    <s v="Minor"/>
    <s v="결함검토요청"/>
    <d v="2026-04-28T16:11:09"/>
    <d v="2026-04-28T16:11:09"/>
    <s v=""/>
    <x v="4"/>
    <s v="조회 조건 처리"/>
    <s v="조회된 모든 건수가 계산 불가입니다. 검증이 필요할것같아요"/>
    <s v="조회된 모든 건수가 계산 불가입니다. 검증이 필요할것같아요"/>
    <m/>
    <m/>
    <s v="조회 SQL/조건 매핑 재검토, 정렬·필터 기본값 정의서와 일치화"/>
  </r>
  <r>
    <s v="UT-GO12504S"/>
    <s v="1-2차"/>
    <n v="1"/>
    <s v="공항운영(GO)"/>
    <s v="DEF-00393"/>
    <s v="엑셀 내 글씨체 조정이 필요할것같습니다 "/>
    <s v="개발자테스트"/>
    <s v="신문호"/>
    <s v="박정구"/>
    <s v="3자테스터공통"/>
    <s v="Online"/>
    <s v="개선/변경"/>
    <s v="기타"/>
    <s v="결함검토요청"/>
    <s v="신문호"/>
    <s v="Minor"/>
    <s v="결함검토요청"/>
    <d v="2026-04-28T16:25:00"/>
    <d v="2026-04-28T16:25:00"/>
    <s v=""/>
    <x v="1"/>
    <s v="엑셀 다운로드 오류"/>
    <s v="엑셀 내 글씨체 조정이 필요할것같습니다"/>
    <s v="엑셀 내 글씨체 조정이 필요할것같습니다"/>
    <m/>
    <m/>
    <s v="엑셀/PDF 공통 출력 모듈 점검, 컬럼 매핑·서식 검증 및 예외 처리"/>
  </r>
  <r>
    <s v="UT-GO12508S"/>
    <s v="1-2차"/>
    <n v="1"/>
    <s v="공항운영(GO)"/>
    <s v="DEF-00395"/>
    <s v="지연인 건에 대해서만 표출이 되고 있는건지 궁금합니다._x000a__x000a_TW302 편을 예로 STA 와 ATA 차이를 보았을때 정말 지연이 맞는지 알수없습니다._x000a_단지 데이터 표출을 위한 가짜 데이터일까요 ,,? _x000a__x000a_조치 방안_x000a_1. 지연시간 단위 명시_x000a_2. STD/STA 와 ATD/ATA 날짜가 다르다면 ATD/ATA 의 날짜 명시_x000a_+ 출발/도착 을 구분하고 있으니, 테이블 헤더 내 목적지 -&gt; 목적지/출발지 로 변경하는건 어떠신가요 ?_x000a__x000a_"/>
    <s v="개발자테스트"/>
    <s v="신문호"/>
    <s v="김경준"/>
    <s v="3자테스터공통"/>
    <s v="Online"/>
    <s v="결함"/>
    <s v="데이터"/>
    <s v="결함검토요청"/>
    <s v="신문호"/>
    <s v="Major"/>
    <s v="결함검토요청"/>
    <d v="2026-04-28T16:47:34"/>
    <d v="2026-04-28T16:47:34"/>
    <s v=""/>
    <x v="0"/>
    <s v="날짜 표시/포맷"/>
    <s v="지연인 건에 대해서만 표출이 되고 있는건지 궁금합니다."/>
    <s v="지연인 건에 대해서만 표출이 되고 있는건지 궁금합니다.  TW302 편을 예로 STA 와 ATA 차이를 보았을때 정말 지연이 맞는지 알수없습니다. 단지 데이터 표출을 위한 가짜 데이터일까요 ,,?   조치 방안 1. 지연시간 단위 명시 2. STD…"/>
    <m/>
    <m/>
    <s v="날짜 컴포넌트 표준화, 기준일자-운항일자 등 필드 매핑 점검 및 기간 가드 추가"/>
  </r>
  <r>
    <s v="UT-GO12508S"/>
    <s v="1-2차"/>
    <n v="1"/>
    <s v="공항운영(GO)"/>
    <s v="DEF-00397"/>
    <s v="엑셀 템플릿이 깨집니다."/>
    <s v="개발자테스트"/>
    <s v="신문호"/>
    <s v="김경준"/>
    <s v="3자테스터공통"/>
    <s v="Online"/>
    <s v="개선/변경"/>
    <s v="기타"/>
    <s v="결함검토요청"/>
    <s v="신문호"/>
    <s v="Minor"/>
    <s v="결함검토요청"/>
    <d v="2026-04-28T16:50:14"/>
    <d v="2026-04-28T16:50:14"/>
    <s v=""/>
    <x v="1"/>
    <s v="엑셀 다운로드 오류"/>
    <s v="엑셀 템플릿이 깨집니다."/>
    <s v="엑셀 템플릿이 깨집니다."/>
    <m/>
    <m/>
    <s v="엑셀/PDF 공통 출력 모듈 점검, 컬럼 매핑·서식 검증 및 예외 처리"/>
  </r>
  <r>
    <s v="UT-GO61101S"/>
    <s v="1-2차"/>
    <n v="1"/>
    <s v="공항운영(GO)"/>
    <s v="DEF-00404"/>
    <s v="조회된 데이터와 print 데이터가 다릅니다."/>
    <s v="개발자테스트"/>
    <s v="신문호"/>
    <s v="박정구"/>
    <s v="3자테스터공통"/>
    <s v="Online"/>
    <s v="결함"/>
    <s v="데이터"/>
    <s v="결함검토요청"/>
    <s v="신문호"/>
    <s v="Critical"/>
    <s v="결함검토요청"/>
    <d v="2026-04-28T17:27:10"/>
    <d v="2026-04-28T17:30:30"/>
    <s v=""/>
    <x v="4"/>
    <s v="조회 조건 처리"/>
    <s v="조회된 데이터와 print 데이터가 다릅니다."/>
    <s v="조회된 데이터와 print 데이터가 다릅니다."/>
    <m/>
    <m/>
    <s v="조회 SQL/조건 매핑 재검토, 정렬·필터 기본값 정의서와 일치화"/>
  </r>
  <r>
    <s v="UT-GO12805S"/>
    <s v="2-3차"/>
    <n v="1"/>
    <s v="공항운영(GO)"/>
    <s v="DEF-00405"/>
    <s v="날짜 형식 확인"/>
    <s v="개발자테스트"/>
    <s v="신문호"/>
    <s v="김경준"/>
    <s v="3자테스터공통"/>
    <s v="Online"/>
    <s v="개선/변경"/>
    <s v="UI"/>
    <s v="결함검토요청"/>
    <s v="신문호"/>
    <s v="Minor"/>
    <s v="결함검토요청"/>
    <d v="2026-04-28T17:27:49"/>
    <d v="2026-04-28T17:27:49"/>
    <s v=""/>
    <x v="0"/>
    <s v="날짜 표시/포맷"/>
    <s v="날짜 형식 확인"/>
    <s v="날짜 형식 확인"/>
    <m/>
    <m/>
    <s v="날짜 컴포넌트 표준화, 기준일자-운항일자 등 필드 매핑 점검 및 기간 가드 추가"/>
  </r>
  <r>
    <s v="UT-GO61501S"/>
    <s v="1-2차"/>
    <n v="1"/>
    <s v="공항운영(GO)"/>
    <s v="DEF-00415"/>
    <s v="차트 내 데이터가 겹쳐 식별이 어렵습니다. "/>
    <s v="개발자테스트"/>
    <s v="신문호"/>
    <s v="박정구"/>
    <s v="3자테스터공통"/>
    <s v="Online"/>
    <s v="개선/변경"/>
    <s v="UI"/>
    <s v="결함검토요청"/>
    <s v="신문호"/>
    <s v="Minor"/>
    <s v="결함검토요청"/>
    <d v="2026-04-28T17:50:56"/>
    <d v="2026-04-28T17:50:56"/>
    <s v=""/>
    <x v="2"/>
    <s v="차트 표시 오류"/>
    <s v="차트 내 데이터가 겹쳐 식별이 어렵습니다."/>
    <s v="차트 내 데이터가 겹쳐 식별이 어렵습니다."/>
    <m/>
    <m/>
    <s v="차트 공통 컴포넌트 점검, 무데이터 처리 및 축/범례 표준화"/>
  </r>
  <r>
    <s v="UT-GO61501S"/>
    <s v="1-2차"/>
    <n v="1"/>
    <s v="공항운영(GO)"/>
    <s v="DEF-00416"/>
    <s v="조회 데이터에 활주로 방향 명시 하면 좋을것같습니다.  (다운로드 문서 포함)"/>
    <s v="개발자테스트"/>
    <s v="신문호"/>
    <s v="박정구"/>
    <s v="3자테스터공통"/>
    <s v="Online"/>
    <s v="개선/변경"/>
    <s v="기타"/>
    <s v="결함검토요청"/>
    <s v="신문호"/>
    <s v="Minor"/>
    <s v="결함검토요청"/>
    <d v="2026-04-28T17:53:27"/>
    <d v="2026-04-28T17:53:27"/>
    <s v=""/>
    <x v="1"/>
    <s v="파일 출력/다운로드"/>
    <s v="조회 데이터에 활주로 방향 명시 하면 좋을것같습니다.  (다운로드 문서 포함)"/>
    <s v="조회 데이터에 활주로 방향 명시 하면 좋을것같습니다.  (다운로드 문서 포함)"/>
    <m/>
    <m/>
    <s v="엑셀/PDF 공통 출력 모듈 점검, 컬럼 매핑·서식 검증 및 예외 처리"/>
  </r>
  <r>
    <s v="UT-GO61501S"/>
    <s v="1-2차"/>
    <n v="1"/>
    <s v="공항운영(GO)"/>
    <s v="DEF-00417"/>
    <s v="데이터가 있는 날 단일 조회 결과입니다. 명확하게 보여주기에 한계가 있어보입니다"/>
    <s v="개발자테스트"/>
    <s v="신문호"/>
    <s v="박정구"/>
    <s v="3자테스터공통"/>
    <s v="Online"/>
    <s v="개선/변경"/>
    <s v="UI"/>
    <s v="결함검토요청"/>
    <s v="신문호"/>
    <s v="Minor"/>
    <s v="결함검토요청"/>
    <d v="2026-04-28T17:57:35"/>
    <d v="2026-04-28T17:57:35"/>
    <s v=""/>
    <x v="4"/>
    <s v="조회 조건 처리"/>
    <s v="데이터가 있는 날 단일 조회 결과입니다. 명확하게 보여주기에 한계가 있어보입니다"/>
    <s v="데이터가 있는 날 단일 조회 결과입니다. 명확하게 보여주기에 한계가 있어보입니다"/>
    <m/>
    <m/>
    <s v="조회 SQL/조건 매핑 재검토, 정렬·필터 기본값 정의서와 일치화"/>
  </r>
  <r>
    <s v="UT-FSQA130S"/>
    <s v="1-2차"/>
    <n v="1"/>
    <s v="항공보안(FS)"/>
    <s v="DEF-00738"/>
    <s v="추가 확인 결과 상세내역 수정시 입력 일시를 수정하여 저장하였는데.. 수정된 일자로 정렬되지 않음._x000a_특별물품정보관리의 경우 입력일자를 변경 저장하면,, 수정된 날자로 정렬되어 목록에 표줄됨."/>
    <s v="개발자테스트"/>
    <s v="임소정"/>
    <s v="임소정"/>
    <s v="3자테스터공통"/>
    <s v="Online"/>
    <s v="결함"/>
    <s v="기능"/>
    <s v="결함검토요청"/>
    <s v="임소정"/>
    <s v="Minor"/>
    <s v="결함검토요청"/>
    <d v="2026-05-06T16:50:07"/>
    <d v="2026-05-06T16:50:07"/>
    <s v=""/>
    <x v="0"/>
    <s v="날짜 표시/포맷"/>
    <s v="추가 확인 결과 상세내역 수정시 입력 일시를 수정하여 저장하였는데.. 수정된 일자로 정렬되지 않음."/>
    <s v="추가 확인 결과 상세내역 수정시 입력 일시를 수정하여 저장하였는데.. 수정된 일자로 정렬되지 않음. 특별물품정보관리의 경우 입력일자를 변경 저장하면,, 수정된 날자로 정렬되어 목록에 표줄됨."/>
    <m/>
    <m/>
    <s v="날짜 컴포넌트 표준화, 기준일자-운항일자 등 필드 매핑 점검 및 기간 가드 추가"/>
  </r>
  <r>
    <s v="UT-PM20153S"/>
    <s v="2-1차"/>
    <n v="1"/>
    <s v="예측관리(PM)"/>
    <s v="DEF-00739"/>
    <s v="①시뮬레이션 결과와 기존승객예고결과의 첫번째 시간대(0H~1H)의 상세 시간대가 다름_x000a_"/>
    <s v="개발자테스트"/>
    <s v="임소정"/>
    <s v="노세찬"/>
    <s v="3자테스터공통"/>
    <s v="Online"/>
    <s v="개선/변경"/>
    <s v="UI"/>
    <s v="결함검토요청"/>
    <s v="임소정"/>
    <s v="Minor"/>
    <s v="결함검토요청"/>
    <d v="2026-05-06T16:55:26"/>
    <d v="2026-05-06T16:55:27"/>
    <s v=""/>
    <x v="3"/>
    <s v="데이터 정합성"/>
    <s v="①시뮬레이션 결과와 기존승객예고결과의 첫번째 시간대(0H~1H)의 상세 시간대가 다름"/>
    <s v="①시뮬레이션 결과와 기존승객예고결과의 첫번째 시간대(0H~1H)의 상세 시간대가 다름"/>
    <m/>
    <m/>
    <s v="원천 데이터-화면 매핑 재검증, 집계 로직 단위 테스트 보강"/>
  </r>
  <r>
    <s v="UT-GO12516S"/>
    <s v="2-2차"/>
    <n v="1"/>
    <s v="공항운영(GO)"/>
    <s v="DEF-00740"/>
    <s v="[C_2] 검색 컴포넌트의 필수 필드에 대한 일관된 스타일 적용 필요"/>
    <s v="개발자테스트"/>
    <s v="신문호"/>
    <s v="김경준"/>
    <s v="3자테스터공통"/>
    <s v="Online"/>
    <s v="결함"/>
    <s v="UI"/>
    <s v="결함검토요청"/>
    <s v="신문호"/>
    <s v="Minor"/>
    <s v="결함검토요청"/>
    <d v="2026-05-06T16:55:55"/>
    <d v="2026-05-06T16:56:55"/>
    <s v=""/>
    <x v="6"/>
    <s v="필수 입력 누락"/>
    <s v="[C_2] 검색 컴포넌트의 필수 필드에 대한 일관된 스타일 적용 필요"/>
    <s v="[C_2] 검색 컴포넌트의 필수 필드에 대한 일관된 스타일 적용 필요"/>
    <m/>
    <m/>
    <s v="프론트/백엔드 양측에 입력 유효성 검증 추가 및 공통 validator 적용"/>
  </r>
  <r>
    <s v="UT-GO12516S"/>
    <s v="2-2차"/>
    <n v="1"/>
    <s v="공항운영(GO)"/>
    <s v="DEF-00741"/>
    <s v="[C_1] 검색 컴포넌트의 '기준일자' 필드, '지연/결항' 필드 정렬 필요"/>
    <s v="개발자테스트"/>
    <s v="신문호"/>
    <s v="김경준"/>
    <s v="3자테스터공통"/>
    <s v="Online"/>
    <s v="결함"/>
    <s v="UI"/>
    <s v="결함검토요청"/>
    <s v="신문호"/>
    <s v="Minor"/>
    <s v="결함검토요청"/>
    <d v="2026-05-06T16:57:55"/>
    <d v="2026-05-06T16:57:55"/>
    <s v=""/>
    <x v="0"/>
    <s v="기준일자/조회일자 불일치"/>
    <s v="[C_1] 검색 컴포넌트의 '기준일자' 필드, '지연/결항' 필드 정렬 필요"/>
    <s v="[C_1] 검색 컴포넌트의 '기준일자' 필드, '지연/결항' 필드 정렬 필요"/>
    <m/>
    <m/>
    <s v="날짜 컴포넌트 표준화, 기준일자-운항일자 등 필드 매핑 점검 및 기간 가드 추가"/>
  </r>
  <r>
    <s v="UT-GO12903S"/>
    <s v="2-2차"/>
    <n v="1"/>
    <s v="공항운영(GO)"/>
    <s v="DEF-00742"/>
    <s v="[C_1] '조회기간' 필드, '국토부기준 노선구분' 필드 정렬 필요"/>
    <s v="개발자테스트"/>
    <s v="신문호"/>
    <s v="신문호"/>
    <s v="3자테스터공통"/>
    <s v="Online"/>
    <s v="결함"/>
    <s v="UI"/>
    <s v="결함검토요청"/>
    <s v="신문호"/>
    <s v="Minor"/>
    <s v="결함검토요청"/>
    <d v="2026-05-06T16:59:46"/>
    <d v="2026-05-06T16:59:46"/>
    <s v=""/>
    <x v="0"/>
    <s v="기간 범위 처리"/>
    <s v="[C_1] '조회기간' 필드, '국토부기준 노선구분' 필드 정렬 필요"/>
    <s v="[C_1] '조회기간' 필드, '국토부기준 노선구분' 필드 정렬 필요"/>
    <m/>
    <m/>
    <s v="날짜 컴포넌트 표준화, 기준일자-운항일자 등 필드 매핑 점검 및 기간 가드 추가"/>
  </r>
  <r>
    <s v="UT-GO12516S"/>
    <s v="2-2차"/>
    <n v="1"/>
    <s v="공항운영(GO)"/>
    <s v="DEF-00743"/>
    <s v="[C_12] 조회조건 중 날짜의 입력포맷과 조회결과 항목중 날짜관련 항목의 출력포맷이 일치하지 않음"/>
    <s v="개발자테스트"/>
    <s v="신문호"/>
    <s v="김경준"/>
    <s v="3자테스터공통"/>
    <s v="Online"/>
    <s v="결함"/>
    <s v="UI"/>
    <s v="결함검토요청"/>
    <s v="신문호"/>
    <s v="Minor"/>
    <s v="결함검토요청"/>
    <d v="2026-05-06T17:09:35"/>
    <d v="2026-05-06T17:09:35"/>
    <s v=""/>
    <x v="1"/>
    <s v="파일 출력/다운로드"/>
    <s v="[C_12] 조회조건 중 날짜의 입력포맷과 조회결과 항목중 날짜관련 항목의 출력포맷이 일치하지 않음"/>
    <s v="[C_12] 조회조건 중 날짜의 입력포맷과 조회결과 항목중 날짜관련 항목의 출력포맷이 일치하지 않음"/>
    <m/>
    <m/>
    <s v="엑셀/PDF 공통 출력 모듈 점검, 컬럼 매핑·서식 검증 및 예외 처리"/>
  </r>
  <r>
    <s v="UT-PM20154S"/>
    <s v="2-1차"/>
    <n v="1"/>
    <s v="예측관리(PM)"/>
    <s v="DEF-00745"/>
    <s v="①체크인카운터별 출국장 이용 가중치 입력 화면- 체크인카운터 정렬 확인 필요_x000a_"/>
    <s v="개발자테스트"/>
    <s v="임소정"/>
    <s v="노세찬"/>
    <s v="3자테스터공통"/>
    <s v="Online"/>
    <s v="개선/변경"/>
    <s v="UI"/>
    <s v="결함검토요청"/>
    <s v="임소정"/>
    <s v="Minor"/>
    <s v="결함검토요청"/>
    <d v="2026-05-06T17:11:33"/>
    <d v="2026-05-06T17:11:33"/>
    <s v=""/>
    <x v="4"/>
    <s v="정렬 오류"/>
    <s v="①체크인카운터별 출국장 이용 가중치 입력 화면- 체크인카운터 정렬 확인 필요"/>
    <s v="①체크인카운터별 출국장 이용 가중치 입력 화면- 체크인카운터 정렬 확인 필요"/>
    <m/>
    <m/>
    <s v="조회 SQL/조건 매핑 재검토, 정렬·필터 기본값 정의서와 일치화"/>
  </r>
  <r>
    <s v="UT-GO12101S"/>
    <s v="2-1차"/>
    <n v="1"/>
    <s v="공항운영(GO)"/>
    <s v="DEF-00746"/>
    <s v="[C_1] 오타: '회'수 → '횟'수"/>
    <s v="개발자테스트"/>
    <s v="신문호"/>
    <s v="박정구"/>
    <s v="3자테스터공통"/>
    <s v="Online"/>
    <s v="결함"/>
    <s v="UI"/>
    <s v="결함검토요청"/>
    <s v="신문호"/>
    <s v="Minor"/>
    <s v="결함검토요청"/>
    <d v="2026-05-06T17:18:53"/>
    <d v="2026-05-06T17:41:43"/>
    <s v=""/>
    <x v="12"/>
    <s v="오타"/>
    <s v="[C_1] 오타: '회'수 → '횟'수"/>
    <s v="[C_1] 오타: '회'수 → '횟'수"/>
    <m/>
    <m/>
    <s v="용어집 기준으로 라벨 일괄 정비, 오타/표기 표준 적용"/>
  </r>
  <r>
    <s v="UT-PM20155S"/>
    <s v="2-1차"/>
    <n v="1"/>
    <s v="예측관리(PM)"/>
    <s v="DEF-00747"/>
    <s v="엑셀 저장 기능 불안정.._x000a_5번 시도해서 엑셀 저장 기능 확인함."/>
    <s v="개발자테스트"/>
    <s v="임소정"/>
    <s v="노세찬"/>
    <s v="3자테스터공통"/>
    <s v="Online"/>
    <s v="개선/변경"/>
    <s v="UI"/>
    <s v="결함검토요청"/>
    <s v="임소정"/>
    <s v="Minor"/>
    <s v="결함검토요청"/>
    <d v="2026-05-06T17:19:35"/>
    <d v="2026-05-06T17:19:35"/>
    <s v=""/>
    <x v="1"/>
    <s v="엑셀 다운로드 오류"/>
    <s v="엑셀 저장 기능 불안정.."/>
    <s v="엑셀 저장 기능 불안정.. 5번 시도해서 엑셀 저장 기능 확인함."/>
    <m/>
    <m/>
    <s v="엑셀/PDF 공통 출력 모듈 점검, 컬럼 매핑·서식 검증 및 예외 처리"/>
  </r>
  <r>
    <s v="UT-GO12101S"/>
    <s v="2-1차"/>
    <n v="1"/>
    <s v="공항운영(GO)"/>
    <s v="DEF-00750"/>
    <s v="[C_1] '13-1.결항현황(2023~)' 보고서 내 소제목 넘버링 수정 필요"/>
    <s v="개발자테스트"/>
    <s v="신문호"/>
    <s v="박정구"/>
    <s v="3자테스터공통"/>
    <s v="Online"/>
    <s v="결함"/>
    <s v="UI"/>
    <s v="결함검토요청"/>
    <s v="신문호"/>
    <s v="Minor"/>
    <s v="결함검토요청"/>
    <d v="2026-05-06T17:44:31"/>
    <d v="2026-05-06T17:44:31"/>
    <s v=""/>
    <x v="5"/>
    <s v="기타 검토"/>
    <s v="[C_1] '13-1.결항현황(2023~)' 보고서 내 소제목 넘버링 수정 필요"/>
    <s v="[C_1] '13-1.결항현황(2023~)' 보고서 내 소제목 넘버링 수정 필요"/>
    <m/>
    <m/>
    <s v="담당 PL과 결함 성격 재정의 후 분류 보완"/>
  </r>
  <r>
    <s v="UT-GO11952M"/>
    <s v="2-1차"/>
    <n v="1"/>
    <s v="공항운영(GO)"/>
    <s v="DEF-00764"/>
    <s v="[X_1] 수송실적 섹션의 값들은 데이터가 없는 것인지, 집계가 잘못 되고 있는 것인지 확인 필요"/>
    <s v="개발자테스트"/>
    <s v="신문호"/>
    <s v="김경준"/>
    <s v="3자테스터공통"/>
    <s v="Online"/>
    <s v="결함"/>
    <s v="데이터"/>
    <s v="결함검토요청"/>
    <s v="신문호"/>
    <s v="Minor"/>
    <s v="결함검토요청"/>
    <d v="2026-05-07T10:03:37"/>
    <d v="2026-05-07T10:03:37"/>
    <s v=""/>
    <x v="3"/>
    <s v="집계/계산 오류"/>
    <s v="[X_1] 수송실적 섹션의 값들은 데이터가 없는 것인지, 집계가 잘못 되고 있는 것인지 확인 필요"/>
    <s v="[X_1] 수송실적 섹션의 값들은 데이터가 없는 것인지, 집계가 잘못 되고 있는 것인지 확인 필요"/>
    <m/>
    <m/>
    <s v="원천 데이터-화면 매핑 재검증, 집계 로직 단위 테스트 보강"/>
  </r>
  <r>
    <s v="UT-GO12807S"/>
    <s v="2-1차"/>
    <n v="1"/>
    <s v="공항운영(GO)"/>
    <s v="DEF-00765"/>
    <s v="[C_2] 검색 컴포넌트의 필수 필드에 대한 일관된 스타일 적용 필요"/>
    <s v="개발자테스트"/>
    <s v="신문호"/>
    <s v="김경준"/>
    <s v="3자테스터공통"/>
    <s v="Online"/>
    <s v="결함"/>
    <s v="UI"/>
    <s v="결함검토요청"/>
    <s v="신문호"/>
    <s v="Minor"/>
    <s v="결함검토요청"/>
    <d v="2026-05-07T10:05:30"/>
    <d v="2026-05-07T10:05:30"/>
    <s v=""/>
    <x v="6"/>
    <s v="필수 입력 누락"/>
    <s v="[C_2] 검색 컴포넌트의 필수 필드에 대한 일관된 스타일 적용 필요"/>
    <s v="[C_2] 검색 컴포넌트의 필수 필드에 대한 일관된 스타일 적용 필요"/>
    <m/>
    <m/>
    <s v="프론트/백엔드 양측에 입력 유효성 검증 추가 및 공통 validator 적용"/>
  </r>
  <r>
    <s v="UT-PM30103M"/>
    <s v="1-2차"/>
    <n v="1"/>
    <s v="예측관리(PM)"/>
    <s v="DEF-00769"/>
    <s v="시스템에러로 테스트 불가"/>
    <s v="개발자테스트"/>
    <s v="임소정"/>
    <s v="pmtbd2"/>
    <s v="3자테스터공통"/>
    <s v="Online"/>
    <s v="개선/변경"/>
    <s v="UI"/>
    <s v="결함검토요청"/>
    <s v="임소정"/>
    <s v="Minor"/>
    <s v="결함검토요청"/>
    <d v="2026-05-07T10:17:12"/>
    <d v="2026-05-07T10:17:12"/>
    <s v=""/>
    <x v="10"/>
    <s v="시스템 오류/예외"/>
    <s v="시스템에러로 테스트 불가"/>
    <s v="시스템에러로 테스트 불가"/>
    <m/>
    <m/>
    <s v="전역 에러 핸들러 점검, 사용자 친화적 오류 메시지 노출"/>
  </r>
  <r>
    <s v="UT-GO12511S"/>
    <s v="2-1차"/>
    <n v="1"/>
    <s v="공항운영(GO)"/>
    <s v="DEF-00771"/>
    <s v="[C_1] 엑셀 저장 시, 페이지마다 헤더 영역이 정상적으로 반복되거나 맨 위에 한 줄만 나타나야 할 것 같지만 '순번'만 반복되고 이외의 헤더는 반복되지 않음"/>
    <s v="개발자테스트"/>
    <s v="신문호"/>
    <s v="김경준"/>
    <s v="3자테스터공통"/>
    <s v="Online"/>
    <s v="결함"/>
    <s v="기능"/>
    <s v="결함검토요청"/>
    <s v="신문호"/>
    <s v="Minor"/>
    <s v="결함검토요청"/>
    <d v="2026-05-07T10:29:41"/>
    <d v="2026-05-07T10:29:41"/>
    <s v=""/>
    <x v="1"/>
    <s v="엑셀 다운로드 오류"/>
    <s v="[C_1] 엑셀 저장 시, 페이지마다 헤더 영역이 정상적으로 반복되거나 맨 위에 한 줄만 나타나야 할 것…"/>
    <s v="[C_1] 엑셀 저장 시, 페이지마다 헤더 영역이 정상적으로 반복되거나 맨 위에 한 줄만 나타나야 할 것 같지만 '순번'만 반복되고 이외의 헤더는 반복되지 않음"/>
    <m/>
    <m/>
    <s v="엑셀/PDF 공통 출력 모듈 점검, 컬럼 매핑·서식 검증 및 예외 처리"/>
  </r>
  <r>
    <s v="UT-GO51233S"/>
    <s v="2-1차"/>
    <n v="1"/>
    <s v="공항운영(GO)"/>
    <s v="DEF-00773"/>
    <s v="[S_1] 단위테스트결과서상 기준일자는 {어제} ~ {오늘}, 정기구분은 '전체', 여객/화물도 '전체'가 default 값이지만 현재 각각 2023-01-01 ~ {오늘}, '정기', '여객'으로 설정되어 있음"/>
    <s v="개발자테스트"/>
    <s v="신문호"/>
    <s v="김경준"/>
    <s v="3자테스터공통"/>
    <s v="Online"/>
    <s v="결함"/>
    <s v="문서화"/>
    <s v="결함검토요청"/>
    <s v="신문호"/>
    <s v="Minor"/>
    <s v="결함검토요청"/>
    <d v="2026-05-07T10:42:10"/>
    <d v="2026-05-07T10:42:10"/>
    <s v=""/>
    <x v="0"/>
    <s v="기준일자/조회일자 불일치"/>
    <s v="[S_1] 단위테스트결과서상 기준일자는 {어제} ~ {오늘}, 정기구분은 '전체', 여객/화물도 '전체'…"/>
    <s v="[S_1] 단위테스트결과서상 기준일자는 {어제} ~ {오늘}, 정기구분은 '전체', 여객/화물도 '전체'가 default 값이지만 현재 각각 2023-01-01 ~ {오늘}, '정기', '여객'으로 설정되어 있음"/>
    <m/>
    <m/>
    <s v="날짜 컴포넌트 표준화, 기준일자-운항일자 등 필드 매핑 점검 및 기간 가드 추가"/>
  </r>
  <r>
    <s v="UT-GO51235S"/>
    <s v="2-1차"/>
    <n v="1"/>
    <s v="공항운영(GO)"/>
    <s v="DEF-00777"/>
    <s v="[C_12] 조회조건 중 기준일자 입력포맷과 보고서상의 조회기간 출력포맷 불일치"/>
    <s v="개발자테스트"/>
    <s v="신문호"/>
    <s v="박정구"/>
    <s v="3자테스터공통"/>
    <s v="Online"/>
    <s v="결함"/>
    <s v="UI"/>
    <s v="결함검토요청"/>
    <s v="신문호"/>
    <s v="Minor"/>
    <s v="결함검토요청"/>
    <d v="2026-05-07T10:58:55"/>
    <d v="2026-05-07T10:58:55"/>
    <s v=""/>
    <x v="1"/>
    <s v="파일 출력/다운로드"/>
    <s v="[C_12] 조회조건 중 기준일자 입력포맷과 보고서상의 조회기간 출력포맷 불일치"/>
    <s v="[C_12] 조회조건 중 기준일자 입력포맷과 보고서상의 조회기간 출력포맷 불일치"/>
    <m/>
    <m/>
    <s v="엑셀/PDF 공통 출력 모듈 점검, 컬럼 매핑·서식 검증 및 예외 처리"/>
  </r>
  <r>
    <s v="UT-PM20156S"/>
    <s v="2-2차"/>
    <n v="1"/>
    <s v="예측관리(PM)"/>
    <s v="DEF-00436"/>
    <s v="+ 버튼으로 그래프 비교를 할경우 화면 비율 100% 상태에서 승객수 기존 , 시뮬레이션 글자가 짤림"/>
    <s v="개발자테스트"/>
    <s v="임소정"/>
    <s v="노세찬"/>
    <s v="3자테스터공통"/>
    <s v="Online"/>
    <s v="결함"/>
    <s v="UI"/>
    <s v="결함검토요청"/>
    <s v="임소정"/>
    <s v="Minor"/>
    <s v="결함검토요청"/>
    <d v="2026-04-29T10:20:46"/>
    <d v="2026-04-29T10:20:46"/>
    <s v=""/>
    <x v="2"/>
    <s v="차트 표시 오류"/>
    <s v="+ 버튼으로 그래프 비교를 할경우 화면 비율 100% 상태에서 승객수 기존 , 시뮬레이션 글자가 짤림"/>
    <s v="+ 버튼으로 그래프 비교를 할경우 화면 비율 100% 상태에서 승객수 기존 , 시뮬레이션 글자가 짤림"/>
    <m/>
    <m/>
    <s v="차트 공통 컴포넌트 점검, 무데이터 처리 및 축/범례 표준화"/>
  </r>
  <r>
    <s v="UT-GO12906S"/>
    <s v="2-3차"/>
    <n v="1"/>
    <s v="공항운영(GO)"/>
    <s v="DEF-00440"/>
    <s v="직접입력 조회 시 오류"/>
    <s v="개발자테스트"/>
    <s v="신문호"/>
    <s v="신문호"/>
    <s v="3자테스터공통"/>
    <s v="Online"/>
    <s v="결함"/>
    <s v="기능"/>
    <s v="결함검토요청"/>
    <s v="신문호"/>
    <s v="Critical"/>
    <s v="결함검토요청"/>
    <d v="2026-04-29T10:35:43"/>
    <d v="2026-04-29T10:35:43"/>
    <s v=""/>
    <x v="4"/>
    <s v="조회 조건 처리"/>
    <s v="직접입력 조회 시 오류"/>
    <s v="직접입력 조회 시 오류"/>
    <m/>
    <m/>
    <s v="조회 SQL/조건 매핑 재검토, 정렬·필터 기본값 정의서와 일치화"/>
  </r>
  <r>
    <s v="UT-PM20106M"/>
    <s v="1-2차"/>
    <n v="1"/>
    <s v="예측관리(PM)"/>
    <s v="DEF-00444"/>
    <s v="도착승객, 환승객에 정렬 기능이 예상과 다르게 동작중인것 같아요!"/>
    <s v="개발자테스트"/>
    <s v="임소정"/>
    <s v="염희석"/>
    <s v="3자테스터공통"/>
    <s v="Online"/>
    <s v="개선/변경"/>
    <s v="UI"/>
    <s v="결함검토요청"/>
    <s v="임소정"/>
    <s v="Minor"/>
    <s v="결함검토요청"/>
    <d v="2026-04-29T10:48:09"/>
    <d v="2026-04-29T10:48:09"/>
    <s v=""/>
    <x v="4"/>
    <s v="정렬 오류"/>
    <s v="도착승객, 환승객에 정렬 기능이 예상과 다르게 동작중인것 같아요!"/>
    <s v="도착승객, 환승객에 정렬 기능이 예상과 다르게 동작중인것 같아요!"/>
    <m/>
    <m/>
    <s v="조회 SQL/조건 매핑 재검토, 정렬·필터 기본값 정의서와 일치화"/>
  </r>
  <r>
    <s v="UT-GO51230S"/>
    <s v="2-3차"/>
    <n v="1"/>
    <s v="공항운영(GO)"/>
    <s v="DEF-00447"/>
    <s v="1. 셀 병합 필요_x000a_2. 비율에 대한 단위 표시 필요_x000a__x000a__x000a__x000a_"/>
    <s v="개발자테스트"/>
    <s v="신문호"/>
    <s v="김경준"/>
    <s v="3자테스터공통"/>
    <s v="Online"/>
    <s v="개선/변경"/>
    <s v="UI"/>
    <s v="결함검토요청"/>
    <s v="신문호"/>
    <s v="Minor"/>
    <s v="결함검토요청"/>
    <d v="2026-04-29T10:51:22"/>
    <d v="2026-04-29T10:51:22"/>
    <s v=""/>
    <x v="9"/>
    <s v="개선/변경 요청"/>
    <s v="1. 셀 병합 필요"/>
    <s v="1. 셀 병합 필요 2. 비율에 대한 단위 표시 필요"/>
    <m/>
    <m/>
    <s v="차기 반영 일감으로 등록 후 우선순위 협의, 정책 가이드 반영"/>
  </r>
  <r>
    <s v="UT-PM10107S"/>
    <s v="2-2차"/>
    <n v="1"/>
    <s v="예측관리(PM)"/>
    <s v="DEF-00448"/>
    <s v="예측관리 -&gt; 입력정보 관리 카테고리 안에 시설물 매핑 관리 항목은 없음"/>
    <s v="개발자테스트"/>
    <s v="임소정"/>
    <s v="pmtbd3"/>
    <s v="3자테스터공통"/>
    <s v="Online"/>
    <s v="결함"/>
    <s v="기타"/>
    <s v="결함검토요청"/>
    <s v="임소정"/>
    <s v="Minor"/>
    <s v="결함검토요청"/>
    <d v="2026-04-29T10:52:28"/>
    <d v="2026-04-29T10:52:28"/>
    <s v=""/>
    <x v="3"/>
    <s v="데이터 매핑 오류"/>
    <s v="예측관리 -&gt; 입력정보 관리 카테고리 안에 시설물 매핑 관리 항목은 없음"/>
    <s v="예측관리 -&gt; 입력정보 관리 카테고리 안에 시설물 매핑 관리 항목은 없음"/>
    <m/>
    <m/>
    <s v="원천 데이터-화면 매핑 재검증, 집계 로직 단위 테스트 보강"/>
  </r>
  <r>
    <s v="UT-FSEX020S"/>
    <s v="2-1차"/>
    <n v="1"/>
    <s v="항공보안(FS)"/>
    <s v="DEF-00500"/>
    <s v="필수으로 표시되어 있는 항목에 대해 필수값 체크 확인 필요_x000a_- 접수구분_x000a_- 회수여부"/>
    <s v="개발자테스트"/>
    <s v="임소정"/>
    <s v="임소정"/>
    <s v="3자테스터공통"/>
    <s v="Online"/>
    <s v="결함"/>
    <s v="기능"/>
    <s v="결함검토요청"/>
    <s v="임소정"/>
    <s v="Major"/>
    <s v="결함검토요청"/>
    <d v="2026-04-29T15:38:55"/>
    <d v="2026-04-29T15:38:55"/>
    <s v=""/>
    <x v="6"/>
    <s v="필수 입력 누락"/>
    <s v="필수으로 표시되어 있는 항목에 대해 필수값 체크 확인 필요"/>
    <s v="필수으로 표시되어 있는 항목에 대해 필수값 체크 확인 필요 - 접수구분 - 회수여부"/>
    <m/>
    <m/>
    <s v="프론트/백엔드 양측에 입력 유효성 검증 추가 및 공통 validator 적용"/>
  </r>
  <r>
    <s v="UT-FSEX020S"/>
    <s v="2-1차"/>
    <n v="1"/>
    <s v="항공보안(FS)"/>
    <s v="DEF-00501"/>
    <s v="내용에 생화확 으로 선택한 뒤 확인물품 입력 후 입력한 확인물품을 삭제하지 않은 상태로 다른 내용을 선택 후 저장 시 오류 발생"/>
    <s v="개발자테스트"/>
    <s v="임소정"/>
    <s v="임소정"/>
    <s v="3자테스터공통"/>
    <s v="Online"/>
    <s v="결함"/>
    <s v="기능"/>
    <s v="결함검토요청"/>
    <s v="임소정"/>
    <s v="Critical"/>
    <s v="결함검토요청"/>
    <d v="2026-04-29T15:40:37"/>
    <d v="2026-04-29T15:40:37"/>
    <s v=""/>
    <x v="11"/>
    <s v="선택/체크 동작"/>
    <s v="내용에 생화확 으로 선택한 뒤 확인물품 입력 후 입력한 확인물품을 삭제하지 않은 상태로 다른 내용을 선택…"/>
    <s v="내용에 생화확 으로 선택한 뒤 확인물품 입력 후 입력한 확인물품을 삭제하지 않은 상태로 다른 내용을 선택 후 저장 시 오류 발생"/>
    <m/>
    <m/>
    <s v="버튼/상태 컴포넌트 표준 적용, 활성·비활성 조건 명세화"/>
  </r>
  <r>
    <s v="UT-FSEX040M"/>
    <s v="2-1차"/>
    <n v="1"/>
    <s v="항공보안(FS)"/>
    <s v="DEF-00519"/>
    <s v="최대 입력값 체크 필요"/>
    <s v="개발자테스트"/>
    <s v="임소정"/>
    <s v="임소정"/>
    <s v="3자테스터공통"/>
    <s v="Online"/>
    <s v="결함"/>
    <s v="프로세스"/>
    <s v="결함검토요청"/>
    <s v="임소정"/>
    <s v="Critical"/>
    <s v="결함검토요청"/>
    <d v="2026-04-29T16:19:08"/>
    <d v="2026-04-29T16:28:14"/>
    <s v=""/>
    <x v="3"/>
    <s v="데이터 정합성"/>
    <s v="최대 입력값 체크 필요"/>
    <s v="최대 입력값 체크 필요"/>
    <m/>
    <m/>
    <s v="원천 데이터-화면 매핑 재검증, 집계 로직 단위 테스트 보강"/>
  </r>
  <r>
    <s v="UT-FSEX040S"/>
    <s v="2-1차"/>
    <n v="1"/>
    <s v="항공보안(FS)"/>
    <s v="DEF-00521"/>
    <s v="그리드의 삭제 상태로 있는 행을 더블클릭하여 업무일지 작성 팝업을 오픈하면 오류 발생"/>
    <s v="개발자테스트"/>
    <s v="임소정"/>
    <s v="임소정"/>
    <s v="3자테스터공통"/>
    <s v="Online"/>
    <s v="결함"/>
    <s v="기능"/>
    <s v="결함검토요청"/>
    <s v="임소정"/>
    <s v="Critical"/>
    <s v="결함검토요청"/>
    <d v="2026-04-29T16:46:02"/>
    <d v="2026-04-29T16:46:02"/>
    <s v=""/>
    <x v="7"/>
    <s v="메시지 표시"/>
    <s v="그리드의 삭제 상태로 있는 행을 더블클릭하여 업무일지 작성 팝업을 오픈하면 오류 발생"/>
    <s v="그리드의 삭제 상태로 있는 행을 더블클릭하여 업무일지 작성 팝업을 오픈하면 오류 발생"/>
    <m/>
    <m/>
    <s v="UX 가이드라인에 따라 표준 안내·툴팁 문구 적용, 무데이터/오류 메시지 정비"/>
  </r>
  <r>
    <s v="UT-PM10506S"/>
    <s v="2-3차"/>
    <n v="1"/>
    <s v="예측관리(PM)"/>
    <s v="DEF-00015"/>
    <s v="T1 터미널에서 T2로 변경시 아래 맵보기 정보가 변하지 않습니다._x000a_T2로 넘어가면 T1정보가 그대로 보여지고 아래 시간을 바꿔도 변화가 없습니다."/>
    <s v="개발자테스트"/>
    <s v="임소정"/>
    <s v="pmtbd3"/>
    <s v="3자테스터공통"/>
    <s v="Online"/>
    <s v="결함"/>
    <s v="기능"/>
    <s v="결함검토요청"/>
    <s v="염희석"/>
    <s v="Major"/>
    <s v="결함검토요청"/>
    <d v="2026-04-22T14:24:15"/>
    <d v="2026-04-22T14:24:15"/>
    <s v=""/>
    <x v="5"/>
    <s v="기타 검토"/>
    <s v="T1 터미널에서 T2로 변경시 아래 맵보기 정보가 변하지 않습니다."/>
    <s v="T1 터미널에서 T2로 변경시 아래 맵보기 정보가 변하지 않습니다. T2로 넘어가면 T1정보가 그대로 보여지고 아래 시간을 바꿔도 변화가 없습니다."/>
    <m/>
    <m/>
    <s v="담당 PL과 결함 성격 재정의 후 분류 보완"/>
  </r>
  <r>
    <s v="UT-GO42001S"/>
    <s v="1-2차"/>
    <n v="1"/>
    <s v="공항운영(GO)"/>
    <s v="DEF-00427"/>
    <s v=" 잘못등록했습니다..! 무시해주세요"/>
    <s v="개발자테스트"/>
    <s v="신문호"/>
    <s v="박정구"/>
    <s v="3자테스터공통"/>
    <s v="Online"/>
    <s v="개선/변경"/>
    <s v="기타"/>
    <s v="결함검토요청"/>
    <s v="신문호"/>
    <s v="Minor"/>
    <s v="결함검토요청"/>
    <d v="2026-04-29T09:34:43"/>
    <d v="2026-04-29T09:38:50"/>
    <s v=""/>
    <x v="9"/>
    <s v="개선/변경 요청"/>
    <s v="잘못등록했습니다..! 무시해주세요"/>
    <s v="잘못등록했습니다..! 무시해주세요"/>
    <m/>
    <m/>
    <s v="차기 반영 일감으로 등록 후 우선순위 협의, 정책 가이드 반영"/>
  </r>
  <r>
    <s v="UT-PM30101S"/>
    <s v="1-2차"/>
    <n v="1"/>
    <s v="예측관리(PM)"/>
    <s v="DEF-00462"/>
    <s v="조회시 에러가 있습니다. _x000a__x000a_# 문제 발생 내용_x000a__x000a_1. 초기 데이터 정상 조회 (문제없었음)_x000a_2. 연도별 수요 및 GDP 실적 추가 및 저장 (입력한 데이터 : 2025, 123123, 456456)_x000a_3. 서버에러 팝업_x000a_4. 리프레시 버튼 -&gt; 서버에러 팝업_x000a_5. 이력조회 버튼 -&gt; 이전 이력 더블클릭 -&gt; 서버에러 팝업_x000a_6. 카테고리 접근 -&gt; 서버에러 팝업_x000a__x000a_연도별 수요 및 GDP 실적 저장 전 유효성 검사 또는 권한에 따른 저장 버튼 비활성을 검토해보셔야할것같습니다. "/>
    <s v="개발자테스트"/>
    <s v="임소정"/>
    <s v="pmtbd1"/>
    <s v="3자테스터공통"/>
    <s v="Online"/>
    <s v="결함"/>
    <s v="기능"/>
    <s v="결함검토요청"/>
    <s v="임소정"/>
    <s v="Critical"/>
    <s v="결함검토요청"/>
    <d v="2026-04-29T13:22:31"/>
    <d v="2026-04-29T13:29:35"/>
    <s v=""/>
    <x v="6"/>
    <s v="입력값 유효성"/>
    <s v="조회시 에러가 있습니다."/>
    <s v="조회시 에러가 있습니다.   # 문제 발생 내용  1. 초기 데이터 정상 조회 (문제없었음) 2. 연도별 수요 및 GDP 실적 추가 및 저장 (입력한 데이터 : 2025, 123123, 456456) 3. 서버에러 팝업 4. 리프레시 버튼 -&gt; 서…"/>
    <m/>
    <m/>
    <s v="프론트/백엔드 양측에 입력 유효성 검증 추가 및 공통 validator 적용"/>
  </r>
  <r>
    <s v="UT-PM20135M"/>
    <s v="2-1차"/>
    <n v="1"/>
    <s v="예측관리(PM)"/>
    <s v="DEF-00470"/>
    <s v="단위테스트 ui 화면과 현재화면 ui 가다름 "/>
    <s v="개발자테스트"/>
    <s v="임소정"/>
    <s v="pmtbd2"/>
    <s v="3자테스터공통"/>
    <s v="Online"/>
    <s v="개선/변경"/>
    <s v="UI"/>
    <s v="결함검토요청"/>
    <s v="임소정"/>
    <s v="Minor"/>
    <s v="결함검토요청"/>
    <d v="2026-04-29T14:08:15"/>
    <d v="2026-04-29T14:08:15"/>
    <s v=""/>
    <x v="8"/>
    <s v="레이아웃/UI"/>
    <s v="단위테스트 ui 화면과 현재화면 ui 가다름"/>
    <s v="단위테스트 ui 화면과 현재화면 ui 가다름"/>
    <m/>
    <m/>
    <s v="디자인 시스템(GNB/그리드/타이포) 준수 점검, 잘림·정렬 보정"/>
  </r>
  <r>
    <s v="UT-FSEX090M"/>
    <s v="2-3차"/>
    <n v="1"/>
    <s v="항공보안(FS)"/>
    <s v="DEF-00477"/>
    <s v="[C_11] 인원 필드에 0 또는 음수 값을 입력해도 저장 가능"/>
    <s v="개발자테스트"/>
    <s v="임소정"/>
    <s v="임소정"/>
    <s v="3자테스터공통"/>
    <s v="Online"/>
    <s v="결함"/>
    <s v="데이터"/>
    <s v="결함검토요청"/>
    <s v="임소정"/>
    <s v="Minor"/>
    <s v="결함검토요청"/>
    <d v="2026-04-29T14:35:24"/>
    <d v="2026-04-29T14:39:30"/>
    <s v=""/>
    <x v="3"/>
    <s v="데이터 정합성"/>
    <s v="[C_11] 인원 필드에 0 또는 음수 값을 입력해도 저장 가능"/>
    <s v="[C_11] 인원 필드에 0 또는 음수 값을 입력해도 저장 가능"/>
    <m/>
    <m/>
    <s v="원천 데이터-화면 매핑 재검증, 집계 로직 단위 테스트 보강"/>
  </r>
  <r>
    <s v="UT-PM20143M"/>
    <s v="2-1차"/>
    <n v="1"/>
    <s v="예측관리(PM)"/>
    <s v="DEF-00481"/>
    <s v="저장 초기화 가중치불러오기 닫기 버튼 위치 정렬 필요"/>
    <s v="개발자테스트"/>
    <s v="임소정"/>
    <s v="pmtbd1"/>
    <s v="3자테스터공통"/>
    <s v="Online"/>
    <s v="결함"/>
    <s v="인터페이스"/>
    <s v="결함검토요청"/>
    <s v="임소정"/>
    <s v="Major"/>
    <s v="결함검토요청"/>
    <d v="2026-04-29T14:47:02"/>
    <d v="2026-04-29T14:47:02"/>
    <s v=""/>
    <x v="4"/>
    <s v="정렬 오류"/>
    <s v="저장 초기화 가중치불러오기 닫기 버튼 위치 정렬 필요"/>
    <s v="저장 초기화 가중치불러오기 닫기 버튼 위치 정렬 필요"/>
    <m/>
    <m/>
    <s v="조회 SQL/조건 매핑 재검토, 정렬·필터 기본값 정의서와 일치화"/>
  </r>
  <r>
    <s v="UT-FSQB090S"/>
    <s v="2-1차"/>
    <n v="1"/>
    <s v="항공보안(FS)"/>
    <s v="DEF-00485"/>
    <s v="용어에 대한 띄워쓰기 맞춤 필요."/>
    <s v="개발자테스트"/>
    <s v="임소정"/>
    <s v="임소정"/>
    <s v="3자테스터공통"/>
    <s v="Online"/>
    <s v="개선/변경"/>
    <s v="기타"/>
    <s v="결함검토요청"/>
    <s v="임소정"/>
    <s v="Minor"/>
    <s v="결함검토요청"/>
    <d v="2026-04-29T14:51:26"/>
    <d v="2026-04-29T14:51:26"/>
    <s v=""/>
    <x v="12"/>
    <s v="용어/명칭 통일"/>
    <s v="용어에 대한 띄워쓰기 맞춤 필요."/>
    <s v="용어에 대한 띄워쓰기 맞춤 필요."/>
    <m/>
    <m/>
    <s v="용어집 기준으로 라벨 일괄 정비, 오타/표기 표준 적용"/>
  </r>
  <r>
    <s v="UT-FSEX021S"/>
    <s v="2-2차"/>
    <n v="1"/>
    <s v="항공보안(FS)"/>
    <s v="DEF-00487"/>
    <s v="페이지 첫 진입 시 첫 필드(조회년월) 포커스가 필요합니다. "/>
    <s v="개발자테스트"/>
    <s v="임소정"/>
    <s v="임소정"/>
    <s v="3자테스터공통"/>
    <s v="Online"/>
    <s v="개선/변경"/>
    <s v="UI"/>
    <s v="결함검토요청"/>
    <s v="임소정"/>
    <s v="Minor"/>
    <s v="결함검토요청"/>
    <d v="2026-04-29T14:55:17"/>
    <d v="2026-04-29T14:55:17"/>
    <s v=""/>
    <x v="0"/>
    <s v="날짜 표시/포맷"/>
    <s v="페이지 첫 진입 시 첫 필드(조회년월) 포커스가 필요합니다."/>
    <s v="페이지 첫 진입 시 첫 필드(조회년월) 포커스가 필요합니다."/>
    <m/>
    <m/>
    <s v="날짜 컴포넌트 표준화, 기준일자-운항일자 등 필드 매핑 점검 및 기간 가드 추가"/>
  </r>
  <r>
    <s v="UT-FSQB090S"/>
    <s v="2-1차"/>
    <n v="1"/>
    <s v="항공보안(FS)"/>
    <s v="DEF-00488"/>
    <s v="sort 기준 확인 필요._x000a_"/>
    <s v="개발자테스트"/>
    <s v="임소정"/>
    <s v="임소정"/>
    <s v="3자테스터공통"/>
    <s v="Online"/>
    <s v="개선/변경"/>
    <s v="UI"/>
    <s v="결함검토요청"/>
    <s v="임소정"/>
    <s v="Minor"/>
    <s v="결함검토요청"/>
    <d v="2026-04-29T14:59:14"/>
    <d v="2026-04-29T14:59:14"/>
    <s v=""/>
    <x v="4"/>
    <s v="정렬 오류"/>
    <s v="sort 기준 확인 필요."/>
    <s v="sort 기준 확인 필요."/>
    <m/>
    <m/>
    <s v="조회 SQL/조건 매핑 재검토, 정렬·필터 기본값 정의서와 일치화"/>
  </r>
  <r>
    <s v="UT-FSEX040M"/>
    <s v="2-1차"/>
    <n v="1"/>
    <s v="항공보안(FS)"/>
    <s v="DEF-00517"/>
    <s v="최대 입력값 체크 필요"/>
    <s v="개발자테스트"/>
    <s v="임소정"/>
    <s v="임소정"/>
    <s v="3자테스터공통"/>
    <s v="Online"/>
    <s v="결함"/>
    <s v="기능"/>
    <s v="결함검토요청"/>
    <s v="임소정"/>
    <s v="Critical"/>
    <s v="결함검토요청"/>
    <d v="2026-04-29T16:16:01"/>
    <d v="2026-04-29T16:16:01"/>
    <s v=""/>
    <x v="3"/>
    <s v="데이터 정합성"/>
    <s v="최대 입력값 체크 필요"/>
    <s v="최대 입력값 체크 필요"/>
    <m/>
    <m/>
    <s v="원천 데이터-화면 매핑 재검증, 집계 로직 단위 테스트 보강"/>
  </r>
  <r>
    <s v="UT-FSEX040M"/>
    <s v="2-1차"/>
    <n v="1"/>
    <s v="항공보안(FS)"/>
    <s v="DEF-00518"/>
    <s v="최대 입력값 체크 필요"/>
    <s v="개발자테스트"/>
    <s v="임소정"/>
    <s v="임소정"/>
    <s v="3자테스터공통"/>
    <s v="Online"/>
    <s v="결함"/>
    <s v="기능"/>
    <s v="결함검토요청"/>
    <s v="임소정"/>
    <s v="Critical"/>
    <s v="결함검토요청"/>
    <d v="2026-04-29T16:17:33"/>
    <d v="2026-04-29T16:17:33"/>
    <s v=""/>
    <x v="3"/>
    <s v="데이터 정합성"/>
    <s v="최대 입력값 체크 필요"/>
    <s v="최대 입력값 체크 필요"/>
    <m/>
    <m/>
    <s v="원천 데이터-화면 매핑 재검증, 집계 로직 단위 테스트 보강"/>
  </r>
  <r>
    <s v="UT-GO11951S"/>
    <s v="2-1차"/>
    <n v="1"/>
    <s v="공항운영(GO)"/>
    <s v="DEF-00756"/>
    <s v="[C_11] 현행 시스템에서 가용성 및 운영목표에 음이 아닌 정수값만 입력 가능하지만,_x000a_• 셔틀트레인 대시보드 리포트(UT-GO11952M)의 서비스 가용성 섹션에는 해당 값들이 항상 소수점 아래 셋째 자리까지 표시되고 있기 때문에 소수점 아래 셋째 자리까지 입력 가능하도록 하거나, 정수로 표시되도록 통일 필요_x000a_• 증적과 상이 (증적상 소수 단위 값 입력 가능)_x000a_"/>
    <s v="개발자테스트"/>
    <s v="신문호"/>
    <s v="김경준"/>
    <s v="3자테스터공통"/>
    <s v="Online"/>
    <s v="결함"/>
    <s v="기능"/>
    <s v="결함검토요청"/>
    <s v="신문호"/>
    <s v="Major"/>
    <s v="결함검토요청"/>
    <d v="2026-05-07T09:37:51"/>
    <d v="2026-05-07T10:32:35"/>
    <s v=""/>
    <x v="3"/>
    <s v="데이터 정합성"/>
    <s v="[C_11] 현행 시스템에서 가용성 및 운영목표에 음이 아닌 정수값만 입력 가능하지만,"/>
    <s v="[C_11] 현행 시스템에서 가용성 및 운영목표에 음이 아닌 정수값만 입력 가능하지만, • 셔틀트레인 대시보드 리포트(UT-GO11952M)의 서비스 가용성 섹션에는 해당 값들이 항상 소수점 아래 셋째 자리까지 표시되고 있기 때문에 소수점 아래 셋…"/>
    <m/>
    <m/>
    <s v="원천 데이터-화면 매핑 재검증, 집계 로직 단위 테스트 보강"/>
  </r>
  <r>
    <s v="UT-PM20130S"/>
    <s v="2-1차"/>
    <n v="1"/>
    <s v="예측관리(PM)"/>
    <s v="DEF-00776"/>
    <s v="조회 종료 버튼을 상태에 따라.. 클릭 가능 또는 Disable 상태로 바꿔주길 바람._x000a_아래 화면과 같이.. 조회(Search) 클릭하면.. 타이머 작동중으로.. 주기적인 갱신이 이루어지며.. 이를 중단하는 것이 조회 중지 버튼임. 그런데.. 조회 중지 상태인데도 조회중지 버튼은 여전히 클릭 가능 상태임. 버튼을 클릭 가능할때와 불필요할때를 구분하여 전환 표시해 주길 바람.. Search 버튼 처럼.."/>
    <s v="개발자테스트"/>
    <s v="임소정"/>
    <s v="pmtbd1"/>
    <s v="3자테스터공통"/>
    <s v="Online"/>
    <s v="개선/변경"/>
    <s v="UI"/>
    <s v="결함검토요청"/>
    <s v="임소정"/>
    <s v="Minor"/>
    <s v="결함검토요청"/>
    <d v="2026-05-07T10:56:21"/>
    <d v="2026-05-07T10:56:21"/>
    <s v=""/>
    <x v="4"/>
    <s v="조회 조건 처리"/>
    <s v="조회 종료 버튼을 상태에 따라.. 클릭 가능 또는 Disable 상태로 바꿔주길 바람."/>
    <s v="조회 종료 버튼을 상태에 따라.. 클릭 가능 또는 Disable 상태로 바꿔주길 바람. 아래 화면과 같이.. 조회(Search) 클릭하면.. 타이머 작동중으로.. 주기적인 갱신이 이루어지며.. 이를 중단하는 것이 조회 중지 버튼임. 그런데.. 조회…"/>
    <m/>
    <m/>
    <s v="조회 SQL/조건 매핑 재검토, 정렬·필터 기본값 정의서와 일치화"/>
  </r>
  <r>
    <s v="UT-GO52510S"/>
    <s v="2-1차"/>
    <n v="1"/>
    <s v="공항운영(GO)"/>
    <s v="DEF-00778"/>
    <s v="[C_2] 검색 컴포넌트의 필수 필드에 대한 일관된 스타일 적용 필요"/>
    <s v="개발자테스트"/>
    <s v="신문호"/>
    <s v="김경준"/>
    <s v="3자테스터공통"/>
    <s v="Online"/>
    <s v="결함"/>
    <s v="UI"/>
    <s v="결함검토요청"/>
    <s v="신문호"/>
    <s v="Minor"/>
    <s v="결함검토요청"/>
    <d v="2026-05-07T11:02:41"/>
    <d v="2026-05-07T11:02:41"/>
    <s v=""/>
    <x v="6"/>
    <s v="필수 입력 누락"/>
    <s v="[C_2] 검색 컴포넌트의 필수 필드에 대한 일관된 스타일 적용 필요"/>
    <s v="[C_2] 검색 컴포넌트의 필수 필드에 대한 일관된 스타일 적용 필요"/>
    <m/>
    <m/>
    <s v="프론트/백엔드 양측에 입력 유효성 검증 추가 및 공통 validator 적용"/>
  </r>
  <r>
    <s v="UT-GO12507S"/>
    <s v="2-1차"/>
    <n v="1"/>
    <s v="공항운영(GO)"/>
    <s v="DEF-00779"/>
    <s v="[C_2] 검색 컴포넌트의 필수 필드에 대한 일관된 스타일 적용 필요"/>
    <s v="개발자테스트"/>
    <s v="신문호"/>
    <s v="김경준"/>
    <s v="3자테스터공통"/>
    <s v="Online"/>
    <s v="결함"/>
    <s v="UI"/>
    <s v="결함검토요청"/>
    <s v="신문호"/>
    <s v="Minor"/>
    <s v="결함검토요청"/>
    <d v="2026-05-07T11:09:08"/>
    <d v="2026-05-07T11:09:08"/>
    <s v=""/>
    <x v="6"/>
    <s v="필수 입력 누락"/>
    <s v="[C_2] 검색 컴포넌트의 필수 필드에 대한 일관된 스타일 적용 필요"/>
    <s v="[C_2] 검색 컴포넌트의 필수 필드에 대한 일관된 스타일 적용 필요"/>
    <m/>
    <m/>
    <s v="프론트/백엔드 양측에 입력 유효성 검증 추가 및 공통 validator 적용"/>
  </r>
  <r>
    <s v="UT-GO12938S"/>
    <s v="2-3차"/>
    <n v="1"/>
    <s v="공항운영(GO)"/>
    <s v="DEF-00031"/>
    <s v="조건에 따른 조회결과가 표출되지 않음. (2025.06.10, 13:00, Grade : 전체)"/>
    <s v="개발자테스트"/>
    <s v="신문호"/>
    <s v="신문호"/>
    <s v="3자테스터공통"/>
    <s v="Online"/>
    <s v="결함"/>
    <s v="기능"/>
    <s v="결함검토요청"/>
    <s v="신문호"/>
    <s v="Major"/>
    <s v="결함검토요청"/>
    <d v="2026-04-22T15:43:17"/>
    <d v="2026-04-22T15:44:05"/>
    <s v=""/>
    <x v="4"/>
    <s v="조회 조건 처리"/>
    <s v="조건에 따른 조회결과가 표출되지 않음. (2025.06.10, 13:00, Grade : 전체)"/>
    <s v="조건에 따른 조회결과가 표출되지 않음. (2025.06.10, 13:00, Grade : 전체)"/>
    <m/>
    <m/>
    <s v="조회 SQL/조건 매핑 재검토, 정렬·필터 기본값 정의서와 일치화"/>
  </r>
  <r>
    <s v="UT-GO12910S"/>
    <s v="2-3차"/>
    <n v="1"/>
    <s v="공항운영(GO)"/>
    <s v="DEF-00044"/>
    <s v="표 하단  문구에서 날자를 날짜로 변경필요_x000a_표 기간에 기간입력 필요_x000a_표의 왼쪽 외곽선 필요"/>
    <s v="개발자테스트"/>
    <s v="신문호"/>
    <s v="신문호"/>
    <s v="3자테스터공통"/>
    <s v="Online"/>
    <s v="개선/변경"/>
    <s v="UI"/>
    <s v="결함검토요청"/>
    <s v="신문호"/>
    <s v="Minor"/>
    <s v="결함검토요청"/>
    <d v="2026-04-22T16:44:58"/>
    <d v="2026-04-22T17:02:22"/>
    <s v=""/>
    <x v="0"/>
    <s v="기간 범위 처리"/>
    <s v="표 하단  문구에서 날자를 날짜로 변경필요"/>
    <s v="표 하단  문구에서 날자를 날짜로 변경필요 표 기간에 기간입력 필요 표의 왼쪽 외곽선 필요"/>
    <m/>
    <m/>
    <s v="날짜 컴포넌트 표준화, 기준일자-운항일자 등 필드 매핑 점검 및 기간 가드 추가"/>
  </r>
  <r>
    <s v="UT-GO11962S"/>
    <s v="2-2차"/>
    <n v="1"/>
    <s v="공항운영(GO)"/>
    <s v="DEF-00160"/>
    <s v="월단위실적 조회에 현재년도가 없음(2026) 없음에 따라 디폴트로 나오지않음_x000a_"/>
    <s v="개발자테스트"/>
    <s v="신문호"/>
    <s v="신문호"/>
    <s v="3자테스터공통"/>
    <s v="Online"/>
    <s v="결함"/>
    <s v="기능"/>
    <s v="결함검토요청"/>
    <s v="신문호"/>
    <s v="Minor"/>
    <s v="결함검토요청"/>
    <d v="2026-04-27T10:47:23"/>
    <d v="2026-04-27T10:47:23"/>
    <s v=""/>
    <x v="0"/>
    <s v="날짜 표시/포맷"/>
    <s v="월단위실적 조회에 현재년도가 없음(2026) 없음에 따라 디폴트로 나오지않음"/>
    <s v="월단위실적 조회에 현재년도가 없음(2026) 없음에 따라 디폴트로 나오지않음"/>
    <m/>
    <m/>
    <s v="날짜 컴포넌트 표준화, 기준일자-운항일자 등 필드 매핑 점검 및 기간 가드 추가"/>
  </r>
  <r>
    <s v="UT-GO11962S"/>
    <s v="2-2차"/>
    <n v="1"/>
    <s v="공항운영(GO)"/>
    <s v="DEF-00162"/>
    <s v="전월 버튼을 클릭하였을때 2026년이 존재하지 않아서 Search 불가능"/>
    <s v="개발자테스트"/>
    <s v="신문호"/>
    <s v="신문호"/>
    <s v="3자테스터공통"/>
    <s v="Online"/>
    <s v="결함"/>
    <s v="기능"/>
    <s v="결함검토요청"/>
    <s v="신문호"/>
    <s v="Major"/>
    <s v="결함검토요청"/>
    <d v="2026-04-27T10:47:54"/>
    <d v="2026-04-27T17:24:58"/>
    <s v=""/>
    <x v="4"/>
    <s v="조회 조건 처리"/>
    <s v="전월 버튼을 클릭하였을때 2026년이 존재하지 않아서 Search 불가능"/>
    <s v="전월 버튼을 클릭하였을때 2026년이 존재하지 않아서 Search 불가능"/>
    <m/>
    <m/>
    <s v="조회 SQL/조건 매핑 재검토, 정렬·필터 기본값 정의서와 일치화"/>
  </r>
  <r>
    <s v="UT-FSEX080M"/>
    <s v="2-2차"/>
    <n v="1"/>
    <s v="항공보안(FS)"/>
    <s v="DEF-00542"/>
    <s v="[C_7] 수동 입력 시 허용 입력 범위 이외의 값을 UI에서 입력할 수 없도록 막아둔 필드들(일자의 경우 1899년 이전, 위치의 경우 0~999 이외의 값 등)이 일괄등록 시에는 값 보정 또는 적절한 validation alert이 없음."/>
    <s v="개발자테스트"/>
    <s v="임소정"/>
    <s v="임소정"/>
    <s v="3자테스터공통"/>
    <s v="Online"/>
    <s v="결함"/>
    <s v="데이터"/>
    <s v="결함검토요청"/>
    <s v="임소정"/>
    <s v="Minor"/>
    <s v="결함검토요청"/>
    <d v="2026-04-30T10:39:16"/>
    <d v="2026-04-30T10:39:16"/>
    <s v=""/>
    <x v="0"/>
    <s v="날짜 표시/포맷"/>
    <s v="[C_7] 수동 입력 시 허용 입력 범위 이외의 값을 UI에서 입력할 수 없도록 막아둔 필드들(일자의 경…"/>
    <s v="[C_7] 수동 입력 시 허용 입력 범위 이외의 값을 UI에서 입력할 수 없도록 막아둔 필드들(일자의 경우 1899년 이전, 위치의 경우 0~999 이외의 값 등)이 일괄등록 시에는 값 보정 또는 적절한 validation alert이 없음."/>
    <m/>
    <m/>
    <s v="날짜 컴포넌트 표준화, 기준일자-운항일자 등 필드 매핑 점검 및 기간 가드 추가"/>
  </r>
  <r>
    <s v="UT-FSEX070S"/>
    <s v="2-1차"/>
    <n v="1"/>
    <s v="항공보안(FS)"/>
    <s v="DEF-00549"/>
    <s v="그리드 테두리 확인_x000a_ - 같은 값에 대한 병합 처리로 보임._x000a_ - 병합 처리가 빈 값에 대해서는 적용되지 않아야 할 것으로 보이며, 같은 값에 대한 병합 시 내용이 가운데 정렬을 하여 병합된 것을 인지 시켜줘야 할 것 같음."/>
    <s v="개발자테스트"/>
    <s v="임소정"/>
    <s v="임소정"/>
    <s v="3자테스터공통"/>
    <s v="Online"/>
    <s v="개선/변경"/>
    <s v="UI"/>
    <s v="결함검토요청"/>
    <s v="임소정"/>
    <s v="Minor"/>
    <s v="결함검토요청"/>
    <d v="2026-04-30T11:10:29"/>
    <d v="2026-04-30T11:14:22"/>
    <s v=""/>
    <x v="4"/>
    <s v="정렬 오류"/>
    <s v="그리드 테두리 확인"/>
    <s v="그리드 테두리 확인  - 같은 값에 대한 병합 처리로 보임.  - 병합 처리가 빈 값에 대해서는 적용되지 않아야 할 것으로 보이며, 같은 값에 대한 병합 시 내용이 가운데 정렬을 하여 병합된 것을 인지 시켜줘야 할 것 같음."/>
    <m/>
    <m/>
    <s v="조회 SQL/조건 매핑 재검토, 정렬·필터 기본값 정의서와 일치화"/>
  </r>
  <r>
    <s v="UT-PM10205S"/>
    <s v="2-3차"/>
    <n v="1"/>
    <s v="예측관리(PM)"/>
    <s v="DEF-00647"/>
    <s v="1. UT-PM10201S 확인 결과 : 화면과 시나리오파일상의 증적화면과 상이하여 테스트 진행불가"/>
    <s v="개발자테스트"/>
    <s v="임소정"/>
    <s v="양우상"/>
    <s v="3자테스터공통"/>
    <s v="Online"/>
    <s v="개선/변경"/>
    <s v="UI"/>
    <s v="결함검토요청"/>
    <s v="임소정"/>
    <s v="Minor"/>
    <s v="결함검토요청"/>
    <d v="2026-05-04T15:01:04"/>
    <d v="2026-05-04T15:01:04"/>
    <s v=""/>
    <x v="9"/>
    <s v="개선/변경 요청"/>
    <s v="1. UT-PM10201S 확인 결과 : 화면과 시나리오파일상의 증적화면과 상이하여 테스트 진행불가"/>
    <s v="1. UT-PM10201S 확인 결과 : 화면과 시나리오파일상의 증적화면과 상이하여 테스트 진행불가"/>
    <m/>
    <m/>
    <s v="차기 반영 일감으로 등록 후 우선순위 협의, 정책 가이드 반영"/>
  </r>
  <r>
    <s v="UT-PM10206S"/>
    <s v="2-3차"/>
    <n v="1"/>
    <s v="예측관리(PM)"/>
    <s v="DEF-00649"/>
    <s v="1. 테스트데이터가 확인 안되어 테스트진행 불가"/>
    <s v="개발자테스트"/>
    <s v="임소정"/>
    <s v="양우상"/>
    <s v="3자테스터공통"/>
    <s v="Online"/>
    <s v="개선/변경"/>
    <s v="UI"/>
    <s v="결함검토요청"/>
    <s v="임소정"/>
    <s v="Minor"/>
    <s v="결함검토요청"/>
    <d v="2026-05-04T15:17:29"/>
    <d v="2026-05-04T15:17:29"/>
    <s v=""/>
    <x v="3"/>
    <s v="데이터 정합성"/>
    <s v="1. 테스트데이터가 확인 안되어 테스트진행 불가"/>
    <s v="1. 테스트데이터가 확인 안되어 테스트진행 불가"/>
    <m/>
    <m/>
    <s v="원천 데이터-화면 매핑 재검증, 집계 로직 단위 테스트 보강"/>
  </r>
  <r>
    <s v="UT-GO12512S"/>
    <s v="2-3차"/>
    <n v="1"/>
    <s v="공항운영(GO)"/>
    <s v="DEF-00650"/>
    <s v="[C_5] 문구 수정이 필요해 보입니다. '시작일' → '운항일자', '종료일' → '조회일자'"/>
    <s v="개발자테스트"/>
    <s v="신문호"/>
    <s v="김경준"/>
    <s v="3자테스터공통"/>
    <s v="Online"/>
    <s v="결함"/>
    <s v="UI"/>
    <s v="결함검토요청"/>
    <s v="신문호"/>
    <s v="Minor"/>
    <s v="결함검토요청"/>
    <d v="2026-05-04T15:23:22"/>
    <d v="2026-05-04T15:23:22"/>
    <s v=""/>
    <x v="0"/>
    <s v="기준일자/조회일자 불일치"/>
    <s v="[C_5] 문구 수정이 필요해 보입니다. '시작일' → '운항일자', '종료일' → '조회일자'"/>
    <s v="[C_5] 문구 수정이 필요해 보입니다. '시작일' → '운항일자', '종료일' → '조회일자'"/>
    <m/>
    <m/>
    <s v="날짜 컴포넌트 표준화, 기준일자-운항일자 등 필드 매핑 점검 및 기간 가드 추가"/>
  </r>
  <r>
    <s v="UT-GO12512S"/>
    <s v="2-3차"/>
    <n v="1"/>
    <s v="공항운영(GO)"/>
    <s v="DEF-00651"/>
    <s v="[C_2] 검색 컴포넌트의 필수 필드에 대한 일관된 스타일 적용 필요"/>
    <s v="개발자테스트"/>
    <s v="신문호"/>
    <s v="김경준"/>
    <s v="3자테스터공통"/>
    <s v="Online"/>
    <s v="결함"/>
    <s v="UI"/>
    <s v="결함검토요청"/>
    <s v="신문호"/>
    <s v="Minor"/>
    <s v="결함검토요청"/>
    <d v="2026-05-04T15:29:03"/>
    <d v="2026-05-04T15:29:03"/>
    <s v=""/>
    <x v="6"/>
    <s v="필수 입력 누락"/>
    <s v="[C_2] 검색 컴포넌트의 필수 필드에 대한 일관된 스타일 적용 필요"/>
    <s v="[C_2] 검색 컴포넌트의 필수 필드에 대한 일관된 스타일 적용 필요"/>
    <m/>
    <m/>
    <s v="프론트/백엔드 양측에 입력 유효성 검증 추가 및 공통 validator 적용"/>
  </r>
  <r>
    <s v="UT-GO12902S"/>
    <s v="2-3차"/>
    <n v="1"/>
    <s v="공항운영(GO)"/>
    <s v="DEF-00652"/>
    <s v="[X_1] 조회 불가로 인해 확인 불가"/>
    <s v="개발자테스트"/>
    <s v="신문호"/>
    <s v="김경준"/>
    <s v="3자테스터공통"/>
    <s v="Online"/>
    <s v="결함"/>
    <s v="기능"/>
    <s v="결함검토요청"/>
    <s v="신문호"/>
    <s v="Minor"/>
    <s v="결함검토요청"/>
    <d v="2026-05-04T15:31:14"/>
    <d v="2026-05-04T15:31:21"/>
    <s v=""/>
    <x v="4"/>
    <s v="조회 조건 처리"/>
    <s v="[X_1] 조회 불가로 인해 확인 불가"/>
    <s v="[X_1] 조회 불가로 인해 확인 불가"/>
    <m/>
    <m/>
    <s v="조회 SQL/조건 매핑 재검토, 정렬·필터 기본값 정의서와 일치화"/>
  </r>
  <r>
    <s v="UT-PM10301S"/>
    <s v="2-3차"/>
    <n v="1"/>
    <s v="예측관리(PM)"/>
    <s v="DEF-00654"/>
    <s v="- 데이터가 없는 날짜 선택 : _x000a_ ① 요약파트 막대그래프 생성,_x000a_ ②체크인카운터 파트 “대기인원 undefined 명“ 출력 &amp; “매우혼잡”&lt;-4개탭 모두 에러"/>
    <s v="개발자테스트"/>
    <s v="임소정"/>
    <s v="신문호"/>
    <s v="3자테스터공통"/>
    <s v="Online"/>
    <s v="개선/변경"/>
    <s v="UI"/>
    <s v="결함검토요청"/>
    <s v="임소정"/>
    <s v="Minor"/>
    <s v="결함검토요청"/>
    <d v="2026-05-04T15:48:16"/>
    <d v="2026-05-04T15:48:16"/>
    <s v=""/>
    <x v="1"/>
    <s v="파일 출력/다운로드"/>
    <s v="- 데이터가 없는 날짜 선택 :"/>
    <s v="- 데이터가 없는 날짜 선택 :   ① 요약파트 막대그래프 생성,  ②체크인카운터 파트 “대기인원 undefined 명“ 출력 &amp; “매우혼잡”&lt;-4개탭 모두 에러"/>
    <m/>
    <m/>
    <s v="엑셀/PDF 공통 출력 모듈 점검, 컬럼 매핑·서식 검증 및 예외 처리"/>
  </r>
  <r>
    <s v="UT-FSQA040S"/>
    <s v="1-2차"/>
    <n v="1"/>
    <s v="항공보안(FS)"/>
    <s v="DEF-00656"/>
    <s v="검토요청 사유를 길게 입력 후 저장 버튼 클릭함. 서버 오류 발생"/>
    <s v="개발자테스트"/>
    <s v="임소정"/>
    <s v="임소정"/>
    <s v="3자테스터공통"/>
    <s v="Online"/>
    <s v="결함"/>
    <s v="기능"/>
    <s v="결함검토요청"/>
    <s v="임소정"/>
    <s v="Major"/>
    <s v="결함검토요청"/>
    <d v="2026-05-04T16:10:38"/>
    <d v="2026-05-04T16:10:38"/>
    <s v=""/>
    <x v="11"/>
    <s v="버튼 동작 오류"/>
    <s v="검토요청 사유를 길게 입력 후 저장 버튼 클릭함. 서버 오류 발생"/>
    <s v="검토요청 사유를 길게 입력 후 저장 버튼 클릭함. 서버 오류 발생"/>
    <m/>
    <m/>
    <s v="버튼/상태 컴포넌트 표준 적용, 활성·비활성 조건 명세화"/>
  </r>
  <r>
    <s v="UT-GO12707S"/>
    <s v="2-3차"/>
    <n v="1"/>
    <s v="공항운영(GO)"/>
    <s v="DEF-00657"/>
    <s v="[C_2] 검색 컴포넌트의 필수 필드에 대한 일관된 스타일 적용 필요"/>
    <s v="개발자테스트"/>
    <s v="신문호"/>
    <s v="김경준"/>
    <s v="3자테스터공통"/>
    <s v="Online"/>
    <s v="결함"/>
    <s v="UI"/>
    <s v="결함검토요청"/>
    <s v="신문호"/>
    <s v="Minor"/>
    <s v="결함검토요청"/>
    <d v="2026-05-04T16:16:15"/>
    <d v="2026-05-04T16:16:15"/>
    <s v=""/>
    <x v="6"/>
    <s v="필수 입력 누락"/>
    <s v="[C_2] 검색 컴포넌트의 필수 필드에 대한 일관된 스타일 적용 필요"/>
    <s v="[C_2] 검색 컴포넌트의 필수 필드에 대한 일관된 스타일 적용 필요"/>
    <m/>
    <m/>
    <s v="프론트/백엔드 양측에 입력 유효성 검증 추가 및 공통 validator 적용"/>
  </r>
  <r>
    <s v="UT-PM10303S"/>
    <s v="2-3차"/>
    <n v="1"/>
    <s v="예측관리(PM)"/>
    <s v="DEF-00658"/>
    <s v="1. 처리시간 비교 – 범례없음 &amp; 비교대상 없음_x000a_"/>
    <s v="개발자테스트"/>
    <s v="임소정"/>
    <s v="pmtbd2"/>
    <s v="3자테스터공통"/>
    <s v="Online"/>
    <s v="개선/변경"/>
    <s v="UI"/>
    <s v="결함검토요청"/>
    <s v="임소정"/>
    <s v="Minor"/>
    <s v="결함검토요청"/>
    <d v="2026-05-04T16:18:02"/>
    <d v="2026-05-04T16:18:03"/>
    <s v=""/>
    <x v="2"/>
    <s v="범례 표시"/>
    <s v="1. 처리시간 비교 – 범례없음 &amp; 비교대상 없음"/>
    <s v="1. 처리시간 비교 – 범례없음 &amp; 비교대상 없음"/>
    <m/>
    <m/>
    <s v="차트 공통 컴포넌트 점검, 무데이터 처리 및 축/범례 표준화"/>
  </r>
  <r>
    <s v="UT-GO12707S"/>
    <s v="2-3차"/>
    <n v="1"/>
    <s v="공항운영(GO)"/>
    <s v="DEF-00659"/>
    <s v="[C_1] 검색 컴포넌트 내 '기준일자', '전체/통계기준' 필드 정렬 필요"/>
    <s v="개발자테스트"/>
    <s v="신문호"/>
    <s v="김경준"/>
    <s v="3자테스터공통"/>
    <s v="Online"/>
    <s v="결함"/>
    <s v="UI"/>
    <s v="결함검토요청"/>
    <s v="신문호"/>
    <s v="Minor"/>
    <s v="결함검토요청"/>
    <d v="2026-05-04T16:18:42"/>
    <d v="2026-05-04T16:20:44"/>
    <s v=""/>
    <x v="0"/>
    <s v="기준일자/조회일자 불일치"/>
    <s v="[C_1] 검색 컴포넌트 내 '기준일자', '전체/통계기준' 필드 정렬 필요"/>
    <s v="[C_1] 검색 컴포넌트 내 '기준일자', '전체/통계기준' 필드 정렬 필요"/>
    <m/>
    <m/>
    <s v="날짜 컴포넌트 표준화, 기준일자-운항일자 등 필드 매핑 점검 및 기간 가드 추가"/>
  </r>
  <r>
    <s v="UT-PM10304S"/>
    <s v="2-3차"/>
    <n v="1"/>
    <s v="예측관리(PM)"/>
    <s v="DEF-00665"/>
    <s v="- 하단 좌우 스크롤바가 두개 보임(화면은 모니터기준 전체화면, 26-4-23)_x000a_"/>
    <s v="개발자테스트"/>
    <s v="임소정"/>
    <s v="pmtbd2"/>
    <s v="3자테스터공통"/>
    <s v="Online"/>
    <s v="개선/변경"/>
    <s v="UI"/>
    <s v="결함검토요청"/>
    <s v="임소정"/>
    <s v="Minor"/>
    <s v="결함검토요청"/>
    <d v="2026-05-04T16:33:59"/>
    <d v="2026-05-04T16:34:00"/>
    <s v=""/>
    <x v="13"/>
    <s v="권한/노출 제어"/>
    <s v="- 하단 좌우 스크롤바가 두개 보임(화면은 모니터기준 전체화면, 26-4-23)"/>
    <s v="- 하단 좌우 스크롤바가 두개 보임(화면은 모니터기준 전체화면, 26-4-23)"/>
    <m/>
    <m/>
    <s v="권한 매트릭스 재확인, 메뉴/버튼 노출 규칙 일치화"/>
  </r>
  <r>
    <s v="UT-GO12910S"/>
    <s v="2-3차"/>
    <n v="1"/>
    <s v="공항운영(GO)"/>
    <s v="DEF-00666"/>
    <s v="[S_1]_x000a_• 주단위별 검색 → 매월 1일~5일 선택 시, _x000a_• 기준일자 시작일 필드가 {종료일-6}일로 정상적으로 계산되지 않고 두달여 뒤의 날짜로 잘못 계산되어, _x000a_• 결과적으로 시작일 &gt; 종료일이 되기 때문에 조회가 불가능해집니다. _x000a_(초기 페이지 로드 시에는 정상, 직접 날짜 선택 시 발생하는 에러)"/>
    <s v="개발자테스트"/>
    <s v="신문호"/>
    <s v="신문호"/>
    <s v="3자테스터공통"/>
    <s v="Online"/>
    <s v="결함"/>
    <s v="기능"/>
    <s v="결함검토요청"/>
    <s v="신문호"/>
    <s v="Critical"/>
    <s v="결함검토요청"/>
    <d v="2026-05-04T16:44:19"/>
    <d v="2026-05-04T16:50:41"/>
    <s v=""/>
    <x v="0"/>
    <s v="기준일자/조회일자 불일치"/>
    <s v="[S_1]"/>
    <s v="[S_1] • 주단위별 검색 → 매월 1일~5일 선택 시,  • 기준일자 시작일 필드가 {종료일-6}일로 정상적으로 계산되지 않고 두달여 뒤의 날짜로 잘못 계산되어,  • 결과적으로 시작일 &gt; 종료일이 되기 때문에 조회가 불가능해집니다.  (초기 …"/>
    <m/>
    <m/>
    <s v="날짜 컴포넌트 표준화, 기준일자-운항일자 등 필드 매핑 점검 및 기간 가드 추가"/>
  </r>
  <r>
    <s v="UT-GO23802S"/>
    <s v="1-2차"/>
    <n v="1"/>
    <s v="공항운영(GO)"/>
    <s v="DEF-00667"/>
    <s v="화면 로딩시 DEFAULT 값 설정이 누락_x000a_"/>
    <s v="개발자테스트"/>
    <s v="신문호"/>
    <s v="박정구"/>
    <s v="3자테스터공통"/>
    <s v="Online"/>
    <s v="결함"/>
    <s v="데이터"/>
    <s v="결함검토요청"/>
    <s v="신문호"/>
    <s v="Minor"/>
    <s v="결함검토요청"/>
    <d v="2026-05-04T16:50:32"/>
    <d v="2026-05-04T16:50:32"/>
    <s v=""/>
    <x v="3"/>
    <s v="데이터 정합성"/>
    <s v="화면 로딩시 DEFAULT 값 설정이 누락"/>
    <s v="화면 로딩시 DEFAULT 값 설정이 누락"/>
    <m/>
    <m/>
    <s v="원천 데이터-화면 매핑 재검증, 집계 로직 단위 테스트 보강"/>
  </r>
  <r>
    <s v="UT-GO21302S"/>
    <s v="1-2차"/>
    <n v="1"/>
    <s v="공항운영(GO)"/>
    <s v="DEF-00668"/>
    <s v="조회시 오류 발생"/>
    <s v="개발자테스트"/>
    <s v="신문호"/>
    <s v="박정구"/>
    <s v="3자테스터공통"/>
    <s v="Online"/>
    <s v="결함"/>
    <s v="기능"/>
    <s v="결함검토요청"/>
    <s v="신문호"/>
    <s v="Critical"/>
    <s v="결함검토요청"/>
    <d v="2026-05-04T16:53:19"/>
    <d v="2026-05-04T16:53:19"/>
    <s v=""/>
    <x v="4"/>
    <s v="조회 조건 처리"/>
    <s v="조회시 오류 발생"/>
    <s v="조회시 오류 발생"/>
    <m/>
    <m/>
    <s v="조회 SQL/조건 매핑 재검토, 정렬·필터 기본값 정의서와 일치화"/>
  </r>
  <r>
    <s v="UT-GO12910S"/>
    <s v="2-3차"/>
    <n v="1"/>
    <s v="공항운영(GO)"/>
    <s v="DEF-00670"/>
    <s v="[C_2] 검색 컴포넌트의 필수 필드에 대한 일관된 스타일 적용 필요"/>
    <s v="개발자테스트"/>
    <s v="신문호"/>
    <s v="신문호"/>
    <s v="3자테스터공통"/>
    <s v="Online"/>
    <s v="결함"/>
    <s v="UI"/>
    <s v="결함검토요청"/>
    <s v="신문호"/>
    <s v="Minor"/>
    <s v="결함검토요청"/>
    <d v="2026-05-04T17:03:28"/>
    <d v="2026-05-04T17:03:28"/>
    <s v=""/>
    <x v="6"/>
    <s v="필수 입력 누락"/>
    <s v="[C_2] 검색 컴포넌트의 필수 필드에 대한 일관된 스타일 적용 필요"/>
    <s v="[C_2] 검색 컴포넌트의 필수 필드에 대한 일관된 스타일 적용 필요"/>
    <m/>
    <m/>
    <s v="프론트/백엔드 양측에 입력 유효성 검증 추가 및 공통 validator 적용"/>
  </r>
  <r>
    <s v="UT-GO12910S"/>
    <s v="2-3차"/>
    <n v="1"/>
    <s v="공항운영(GO)"/>
    <s v="DEF-00671"/>
    <s v="[X_1] 엑셀 다운로드 시, 기준연도에 해당하는 column에 값이 없습니다 (엑셀 파일을 열 때 첨부한 이미지와 같이 에러 메시지가 뜹니다)."/>
    <s v="개발자테스트"/>
    <s v="신문호"/>
    <s v="신문호"/>
    <s v="3자테스터공통"/>
    <s v="Online"/>
    <s v="결함"/>
    <s v="기능"/>
    <s v="결함검토요청"/>
    <s v="신문호"/>
    <s v="Major"/>
    <s v="결함검토요청"/>
    <d v="2026-05-04T17:14:18"/>
    <d v="2026-05-04T17:14:18"/>
    <s v=""/>
    <x v="1"/>
    <s v="엑셀 다운로드 오류"/>
    <s v="[X_1] 엑셀 다운로드 시, 기준연도에 해당하는 column에 값이 없습니다 (엑셀 파일을 열 때 첨부…"/>
    <s v="[X_1] 엑셀 다운로드 시, 기준연도에 해당하는 column에 값이 없습니다 (엑셀 파일을 열 때 첨부한 이미지와 같이 에러 메시지가 뜹니다)."/>
    <m/>
    <m/>
    <s v="엑셀/PDF 공통 출력 모듈 점검, 컬럼 매핑·서식 검증 및 예외 처리"/>
  </r>
  <r>
    <s v="UT-GO12707S"/>
    <s v="2-3차"/>
    <n v="1"/>
    <s v="공항운영(GO)"/>
    <s v="DEF-00672"/>
    <s v="[X_1] 단위테스트결과서 1/2차 시험결과 및 증적 일부 누락"/>
    <s v="개발자테스트"/>
    <s v="신문호"/>
    <s v="김경준"/>
    <s v="3자테스터공통"/>
    <s v="Online"/>
    <s v="결함"/>
    <s v="문서화"/>
    <s v="결함검토요청"/>
    <s v="신문호"/>
    <s v="Minor"/>
    <s v="결함검토요청"/>
    <d v="2026-05-04T17:17:52"/>
    <d v="2026-05-04T17:17:52"/>
    <s v=""/>
    <x v="5"/>
    <s v="기타 검토"/>
    <s v="[X_1] 단위테스트결과서 1/2차 시험결과 및 증적 일부 누락"/>
    <s v="[X_1] 단위테스트결과서 1/2차 시험결과 및 증적 일부 누락"/>
    <m/>
    <m/>
    <s v="담당 PL과 결함 성격 재정의 후 분류 보완"/>
  </r>
  <r>
    <s v="UT-PM10401S"/>
    <s v="2-3차"/>
    <n v="1"/>
    <s v="예측관리(PM)"/>
    <s v="DEF-00679"/>
    <s v="①시뮬레이션 모니터링 우측 상단에 “기준일자＂가 없음._x000a_②사용자시뮬레이션을 진행했지만, 상태가 “대기중＂으로만 표시됨. 번호 2의 경우 38시간이 경과했지만, 대기중 상태_x000a_"/>
    <s v="개발자테스트"/>
    <s v="임소정"/>
    <s v="pmtbd3"/>
    <s v="3자테스터공통"/>
    <s v="Online"/>
    <s v="개선/변경"/>
    <s v="UI"/>
    <s v="결함검토요청"/>
    <s v="임소정"/>
    <s v="Minor"/>
    <s v="결함검토요청"/>
    <d v="2026-05-06T08:53:32"/>
    <d v="2026-05-06T08:53:33"/>
    <s v=""/>
    <x v="0"/>
    <s v="기준일자/조회일자 불일치"/>
    <s v="①시뮬레이션 모니터링 우측 상단에 “기준일자＂가 없음."/>
    <s v="①시뮬레이션 모니터링 우측 상단에 “기준일자＂가 없음. ②사용자시뮬레이션을 진행했지만, 상태가 “대기중＂으로만 표시됨. 번호 2의 경우 38시간이 경과했지만, 대기중 상태"/>
    <m/>
    <m/>
    <s v="날짜 컴포넌트 표준화, 기준일자-운항일자 등 필드 매핑 점검 및 기간 가드 추가"/>
  </r>
  <r>
    <s v="UT-GO11950S"/>
    <s v="2-2차"/>
    <n v="1"/>
    <s v="공항운영(GO)"/>
    <s v="DEF-00681"/>
    <s v="[X_1] 주간실적의 2번째 테이블에는 전년 동기 이용객이 조회되거나 {현재연도-1}년의 이용객이 조회되어야 할 것 같지만, 테이블 헤더 영역에 날짜가 없고 이용객이 모두 0으로 조회되고 있습니다."/>
    <s v="개발자테스트"/>
    <s v="신문호"/>
    <s v="신문호"/>
    <s v="3자테스터공통"/>
    <s v="Online"/>
    <s v="결함"/>
    <s v="기능"/>
    <s v="결함검토요청"/>
    <s v="신문호"/>
    <s v="Major"/>
    <s v="결함검토요청"/>
    <d v="2026-05-06T09:13:40"/>
    <d v="2026-05-06T09:13:40"/>
    <s v=""/>
    <x v="0"/>
    <s v="날짜 표시/포맷"/>
    <s v="[X_1] 주간실적의 2번째 테이블에는 전년 동기 이용객이 조회되거나 {현재연도-1}년의 이용객이 조회되…"/>
    <s v="[X_1] 주간실적의 2번째 테이블에는 전년 동기 이용객이 조회되거나 {현재연도-1}년의 이용객이 조회되어야 할 것 같지만, 테이블 헤더 영역에 날짜가 없고 이용객이 모두 0으로 조회되고 있습니다."/>
    <m/>
    <m/>
    <s v="날짜 컴포넌트 표준화, 기준일자-운항일자 등 필드 매핑 점검 및 기간 가드 추가"/>
  </r>
  <r>
    <s v="UT-GO11950S"/>
    <s v="2-2차"/>
    <n v="1"/>
    <s v="공항운영(GO)"/>
    <s v="DEF-00682"/>
    <s v="[X_2] {현재연도-2}년 이하의 연도로 조회 시 주간 실적조회의 2, 3번째 테이블이 각각 {조회연도-1}년, {조회연도}로 변경되어 조회되어야 할 것 같지만 연도가 변경되지 않고,_x000a_연도가 변경되지 않는 게 맞다고 하더라도 2026-05-05의 이용객이 존재하지만 주간실적조회의 세 번째 테이블상엔 0으로 조회됩니다."/>
    <s v="개발자테스트"/>
    <s v="신문호"/>
    <s v="신문호"/>
    <s v="3자테스터공통"/>
    <s v="Online"/>
    <s v="결함"/>
    <s v="기능"/>
    <s v="결함검토요청"/>
    <s v="신문호"/>
    <s v="Major"/>
    <s v="결함검토요청"/>
    <d v="2026-05-06T09:20:56"/>
    <d v="2026-05-06T09:20:56"/>
    <s v=""/>
    <x v="4"/>
    <s v="조회 조건 처리"/>
    <s v="[X_2] {현재연도-2}년 이하의 연도로 조회 시 주간 실적조회의 2, 3번째 테이블이 각각 {조회연도…"/>
    <s v="[X_2] {현재연도-2}년 이하의 연도로 조회 시 주간 실적조회의 2, 3번째 테이블이 각각 {조회연도-1}년, {조회연도}로 변경되어 조회되어야 할 것 같지만 연도가 변경되지 않고, 연도가 변경되지 않는 게 맞다고 하더라도 2026-05-05의…"/>
    <m/>
    <m/>
    <s v="조회 SQL/조건 매핑 재검토, 정렬·필터 기본값 정의서와 일치화"/>
  </r>
  <r>
    <s v="UT-PM10404S"/>
    <s v="2-3차"/>
    <n v="1"/>
    <s v="예측관리(PM)"/>
    <s v="DEF-00684"/>
    <s v="- 운영시간 상태 수정 후 저장_x000a_  1. 다른 아일랜드 상태에 그대로 적용됨_x000a_  2. 저장 후 동일 일자의 동일 아일랜드 상태 확인해보면 저장전 상태로 복구된 상태임."/>
    <s v="개발자테스트"/>
    <s v="임소정"/>
    <s v="pmtbd1"/>
    <s v="3자테스터공통"/>
    <s v="Online"/>
    <s v="개선/변경"/>
    <s v="UI"/>
    <s v="결함검토요청"/>
    <s v="임소정"/>
    <s v="Major"/>
    <s v="결함검토요청"/>
    <d v="2026-05-06T09:33:15"/>
    <d v="2026-05-06T09:33:15"/>
    <s v=""/>
    <x v="0"/>
    <s v="날짜 표시/포맷"/>
    <s v="- 운영시간 상태 수정 후 저장"/>
    <s v="- 운영시간 상태 수정 후 저장   1. 다른 아일랜드 상태에 그대로 적용됨   2. 저장 후 동일 일자의 동일 아일랜드 상태 확인해보면 저장전 상태로 복구된 상태임."/>
    <m/>
    <m/>
    <s v="날짜 컴포넌트 표준화, 기준일자-운항일자 등 필드 매핑 점검 및 기간 가드 추가"/>
  </r>
  <r>
    <s v="UT-GO11961S"/>
    <s v="2-2차"/>
    <n v="1"/>
    <s v="공항운영(GO)"/>
    <s v="DEF-00687"/>
    <s v="[C_15] (UT-GO11961S~11965S 공통) 검색 컴포넌트에서, 다중 조건으로 조회하는 것이 아닌 단일 조건으로 조회하는 기능이므로 Checkbox가 아닌 Radio button을 사용하는 것이 적절할 것 같습니다."/>
    <s v="개발자테스트"/>
    <s v="신문호"/>
    <s v="신문호"/>
    <s v="3자테스터공통"/>
    <s v="Online"/>
    <s v="결함"/>
    <s v="UI"/>
    <s v="결함검토요청"/>
    <s v="신문호"/>
    <s v="Minor"/>
    <s v="결함검토요청"/>
    <d v="2026-05-06T09:47:21"/>
    <d v="2026-05-06T10:19:43"/>
    <s v=""/>
    <x v="4"/>
    <s v="조회 조건 처리"/>
    <s v="[C_15] (UT-GO11961S~11965S 공통) 검색 컴포넌트에서, 다중 조건으로 조회하는 것이 …"/>
    <s v="[C_15] (UT-GO11961S~11965S 공통) 검색 컴포넌트에서, 다중 조건으로 조회하는 것이 아닌 단일 조건으로 조회하는 기능이므로 Checkbox가 아닌 Radio button을 사용하는 것이 적절할 것 같습니다."/>
    <m/>
    <m/>
    <s v="조회 SQL/조건 매핑 재검토, 정렬·필터 기본값 정의서와 일치화"/>
  </r>
  <r>
    <s v="UT-FSQB150S"/>
    <s v="1-2차"/>
    <n v="1"/>
    <s v="항공보안(FS)"/>
    <s v="DEF-00688"/>
    <s v="아래 화면의 조회 기간의 제한이 없는데.. 10년 이상 긴 기간으로 조회하면.. 아래 화면처럼.. Loading 화면이 5분 이상 지속됨.. 조회 기간 제한이 필요함."/>
    <s v="개발자테스트"/>
    <s v="임소정"/>
    <s v="임소정"/>
    <s v="3자테스터공통"/>
    <s v="Online"/>
    <s v="개선/변경"/>
    <s v="기능"/>
    <s v="결함검토요청"/>
    <s v="임소정"/>
    <s v="Minor"/>
    <s v="결함검토요청"/>
    <d v="2026-05-06T09:51:28"/>
    <d v="2026-05-06T09:51:28"/>
    <s v=""/>
    <x v="0"/>
    <s v="기간 범위 처리"/>
    <s v="아래 화면의 조회 기간의 제한이 없는데.. 10년 이상 긴 기간으로 조회하면.. 아래 화면처럼.. Loa…"/>
    <s v="아래 화면의 조회 기간의 제한이 없는데.. 10년 이상 긴 기간으로 조회하면.. 아래 화면처럼.. Loading 화면이 5분 이상 지속됨.. 조회 기간 제한이 필요함."/>
    <m/>
    <m/>
    <s v="날짜 컴포넌트 표준화, 기준일자-운항일자 등 필드 매핑 점검 및 기간 가드 추가"/>
  </r>
  <r>
    <s v="UT-GO11961S"/>
    <s v="2-2차"/>
    <n v="1"/>
    <s v="공항운영(GO)"/>
    <s v="DEF-00689"/>
    <s v="[X_1] '일일/주간 실적'의 '탑승동 누계'와 '누계 실적'의 '탑승동 누계'가 상이합니다."/>
    <s v="개발자테스트"/>
    <s v="신문호"/>
    <s v="신문호"/>
    <s v="3자테스터공통"/>
    <s v="Online"/>
    <s v="결함"/>
    <s v="데이터"/>
    <s v="결함검토요청"/>
    <s v="신문호"/>
    <s v="Minor"/>
    <s v="결함검토요청"/>
    <d v="2026-05-06T10:15:21"/>
    <d v="2026-05-06T10:15:21"/>
    <s v=""/>
    <x v="5"/>
    <s v="기타 검토"/>
    <s v="[X_1] '일일/주간 실적'의 '탑승동 누계'와 '누계 실적'의 '탑승동 누계'가 상이합니다."/>
    <s v="[X_1] '일일/주간 실적'의 '탑승동 누계'와 '누계 실적'의 '탑승동 누계'가 상이합니다."/>
    <m/>
    <m/>
    <s v="담당 PL과 결함 성격 재정의 후 분류 보완"/>
  </r>
  <r>
    <s v="UT-PM10502S"/>
    <s v="2-3차"/>
    <n v="1"/>
    <s v="예측관리(PM)"/>
    <s v="DEF-00690"/>
    <s v="①체크인카운터가 A~N까지 순서대로 정렬되지 않음.(D 아일랜드는 빠져있음)_x000a_"/>
    <s v="개발자테스트"/>
    <s v="임소정"/>
    <s v="pmtbd1"/>
    <s v="3자테스터공통"/>
    <s v="Online"/>
    <s v="개선/변경"/>
    <s v="UI"/>
    <s v="결함검토요청"/>
    <s v="임소정"/>
    <s v="Minor"/>
    <s v="결함검토요청"/>
    <d v="2026-05-06T10:18:08"/>
    <d v="2026-05-06T10:18:09"/>
    <s v=""/>
    <x v="4"/>
    <s v="정렬 오류"/>
    <s v="①체크인카운터가 A~N까지 순서대로 정렬되지 않음.(D 아일랜드는 빠져있음)"/>
    <s v="①체크인카운터가 A~N까지 순서대로 정렬되지 않음.(D 아일랜드는 빠져있음)"/>
    <m/>
    <m/>
    <s v="조회 SQL/조건 매핑 재검토, 정렬·필터 기본값 정의서와 일치화"/>
  </r>
  <r>
    <s v="UT-PM10506S"/>
    <s v="2-3차"/>
    <n v="1"/>
    <s v="예측관리(PM)"/>
    <s v="DEF-00694"/>
    <s v="①체크인카운터가 A~N까지 순서대로 정렬되지 않음.(D 아일랜드는 빠져있음)_x000a_"/>
    <s v="개발자테스트"/>
    <s v="임소정"/>
    <s v="pmtbd3"/>
    <s v="3자테스터공통"/>
    <s v="Online"/>
    <s v="개선/변경"/>
    <s v="UI"/>
    <s v="결함검토요청"/>
    <s v="임소정"/>
    <s v="Minor"/>
    <s v="결함검토요청"/>
    <d v="2026-05-06T10:45:31"/>
    <d v="2026-05-06T10:45:31"/>
    <s v=""/>
    <x v="4"/>
    <s v="정렬 오류"/>
    <s v="①체크인카운터가 A~N까지 순서대로 정렬되지 않음.(D 아일랜드는 빠져있음)"/>
    <s v="①체크인카운터가 A~N까지 순서대로 정렬되지 않음.(D 아일랜드는 빠져있음)"/>
    <m/>
    <m/>
    <s v="조회 SQL/조건 매핑 재검토, 정렬·필터 기본값 정의서와 일치화"/>
  </r>
  <r>
    <s v="UT-GO11964S"/>
    <s v="2-2차"/>
    <n v="1"/>
    <s v="공항운영(GO)"/>
    <s v="DEF-00695"/>
    <s v="[X_1] 조회년도 dropdown에 2026년이 존재하지 않음('&gt;' 버튼을 통해서 선택은 가능)"/>
    <s v="개발자테스트"/>
    <s v="신문호"/>
    <s v="신문호"/>
    <s v="3자테스터공통"/>
    <s v="Online"/>
    <s v="결함"/>
    <s v="데이터"/>
    <s v="결함검토요청"/>
    <s v="신문호"/>
    <s v="Minor"/>
    <s v="결함검토요청"/>
    <d v="2026-05-06T10:45:48"/>
    <d v="2026-05-06T10:46:35"/>
    <s v=""/>
    <x v="0"/>
    <s v="날짜 표시/포맷"/>
    <s v="[X_1] 조회년도 dropdown에 2026년이 존재하지 않음('&gt;' 버튼을 통해서 선택은 가능)"/>
    <s v="[X_1] 조회년도 dropdown에 2026년이 존재하지 않음('&gt;' 버튼을 통해서 선택은 가능)"/>
    <m/>
    <m/>
    <s v="날짜 컴포넌트 표준화, 기준일자-운항일자 등 필드 매핑 점검 및 기간 가드 추가"/>
  </r>
  <r>
    <s v="UT-GO11965S"/>
    <s v="2-2차"/>
    <n v="1"/>
    <s v="공항운영(GO)"/>
    <s v="DEF-00696"/>
    <s v="[X_1] 순위 dropdown의 item으로 1위~500위가 각각 7개씩 존재합니다."/>
    <s v="개발자테스트"/>
    <s v="신문호"/>
    <s v="신문호"/>
    <s v="3자테스터공통"/>
    <s v="Online"/>
    <s v="결함"/>
    <s v="데이터"/>
    <s v="결함검토요청"/>
    <s v="신문호"/>
    <s v="Minor"/>
    <s v="결함검토요청"/>
    <d v="2026-05-06T10:52:10"/>
    <d v="2026-05-06T10:52:10"/>
    <s v=""/>
    <x v="5"/>
    <s v="기타 검토"/>
    <s v="[X_1] 순위 dropdown의 item으로 1위~500위가 각각 7개씩 존재합니다."/>
    <s v="[X_1] 순위 dropdown의 item으로 1위~500위가 각각 7개씩 존재합니다."/>
    <m/>
    <m/>
    <s v="담당 PL과 결함 성격 재정의 후 분류 보완"/>
  </r>
  <r>
    <s v="UT-PM10503S"/>
    <s v="2-3차"/>
    <n v="1"/>
    <s v="예측관리(PM)"/>
    <s v="DEF-00698"/>
    <s v="테트스용 데이터가 이전 검증 당시 데이터 대비 너무 적은듯 하여, 적절한 테스트가 이뤄지진 못해다고 판단됨."/>
    <s v="개발자테스트"/>
    <s v="임소정"/>
    <s v="pmtbd2"/>
    <s v="3자테스터공통"/>
    <s v="Online"/>
    <s v="개선/변경"/>
    <s v="UI"/>
    <s v="결함검토요청"/>
    <s v="임소정"/>
    <s v="Major"/>
    <s v="결함검토요청"/>
    <d v="2026-05-06T10:54:05"/>
    <d v="2026-05-06T10:54:05"/>
    <s v=""/>
    <x v="3"/>
    <s v="데이터 정합성"/>
    <s v="테트스용 데이터가 이전 검증 당시 데이터 대비 너무 적은듯 하여, 적절한 테스트가 이뤄지진 못해다고 판단됨."/>
    <s v="테트스용 데이터가 이전 검증 당시 데이터 대비 너무 적은듯 하여, 적절한 테스트가 이뤄지진 못해다고 판단됨."/>
    <m/>
    <m/>
    <s v="원천 데이터-화면 매핑 재검증, 집계 로직 단위 테스트 보강"/>
  </r>
  <r>
    <s v="UT-GO21401S"/>
    <s v="2-2차"/>
    <n v="1"/>
    <s v="공항운영(GO)"/>
    <s v="DEF-00701"/>
    <s v="[C_5] 삭제 confirm 문구 수정 필요"/>
    <s v="개발자테스트"/>
    <s v="신문호"/>
    <s v="신문호"/>
    <s v="3자테스터공통"/>
    <s v="Online"/>
    <s v="결함"/>
    <s v="UI"/>
    <s v="결함검토요청"/>
    <s v="신문호"/>
    <s v="Minor"/>
    <s v="결함검토요청"/>
    <d v="2026-05-06T11:06:28"/>
    <d v="2026-05-06T11:06:28"/>
    <s v=""/>
    <x v="7"/>
    <s v="안내 메시지 부재"/>
    <s v="[C_5] 삭제 confirm 문구 수정 필요"/>
    <s v="[C_5] 삭제 confirm 문구 수정 필요"/>
    <m/>
    <m/>
    <s v="UX 가이드라인에 따라 표준 안내·툴팁 문구 적용, 무데이터/오류 메시지 정비"/>
  </r>
  <r>
    <s v="UT-PM20156S"/>
    <s v="2-2차"/>
    <n v="1"/>
    <s v="예측관리(PM)"/>
    <s v="DEF-00706"/>
    <s v="- 그래프 비교시 기존VS시뮬레이션 숫자가 겹쳐져서 식별이 안됨._x000a_- 그래프비교 – 화면크기 조정시 일부 잘림(화면배율50%까지는 보임.67%부터 잘림, 노트북에서는 더 높은 배율에서도 잘림))_x000a_- 합계행 분리됨(배율 낮추면 분리됨)_x000a_"/>
    <s v="개발자테스트"/>
    <s v="임소정"/>
    <s v="노세찬"/>
    <s v="3자테스터공통"/>
    <s v="Online"/>
    <s v="개선/변경"/>
    <s v="UI"/>
    <s v="결함검토요청"/>
    <s v="임소정"/>
    <s v="Minor"/>
    <s v="결함검토요청"/>
    <d v="2026-05-06T12:47:38"/>
    <d v="2026-05-06T12:47:39"/>
    <s v=""/>
    <x v="2"/>
    <s v="차트 표시 오류"/>
    <s v="- 그래프 비교시 기존VS시뮬레이션 숫자가 겹쳐져서 식별이 안됨."/>
    <s v="- 그래프 비교시 기존VS시뮬레이션 숫자가 겹쳐져서 식별이 안됨. - 그래프비교 – 화면크기 조정시 일부 잘림(화면배율50%까지는 보임.67%부터 잘림, 노트북에서는 더 높은 배율에서도 잘림)) - 합계행 분리됨(배율 낮추면 분리됨)"/>
    <m/>
    <m/>
    <s v="차트 공통 컴포넌트 점검, 무데이터 처리 및 축/범례 표준화"/>
  </r>
  <r>
    <s v="UT-GO21309S"/>
    <s v="2-1차"/>
    <n v="1"/>
    <s v="공항운영(GO)"/>
    <s v="DEF-00772"/>
    <s v="[S_1] 단위테스트결과서상에는 조회기간 default 값이 '한 달 전 ~ 오늘' 이라고 되어있으나 이틀 전 ~ 오늘로 동작"/>
    <s v="개발자테스트"/>
    <s v="신문호"/>
    <s v="김경준"/>
    <s v="3자테스터공통"/>
    <s v="Online"/>
    <s v="결함"/>
    <s v="문서화"/>
    <s v="결함검토요청"/>
    <s v="신문호"/>
    <s v="Minor"/>
    <s v="결함검토요청"/>
    <d v="2026-05-07T10:38:27"/>
    <d v="2026-05-07T10:38:27"/>
    <s v=""/>
    <x v="0"/>
    <s v="기간 범위 처리"/>
    <s v="[S_1] 단위테스트결과서상에는 조회기간 default 값이 '한 달 전 ~ 오늘' 이라고 되어있으나 이…"/>
    <s v="[S_1] 단위테스트결과서상에는 조회기간 default 값이 '한 달 전 ~ 오늘' 이라고 되어있으나 이틀 전 ~ 오늘로 동작"/>
    <m/>
    <m/>
    <s v="날짜 컴포넌트 표준화, 기준일자-운항일자 등 필드 매핑 점검 및 기간 가드 추가"/>
  </r>
  <r>
    <s v="UT-GO11963S"/>
    <s v="2-2차"/>
    <n v="1"/>
    <s v="공항운영(GO)"/>
    <s v="DEF-00164"/>
    <s v="조회년도를 선택할떄 현재년도가 없음(2026)"/>
    <s v="개발자테스트"/>
    <s v="신문호"/>
    <s v="신문호"/>
    <s v="3자테스터공통"/>
    <s v="Online"/>
    <s v="결함"/>
    <s v="기능"/>
    <s v="결함검토요청"/>
    <s v="신문호"/>
    <s v="Minor"/>
    <s v="결함검토요청"/>
    <d v="2026-04-27T10:59:37"/>
    <d v="2026-04-27T10:59:37"/>
    <s v=""/>
    <x v="0"/>
    <s v="날짜 표시/포맷"/>
    <s v="조회년도를 선택할떄 현재년도가 없음(2026)"/>
    <s v="조회년도를 선택할떄 현재년도가 없음(2026)"/>
    <m/>
    <m/>
    <s v="날짜 컴포넌트 표준화, 기준일자-운항일자 등 필드 매핑 점검 및 기간 가드 추가"/>
  </r>
  <r>
    <s v="UT-GO12908S"/>
    <s v="2-2차"/>
    <n v="1"/>
    <s v="공항운영(GO)"/>
    <s v="DEF-00180"/>
    <s v="메뉴는 익일 터미널 계획이라 조회기준일자가 익일로 나오는게 맞는건지_x000a_테스트 시나리오에는 디폴트가 현재일자로 나와있음"/>
    <s v="개발자테스트"/>
    <s v="신문호"/>
    <s v="신문호"/>
    <s v="3자테스터공통"/>
    <s v="Online"/>
    <s v="결함"/>
    <s v="기능"/>
    <s v="결함검토요청"/>
    <s v="신문호"/>
    <s v="Minor"/>
    <s v="결함검토요청"/>
    <d v="2026-04-27T13:29:41"/>
    <d v="2026-04-28T14:04:24"/>
    <s v=""/>
    <x v="0"/>
    <s v="기준일자/조회일자 불일치"/>
    <s v="메뉴는 익일 터미널 계획이라 조회기준일자가 익일로 나오는게 맞는건지"/>
    <s v="메뉴는 익일 터미널 계획이라 조회기준일자가 익일로 나오는게 맞는건지 테스트 시나리오에는 디폴트가 현재일자로 나와있음"/>
    <m/>
    <m/>
    <s v="날짜 컴포넌트 표준화, 기준일자-운항일자 등 필드 매핑 점검 및 기간 가드 추가"/>
  </r>
  <r>
    <s v="UT-GO11951S"/>
    <s v="2-1차"/>
    <n v="1"/>
    <s v="공항운영(GO)"/>
    <s v="DEF-00188"/>
    <s v="입력 필드의 년도 값의 입력 필드 유효성 점검이 이루어 지지 않음._x000a_예로, 1200년, 2200년 입력 저장됨.."/>
    <s v="개발자테스트"/>
    <s v="신문호"/>
    <s v="김경준"/>
    <s v="3자테스터공통"/>
    <s v="Online"/>
    <s v="결함"/>
    <s v="기능"/>
    <s v="결함검토요청"/>
    <s v="신문호"/>
    <s v="Minor"/>
    <s v="결함검토요청"/>
    <d v="2026-04-27T14:10:37"/>
    <d v="2026-04-27T14:10:37"/>
    <s v=""/>
    <x v="0"/>
    <s v="날짜 입력 유효성"/>
    <s v="입력 필드의 년도 값의 입력 필드 유효성 점검이 이루어 지지 않음."/>
    <s v="입력 필드의 년도 값의 입력 필드 유효성 점검이 이루어 지지 않음. 예로, 1200년, 2200년 입력 저장됨.."/>
    <m/>
    <m/>
    <s v="날짜 컴포넌트 표준화, 기준일자-운항일자 등 필드 매핑 점검 및 기간 가드 추가"/>
  </r>
  <r>
    <s v="UT-FSQA032S"/>
    <s v="1-2차"/>
    <n v="1"/>
    <s v="항공보안(FS)"/>
    <s v="DEF-00216"/>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s v="개발자테스트"/>
    <s v="임소정"/>
    <s v="임소정"/>
    <s v="3자테스터공통"/>
    <s v="Online"/>
    <s v="개선/변경"/>
    <s v="기능"/>
    <s v="결함검토요청"/>
    <s v="임소정"/>
    <s v="Minor"/>
    <s v="결함검토요청"/>
    <d v="2026-04-27T16:31:12"/>
    <d v="2026-04-27T16:31:12"/>
    <s v=""/>
    <x v="1"/>
    <s v="엑셀 다운로드 오류"/>
    <s v="단위테스트 2. 조회된 데이터를 대상으로 엑셀저장 기능 정상 작동 여부 확인  --&gt; 조회된 화면에서 기…"/>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m/>
    <m/>
    <s v="엑셀/PDF 공통 출력 모듈 점검, 컬럼 매핑·서식 검증 및 예외 처리"/>
  </r>
  <r>
    <s v="UT-FSQA033S"/>
    <s v="1-2차"/>
    <n v="1"/>
    <s v="항공보안(FS)"/>
    <s v="DEF-00217"/>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s v="개발자테스트"/>
    <s v="임소정"/>
    <s v="임소정"/>
    <s v="3자테스터공통"/>
    <s v="Online"/>
    <s v="개선/변경"/>
    <s v="기능"/>
    <s v="결함검토요청"/>
    <s v="임소정"/>
    <s v="Minor"/>
    <s v="결함검토요청"/>
    <d v="2026-04-27T16:32:27"/>
    <d v="2026-04-27T16:32:27"/>
    <s v=""/>
    <x v="1"/>
    <s v="엑셀 다운로드 오류"/>
    <s v="단위테스트 2. 조회된 데이터를 대상으로 엑셀저장 기능 정상 작동 여부 확인  --&gt; 조회된 화면에서 기…"/>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m/>
    <m/>
    <s v="엑셀/PDF 공통 출력 모듈 점검, 컬럼 매핑·서식 검증 및 예외 처리"/>
  </r>
  <r>
    <s v="UT-FSQA034S"/>
    <s v="1-2차"/>
    <n v="1"/>
    <s v="항공보안(FS)"/>
    <s v="DEF-00218"/>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s v="개발자테스트"/>
    <s v="임소정"/>
    <s v="임소정"/>
    <s v="3자테스터공통"/>
    <s v="Online"/>
    <s v="개선/변경"/>
    <s v="기능"/>
    <s v="결함검토요청"/>
    <s v="임소정"/>
    <s v="Minor"/>
    <s v="결함검토요청"/>
    <d v="2026-04-27T16:33:57"/>
    <d v="2026-04-27T16:33:57"/>
    <s v=""/>
    <x v="1"/>
    <s v="엑셀 다운로드 오류"/>
    <s v="단위테스트 2. 조회된 데이터를 대상으로 엑셀저장 기능 정상 작동 여부 확인  --&gt; 조회된 화면에서 기…"/>
    <s v="단위테스트 2. 조회된 데이터를 대상으로 엑셀저장 기능 정상 작동 여부 확인  --&gt; 조회된 화면에서 기타 다른 검색 및 터미널 검색 진행후 엑셀 파일 요청시 불러오지 못함..   조회시 타 기능 사용안하면 엑셀 불러옴."/>
    <m/>
    <m/>
    <s v="엑셀/PDF 공통 출력 모듈 점검, 컬럼 매핑·서식 검증 및 예외 처리"/>
  </r>
  <r>
    <s v="UT-GO11965S"/>
    <s v="2-2차"/>
    <n v="1"/>
    <s v="공항운영(GO)"/>
    <s v="DEF-00259"/>
    <s v="조회년도에 현재년도가 존재하지않음(2026년)"/>
    <s v="개발자테스트"/>
    <s v="신문호"/>
    <s v="신문호"/>
    <s v="3자테스터공통"/>
    <s v="Online"/>
    <s v="결함"/>
    <s v="기능"/>
    <s v="결함검토요청"/>
    <s v="신문호"/>
    <s v="Minor"/>
    <s v="결함검토요청"/>
    <d v="2026-04-27T17:39:27"/>
    <d v="2026-04-27T17:39:27"/>
    <s v=""/>
    <x v="0"/>
    <s v="날짜 표시/포맷"/>
    <s v="조회년도에 현재년도가 존재하지않음(2026년)"/>
    <s v="조회년도에 현재년도가 존재하지않음(2026년)"/>
    <m/>
    <m/>
    <s v="날짜 컴포넌트 표준화, 기준일자-운항일자 등 필드 매핑 점검 및 기간 가드 추가"/>
  </r>
  <r>
    <s v="UT-GO61602S"/>
    <s v="2-1차"/>
    <n v="1"/>
    <s v="공항운영(GO)"/>
    <s v="DEF-00289"/>
    <s v="1. 상단 좌측의 레이블 글자가 가려서 보이지 않음._x000a_2. 좌우 스크롤, 상하 스크롤 이 화면을 일부 가림. 상하 좌우 스크롤 영역을 제외한 화면에 표시되도록 조절 필요함"/>
    <s v="개발자테스트"/>
    <s v="신문호"/>
    <s v="박정구"/>
    <s v="3자테스터공통"/>
    <s v="Online"/>
    <s v="결함"/>
    <s v="UI"/>
    <s v="결함검토요청"/>
    <s v="신문호"/>
    <s v="Major"/>
    <s v="결함검토요청"/>
    <d v="2026-04-28T10:58:21"/>
    <d v="2026-04-28T10:58:21"/>
    <s v=""/>
    <x v="8"/>
    <s v="폰트/크기"/>
    <s v="1. 상단 좌측의 레이블 글자가 가려서 보이지 않음."/>
    <s v="1. 상단 좌측의 레이블 글자가 가려서 보이지 않음. 2. 좌우 스크롤, 상하 스크롤 이 화면을 일부 가림. 상하 좌우 스크롤 영역을 제외한 화면에 표시되도록 조절 필요함"/>
    <m/>
    <m/>
    <s v="디자인 시스템(GNB/그리드/타이포) 준수 점검, 잘림·정렬 보정"/>
  </r>
  <r>
    <s v="UT-GO42101S"/>
    <s v="2-2차"/>
    <n v="1"/>
    <s v="공항운영(GO)"/>
    <s v="DEF-00292"/>
    <s v="각 페이지마다 엑셀 다운로드 버튼의 위치가 다름._x000a_어느 페이지는 searchform 밖에, 어느 페이지는 안에 위치하는데_x000a_통일성이 필요해보임"/>
    <s v="개발자테스트"/>
    <s v="신문호"/>
    <s v="김경준"/>
    <s v="3자테스터공통"/>
    <s v="Online"/>
    <s v="개선/변경"/>
    <s v="UI"/>
    <s v="결함검토요청"/>
    <s v="신문호"/>
    <s v="Minor"/>
    <s v="결함검토요청"/>
    <d v="2026-04-28T11:05:10"/>
    <d v="2026-04-28T11:05:10"/>
    <s v=""/>
    <x v="1"/>
    <s v="엑셀 다운로드 오류"/>
    <s v="각 페이지마다 엑셀 다운로드 버튼의 위치가 다름."/>
    <s v="각 페이지마다 엑셀 다운로드 버튼의 위치가 다름. 어느 페이지는 searchform 밖에, 어느 페이지는 안에 위치하는데 통일성이 필요해보임"/>
    <m/>
    <m/>
    <s v="엑셀/PDF 공통 출력 모듈 점검, 컬럼 매핑·서식 검증 및 예외 처리"/>
  </r>
  <r>
    <s v="UT-PM10302S"/>
    <s v="2-3차"/>
    <n v="1"/>
    <s v="예측관리(PM)"/>
    <s v="DEF-00295"/>
    <s v="조회되는 데이터 없음"/>
    <s v="개발자테스트"/>
    <s v="임소정"/>
    <s v="pmtbd1"/>
    <s v="3자테스터공통"/>
    <s v="Online"/>
    <s v="결함"/>
    <s v="데이터"/>
    <s v="결함검토요청"/>
    <s v="염희석"/>
    <s v="Minor"/>
    <s v="결함검토요청"/>
    <d v="2026-04-28T11:12:13"/>
    <d v="2026-04-28T11:12:13"/>
    <s v=""/>
    <x v="4"/>
    <s v="조회 조건 처리"/>
    <s v="조회되는 데이터 없음"/>
    <s v="조회되는 데이터 없음"/>
    <m/>
    <m/>
    <s v="조회 SQL/조건 매핑 재검토, 정렬·필터 기본값 정의서와 일치화"/>
  </r>
  <r>
    <s v="UT-GO21302S"/>
    <s v="1-2차"/>
    <n v="1"/>
    <s v="공항운영(GO)"/>
    <s v="DEF-00296"/>
    <s v="테스트케이스 엑셀 파일이 없습니다. "/>
    <s v="개발자테스트"/>
    <s v="신문호"/>
    <s v="박정구"/>
    <s v="3자테스터공통"/>
    <s v="Online"/>
    <s v="결함"/>
    <s v="기타"/>
    <s v="결함검토요청"/>
    <s v="신문호"/>
    <s v="Minor"/>
    <s v="결함검토요청"/>
    <d v="2026-04-28T11:12:45"/>
    <d v="2026-04-28T11:12:45"/>
    <s v=""/>
    <x v="1"/>
    <s v="엑셀 다운로드 오류"/>
    <s v="테스트케이스 엑셀 파일이 없습니다."/>
    <s v="테스트케이스 엑셀 파일이 없습니다."/>
    <m/>
    <m/>
    <s v="엑셀/PDF 공통 출력 모듈 점검, 컬럼 매핑·서식 검증 및 예외 처리"/>
  </r>
  <r>
    <s v="UT-GO21312S"/>
    <s v="1-2차"/>
    <n v="1"/>
    <s v="공항운영(GO)"/>
    <s v="DEF-00297"/>
    <s v="테스트 케이스 엑셀이 없습니다. "/>
    <s v="개발자테스트"/>
    <s v="신문호"/>
    <s v="박정구"/>
    <s v="3자테스터공통"/>
    <s v="Online"/>
    <s v="개선/변경"/>
    <s v="기타"/>
    <s v="결함검토요청"/>
    <s v="신문호"/>
    <s v="Minor"/>
    <s v="결함검토요청"/>
    <d v="2026-04-28T11:13:21"/>
    <d v="2026-04-28T11:13:21"/>
    <s v=""/>
    <x v="1"/>
    <s v="엑셀 다운로드 오류"/>
    <s v="테스트 케이스 엑셀이 없습니다."/>
    <s v="테스트 케이스 엑셀이 없습니다."/>
    <m/>
    <m/>
    <s v="엑셀/PDF 공통 출력 모듈 점검, 컬럼 매핑·서식 검증 및 예외 처리"/>
  </r>
  <r>
    <s v="UT-GO42101S"/>
    <s v="2-2차"/>
    <n v="1"/>
    <s v="공항운영(GO)"/>
    <s v="DEF-00708"/>
    <s v="[S_3] 조회 결과가 없더라도 경고메시지가 표출되지는 않습니다(단위시험케이스 #3 예상 결과와 상이)."/>
    <s v="개발자테스트"/>
    <s v="신문호"/>
    <s v="김경준"/>
    <s v="3자테스터공통"/>
    <s v="Online"/>
    <s v="결함"/>
    <s v="프로세스"/>
    <s v="결함검토요청"/>
    <s v="신문호"/>
    <s v="Minor"/>
    <s v="결함검토요청"/>
    <d v="2026-05-06T13:47:00"/>
    <d v="2026-05-06T13:49:18"/>
    <s v=""/>
    <x v="4"/>
    <s v="조회 조건 처리"/>
    <s v="[S_3] 조회 결과가 없더라도 경고메시지가 표출되지는 않습니다(단위시험케이스 #3 예상 결과와 상이)."/>
    <s v="[S_3] 조회 결과가 없더라도 경고메시지가 표출되지는 않습니다(단위시험케이스 #3 예상 결과와 상이)."/>
    <m/>
    <m/>
    <s v="조회 SQL/조건 매핑 재검토, 정렬·필터 기본값 정의서와 일치화"/>
  </r>
  <r>
    <s v="UT-GO42101S"/>
    <s v="2-2차"/>
    <n v="1"/>
    <s v="공항운영(GO)"/>
    <s v="DEF-00709"/>
    <s v="[X_1] 값 수정 후 저장 버튼을 누르면 DB 접근 중 문제가 발생했다는 alert가 표출되며 저장이 불가능합니다."/>
    <s v="개발자테스트"/>
    <s v="신문호"/>
    <s v="김경준"/>
    <s v="3자테스터공통"/>
    <s v="Online"/>
    <s v="결함"/>
    <s v="기능"/>
    <s v="결함검토요청"/>
    <s v="신문호"/>
    <s v="Major"/>
    <s v="결함검토요청"/>
    <d v="2026-05-06T13:57:34"/>
    <d v="2026-05-06T13:58:03"/>
    <s v=""/>
    <x v="7"/>
    <s v="메시지 표시"/>
    <s v="[X_1] 값 수정 후 저장 버튼을 누르면 DB 접근 중 문제가 발생했다는 alert가 표출되며 저장이 …"/>
    <s v="[X_1] 값 수정 후 저장 버튼을 누르면 DB 접근 중 문제가 발생했다는 alert가 표출되며 저장이 불가능합니다."/>
    <m/>
    <m/>
    <s v="UX 가이드라인에 따라 표준 안내·툴팁 문구 적용, 무데이터/오류 메시지 정비"/>
  </r>
  <r>
    <s v="UT-GO42101S"/>
    <s v="2-2차"/>
    <n v="1"/>
    <s v="공항운영(GO)"/>
    <s v="DEF-00710"/>
    <s v="[C_5] 신규 등록 시 보고일자가 중복되는 경우 등록할 수 없도록 구현된 것으로 보이나, 데이터 제약조건 위반이라는 메시지만 표출되어 사용성 측면에서 보완이 필요합니다."/>
    <s v="개발자테스트"/>
    <s v="신문호"/>
    <s v="김경준"/>
    <s v="3자테스터공통"/>
    <s v="Online"/>
    <s v="결함"/>
    <s v="UI"/>
    <s v="결함검토요청"/>
    <s v="신문호"/>
    <s v="Minor"/>
    <s v="결함검토요청"/>
    <d v="2026-05-06T14:12:15"/>
    <d v="2026-05-06T14:12:15"/>
    <s v=""/>
    <x v="0"/>
    <s v="날짜 표시/포맷"/>
    <s v="[C_5] 신규 등록 시 보고일자가 중복되는 경우 등록할 수 없도록 구현된 것으로 보이나, 데이터 제약조…"/>
    <s v="[C_5] 신규 등록 시 보고일자가 중복되는 경우 등록할 수 없도록 구현된 것으로 보이나, 데이터 제약조건 위반이라는 메시지만 표출되어 사용성 측면에서 보완이 필요합니다."/>
    <m/>
    <m/>
    <s v="날짜 컴포넌트 표준화, 기준일자-운항일자 등 필드 매핑 점검 및 기간 가드 추가"/>
  </r>
  <r>
    <s v="UT-GO42101S"/>
    <s v="2-2차"/>
    <n v="1"/>
    <s v="공항운영(GO)"/>
    <s v="DEF-00711"/>
    <s v="[X_2] 신규 등록 시 '저장' 버튼을 눌러 실제로 저장에 성공했음에도, 저장되었다는 안내 메시지도 없고, '+' 플래그가 없어지지 않아 마치 저장되지 않은 것처럼 느껴집니다."/>
    <s v="개발자테스트"/>
    <s v="신문호"/>
    <s v="김경준"/>
    <s v="3자테스터공통"/>
    <s v="Online"/>
    <s v="결함"/>
    <s v="UI"/>
    <s v="결함검토요청"/>
    <s v="신문호"/>
    <s v="Minor"/>
    <s v="결함검토요청"/>
    <d v="2026-05-06T14:18:48"/>
    <d v="2026-05-06T14:18:48"/>
    <s v=""/>
    <x v="7"/>
    <s v="안내 메시지 부재"/>
    <s v="[X_2] 신규 등록 시 '저장' 버튼을 눌러 실제로 저장에 성공했음에도, 저장되었다는 안내 메시지도 없…"/>
    <s v="[X_2] 신규 등록 시 '저장' 버튼을 눌러 실제로 저장에 성공했음에도, 저장되었다는 안내 메시지도 없고, '+' 플래그가 없어지지 않아 마치 저장되지 않은 것처럼 느껴집니다."/>
    <m/>
    <m/>
    <s v="UX 가이드라인에 따라 표준 안내·툴팁 문구 적용, 무데이터/오류 메시지 정비"/>
  </r>
  <r>
    <s v="UT-PM10404S"/>
    <s v="2-3차"/>
    <n v="1"/>
    <s v="예측관리(PM)"/>
    <s v="DEF-00009"/>
    <s v="시간 범위 변경하여 저장 후 재조회하면 저장 안됨."/>
    <s v="개발자테스트"/>
    <s v="임소정"/>
    <s v="pmtbd1"/>
    <s v="3자테스터공통"/>
    <s v="Online"/>
    <s v="결함"/>
    <s v="기능"/>
    <s v="결함검토요청"/>
    <s v="염희석"/>
    <s v="Major"/>
    <s v="결함검토요청"/>
    <d v="2026-04-22T13:42:16"/>
    <d v="2026-04-22T13:42:16"/>
    <s v=""/>
    <x v="4"/>
    <s v="조회 조건 처리"/>
    <s v="시간 범위 변경하여 저장 후 재조회하면 저장 안됨."/>
    <s v="시간 범위 변경하여 저장 후 재조회하면 저장 안됨."/>
    <m/>
    <m/>
    <s v="조회 SQL/조건 매핑 재검토, 정렬·필터 기본값 정의서와 일치화"/>
  </r>
  <r>
    <s v="UT-PM10509S"/>
    <s v="2-3차"/>
    <n v="1"/>
    <s v="예측관리(PM)"/>
    <s v="DEF-00018"/>
    <s v="대기인원이 3자리수까지 증가할때 줄바꿈으로 인해 아래로 밀리는 현상 발생."/>
    <s v="개발자테스트"/>
    <s v="임소정"/>
    <s v="pmtbd2"/>
    <s v="3자테스터공통"/>
    <s v="Online"/>
    <s v="결함"/>
    <s v="UI"/>
    <s v="결함검토요청"/>
    <s v="염희석"/>
    <s v="Minor"/>
    <s v="결함검토요청"/>
    <d v="2026-04-22T14:35:55"/>
    <d v="2026-04-22T14:35:56"/>
    <s v=""/>
    <x v="6"/>
    <s v="입력 길이 제한"/>
    <s v="대기인원이 3자리수까지 증가할때 줄바꿈으로 인해 아래로 밀리는 현상 발생."/>
    <s v="대기인원이 3자리수까지 증가할때 줄바꿈으로 인해 아래로 밀리는 현상 발생."/>
    <m/>
    <m/>
    <s v="프론트/백엔드 양측에 입력 유효성 검증 추가 및 공통 validator 적용"/>
  </r>
  <r>
    <s v="UT-PM10511S"/>
    <s v="2-3차"/>
    <n v="1"/>
    <s v="예측관리(PM)"/>
    <s v="DEF-00019"/>
    <s v="차트보기에 아무것도 나오지 않습니다. T1, T2 둘다 조회 안됨."/>
    <s v="개발자테스트"/>
    <s v="임소정"/>
    <s v="pmtbd3"/>
    <s v="3자테스터공통"/>
    <s v="Online"/>
    <s v="결함"/>
    <s v="데이터"/>
    <s v="결함검토요청"/>
    <s v="염희석"/>
    <s v="Major"/>
    <s v="결함검토요청"/>
    <d v="2026-04-22T14:37:59"/>
    <d v="2026-04-22T14:37:59"/>
    <s v=""/>
    <x v="2"/>
    <s v="차트 표시 오류"/>
    <s v="차트보기에 아무것도 나오지 않습니다. T1, T2 둘다 조회 안됨."/>
    <s v="차트보기에 아무것도 나오지 않습니다. T1, T2 둘다 조회 안됨."/>
    <m/>
    <m/>
    <s v="차트 공통 컴포넌트 점검, 무데이터 처리 및 축/범례 표준화"/>
  </r>
  <r>
    <s v="UT-GO12506S"/>
    <s v="2-3차"/>
    <n v="1"/>
    <s v="공항운영(GO)"/>
    <s v="DEF-00020"/>
    <s v="저장버튼 후 제공되는 여러 형식 파일간 상이(프로그램에서 제공하는 화면에서도 상이)_x000a_ - 첫페이지 여러 셀에 -100%가 입력되어 있는데, 파일 형식별로 모두 상이_x000a_ - 글자 크기를 협의하든지 해서 일관성 있게 맞출 필요가 있어 보임_x000a_ - 모든 출력물 하단에 페이지 번호 없음_x000a_ - &quot;show notice&quot;에러 동일"/>
    <s v="개발자테스트"/>
    <s v="신문호"/>
    <s v="김경준"/>
    <s v="3자테스터공통"/>
    <s v="Online"/>
    <s v="개선/변경"/>
    <s v="UI"/>
    <s v="결함검토요청"/>
    <s v="신문호"/>
    <s v="Minor"/>
    <s v="결함검토요청"/>
    <d v="2026-04-22T14:39:13"/>
    <d v="2026-04-22T15:15:57"/>
    <s v=""/>
    <x v="1"/>
    <s v="파일 출력/다운로드"/>
    <s v="저장버튼 후 제공되는 여러 형식 파일간 상이(프로그램에서 제공하는 화면에서도 상이)"/>
    <s v="저장버튼 후 제공되는 여러 형식 파일간 상이(프로그램에서 제공하는 화면에서도 상이)  - 첫페이지 여러 셀에 -100%가 입력되어 있는데, 파일 형식별로 모두 상이  - 글자 크기를 협의하든지 해서 일관성 있게 맞출 필요가 있어 보임  - 모든 출…"/>
    <m/>
    <m/>
    <s v="엑셀/PDF 공통 출력 모듈 점검, 컬럼 매핑·서식 검증 및 예외 처리"/>
  </r>
  <r>
    <s v="UT-GO12940S"/>
    <s v="2-3차"/>
    <n v="1"/>
    <s v="공항운영(GO)"/>
    <s v="DEF-00023"/>
    <s v="[S_2] 조건에 따른 조회결과가 표출되지 않음._x000a_(2025.06.10, 13:00, Grade  : 전체)"/>
    <s v="개발자테스트"/>
    <s v="신문호"/>
    <s v="신문호"/>
    <s v="3자테스터공통"/>
    <s v="Online"/>
    <s v="결함"/>
    <s v="기능"/>
    <s v="결함검토요청"/>
    <s v="신문호"/>
    <s v="Major"/>
    <s v="결함검토요청"/>
    <d v="2026-04-22T14:54:47"/>
    <d v="2026-04-22T14:54:47"/>
    <s v=""/>
    <x v="4"/>
    <s v="조회 조건 처리"/>
    <s v="[S_2] 조건에 따른 조회결과가 표출되지 않음."/>
    <s v="[S_2] 조건에 따른 조회결과가 표출되지 않음. (2025.06.10, 13:00, Grade  : 전체)"/>
    <m/>
    <m/>
    <s v="조회 SQL/조건 매핑 재검토, 정렬·필터 기본값 정의서와 일치화"/>
  </r>
  <r>
    <s v="UT-GO42101S"/>
    <s v="2-2차"/>
    <n v="1"/>
    <s v="공항운영(GO)"/>
    <s v="DEF-00712"/>
    <s v="[X_3] 삭제 버튼('-') 클릭 시 테이블에 '-' 형태의 삭제 플래그가 표시되지 않고 row가 바로 없어져서 삭제된 것처럼 느껴지지만, 이는 화면상에서만 사라진 것이고 실제로는 저장 버튼까지 눌러야 삭제되기 때문에 사용자 관점에서는 혼동의 여지가 있습니다 (타 메뉴의 삭제 프로세스와도 상이하여 일관성이 떨어집니다)."/>
    <s v="개발자테스트"/>
    <s v="신문호"/>
    <s v="김경준"/>
    <s v="3자테스터공통"/>
    <s v="Online"/>
    <s v="결함"/>
    <s v="프로세스"/>
    <s v="결함검토요청"/>
    <s v="신문호"/>
    <s v="Minor"/>
    <s v="결함검토요청"/>
    <d v="2026-05-06T14:29:29"/>
    <d v="2026-05-06T14:29:29"/>
    <s v=""/>
    <x v="11"/>
    <s v="버튼 동작 오류"/>
    <s v="[X_3] 삭제 버튼('-') 클릭 시 테이블에 '-' 형태의 삭제 플래그가 표시되지 않고 row가 바로…"/>
    <s v="[X_3] 삭제 버튼('-') 클릭 시 테이블에 '-' 형태의 삭제 플래그가 표시되지 않고 row가 바로 없어져서 삭제된 것처럼 느껴지지만, 이는 화면상에서만 사라진 것이고 실제로는 저장 버튼까지 눌러야 삭제되기 때문에 사용자 관점에서는 혼동의 여…"/>
    <m/>
    <m/>
    <s v="버튼/상태 컴포넌트 표준 적용, 활성·비활성 조건 명세화"/>
  </r>
  <r>
    <s v="UT-GO42101S"/>
    <s v="2-2차"/>
    <n v="1"/>
    <s v="공항운영(GO)"/>
    <s v="DEF-00713"/>
    <s v="[C_1] 같은 레벨(같은 성격)의 필드명임에도 글씨 크기가 서로 상이합니다 (빨간색 row ↔ 주황색 row)"/>
    <s v="개발자테스트"/>
    <s v="신문호"/>
    <s v="김경준"/>
    <s v="3자테스터공통"/>
    <s v="Online"/>
    <s v="결함"/>
    <s v="UI"/>
    <s v="결함검토요청"/>
    <s v="신문호"/>
    <s v="Minor"/>
    <s v="결함검토요청"/>
    <d v="2026-05-06T14:35:30"/>
    <d v="2026-05-06T14:35:30"/>
    <s v=""/>
    <x v="8"/>
    <s v="폰트/크기"/>
    <s v="[C_1] 같은 레벨(같은 성격)의 필드명임에도 글씨 크기가 서로 상이합니다 (빨간색 row ↔ 주황색 …"/>
    <s v="[C_1] 같은 레벨(같은 성격)의 필드명임에도 글씨 크기가 서로 상이합니다 (빨간색 row ↔ 주황색 row)"/>
    <m/>
    <m/>
    <s v="디자인 시스템(GNB/그리드/타이포) 준수 점검, 잘림·정렬 보정"/>
  </r>
  <r>
    <s v="UT-PM10105S"/>
    <s v="2-2차"/>
    <n v="1"/>
    <s v="예측관리(PM)"/>
    <s v="DEF-00714"/>
    <s v="①기간 설정 오류(시작일이 종료일 전)에 따른 에러메시지가 없음_x000a_"/>
    <s v="개발자테스트"/>
    <s v="임소정"/>
    <s v="신문호"/>
    <s v="3자테스터공통"/>
    <s v="Online"/>
    <s v="개선/변경"/>
    <s v="UI"/>
    <s v="결함검토요청"/>
    <s v="임소정"/>
    <s v="Minor"/>
    <s v="결함검토요청"/>
    <d v="2026-05-06T14:36:53"/>
    <d v="2026-05-06T14:36:53"/>
    <s v=""/>
    <x v="0"/>
    <s v="기간 범위 처리"/>
    <s v="①기간 설정 오류(시작일이 종료일 전)에 따른 에러메시지가 없음"/>
    <s v="①기간 설정 오류(시작일이 종료일 전)에 따른 에러메시지가 없음"/>
    <m/>
    <m/>
    <s v="날짜 컴포넌트 표준화, 기준일자-운항일자 등 필드 매핑 점검 및 기간 가드 추가"/>
  </r>
  <r>
    <s v="UT-GO42101S"/>
    <s v="2-2차"/>
    <n v="1"/>
    <s v="공항운영(GO)"/>
    <s v="DEF-00715"/>
    <s v="[C_5] [C_15]_x000a_• 신규 등록 시 터미널 구분이 T1 또는 T2가 아닌 경우 등록할 수 없도록 구현된 것으로 보이나, 데이터 제약조건 위반이라는 메시지만 표출되어 사용성 측면에서 보완이 필요합니다._x000a__x000a_• 또한 T1 또는 T2만 입력할 수 있으므로 radio button이나 combobox를 사용하는 것이 더 적절할 것 같고,_x000a__x000a_• UI상 T1과 T2 컴포넌트가 분리되어 있으므로 아예 터미널 구분란을 없애고 T1 컴포넌트에서는 T1 CRUD만, T2 컴포넌트에서는 T2 CRUD만 수행하도록 하는 것이 좋을 것 같습니다."/>
    <s v="개발자테스트"/>
    <s v="신문호"/>
    <s v="김경준"/>
    <s v="3자테스터공통"/>
    <s v="Online"/>
    <s v="결함"/>
    <s v="UI"/>
    <s v="결함검토요청"/>
    <s v="신문호"/>
    <s v="Minor"/>
    <s v="결함검토요청"/>
    <d v="2026-05-06T14:42:29"/>
    <d v="2026-05-06T14:42:29"/>
    <s v=""/>
    <x v="4"/>
    <s v="조회 조건 처리"/>
    <s v="[C_5] [C_15]"/>
    <s v="[C_5] [C_15] • 신규 등록 시 터미널 구분이 T1 또는 T2가 아닌 경우 등록할 수 없도록 구현된 것으로 보이나, 데이터 제약조건 위반이라는 메시지만 표출되어 사용성 측면에서 보완이 필요합니다.  • 또한 T1 또는 T2만 입력할 수 있…"/>
    <m/>
    <m/>
    <s v="조회 SQL/조건 매핑 재검토, 정렬·필터 기본값 정의서와 일치화"/>
  </r>
  <r>
    <s v="UT-PM10106S"/>
    <s v="2-2차"/>
    <n v="1"/>
    <s v="예측관리(PM)"/>
    <s v="DEF-00716"/>
    <s v="메뉴가 확인 불가"/>
    <s v="개발자테스트"/>
    <s v="임소정"/>
    <s v="신문호"/>
    <s v="3자테스터공통"/>
    <s v="Online"/>
    <s v="결함"/>
    <s v="UI"/>
    <s v="결함검토요청"/>
    <s v="임소정"/>
    <s v="Critical"/>
    <s v="결함검토요청"/>
    <d v="2026-05-06T14:49:02"/>
    <d v="2026-05-06T14:49:02"/>
    <s v=""/>
    <x v="5"/>
    <s v="기타 검토"/>
    <s v="메뉴가 확인 불가"/>
    <s v="메뉴가 확인 불가"/>
    <m/>
    <m/>
    <s v="담당 PL과 결함 성격 재정의 후 분류 보완"/>
  </r>
  <r>
    <s v="UT-GO12903S"/>
    <s v="2-2차"/>
    <n v="1"/>
    <s v="공항운영(GO)"/>
    <s v="DEF-00720"/>
    <s v="[C_1] 집계 행 내 정렬 방식 상이"/>
    <s v="개발자테스트"/>
    <s v="신문호"/>
    <s v="신문호"/>
    <s v="3자테스터공통"/>
    <s v="Online"/>
    <s v="결함"/>
    <s v="UI"/>
    <s v="결함검토요청"/>
    <s v="신문호"/>
    <s v="Minor"/>
    <s v="결함검토요청"/>
    <d v="2026-05-06T15:07:16"/>
    <d v="2026-05-06T15:07:16"/>
    <s v=""/>
    <x v="4"/>
    <s v="정렬 오류"/>
    <s v="[C_1] 집계 행 내 정렬 방식 상이"/>
    <s v="[C_1] 집계 행 내 정렬 방식 상이"/>
    <m/>
    <m/>
    <s v="조회 SQL/조건 매핑 재검토, 정렬·필터 기본값 정의서와 일치화"/>
  </r>
  <r>
    <s v="UT-GO12903S"/>
    <s v="2-2차"/>
    <n v="1"/>
    <s v="공항운영(GO)"/>
    <s v="DEF-00722"/>
    <s v="[C_18] '출발/도착', '여객/화물', '터미널' combobox에는 '전체' 항목이 기본값으로 설정되어 있으나 '국토부기준 노선구분', '대상 국가' combobox의 기본값은 공백입니다 (조회 수행 시 실제로는 전체 노선, 전체 국가에 대해 검색되지만)."/>
    <s v="개발자테스트"/>
    <s v="신문호"/>
    <s v="신문호"/>
    <s v="3자테스터공통"/>
    <s v="Online"/>
    <s v="결함"/>
    <s v="UI"/>
    <s v="결함검토요청"/>
    <s v="신문호"/>
    <s v="Minor"/>
    <s v="결함검토요청"/>
    <d v="2026-05-06T15:16:33"/>
    <d v="2026-05-06T15:16:33"/>
    <s v=""/>
    <x v="4"/>
    <s v="조회 조건 처리"/>
    <s v="[C_18] '출발/도착', '여객/화물', '터미널' combobox에는 '전체' 항목이 기본값으로 설…"/>
    <s v="[C_18] '출발/도착', '여객/화물', '터미널' combobox에는 '전체' 항목이 기본값으로 설정되어 있으나 '국토부기준 노선구분', '대상 국가' combobox의 기본값은 공백입니다 (조회 수행 시 실제로는 전체 노선, 전체 국가에 대…"/>
    <m/>
    <m/>
    <s v="조회 SQL/조건 매핑 재검토, 정렬·필터 기본값 정의서와 일치화"/>
  </r>
  <r>
    <s v="UT-GO12903S"/>
    <s v="2-2차"/>
    <n v="1"/>
    <s v="공항운영(GO)"/>
    <s v="DEF-00724"/>
    <s v="[C_2] 검색 컴포넌트의 필수 필드에 대한 일관된 스타일 적용 필요"/>
    <s v="개발자테스트"/>
    <s v="신문호"/>
    <s v="신문호"/>
    <s v="3자테스터공통"/>
    <s v="Online"/>
    <s v="결함"/>
    <s v="UI"/>
    <s v="결함검토요청"/>
    <s v="신문호"/>
    <s v="Minor"/>
    <s v="결함검토요청"/>
    <d v="2026-05-06T15:27:23"/>
    <d v="2026-05-06T16:58:50"/>
    <s v=""/>
    <x v="6"/>
    <s v="필수 입력 누락"/>
    <s v="[C_2] 검색 컴포넌트의 필수 필드에 대한 일관된 스타일 적용 필요"/>
    <s v="[C_2] 검색 컴포넌트의 필수 필드에 대한 일관된 스타일 적용 필요"/>
    <m/>
    <m/>
    <s v="프론트/백엔드 양측에 입력 유효성 검증 추가 및 공통 validator 적용"/>
  </r>
  <r>
    <s v="UT-PM20133M"/>
    <s v="2-1차"/>
    <n v="1"/>
    <s v="예측관리(PM)"/>
    <s v="DEF-00726"/>
    <s v="-승객예고모니터링-승객예약입력정보는 데이터가 없어 확인 불가."/>
    <s v="개발자테스트"/>
    <s v="임소정"/>
    <s v="pmtbd3"/>
    <s v="3자테스터공통"/>
    <s v="Online"/>
    <s v="개선/변경"/>
    <s v="UI"/>
    <s v="결함검토요청"/>
    <s v="임소정"/>
    <s v="Minor"/>
    <s v="결함검토요청"/>
    <d v="2026-05-06T15:44:02"/>
    <d v="2026-05-06T15:44:02"/>
    <s v=""/>
    <x v="3"/>
    <s v="데이터 정합성"/>
    <s v="-승객예고모니터링-승객예약입력정보는 데이터가 없어 확인 불가."/>
    <s v="-승객예고모니터링-승객예약입력정보는 데이터가 없어 확인 불가."/>
    <m/>
    <m/>
    <s v="원천 데이터-화면 매핑 재검증, 집계 로직 단위 테스트 보강"/>
  </r>
  <r>
    <s v="UT-GO12907S"/>
    <s v="2-2차"/>
    <n v="1"/>
    <s v="공항운영(GO)"/>
    <s v="DEF-00727"/>
    <s v="[S_2] 주기장 점유율 및 주기대수, 장기주기 항공기 대수 란에 값이 없습니다."/>
    <s v="개발자테스트"/>
    <s v="신문호"/>
    <s v="신문호"/>
    <s v="3자테스터공통"/>
    <s v="Online"/>
    <s v="결함"/>
    <s v="기능"/>
    <s v="결함검토요청"/>
    <s v="신문호"/>
    <s v="Major"/>
    <s v="결함검토요청"/>
    <d v="2026-05-06T15:47:35"/>
    <d v="2026-05-06T15:47:35"/>
    <s v=""/>
    <x v="3"/>
    <s v="데이터 정합성"/>
    <s v="[S_2] 주기장 점유율 및 주기대수, 장기주기 항공기 대수 란에 값이 없습니다."/>
    <s v="[S_2] 주기장 점유율 및 주기대수, 장기주기 항공기 대수 란에 값이 없습니다."/>
    <m/>
    <m/>
    <s v="원천 데이터-화면 매핑 재검증, 집계 로직 단위 테스트 보강"/>
  </r>
  <r>
    <s v="UT-GO12510S"/>
    <s v="2-3차"/>
    <n v="1"/>
    <s v="공항운영(GO)"/>
    <s v="DEF-00027"/>
    <s v="문서 양식의 표준 확인하여 보완필요"/>
    <s v="개발자테스트"/>
    <s v="신문호"/>
    <s v="김경준"/>
    <s v="3자테스터공통"/>
    <s v="Online"/>
    <s v="개선/변경"/>
    <s v="UI"/>
    <s v="결함검토요청"/>
    <s v="신문호"/>
    <s v="Minor"/>
    <s v="결함검토요청"/>
    <d v="2026-04-22T15:18:09"/>
    <d v="2026-04-22T15:18:09"/>
    <s v=""/>
    <x v="14"/>
    <s v="요건/문서 불일치"/>
    <s v="문서 양식의 표준 확인하여 보완필요"/>
    <s v="문서 양식의 표준 확인하여 보완필요"/>
    <m/>
    <m/>
    <s v="요건정의서·UI정의서 갱신 후 형상관리, 변경이력 동기화"/>
  </r>
  <r>
    <s v="UT-GO12937S"/>
    <s v="2-3차"/>
    <n v="1"/>
    <s v="공항운영(GO)"/>
    <s v="DEF-00028"/>
    <s v="조건에 따른 조회결과가 표출되지 않음. (2025.06.10, 13:00, Grade : 전체)"/>
    <s v="개발자테스트"/>
    <s v="신문호"/>
    <s v="신문호"/>
    <s v="3자테스터공통"/>
    <s v="Online"/>
    <s v="결함"/>
    <s v="기능"/>
    <s v="결함검토요청"/>
    <s v="신문호"/>
    <s v="Major"/>
    <s v="결함검토요청"/>
    <d v="2026-04-22T15:18:20"/>
    <d v="2026-04-22T15:18:20"/>
    <s v=""/>
    <x v="4"/>
    <s v="조회 조건 처리"/>
    <s v="조건에 따른 조회결과가 표출되지 않음. (2025.06.10, 13:00, Grade : 전체)"/>
    <s v="조건에 따른 조회결과가 표출되지 않음. (2025.06.10, 13:00, Grade : 전체)"/>
    <m/>
    <m/>
    <s v="조회 SQL/조건 매핑 재검토, 정렬·필터 기본값 정의서와 일치화"/>
  </r>
  <r>
    <s v="UT-PM20147S"/>
    <s v="2-1차"/>
    <n v="1"/>
    <s v="예측관리(PM)"/>
    <s v="DEF-00730"/>
    <s v="시나리오 증적 이미지와 실제 테스트중 조회결과가 상이함."/>
    <s v="개발자테스트"/>
    <s v="임소정"/>
    <s v="pmtbd3"/>
    <s v="3자테스터공통"/>
    <s v="Online"/>
    <s v="개선/변경"/>
    <s v="UI"/>
    <s v="결함검토요청"/>
    <s v="임소정"/>
    <s v="Minor"/>
    <s v="결함검토요청"/>
    <d v="2026-05-06T16:09:25"/>
    <d v="2026-05-06T16:09:25"/>
    <s v=""/>
    <x v="4"/>
    <s v="조회 조건 처리"/>
    <s v="시나리오 증적 이미지와 실제 테스트중 조회결과가 상이함."/>
    <s v="시나리오 증적 이미지와 실제 테스트중 조회결과가 상이함."/>
    <m/>
    <m/>
    <s v="조회 SQL/조건 매핑 재검토, 정렬·필터 기본값 정의서와 일치화"/>
  </r>
  <r>
    <s v="UT-GO52520S"/>
    <s v="2-2차"/>
    <n v="1"/>
    <s v="공항운영(GO)"/>
    <s v="DEF-00731"/>
    <s v="[C_1] 보고서상에 여객 0명의 경우 '-'로 표기되고, 결/회항 0편의 경우 '0편'으로 표기되어 표기 형식 통일이 필요합니다."/>
    <s v="개발자테스트"/>
    <s v="신문호"/>
    <s v="신문호"/>
    <s v="3자테스터공통"/>
    <s v="Online"/>
    <s v="결함"/>
    <s v="UI"/>
    <s v="결함검토요청"/>
    <s v="신문호"/>
    <s v="Minor"/>
    <s v="결함검토요청"/>
    <d v="2026-05-06T16:20:21"/>
    <d v="2026-05-06T16:20:21"/>
    <s v=""/>
    <x v="12"/>
    <s v="라벨/표기"/>
    <s v="[C_1] 보고서상에 여객 0명의 경우 '-'로 표기되고, 결/회항 0편의 경우 '0편'으로 표기되어 표…"/>
    <s v="[C_1] 보고서상에 여객 0명의 경우 '-'로 표기되고, 결/회항 0편의 경우 '0편'으로 표기되어 표기 형식 통일이 필요합니다."/>
    <m/>
    <m/>
    <s v="용어집 기준으로 라벨 일괄 정비, 오타/표기 표준 적용"/>
  </r>
  <r>
    <s v="UT-GO52520S"/>
    <s v="2-2차"/>
    <n v="1"/>
    <s v="공항운영(GO)"/>
    <s v="DEF-00732"/>
    <s v="[C_1] '계류장관리소 조' 는 보고서 출력 후 수기로 기재하도록 값 없이 남겨둔 것인지, 누락된 것인지 확인해 주시면 감사하겠습니다."/>
    <s v="개발자테스트"/>
    <s v="신문호"/>
    <s v="신문호"/>
    <s v="3자테스터공통"/>
    <s v="Online"/>
    <s v="개선/변경"/>
    <s v="UI"/>
    <s v="결함검토요청"/>
    <s v="신문호"/>
    <s v="Minor"/>
    <s v="결함검토요청"/>
    <d v="2026-05-06T16:23:22"/>
    <d v="2026-05-06T16:23:22"/>
    <s v=""/>
    <x v="1"/>
    <s v="파일 출력/다운로드"/>
    <s v="[C_1] '계류장관리소 조' 는 보고서 출력 후 수기로 기재하도록 값 없이 남겨둔 것인지, 누락된 것인…"/>
    <s v="[C_1] '계류장관리소 조' 는 보고서 출력 후 수기로 기재하도록 값 없이 남겨둔 것인지, 누락된 것인지 확인해 주시면 감사하겠습니다."/>
    <m/>
    <m/>
    <s v="엑셀/PDF 공통 출력 모듈 점검, 컬럼 매핑·서식 검증 및 예외 처리"/>
  </r>
  <r>
    <s v="UT-PM20149S"/>
    <s v="2-1차"/>
    <n v="1"/>
    <s v="예측관리(PM)"/>
    <s v="DEF-00733"/>
    <s v="①화면에 찍힌 숫자가 PDF파일에서 일부 사라짐(1,367,729   → 1,367,72) _x000a_"/>
    <s v="개발자테스트"/>
    <s v="임소정"/>
    <s v="pmtbd1"/>
    <s v="3자테스터공통"/>
    <s v="Online"/>
    <s v="결함"/>
    <s v="UI"/>
    <s v="결함검토요청"/>
    <s v="임소정"/>
    <s v="Critical"/>
    <s v="결함검토요청"/>
    <d v="2026-05-06T16:28:33"/>
    <d v="2026-05-06T16:45:01"/>
    <s v=""/>
    <x v="1"/>
    <s v="PDF 출력 오류"/>
    <s v="①화면에 찍힌 숫자가 PDF파일에서 일부 사라짐(1,367,729   → 1,367,72)"/>
    <s v="①화면에 찍힌 숫자가 PDF파일에서 일부 사라짐(1,367,729   → 1,367,72)"/>
    <m/>
    <m/>
    <s v="엑셀/PDF 공통 출력 모듈 점검, 컬럼 매핑·서식 검증 및 예외 처리"/>
  </r>
  <r>
    <s v="UT-GO12901S"/>
    <s v="2-2차"/>
    <n v="1"/>
    <s v="공항운영(GO)"/>
    <s v="DEF-00734"/>
    <s v="[C_2] 검색 컴포넌트의 필수 필드에 대한 일관된 스타일 적용 필요_x000a_• '출도착구분' 필드는 default로 '도착'이 설정되어 있는데,_x000a_• 타 메뉴에서 이와 같이 combobox에 default 값이 설정된 경우 '조회라벨 필수' 스타일을 사용하고 있음."/>
    <s v="개발자테스트"/>
    <s v="신문호"/>
    <s v="신문호"/>
    <s v="3자테스터공통"/>
    <s v="Online"/>
    <s v="결함"/>
    <s v="UI"/>
    <s v="결함검토요청"/>
    <s v="신문호"/>
    <s v="Minor"/>
    <s v="결함검토요청"/>
    <d v="2026-05-06T16:36:55"/>
    <d v="2026-05-06T16:36:55"/>
    <s v=""/>
    <x v="6"/>
    <s v="필수 입력 누락"/>
    <s v="[C_2] 검색 컴포넌트의 필수 필드에 대한 일관된 스타일 적용 필요"/>
    <s v="[C_2] 검색 컴포넌트의 필수 필드에 대한 일관된 스타일 적용 필요 • '출도착구분' 필드는 default로 '도착'이 설정되어 있는데, • 타 메뉴에서 이와 같이 combobox에 default 값이 설정된 경우 '조회라벨 필수' 스타일을 사용…"/>
    <m/>
    <m/>
    <s v="프론트/백엔드 양측에 입력 유효성 검증 추가 및 공통 validator 적용"/>
  </r>
  <r>
    <s v="UT-FSQA130S"/>
    <s v="1-2차"/>
    <n v="1"/>
    <s v="항공보안(FS)"/>
    <s v="DEF-00735"/>
    <s v="아래 화면과 같이 조회하여 나타나는 목록의 정열 순서가 일정하지 않음.._x000a_입력일자 26.4.27 이후 25.1.5 이후에는 25.8.25. 이후 과거순임._x000a_즉, 2번째 25.1.5 는 왜??"/>
    <s v="개발자테스트"/>
    <s v="임소정"/>
    <s v="임소정"/>
    <s v="3자테스터공통"/>
    <s v="Online"/>
    <s v="결함"/>
    <s v="기능"/>
    <s v="결함검토요청"/>
    <s v="임소정"/>
    <s v="Minor"/>
    <s v="결함검토요청"/>
    <d v="2026-05-06T16:39:19"/>
    <d v="2026-05-06T16:39:19"/>
    <s v=""/>
    <x v="0"/>
    <s v="날짜 표시/포맷"/>
    <s v="아래 화면과 같이 조회하여 나타나는 목록의 정열 순서가 일정하지 않음.."/>
    <s v="아래 화면과 같이 조회하여 나타나는 목록의 정열 순서가 일정하지 않음.. 입력일자 26.4.27 이후 25.1.5 이후에는 25.8.25. 이후 과거순임. 즉, 2번째 25.1.5 는 왜??"/>
    <m/>
    <m/>
    <s v="날짜 컴포넌트 표준화, 기준일자-운항일자 등 필드 매핑 점검 및 기간 가드 추가"/>
  </r>
  <r>
    <s v="UT-PM10101S"/>
    <s v="2-1차"/>
    <n v="1"/>
    <s v="예측관리(PM)"/>
    <s v="DEF-00748"/>
    <s v="①조회시간 오류 입력했지만, 운항일 전체 자료 출력됨._x000a_"/>
    <s v="개발자테스트"/>
    <s v="임소정"/>
    <s v="신문호"/>
    <s v="3자테스터공통"/>
    <s v="Online"/>
    <s v="결함"/>
    <s v="UI"/>
    <s v="결함검토요청"/>
    <s v="임소정"/>
    <s v="Major"/>
    <s v="결함검토요청"/>
    <d v="2026-05-06T17:31:11"/>
    <d v="2026-05-06T17:31:11"/>
    <s v=""/>
    <x v="1"/>
    <s v="파일 출력/다운로드"/>
    <s v="①조회시간 오류 입력했지만, 운항일 전체 자료 출력됨."/>
    <s v="①조회시간 오류 입력했지만, 운항일 전체 자료 출력됨."/>
    <m/>
    <m/>
    <s v="엑셀/PDF 공통 출력 모듈 점검, 컬럼 매핑·서식 검증 및 예외 처리"/>
  </r>
  <r>
    <s v="UT-GO12101S"/>
    <s v="2-1차"/>
    <n v="1"/>
    <s v="공항운영(GO)"/>
    <s v="DEF-00749"/>
    <s v="[X_1] '17-1. 항공사별 취항실적'의 집계 row에 값이 집계되고 있지 않음"/>
    <s v="개발자테스트"/>
    <s v="신문호"/>
    <s v="박정구"/>
    <s v="3자테스터공통"/>
    <s v="Online"/>
    <s v="결함"/>
    <s v="기능"/>
    <s v="결함검토요청"/>
    <s v="신문호"/>
    <s v="Minor"/>
    <s v="결함검토요청"/>
    <d v="2026-05-06T17:32:07"/>
    <d v="2026-05-06T17:32:07"/>
    <s v=""/>
    <x v="3"/>
    <s v="집계/계산 오류"/>
    <s v="[X_1] '17-1. 항공사별 취항실적'의 집계 row에 값이 집계되고 있지 않음"/>
    <s v="[X_1] '17-1. 항공사별 취항실적'의 집계 row에 값이 집계되고 있지 않음"/>
    <m/>
    <m/>
    <s v="원천 데이터-화면 매핑 재검증, 집계 로직 단위 테스트 보강"/>
  </r>
  <r>
    <s v="UT-GO11951S"/>
    <s v="2-1차"/>
    <n v="1"/>
    <s v="공항운영(GO)"/>
    <s v="DEF-00751"/>
    <s v="[C_7] 같은 작성일자로 다건 등록이 가능하며, 이후 해당 row 단건 삭제 시 그 작성일자로 등록된 모든 row가 한 번에 삭제됨. 같은 날짜로 다건 등록이 가능하면 대시보드 모달(UT-GO11952M)에서도 비정상적인 그래프가 표출되어 같은 작성일자 등록 제한 필요"/>
    <s v="개발자테스트"/>
    <s v="신문호"/>
    <s v="김경준"/>
    <s v="3자테스터공통"/>
    <s v="Online"/>
    <s v="결함"/>
    <s v="기능"/>
    <s v="결함검토요청"/>
    <s v="신문호"/>
    <s v="Major"/>
    <s v="결함검토요청"/>
    <d v="2026-05-07T08:55:25"/>
    <d v="2026-05-07T09:10:15"/>
    <s v=""/>
    <x v="2"/>
    <s v="차트 표시 오류"/>
    <s v="[C_7] 같은 작성일자로 다건 등록이 가능하며, 이후 해당 row 단건 삭제 시 그 작성일자로 등록된 …"/>
    <s v="[C_7] 같은 작성일자로 다건 등록이 가능하며, 이후 해당 row 단건 삭제 시 그 작성일자로 등록된 모든 row가 한 번에 삭제됨. 같은 날짜로 다건 등록이 가능하면 대시보드 모달(UT-GO11952M)에서도 비정상적인 그래프가 표출되어 같은 …"/>
    <m/>
    <m/>
    <s v="차트 공통 컴포넌트 점검, 무데이터 처리 및 축/범례 표준화"/>
  </r>
  <r>
    <s v="UT-PM10104S"/>
    <s v="2-1차"/>
    <n v="1"/>
    <s v="예측관리(PM)"/>
    <s v="DEF-00752"/>
    <s v="CPSI, Xovis정보탭으로 이동시 첫번째 셀에 Set focus 필요"/>
    <s v="개발자테스트"/>
    <s v="임소정"/>
    <s v="pmtbd3"/>
    <s v="3자테스터공통"/>
    <s v="Online"/>
    <s v="개선/변경"/>
    <s v="UI"/>
    <s v="결함검토요청"/>
    <s v="임소정"/>
    <s v="Minor"/>
    <s v="결함검토요청"/>
    <d v="2026-05-07T08:56:36"/>
    <d v="2026-05-07T08:56:36"/>
    <s v=""/>
    <x v="9"/>
    <s v="개선/변경 요청"/>
    <s v="CPSI, Xovis정보탭으로 이동시 첫번째 셀에 Set focus 필요"/>
    <s v="CPSI, Xovis정보탭으로 이동시 첫번째 셀에 Set focus 필요"/>
    <m/>
    <m/>
    <s v="차기 반영 일감으로 등록 후 우선순위 협의, 정책 가이드 반영"/>
  </r>
  <r>
    <s v="UT-FSQA010S"/>
    <s v="1-2차"/>
    <n v="1"/>
    <s v="항공보안(FS)"/>
    <s v="DEF-00754"/>
    <s v="엑셀 다운로드후 화면페이지 코드명에없는 코드명도 엑셀에 기입 "/>
    <s v="개발자테스트"/>
    <s v="임소정"/>
    <s v="임소정"/>
    <s v="3자테스터공통"/>
    <s v="Online"/>
    <s v="결함"/>
    <s v="데이터"/>
    <s v="결함검토요청"/>
    <s v="임소정"/>
    <s v="Critical"/>
    <s v="결함검토요청"/>
    <d v="2026-05-07T09:23:40"/>
    <d v="2026-05-07T09:23:40"/>
    <s v=""/>
    <x v="1"/>
    <s v="엑셀 다운로드 오류"/>
    <s v="엑셀 다운로드후 화면페이지 코드명에없는 코드명도 엑셀에 기입"/>
    <s v="엑셀 다운로드후 화면페이지 코드명에없는 코드명도 엑셀에 기입"/>
    <m/>
    <m/>
    <s v="엑셀/PDF 공통 출력 모듈 점검, 컬럼 매핑·서식 검증 및 예외 처리"/>
  </r>
  <r>
    <s v="UT-GO11951S"/>
    <s v="2-1차"/>
    <n v="1"/>
    <s v="공항운영(GO)"/>
    <s v="DEF-00755"/>
    <s v="[X_1] 운행 연도 미입력 시 해당 란을 비워두는 것이 아니라 무조건 0으로 채워지는데, 이는 대시보드 리포트 모달(UT-GO11952M)의 bar chart에 잘못된 기본값 연도로 x축이 구성되는 결과를 초래함_x000a__x000a_(UT-GO11952M 증적상 x축에 하나의 연도만 존재했던 것과도 상이)"/>
    <s v="개발자테스트"/>
    <s v="신문호"/>
    <s v="김경준"/>
    <s v="3자테스터공통"/>
    <s v="Online"/>
    <s v="결함"/>
    <s v="기능"/>
    <s v="결함검토요청"/>
    <s v="신문호"/>
    <s v="Major"/>
    <s v="결함검토요청"/>
    <d v="2026-05-07T09:26:26"/>
    <d v="2026-05-07T09:26:26"/>
    <s v=""/>
    <x v="2"/>
    <s v="축/눈금 표시"/>
    <s v="[X_1] 운행 연도 미입력 시 해당 란을 비워두는 것이 아니라 무조건 0으로 채워지는데, 이는 대시보드…"/>
    <s v="[X_1] 운행 연도 미입력 시 해당 란을 비워두는 것이 아니라 무조건 0으로 채워지는데, 이는 대시보드 리포트 모달(UT-GO11952M)의 bar chart에 잘못된 기본값 연도로 x축이 구성되는 결과를 초래함  (UT-GO11952M 증적상 …"/>
    <m/>
    <m/>
    <s v="차트 공통 컴포넌트 점검, 무데이터 처리 및 축/범례 표준화"/>
  </r>
  <r>
    <s v="UT-GO11951S"/>
    <s v="2-1차"/>
    <n v="1"/>
    <s v="공항운영(GO)"/>
    <s v="DEF-00758"/>
    <s v="[C_12] 연도에 천 단위 ,"/>
    <s v="개발자테스트"/>
    <s v="신문호"/>
    <s v="김경준"/>
    <s v="3자테스터공통"/>
    <s v="Online"/>
    <s v="결함"/>
    <s v="UI"/>
    <s v="결함검토요청"/>
    <s v="신문호"/>
    <s v="Minor"/>
    <s v="결함검토요청"/>
    <d v="2026-05-07T09:41:56"/>
    <d v="2026-05-07T09:41:56"/>
    <s v=""/>
    <x v="5"/>
    <s v="기타 검토"/>
    <s v="[C_12] 연도에 천 단위 ,"/>
    <s v="[C_12] 연도에 천 단위 ,"/>
    <m/>
    <m/>
    <s v="담당 PL과 결함 성격 재정의 후 분류 보완"/>
  </r>
  <r>
    <s v="UT-PM20106M"/>
    <s v="1-2차"/>
    <n v="1"/>
    <s v="예측관리(PM)"/>
    <s v="DEF-00759"/>
    <s v="화면의 첫 째 필드에 커셔가 Set focus 필요"/>
    <s v="개발자테스트"/>
    <s v="임소정"/>
    <s v="염희석"/>
    <s v="3자테스터공통"/>
    <s v="Online"/>
    <s v="개선/변경"/>
    <s v="UI"/>
    <s v="결함검토요청"/>
    <s v="임소정"/>
    <s v="Minor"/>
    <s v="결함검토요청"/>
    <d v="2026-05-07T09:43:29"/>
    <d v="2026-05-07T09:43:29"/>
    <s v=""/>
    <x v="9"/>
    <s v="개선/변경 요청"/>
    <s v="화면의 첫 째 필드에 커셔가 Set focus 필요"/>
    <s v="화면의 첫 째 필드에 커셔가 Set focus 필요"/>
    <m/>
    <m/>
    <s v="차기 반영 일감으로 등록 후 우선순위 협의, 정책 가이드 반영"/>
  </r>
  <r>
    <s v="UT-GO11952M"/>
    <s v="2-1차"/>
    <n v="1"/>
    <s v="공항운영(GO)"/>
    <s v="DEF-00761"/>
    <s v="[C_1] 자원 운용률 소제목 누락"/>
    <s v="개발자테스트"/>
    <s v="신문호"/>
    <s v="김경준"/>
    <s v="3자테스터공통"/>
    <s v="Online"/>
    <s v="결함"/>
    <s v="UI"/>
    <s v="결함검토요청"/>
    <s v="신문호"/>
    <s v="Minor"/>
    <s v="결함검토요청"/>
    <d v="2026-05-07T09:50:17"/>
    <d v="2026-05-07T09:50:18"/>
    <s v=""/>
    <x v="5"/>
    <s v="기타 검토"/>
    <s v="[C_1] 자원 운용률 소제목 누락"/>
    <s v="[C_1] 자원 운용률 소제목 누락"/>
    <m/>
    <m/>
    <s v="담당 PL과 결함 성격 재정의 후 분류 보완"/>
  </r>
  <r>
    <s v="UT-GO12507S"/>
    <s v="2-1차"/>
    <n v="1"/>
    <s v="공항운영(GO)"/>
    <s v="DEF-00762"/>
    <s v="(결함 오등록으로 인해 기각 부탁드립니다)"/>
    <s v="개발자테스트"/>
    <s v="신문호"/>
    <s v="김경준"/>
    <s v="3자테스터공통"/>
    <s v="Online"/>
    <s v="결함"/>
    <s v="기능"/>
    <s v="결함검토요청"/>
    <s v="신문호"/>
    <s v="Critical"/>
    <s v="결함검토요청"/>
    <d v="2026-05-07T09:58:20"/>
    <d v="2026-05-07T09:58:51"/>
    <s v=""/>
    <x v="5"/>
    <s v="기타 검토"/>
    <s v="(결함 오등록으로 인해 기각 부탁드립니다)"/>
    <s v="(결함 오등록으로 인해 기각 부탁드립니다)"/>
    <m/>
    <m/>
    <s v="담당 PL과 결함 성격 재정의 후 분류 보완"/>
  </r>
  <r>
    <s v="UT-GO11952M"/>
    <s v="2-1차"/>
    <n v="1"/>
    <s v="공항운영(GO)"/>
    <s v="DEF-00763"/>
    <s v="[S_1] 운행거리 Bar chart에 값이 표시되지 않음"/>
    <s v="개발자테스트"/>
    <s v="신문호"/>
    <s v="김경준"/>
    <s v="3자테스터공통"/>
    <s v="Online"/>
    <s v="결함"/>
    <s v="기능"/>
    <s v="결함검토요청"/>
    <s v="신문호"/>
    <s v="Critical"/>
    <s v="결함검토요청"/>
    <d v="2026-05-07T09:59:38"/>
    <d v="2026-05-07T09:59:38"/>
    <s v=""/>
    <x v="2"/>
    <s v="차트 표시 오류"/>
    <s v="[S_1] 운행거리 Bar chart에 값이 표시되지 않음"/>
    <s v="[S_1] 운행거리 Bar chart에 값이 표시되지 않음"/>
    <m/>
    <m/>
    <s v="차트 공통 컴포넌트 점검, 무데이터 처리 및 축/범례 표준화"/>
  </r>
  <r>
    <s v="UT-GO12507S"/>
    <s v="2-1차"/>
    <n v="1"/>
    <s v="공항운영(GO)"/>
    <s v="DEF-00780"/>
    <s v="[X_1] 검색 컴포넌트의 항로 dropdown에 빈 item 존재"/>
    <s v="개발자테스트"/>
    <s v="신문호"/>
    <s v="김경준"/>
    <s v="3자테스터공통"/>
    <s v="Online"/>
    <s v="결함"/>
    <s v="데이터"/>
    <s v="결함검토요청"/>
    <s v="신문호"/>
    <s v="Minor"/>
    <s v="결함검토요청"/>
    <d v="2026-05-07T11:21:35"/>
    <d v="2026-05-07T11:21:35"/>
    <s v=""/>
    <x v="4"/>
    <s v="조회 조건 처리"/>
    <s v="[X_1] 검색 컴포넌트의 항로 dropdown에 빈 item 존재"/>
    <s v="[X_1] 검색 컴포넌트의 항로 dropdown에 빈 item 존재"/>
    <m/>
    <m/>
    <s v="조회 SQL/조건 매핑 재검토, 정렬·필터 기본값 정의서와 일치화"/>
  </r>
  <r>
    <s v="UT-FSQA031S"/>
    <s v="1-2차"/>
    <n v="1"/>
    <s v="항공보안(FS)"/>
    <s v="DEF-00151"/>
    <s v="- 엑셀저장 1회 후 2회부터는 엑셀 파일을 다운로드받지 못하는 현상 발생_x000a_  창을 닫고 다시 열어도 한번만 성공_x000a__x000a_- 다운로드가 안되는 상태에서, 날짜 변경후 자료가 변경되어도 다운로드 안됨_x000a_"/>
    <s v="개발자테스트"/>
    <s v="임소정"/>
    <s v="임소정"/>
    <s v="3자테스터공통"/>
    <s v="Online"/>
    <s v="결함"/>
    <s v="UI"/>
    <s v="결함검토요청"/>
    <s v="임소정"/>
    <s v="Minor"/>
    <s v="결함검토요청"/>
    <d v="2026-04-24T17:29:01"/>
    <d v="2026-04-24T17:46:32"/>
    <s v=""/>
    <x v="1"/>
    <s v="엑셀 다운로드 오류"/>
    <s v="- 엑셀저장 1회 후 2회부터는 엑셀 파일을 다운로드받지 못하는 현상 발생"/>
    <s v="- 엑셀저장 1회 후 2회부터는 엑셀 파일을 다운로드받지 못하는 현상 발생   창을 닫고 다시 열어도 한번만 성공  - 다운로드가 안되는 상태에서, 날짜 변경후 자료가 변경되어도 다운로드 안됨"/>
    <m/>
    <m/>
    <s v="엑셀/PDF 공통 출력 모듈 점검, 컬럼 매핑·서식 검증 및 예외 처리"/>
  </r>
  <r>
    <s v="UT-GO61602S"/>
    <s v="2-1차"/>
    <n v="1"/>
    <s v="공항운영(GO)"/>
    <s v="DEF-00182"/>
    <s v="최초 load시 [ERS-18000] 요청한 문서를 실행하는데 실패했습니다(java.lang.Exception) 발생함_x000a_"/>
    <s v="개발자테스트"/>
    <s v="신문호"/>
    <s v="박정구"/>
    <s v="3자테스터공통"/>
    <s v="Online"/>
    <s v="결함"/>
    <s v="기능"/>
    <s v="결함검토요청"/>
    <s v="신문호"/>
    <s v="Critical"/>
    <s v="결함검토요청"/>
    <d v="2026-04-27T13:45:25"/>
    <d v="2026-04-27T13:45:25"/>
    <s v=""/>
    <x v="10"/>
    <s v="시스템 오류/예외"/>
    <s v="최초 load시 [ERS-18000] 요청한 문서를 실행하는데 실패했습니다(java.lang.Except…"/>
    <s v="최초 load시 [ERS-18000] 요청한 문서를 실행하는데 실패했습니다(java.lang.Exception) 발생함"/>
    <m/>
    <m/>
    <s v="전역 에러 핸들러 점검, 사용자 친화적 오류 메시지 노출"/>
  </r>
  <r>
    <s v="UT-GO62101S"/>
    <s v="2-1차"/>
    <n v="1"/>
    <s v="공항운영(GO)"/>
    <s v="DEF-00183"/>
    <s v="조건에 따른 조회결과가 표출되지 않음."/>
    <s v="개발자테스트"/>
    <s v="신문호"/>
    <s v="김경준"/>
    <s v="3자테스터공통"/>
    <s v="Online"/>
    <s v="결함"/>
    <s v="데이터"/>
    <s v="결함검토요청"/>
    <s v="신문호"/>
    <s v="Minor"/>
    <s v="결함검토요청"/>
    <d v="2026-04-27T13:48:42"/>
    <d v="2026-04-27T13:48:42"/>
    <s v=""/>
    <x v="4"/>
    <s v="조회 조건 처리"/>
    <s v="조건에 따른 조회결과가 표출되지 않음."/>
    <s v="조건에 따른 조회결과가 표출되지 않음."/>
    <m/>
    <m/>
    <s v="조회 SQL/조건 매핑 재검토, 정렬·필터 기본값 정의서와 일치화"/>
  </r>
  <r>
    <s v="UT-GO62101S"/>
    <s v="2-1차"/>
    <n v="1"/>
    <s v="공항운영(GO)"/>
    <s v="DEF-00184"/>
    <s v="조회조건 값 기준으로 발생시간과 전문내용이 표시되지 않음"/>
    <s v="개발자테스트"/>
    <s v="신문호"/>
    <s v="김경준"/>
    <s v="3자테스터공통"/>
    <s v="Online"/>
    <s v="결함"/>
    <s v="데이터"/>
    <s v="결함검토요청"/>
    <s v="신문호"/>
    <s v="Minor"/>
    <s v="결함검토요청"/>
    <d v="2026-04-27T13:48:57"/>
    <d v="2026-04-27T13:48:57"/>
    <s v=""/>
    <x v="4"/>
    <s v="조회 조건 처리"/>
    <s v="조회조건 값 기준으로 발생시간과 전문내용이 표시되지 않음"/>
    <s v="조회조건 값 기준으로 발생시간과 전문내용이 표시되지 않음"/>
    <m/>
    <m/>
    <s v="조회 SQL/조건 매핑 재검토, 정렬·필터 기본값 정의서와 일치화"/>
  </r>
  <r>
    <s v="UT-GO21309S"/>
    <s v="2-1차"/>
    <n v="1"/>
    <s v="공항운영(GO)"/>
    <s v="DEF-00201"/>
    <s v="Test 결과서에서 확인된 기간의 조회시 데이타 조회되지 않음._x000a_기간 선택의 예외처리는 정상 확인됨"/>
    <s v="개발자테스트"/>
    <s v="신문호"/>
    <s v="김경준"/>
    <s v="3자테스터공통"/>
    <s v="Online"/>
    <s v="개선/변경"/>
    <s v="데이터"/>
    <s v="결함검토요청"/>
    <s v="신문호"/>
    <s v="Minor"/>
    <s v="결함검토요청"/>
    <d v="2026-04-27T14:42:43"/>
    <d v="2026-04-27T14:42:43"/>
    <s v=""/>
    <x v="0"/>
    <s v="기간 범위 처리"/>
    <s v="Test 결과서에서 확인된 기간의 조회시 데이타 조회되지 않음."/>
    <s v="Test 결과서에서 확인된 기간의 조회시 데이타 조회되지 않음. 기간 선택의 예외처리는 정상 확인됨"/>
    <m/>
    <m/>
    <s v="날짜 컴포넌트 표준화, 기준일자-운항일자 등 필드 매핑 점검 및 기간 가드 추가"/>
  </r>
  <r>
    <s v="UT-GO12702S"/>
    <s v="2-1차"/>
    <n v="1"/>
    <s v="공항운영(GO)"/>
    <s v="DEF-00203"/>
    <s v="보고서 날짜칸 밑 어떤 조건을 넣어도 전체라는 문구가 표시? 의도인지 확인필요"/>
    <s v="개발자테스트"/>
    <s v="신문호"/>
    <s v="김경준"/>
    <s v="3자테스터공통"/>
    <s v="Online"/>
    <s v="결함"/>
    <s v="기능"/>
    <s v="결함검토요청"/>
    <s v="신문호"/>
    <s v="Minor"/>
    <s v="결함검토요청"/>
    <d v="2026-04-27T14:44:34"/>
    <d v="2026-04-27T14:44:34"/>
    <s v=""/>
    <x v="0"/>
    <s v="날짜 표시/포맷"/>
    <s v="보고서 날짜칸 밑 어떤 조건을 넣어도 전체라는 문구가 표시? 의도인지 확인필요"/>
    <s v="보고서 날짜칸 밑 어떤 조건을 넣어도 전체라는 문구가 표시? 의도인지 확인필요"/>
    <m/>
    <m/>
    <s v="날짜 컴포넌트 표준화, 기준일자-운항일자 등 필드 매핑 점검 및 기간 가드 추가"/>
  </r>
  <r>
    <s v="UT-GO51233S"/>
    <s v="2-1차"/>
    <n v="1"/>
    <s v="공항운영(GO)"/>
    <s v="DEF-00204"/>
    <s v="메뉴 선택 초기 화면으로 나타나는 기간 설정으로 조회되지 않음(12개월 초과). 초기 제공 기간을 12개월로 제시되길 바람."/>
    <s v="개발자테스트"/>
    <s v="신문호"/>
    <s v="김경준"/>
    <s v="3자테스터공통"/>
    <s v="Online"/>
    <s v="결함"/>
    <s v="인터페이스"/>
    <s v="결함검토요청"/>
    <s v="신문호"/>
    <s v="Minor"/>
    <s v="결함검토요청"/>
    <d v="2026-04-27T14:46:50"/>
    <d v="2026-04-27T14:46:50"/>
    <s v=""/>
    <x v="0"/>
    <s v="기간 범위 처리"/>
    <s v="메뉴 선택 초기 화면으로 나타나는 기간 설정으로 조회되지 않음(12개월 초과). 초기 제공 기간을 12개…"/>
    <s v="메뉴 선택 초기 화면으로 나타나는 기간 설정으로 조회되지 않음(12개월 초과). 초기 제공 기간을 12개월로 제시되길 바람."/>
    <m/>
    <m/>
    <s v="날짜 컴포넌트 표준화, 기준일자-운항일자 등 필드 매핑 점검 및 기간 가드 추가"/>
  </r>
  <r>
    <s v="UT-GO51235S"/>
    <s v="2-1차"/>
    <n v="1"/>
    <s v="공항운영(GO)"/>
    <s v="DEF-00207"/>
    <s v="12개월 기간 조회만 가능한데.. 3/3부터 4월말가지 조회됨._x000a_다른 메뉴에서는 해당 기간 조회하면 12개월 초과 조회불가 메시지 나타남.._x000a_12개월 기간 처리가 메뉴마다 일관성이 부족함. 전체적으로 확인 필요함."/>
    <s v="개발자테스트"/>
    <s v="신문호"/>
    <s v="박정구"/>
    <s v="3자테스터공통"/>
    <s v="Online"/>
    <s v="개선/변경"/>
    <s v="인터페이스"/>
    <s v="결함검토요청"/>
    <s v="신문호"/>
    <s v="Minor"/>
    <s v="결함검토요청"/>
    <d v="2026-04-27T15:05:31"/>
    <d v="2026-04-27T15:05:31"/>
    <s v=""/>
    <x v="0"/>
    <s v="기간 범위 처리"/>
    <s v="12개월 기간 조회만 가능한데.. 3/3부터 4월말가지 조회됨."/>
    <s v="12개월 기간 조회만 가능한데.. 3/3부터 4월말가지 조회됨. 다른 메뉴에서는 해당 기간 조회하면 12개월 초과 조회불가 메시지 나타남.. 12개월 기간 처리가 메뉴마다 일관성이 부족함. 전체적으로 확인 필요함."/>
    <m/>
    <m/>
    <s v="날짜 컴포넌트 표준화, 기준일자-운항일자 등 필드 매핑 점검 및 기간 가드 추가"/>
  </r>
  <r>
    <s v="UT-GO41403S"/>
    <s v="1-1차"/>
    <n v="1"/>
    <s v="공항운영(GO)"/>
    <s v="DEF-00212"/>
    <s v="전체적으로 보고서양식 클릭 후 search 를 하면 데이터가 변경되지 않는 문제가 있습니다. 대체적으로 하계 보고서양식 클릭 후 발생하는것 같습니다. _x000a__x000a_문제 시나리오 (간헐적)_x000a_- 보고서양식 &gt; 설/추석 탭 클릭 &gt;  일자 또는 시간 변경 &gt; search_x000a__x000a_시나리오대로 반복하다보면 첨부 이미지와 같이 데이터가 업데이트 되지 않는 현상을 볼 수 있습니다. "/>
    <s v="개발자테스트"/>
    <s v="신문호"/>
    <s v="김경준"/>
    <s v="3자테스터공통"/>
    <s v="Online"/>
    <s v="결함"/>
    <s v="데이터"/>
    <s v="결함검토요청"/>
    <s v="신문호"/>
    <s v="Major"/>
    <s v="결함검토요청"/>
    <d v="2026-04-27T15:18:14"/>
    <d v="2026-04-27T15:18:14"/>
    <s v=""/>
    <x v="0"/>
    <s v="날짜 표시/포맷"/>
    <s v="전체적으로 보고서양식 클릭 후 search 를 하면 데이터가 변경되지 않는 문제가 있습니다. 대체적으로 …"/>
    <s v="전체적으로 보고서양식 클릭 후 search 를 하면 데이터가 변경되지 않는 문제가 있습니다. 대체적으로 하계 보고서양식 클릭 후 발생하는것 같습니다.   문제 시나리오 (간헐적) - 보고서양식 &gt; 설/추석 탭 클릭 &gt;  일자 또는 시간 변경 &gt; s…"/>
    <m/>
    <m/>
    <s v="날짜 컴포넌트 표준화, 기준일자-운항일자 등 필드 매핑 점검 및 기간 가드 추가"/>
  </r>
  <r>
    <s v="UT-GO12507S"/>
    <s v="2-1차"/>
    <n v="1"/>
    <s v="공항운영(GO)"/>
    <s v="DEF-00268"/>
    <s v="좌측에서 &quot;항로 및 운항실적&quot;을 클릭하면, 화면과 같이 서ㅓ버오류 메시지 나타남. 확인 클릭 후 조회를 클릭하면.. 정상 수행되기는 하지만. 처음 화면 열릴때는 동일한 현상 나타남."/>
    <s v="개발자테스트"/>
    <s v="신문호"/>
    <s v="김경준"/>
    <s v="3자테스터공통"/>
    <s v="Online"/>
    <s v="결함"/>
    <s v="기능"/>
    <s v="결함검토요청"/>
    <s v="신문호"/>
    <s v="Minor"/>
    <s v="결함검토요청"/>
    <d v="2026-04-28T09:19:32"/>
    <d v="2026-04-28T09:19:32"/>
    <s v=""/>
    <x v="4"/>
    <s v="조회 조건 처리"/>
    <s v="좌측에서 &quot;항로 및 운항실적&quot;을 클릭하면, 화면과 같이 서ㅓ버오류 메시지 나타남. 확인 클릭 후 조회를 …"/>
    <s v="좌측에서 &quot;항로 및 운항실적&quot;을 클릭하면, 화면과 같이 서ㅓ버오류 메시지 나타남. 확인 클릭 후 조회를 클릭하면.. 정상 수행되기는 하지만. 처음 화면 열릴때는 동일한 현상 나타남."/>
    <m/>
    <m/>
    <s v="조회 SQL/조건 매핑 재검토, 정렬·필터 기본값 정의서와 일치화"/>
  </r>
  <r>
    <s v="UT-GO12507S"/>
    <s v="2-1차"/>
    <n v="1"/>
    <s v="공항운영(GO)"/>
    <s v="DEF-00269"/>
    <s v="시작 일자를 2026년 만 입력하고 조회하면. 아래 화면처럼 불필요한 메시지 나타나고.. 1개월 초과할 수 없다는 메시지 나타남."/>
    <s v="개발자테스트"/>
    <s v="신문호"/>
    <s v="김경준"/>
    <s v="3자테스터공통"/>
    <s v="Online"/>
    <s v="결함"/>
    <s v="UI"/>
    <s v="결함검토요청"/>
    <s v="신문호"/>
    <s v="Minor"/>
    <s v="결함검토요청"/>
    <d v="2026-04-28T09:35:57"/>
    <d v="2026-04-28T09:35:57"/>
    <s v=""/>
    <x v="0"/>
    <s v="날짜 표시/포맷"/>
    <s v="시작 일자를 2026년 만 입력하고 조회하면. 아래 화면처럼 불필요한 메시지 나타나고.. 1개월 초과할 …"/>
    <s v="시작 일자를 2026년 만 입력하고 조회하면. 아래 화면처럼 불필요한 메시지 나타나고.. 1개월 초과할 수 없다는 메시지 나타남."/>
    <m/>
    <m/>
    <s v="날짜 컴포넌트 표준화, 기준일자-운항일자 등 필드 매핑 점검 및 기간 가드 추가"/>
  </r>
  <r>
    <s v="UT-GO41601S"/>
    <s v="1-1차"/>
    <n v="1"/>
    <s v="공항운영(GO)"/>
    <s v="DEF-00270"/>
    <s v="테스트 가능한 데이터가 없어 테스트를 할 수 없습니다. _x000a_유효성 검사는 완료했습니다. "/>
    <s v="개발자테스트"/>
    <s v="신문호"/>
    <s v="김경준"/>
    <s v="3자테스터공통"/>
    <s v="Online"/>
    <s v="개선/변경"/>
    <s v="데이터"/>
    <s v="결함검토요청"/>
    <s v="신문호"/>
    <s v="Minor"/>
    <s v="결함검토요청"/>
    <d v="2026-04-28T09:37:00"/>
    <d v="2026-04-28T09:37:00"/>
    <s v=""/>
    <x v="6"/>
    <s v="입력값 유효성"/>
    <s v="테스트 가능한 데이터가 없어 테스트를 할 수 없습니다."/>
    <s v="테스트 가능한 데이터가 없어 테스트를 할 수 없습니다.  유효성 검사는 완료했습니다."/>
    <m/>
    <m/>
    <s v="프론트/백엔드 양측에 입력 유효성 검증 추가 및 공통 validator 적용"/>
  </r>
  <r>
    <s v="UT-GO42101S"/>
    <s v="2-2차"/>
    <n v="1"/>
    <s v="공항운영(GO)"/>
    <s v="DEF-00272"/>
    <s v="파일 업로드 오른쪽에 저장버튼이 있어서 터미널(행 데이터)에 대한 데이터 저장이 아니라_x000a_파일 업로드 후 저장 버튼으로 헷갈릴 가능성이 있는거 같습니다"/>
    <s v="개발자테스트"/>
    <s v="신문호"/>
    <s v="김경준"/>
    <s v="3자테스터공통"/>
    <s v="Online"/>
    <s v="결함"/>
    <s v="기능"/>
    <s v="결함검토요청"/>
    <s v="신문호"/>
    <s v="Minor"/>
    <s v="결함검토요청"/>
    <d v="2026-04-28T09:47:01"/>
    <d v="2026-04-28T14:30:33"/>
    <s v=""/>
    <x v="8"/>
    <s v="레이아웃/UI"/>
    <s v="파일 업로드 오른쪽에 저장버튼이 있어서 터미널(행 데이터)에 대한 데이터 저장이 아니라"/>
    <s v="파일 업로드 오른쪽에 저장버튼이 있어서 터미널(행 데이터)에 대한 데이터 저장이 아니라 파일 업로드 후 저장 버튼으로 헷갈릴 가능성이 있는거 같습니다"/>
    <m/>
    <m/>
    <s v="디자인 시스템(GNB/그리드/타이포) 준수 점검, 잘림·정렬 보정"/>
  </r>
  <r>
    <s v="UT-GO42101S"/>
    <s v="2-2차"/>
    <n v="1"/>
    <s v="공항운영(GO)"/>
    <s v="DEF-00276"/>
    <s v="파일선택칸에 Text 입력가능이 가능합니다. 되는게 맞는지 의도확인 부탁드립니다"/>
    <s v="개발자테스트"/>
    <s v="신문호"/>
    <s v="김경준"/>
    <s v="3자테스터공통"/>
    <s v="Online"/>
    <s v="개선/변경"/>
    <s v="기능"/>
    <s v="결함검토요청"/>
    <s v="신문호"/>
    <s v="Minor"/>
    <s v="결함검토요청"/>
    <d v="2026-04-28T09:58:04"/>
    <d v="2026-04-28T14:30:09"/>
    <s v=""/>
    <x v="11"/>
    <s v="선택/체크 동작"/>
    <s v="파일선택칸에 Text 입력가능이 가능합니다. 되는게 맞는지 의도확인 부탁드립니다"/>
    <s v="파일선택칸에 Text 입력가능이 가능합니다. 되는게 맞는지 의도확인 부탁드립니다"/>
    <m/>
    <m/>
    <s v="버튼/상태 컴포넌트 표준 적용, 활성·비활성 조건 명세화"/>
  </r>
  <r>
    <s v="UT-GO11952M"/>
    <s v="2-1차"/>
    <n v="1"/>
    <s v="공항운영(GO)"/>
    <s v="DEF-00278"/>
    <s v="데시보드 클릭하여 처음 나타나는 화면이 우측으로 치우쳐 나타남. 이후 화면 최대화를 하면. 중앙으로 위치함."/>
    <s v="개발자테스트"/>
    <s v="신문호"/>
    <s v="김경준"/>
    <s v="3자테스터공통"/>
    <s v="Online"/>
    <s v="결함"/>
    <s v="UI"/>
    <s v="결함검토요청"/>
    <s v="신문호"/>
    <s v="Minor"/>
    <s v="결함검토요청"/>
    <d v="2026-04-28T10:11:39"/>
    <d v="2026-04-28T10:11:39"/>
    <s v=""/>
    <x v="8"/>
    <s v="레이아웃/UI"/>
    <s v="데시보드 클릭하여 처음 나타나는 화면이 우측으로 치우쳐 나타남. 이후 화면 최대화를 하면. 중앙으로 위치함."/>
    <s v="데시보드 클릭하여 처음 나타나는 화면이 우측으로 치우쳐 나타남. 이후 화면 최대화를 하면. 중앙으로 위치함."/>
    <m/>
    <m/>
    <s v="디자인 시스템(GNB/그리드/타이포) 준수 점검, 잘림·정렬 보정"/>
  </r>
  <r>
    <s v="UT-GO23802S"/>
    <s v="1-2차"/>
    <n v="1"/>
    <s v="공항운영(GO)"/>
    <s v="DEF-00308"/>
    <s v="엑셀 숫자 데이터 확인 필요"/>
    <s v="개발자테스트"/>
    <s v="신문호"/>
    <s v="박정구"/>
    <s v="3자테스터공통"/>
    <s v="Online"/>
    <s v="개선/변경"/>
    <s v="기타"/>
    <s v="결함검토요청"/>
    <s v="신문호"/>
    <s v="Minor"/>
    <s v="결함검토요청"/>
    <d v="2026-04-28T13:02:49"/>
    <d v="2026-04-28T13:02:49"/>
    <s v=""/>
    <x v="1"/>
    <s v="엑셀 다운로드 오류"/>
    <s v="엑셀 숫자 데이터 확인 필요"/>
    <s v="엑셀 숫자 데이터 확인 필요"/>
    <m/>
    <m/>
    <s v="엑셀/PDF 공통 출력 모듈 점검, 컬럼 매핑·서식 검증 및 예외 처리"/>
  </r>
  <r>
    <s v="UT-GO11950S"/>
    <s v="2-2차"/>
    <n v="1"/>
    <s v="공항운영(GO)"/>
    <s v="DEF-00315"/>
    <s v="주간실적조회에서 &lt;&gt; 로 날짜 변경후 Search시 해당 조회일자에 맞게 검색이 안되는거같습니다"/>
    <s v="개발자테스트"/>
    <s v="신문호"/>
    <s v="신문호"/>
    <s v="3자테스터공통"/>
    <s v="Online"/>
    <s v="결함"/>
    <s v="기능"/>
    <s v="결함검토요청"/>
    <s v="신문호"/>
    <s v="Minor"/>
    <s v="결함검토요청"/>
    <d v="2026-04-28T13:30:39"/>
    <d v="2026-04-28T13:30:39"/>
    <s v=""/>
    <x v="0"/>
    <s v="날짜 표시/포맷"/>
    <s v="주간실적조회에서 &lt;&gt; 로 날짜 변경후 Search시 해당 조회일자에 맞게 검색이 안되는거같습니다"/>
    <s v="주간실적조회에서 &lt;&gt; 로 날짜 변경후 Search시 해당 조회일자에 맞게 검색이 안되는거같습니다"/>
    <m/>
    <m/>
    <s v="날짜 컴포넌트 표준화, 기준일자-운항일자 등 필드 매핑 점검 및 기간 가드 추가"/>
  </r>
  <r>
    <s v="UT-PM10306S"/>
    <s v="2-3차"/>
    <n v="1"/>
    <s v="예측관리(PM)"/>
    <s v="DEF-00316"/>
    <s v="테스트 결과서 순번 8번_x000a_ - 맵 내부 버튼 클릭시 표보기 항목으로 이동하지 않고 차트보기로 이동 됨."/>
    <s v="개발자테스트"/>
    <s v="임소정"/>
    <s v="pmtbd3"/>
    <s v="3자테스터공통"/>
    <s v="Online"/>
    <s v="결함"/>
    <s v="기능"/>
    <s v="결함검토요청"/>
    <s v="염희석"/>
    <s v="Major"/>
    <s v="결함검토요청"/>
    <d v="2026-04-28T13:30:46"/>
    <d v="2026-04-28T13:30:46"/>
    <s v=""/>
    <x v="2"/>
    <s v="차트 표시 오류"/>
    <s v="테스트 결과서 순번 8번"/>
    <s v="테스트 결과서 순번 8번  - 맵 내부 버튼 클릭시 표보기 항목으로 이동하지 않고 차트보기로 이동 됨."/>
    <m/>
    <m/>
    <s v="차트 공통 컴포넌트 점검, 무데이터 처리 및 축/범례 표준화"/>
  </r>
  <r>
    <s v="UT-GO62101S"/>
    <s v="2-1차"/>
    <n v="1"/>
    <s v="공항운영(GO)"/>
    <s v="DEF-00317"/>
    <s v="1. 아래 화면과 같이 시간 선택 시작 ~ 끝 시간을 수정 후 다음 액션할 버튼이 없음._x000a_2. 선택일시 목록에서 선택 후 다음 액션 버튼이 없음."/>
    <s v="개발자테스트"/>
    <s v="신문호"/>
    <s v="김경준"/>
    <s v="3자테스터공통"/>
    <s v="Online"/>
    <s v="결함"/>
    <s v="프로세스"/>
    <s v="결함검토요청"/>
    <s v="신문호"/>
    <s v="Major"/>
    <s v="결함검토요청"/>
    <d v="2026-04-28T13:31:05"/>
    <d v="2026-04-28T13:31:05"/>
    <s v=""/>
    <x v="11"/>
    <s v="선택/체크 동작"/>
    <s v="1. 아래 화면과 같이 시간 선택 시작 ~ 끝 시간을 수정 후 다음 액션할 버튼이 없음."/>
    <s v="1. 아래 화면과 같이 시간 선택 시작 ~ 끝 시간을 수정 후 다음 액션할 버튼이 없음. 2. 선택일시 목록에서 선택 후 다음 액션 버튼이 없음."/>
    <m/>
    <m/>
    <s v="버튼/상태 컴포넌트 표준 적용, 활성·비활성 조건 명세화"/>
  </r>
  <r>
    <s v="UT-GO21401S"/>
    <s v="2-2차"/>
    <n v="1"/>
    <s v="공항운영(GO)"/>
    <s v="DEF-00323"/>
    <s v="발생일자에 required 빨간 표시가 없음(ui)"/>
    <s v="개발자테스트"/>
    <s v="신문호"/>
    <s v="신문호"/>
    <s v="3자테스터공통"/>
    <s v="Online"/>
    <s v="개선/변경"/>
    <s v="UI"/>
    <s v="결함검토요청"/>
    <s v="신문호"/>
    <s v="Minor"/>
    <s v="결함검토요청"/>
    <d v="2026-04-28T13:41:33"/>
    <d v="2026-04-28T13:41:33"/>
    <s v=""/>
    <x v="0"/>
    <s v="날짜 표시/포맷"/>
    <s v="발생일자에 required 빨간 표시가 없음(ui)"/>
    <s v="발생일자에 required 빨간 표시가 없음(ui)"/>
    <m/>
    <m/>
    <s v="날짜 컴포넌트 표준화, 기준일자-운항일자 등 필드 매핑 점검 및 기간 가드 추가"/>
  </r>
  <r>
    <s v="UT-PM10306S"/>
    <s v="2-3차"/>
    <n v="1"/>
    <s v="예측관리(PM)"/>
    <s v="DEF-00339"/>
    <s v="맵 하단에 넘버 없는 행이 존재"/>
    <s v="개발자테스트"/>
    <s v="임소정"/>
    <s v="pmtbd3"/>
    <s v="3자테스터공통"/>
    <s v="Online"/>
    <s v="개선/변경"/>
    <s v="UI"/>
    <s v="결함검토요청"/>
    <s v="염희석"/>
    <s v="Minor"/>
    <s v="결함검토요청"/>
    <d v="2026-04-28T14:21:44"/>
    <d v="2026-04-28T14:21:44"/>
    <s v=""/>
    <x v="9"/>
    <s v="개선/변경 요청"/>
    <s v="맵 하단에 넘버 없는 행이 존재"/>
    <s v="맵 하단에 넘버 없는 행이 존재"/>
    <m/>
    <m/>
    <s v="차기 반영 일감으로 등록 후 우선순위 협의, 정책 가이드 반영"/>
  </r>
  <r>
    <s v="UT-GO42001S"/>
    <s v="1-2차"/>
    <n v="1"/>
    <s v="공항운영(GO)"/>
    <s v="DEF-00399"/>
    <s v="문맥 상 횟수가 적절해 보입니다. ."/>
    <s v="개발자테스트"/>
    <s v="신문호"/>
    <s v="박정구"/>
    <s v="3자테스터공통"/>
    <s v="Online"/>
    <s v="개선/변경"/>
    <s v="기타"/>
    <s v="결함검토요청"/>
    <s v="신문호"/>
    <s v="Minor"/>
    <s v="결함검토요청"/>
    <d v="2026-04-28T16:55:22"/>
    <d v="2026-04-28T16:55:22"/>
    <s v=""/>
    <x v="9"/>
    <s v="개선/변경 요청"/>
    <s v="문맥 상 횟수가 적절해 보입니다. ."/>
    <s v="문맥 상 횟수가 적절해 보입니다. ."/>
    <m/>
    <m/>
    <s v="차기 반영 일감으로 등록 후 우선순위 협의, 정책 가이드 반영"/>
  </r>
  <r>
    <s v="UT-GO12505S"/>
    <s v="2-3차"/>
    <n v="1"/>
    <s v="공항운영(GO)"/>
    <s v="DEF-00400"/>
    <s v="표준 알림창으로 변경 필요"/>
    <s v="개발자테스트"/>
    <s v="신문호"/>
    <s v="김경준"/>
    <s v="3자테스터공통"/>
    <s v="Online"/>
    <s v="개선/변경"/>
    <s v="UI"/>
    <s v="결함검토요청"/>
    <s v="신문호"/>
    <s v="Minor"/>
    <s v="결함검토요청"/>
    <d v="2026-04-28T17:01:26"/>
    <d v="2026-04-28T17:01:26"/>
    <s v=""/>
    <x v="7"/>
    <s v="안내 메시지 부재"/>
    <s v="표준 알림창으로 변경 필요"/>
    <s v="표준 알림창으로 변경 필요"/>
    <m/>
    <m/>
    <s v="UX 가이드라인에 따라 표준 안내·툴팁 문구 적용, 무데이터/오류 메시지 정비"/>
  </r>
  <r>
    <s v="UT-GO42001S"/>
    <s v="1-2차"/>
    <n v="1"/>
    <s v="공항운영(GO)"/>
    <s v="DEF-00401"/>
    <s v="팝업 UI 통일성이 없는것 같아요._x000a_다른 페이지의 조회 없음 팝업과 다릅니다. "/>
    <s v="개발자테스트"/>
    <s v="신문호"/>
    <s v="박정구"/>
    <s v="3자테스터공통"/>
    <s v="Online"/>
    <s v="개선/변경"/>
    <s v="UI"/>
    <s v="결함검토요청"/>
    <s v="신문호"/>
    <s v="Minor"/>
    <s v="결함검토요청"/>
    <d v="2026-04-28T17:03:27"/>
    <d v="2026-04-28T17:03:27"/>
    <s v=""/>
    <x v="4"/>
    <s v="조회 조건 처리"/>
    <s v="팝업 UI 통일성이 없는것 같아요."/>
    <s v="팝업 UI 통일성이 없는것 같아요. 다른 페이지의 조회 없음 팝업과 다릅니다."/>
    <m/>
    <m/>
    <s v="조회 SQL/조건 매핑 재검토, 정렬·필터 기본값 정의서와 일치화"/>
  </r>
  <r>
    <s v="UT-GO61201S"/>
    <s v="1-2차"/>
    <n v="1"/>
    <s v="공항운영(GO)"/>
    <s v="DEF-00408"/>
    <s v="검색 아이콘, 아이콘들 크기 조정이 가능한 이유가 궁금합니다. "/>
    <s v="개발자테스트"/>
    <s v="신문호"/>
    <s v="박정구"/>
    <s v="3자테스터공통"/>
    <s v="Online"/>
    <s v="개선/변경"/>
    <s v="UI"/>
    <s v="결함검토요청"/>
    <s v="신문호"/>
    <s v="Minor"/>
    <s v="결함검토요청"/>
    <d v="2026-04-28T17:36:09"/>
    <d v="2026-04-28T17:36:09"/>
    <s v=""/>
    <x v="4"/>
    <s v="조회 조건 처리"/>
    <s v="검색 아이콘, 아이콘들 크기 조정이 가능한 이유가 궁금합니다."/>
    <s v="검색 아이콘, 아이콘들 크기 조정이 가능한 이유가 궁금합니다."/>
    <m/>
    <m/>
    <s v="조회 SQL/조건 매핑 재검토, 정렬·필터 기본값 정의서와 일치화"/>
  </r>
  <r>
    <s v="UT-GO61202S"/>
    <s v="1-2차"/>
    <n v="1"/>
    <s v="공항운영(GO)"/>
    <s v="DEF-00411"/>
    <s v="창을 줄이면 데이터가 보이지 않습니다. "/>
    <s v="개발자테스트"/>
    <s v="신문호"/>
    <s v="박정구"/>
    <s v="3자테스터공통"/>
    <s v="Online"/>
    <s v="개선/변경"/>
    <s v="UI"/>
    <s v="결함검토요청"/>
    <s v="신문호"/>
    <s v="Minor"/>
    <s v="결함검토요청"/>
    <d v="2026-04-28T17:38:35"/>
    <d v="2026-04-28T17:38:36"/>
    <s v=""/>
    <x v="3"/>
    <s v="데이터 정합성"/>
    <s v="창을 줄이면 데이터가 보이지 않습니다."/>
    <s v="창을 줄이면 데이터가 보이지 않습니다."/>
    <m/>
    <m/>
    <s v="원천 데이터-화면 매핑 재검증, 집계 로직 단위 테스트 보강"/>
  </r>
  <r>
    <s v="UT-GO61201S"/>
    <s v="1-2차"/>
    <n v="1"/>
    <s v="공항운영(GO)"/>
    <s v="DEF-00413"/>
    <s v="창을 줄이면 데이터가 보이지 않습니다. "/>
    <s v="개발자테스트"/>
    <s v="신문호"/>
    <s v="박정구"/>
    <s v="3자테스터공통"/>
    <s v="Online"/>
    <s v="개선/변경"/>
    <s v="UI"/>
    <s v="결함검토요청"/>
    <s v="신문호"/>
    <s v="Minor"/>
    <s v="결함검토요청"/>
    <d v="2026-04-28T17:39:29"/>
    <d v="2026-04-28T17:39:29"/>
    <s v=""/>
    <x v="3"/>
    <s v="데이터 정합성"/>
    <s v="창을 줄이면 데이터가 보이지 않습니다."/>
    <s v="창을 줄이면 데이터가 보이지 않습니다."/>
    <m/>
    <m/>
    <s v="원천 데이터-화면 매핑 재검증, 집계 로직 단위 테스트 보강"/>
  </r>
  <r>
    <s v="UT-GO61401S"/>
    <s v="1-2차"/>
    <n v="1"/>
    <s v="공항운영(GO)"/>
    <s v="DEF-00414"/>
    <s v="조회 날짜 클릭 &gt; 결과가 없는 경우 : 테스트 케이스와는 다르게 경고메시지가 표출되지 않습니다. "/>
    <s v="개발자테스트"/>
    <s v="신문호"/>
    <s v="박정구"/>
    <s v="3자테스터공통"/>
    <s v="Online"/>
    <s v="개선/변경"/>
    <s v="UI"/>
    <s v="결함검토요청"/>
    <s v="신문호"/>
    <s v="Minor"/>
    <s v="결함검토요청"/>
    <d v="2026-04-28T17:45:47"/>
    <d v="2026-04-28T17:45:47"/>
    <s v=""/>
    <x v="0"/>
    <s v="날짜 표시/포맷"/>
    <s v="조회 날짜 클릭 &gt; 결과가 없는 경우 : 테스트 케이스와는 다르게 경고메시지가 표출되지 않습니다."/>
    <s v="조회 날짜 클릭 &gt; 결과가 없는 경우 : 테스트 케이스와는 다르게 경고메시지가 표출되지 않습니다."/>
    <m/>
    <m/>
    <s v="날짜 컴포넌트 표준화, 기준일자-운항일자 등 필드 매핑 점검 및 기간 가드 추가"/>
  </r>
  <r>
    <s v="UT-PM20101S"/>
    <s v="1-2차"/>
    <n v="1"/>
    <s v="예측관리(PM)"/>
    <s v="DEF-00434"/>
    <s v="데이터가 많이 겹쳐 한눈에 확인하기 어렵습니다."/>
    <s v="개발자테스트"/>
    <s v="임소정"/>
    <s v="신문호"/>
    <s v="3자테스터공통"/>
    <s v="Online"/>
    <s v="개선/변경"/>
    <s v="UI"/>
    <s v="결함검토요청"/>
    <s v="임소정"/>
    <s v="Minor"/>
    <s v="결함검토요청"/>
    <d v="2026-04-29T10:16:00"/>
    <d v="2026-04-29T10:29:16"/>
    <s v=""/>
    <x v="3"/>
    <s v="데이터 정합성"/>
    <s v="데이터가 많이 겹쳐 한눈에 확인하기 어렵습니다."/>
    <s v="데이터가 많이 겹쳐 한눈에 확인하기 어렵습니다."/>
    <m/>
    <m/>
    <s v="원천 데이터-화면 매핑 재검증, 집계 로직 단위 테스트 보강"/>
  </r>
  <r>
    <s v="UT-PM20158S"/>
    <s v="2-2차"/>
    <n v="1"/>
    <s v="예측관리(PM)"/>
    <s v="DEF-00435"/>
    <s v="+ 버튼으로 그래프 비교를 할경우 화면 비율 100% 상태에서 승객수 기존 , 시뮬레이션 글자가 짤림"/>
    <s v="개발자테스트"/>
    <s v="임소정"/>
    <s v="노세찬"/>
    <s v="3자테스터공통"/>
    <s v="Online"/>
    <s v="결함"/>
    <s v="UI"/>
    <s v="결함검토요청"/>
    <s v="임소정"/>
    <s v="Minor"/>
    <s v="결함검토요청"/>
    <d v="2026-04-29T10:17:26"/>
    <d v="2026-04-29T10:17:26"/>
    <s v=""/>
    <x v="2"/>
    <s v="차트 표시 오류"/>
    <s v="+ 버튼으로 그래프 비교를 할경우 화면 비율 100% 상태에서 승객수 기존 , 시뮬레이션 글자가 짤림"/>
    <s v="+ 버튼으로 그래프 비교를 할경우 화면 비율 100% 상태에서 승객수 기존 , 시뮬레이션 글자가 짤림"/>
    <m/>
    <m/>
    <s v="차트 공통 컴포넌트 점검, 무데이터 처리 및 축/범례 표준화"/>
  </r>
  <r>
    <s v="UT-PM20101S"/>
    <s v="1-2차"/>
    <n v="1"/>
    <s v="예측관리(PM)"/>
    <s v="DEF-00441"/>
    <s v="클릭을 해도 아무런 이벤트가 발생하지 않습니다. _x000a_클릭 실행 시간은 그래프 아래 현재시간에 표시된 시간 1~2분 이내인것 같습니다._x000a__x000a_간헐적이라 여러 테스트 해봤는데, 금일 날짜 기준 2026-04-27, 2026-04-28 데이터 조회 후 해당 버튼 클릭하면 발생 하는것 같습니다. "/>
    <s v="개발자테스트"/>
    <s v="임소정"/>
    <s v="신문호"/>
    <s v="3자테스터공통"/>
    <s v="Online"/>
    <s v="결함"/>
    <s v="기능"/>
    <s v="결함검토요청"/>
    <s v="임소정"/>
    <s v="Major"/>
    <s v="결함검토요청"/>
    <d v="2026-04-29T10:37:35"/>
    <d v="2026-04-29T10:39:43"/>
    <s v=""/>
    <x v="2"/>
    <s v="차트 표시 오류"/>
    <s v="클릭을 해도 아무런 이벤트가 발생하지 않습니다."/>
    <s v="클릭을 해도 아무런 이벤트가 발생하지 않습니다.  클릭 실행 시간은 그래프 아래 현재시간에 표시된 시간 1~2분 이내인것 같습니다.  간헐적이라 여러 테스트 해봤는데, 금일 날짜 기준 2026-04-27, 2026-04-28 데이터 조회 후 해당 …"/>
    <m/>
    <m/>
    <s v="차트 공통 컴포넌트 점검, 무데이터 처리 및 축/범례 표준화"/>
  </r>
  <r>
    <s v="UT-FSQA020S"/>
    <s v="1-2차"/>
    <n v="1"/>
    <s v="항공보안(FS)"/>
    <s v="DEF-00442"/>
    <s v="보안검색 운영일지 조회시 _x000a_&quot;조회결과가 없습니다&quot; ALERT 메세지가 뜨고 LOADING 이미지가 뜸"/>
    <s v="개발자테스트"/>
    <s v="임소정"/>
    <s v="임소정"/>
    <s v="3자테스터공통"/>
    <s v="Online"/>
    <s v="결함"/>
    <s v="기능"/>
    <s v="결함검토요청"/>
    <s v="임소정"/>
    <s v="Major"/>
    <s v="결함검토요청"/>
    <d v="2026-04-29T10:37:54"/>
    <d v="2026-04-29T10:37:54"/>
    <s v=""/>
    <x v="4"/>
    <s v="조회 조건 처리"/>
    <s v="보안검색 운영일지 조회시"/>
    <s v="보안검색 운영일지 조회시  &quot;조회결과가 없습니다&quot; ALERT 메세지가 뜨고 LOADING 이미지가 뜸"/>
    <m/>
    <m/>
    <s v="조회 SQL/조건 매핑 재검토, 정렬·필터 기본값 정의서와 일치화"/>
  </r>
  <r>
    <s v="UT-PM20101S"/>
    <s v="1-2차"/>
    <n v="1"/>
    <s v="예측관리(PM)"/>
    <s v="DEF-00450"/>
    <s v="진입 시 첫 번째 요소(예고일) 포커스가 되지 않습니다. "/>
    <s v="개발자테스트"/>
    <s v="임소정"/>
    <s v="신문호"/>
    <s v="3자테스터공통"/>
    <s v="Online"/>
    <s v="개선/변경"/>
    <s v="UI"/>
    <s v="결함검토요청"/>
    <s v="임소정"/>
    <s v="Minor"/>
    <s v="결함검토요청"/>
    <d v="2026-04-29T11:01:14"/>
    <d v="2026-04-29T11:01:14"/>
    <s v=""/>
    <x v="9"/>
    <s v="개선/변경 요청"/>
    <s v="진입 시 첫 번째 요소(예고일) 포커스가 되지 않습니다."/>
    <s v="진입 시 첫 번째 요소(예고일) 포커스가 되지 않습니다."/>
    <m/>
    <m/>
    <s v="차기 반영 일감으로 등록 후 우선순위 협의, 정책 가이드 반영"/>
  </r>
  <r>
    <s v="UT-GO12707S"/>
    <s v="2-3차"/>
    <n v="1"/>
    <s v="공항운영(GO)"/>
    <s v="DEF-00451"/>
    <s v="검색 조건 정렬 필요"/>
    <s v="개발자테스트"/>
    <s v="신문호"/>
    <s v="김경준"/>
    <s v="3자테스터공통"/>
    <s v="Online"/>
    <s v="개선/변경"/>
    <s v="UI"/>
    <s v="결함검토요청"/>
    <s v="신문호"/>
    <s v="Minor"/>
    <s v="결함검토요청"/>
    <d v="2026-04-29T11:01:47"/>
    <d v="2026-04-29T11:01:47"/>
    <s v=""/>
    <x v="4"/>
    <s v="정렬 오류"/>
    <s v="검색 조건 정렬 필요"/>
    <s v="검색 조건 정렬 필요"/>
    <m/>
    <m/>
    <s v="조회 SQL/조건 매핑 재검토, 정렬·필터 기본값 정의서와 일치화"/>
  </r>
  <r>
    <s v="UT-GO12707S"/>
    <s v="2-3차"/>
    <n v="1"/>
    <s v="공항운영(GO)"/>
    <s v="DEF-00452"/>
    <s v="다른 페이지는 &quot;조회된 데이터가 없습니다.&quot; 가 표시되지만 참고사항 페이지는 표시되지 않음."/>
    <s v="개발자테스트"/>
    <s v="신문호"/>
    <s v="김경준"/>
    <s v="3자테스터공통"/>
    <s v="Online"/>
    <s v="개선/변경"/>
    <s v="UI"/>
    <s v="결함검토요청"/>
    <s v="신문호"/>
    <s v="Minor"/>
    <s v="결함검토요청"/>
    <d v="2026-04-29T11:07:35"/>
    <d v="2026-04-29T11:07:35"/>
    <s v=""/>
    <x v="4"/>
    <s v="조회 조건 처리"/>
    <s v="다른 페이지는 &quot;조회된 데이터가 없습니다.&quot; 가 표시되지만 참고사항 페이지는 표시되지 않음."/>
    <s v="다른 페이지는 &quot;조회된 데이터가 없습니다.&quot; 가 표시되지만 참고사항 페이지는 표시되지 않음."/>
    <m/>
    <m/>
    <s v="조회 SQL/조건 매핑 재검토, 정렬·필터 기본값 정의서와 일치화"/>
  </r>
  <r>
    <s v="UT-PM20101S"/>
    <s v="1-2차"/>
    <n v="1"/>
    <s v="예측관리(PM)"/>
    <s v="DEF-00458"/>
    <s v="창을 줄였을때, 데이터가 다 보이지 않습니다. "/>
    <s v="개발자테스트"/>
    <s v="임소정"/>
    <s v="신문호"/>
    <s v="3자테스터공통"/>
    <s v="Online"/>
    <s v="개선/변경"/>
    <s v="UI"/>
    <s v="결함검토요청"/>
    <s v="임소정"/>
    <s v="Minor"/>
    <s v="결함검토요청"/>
    <d v="2026-04-29T11:19:30"/>
    <d v="2026-04-29T11:19:30"/>
    <s v=""/>
    <x v="3"/>
    <s v="데이터 정합성"/>
    <s v="창을 줄였을때, 데이터가 다 보이지 않습니다."/>
    <s v="창을 줄였을때, 데이터가 다 보이지 않습니다."/>
    <m/>
    <m/>
    <s v="원천 데이터-화면 매핑 재검증, 집계 로직 단위 테스트 보강"/>
  </r>
  <r>
    <s v="UT-FSEX090M"/>
    <s v="2-3차"/>
    <n v="1"/>
    <s v="항공보안(FS)"/>
    <s v="DEF-00475"/>
    <s v="[S_3-1] [C_7] '검측장소'가 UI상 필수 필드로 설정되어있지만 값 미입력 시에도 등록 가능"/>
    <s v="개발자테스트"/>
    <s v="임소정"/>
    <s v="임소정"/>
    <s v="3자테스터공통"/>
    <s v="Online"/>
    <s v="결함"/>
    <s v="UI"/>
    <s v="결함검토요청"/>
    <s v="임소정"/>
    <s v="Major"/>
    <s v="결함검토요청"/>
    <d v="2026-04-29T14:32:18"/>
    <d v="2026-04-29T14:39:14"/>
    <s v=""/>
    <x v="6"/>
    <s v="필수 입력 누락"/>
    <s v="[S_3-1] [C_7] '검측장소'가 UI상 필수 필드로 설정되어있지만 값 미입력 시에도 등록 가능"/>
    <s v="[S_3-1] [C_7] '검측장소'가 UI상 필수 필드로 설정되어있지만 값 미입력 시에도 등록 가능"/>
    <m/>
    <m/>
    <s v="프론트/백엔드 양측에 입력 유효성 검증 추가 및 공통 validator 적용"/>
  </r>
  <r>
    <s v="UT-FSQB090S"/>
    <s v="2-1차"/>
    <n v="1"/>
    <s v="항공보안(FS)"/>
    <s v="DEF-00491"/>
    <s v="1. 전신검색 웗별 현황 조회의 조회일자의 날짜 구분 필요_x000a_2. 적발기간의 시작일이 더 늦은데 전신 검색 월별 현황 조회가 됨._x000a_"/>
    <s v="개발자테스트"/>
    <s v="임소정"/>
    <s v="임소정"/>
    <s v="3자테스터공통"/>
    <s v="Online"/>
    <s v="개선/변경"/>
    <s v="기능"/>
    <s v="결함검토요청"/>
    <s v="임소정"/>
    <s v="Major"/>
    <s v="결함검토요청"/>
    <d v="2026-04-29T15:02:52"/>
    <d v="2026-04-29T15:02:52"/>
    <s v=""/>
    <x v="0"/>
    <s v="기간 범위 처리"/>
    <s v="1. 전신검색 웗별 현황 조회의 조회일자의 날짜 구분 필요"/>
    <s v="1. 전신검색 웗별 현황 조회의 조회일자의 날짜 구분 필요 2. 적발기간의 시작일이 더 늦은데 전신 검색 월별 현황 조회가 됨."/>
    <m/>
    <m/>
    <s v="날짜 컴포넌트 표준화, 기준일자-운항일자 등 필드 매핑 점검 및 기간 가드 추가"/>
  </r>
  <r>
    <s v="UT-FSEY080S"/>
    <s v="2-3차"/>
    <n v="1"/>
    <s v="항공보안(FS)"/>
    <s v="DEF-00494"/>
    <s v="[C_4] 합계 column(근무자별 연간 출동현황 합계), 합계 row(월별 출동현황 합계)가 실제 합과 불일치"/>
    <s v="개발자테스트"/>
    <s v="임소정"/>
    <s v="임소정"/>
    <s v="3자테스터공통"/>
    <s v="Online"/>
    <s v="결함"/>
    <s v="데이터"/>
    <s v="결함검토요청"/>
    <s v="임소정"/>
    <s v="Major"/>
    <s v="결함검토요청"/>
    <d v="2026-04-29T15:08:38"/>
    <d v="2026-04-29T15:08:39"/>
    <s v=""/>
    <x v="3"/>
    <s v="집계/계산 오류"/>
    <s v="[C_4] 합계 column(근무자별 연간 출동현황 합계), 합계 row(월별 출동현황 합계)가 실제 합…"/>
    <s v="[C_4] 합계 column(근무자별 연간 출동현황 합계), 합계 row(월별 출동현황 합계)가 실제 합과 불일치"/>
    <m/>
    <m/>
    <s v="원천 데이터-화면 매핑 재검증, 집계 로직 단위 테스트 보강"/>
  </r>
  <r>
    <s v="UT-FSQB170S"/>
    <s v="2-2차"/>
    <n v="1"/>
    <s v="항공보안(FS)"/>
    <s v="DEF-00496"/>
    <s v="[X_1] 단위테스트결과서 증적 누락"/>
    <s v="개발자테스트"/>
    <s v="임소정"/>
    <s v="임소정"/>
    <s v="3자테스터공통"/>
    <s v="Online"/>
    <s v="결함"/>
    <s v="문서화"/>
    <s v="결함검토요청"/>
    <s v="임소정"/>
    <s v="Minor"/>
    <s v="결함검토요청"/>
    <d v="2026-04-29T15:24:18"/>
    <d v="2026-04-29T15:24:18"/>
    <s v=""/>
    <x v="5"/>
    <s v="기타 검토"/>
    <s v="[X_1] 단위테스트결과서 증적 누락"/>
    <s v="[X_1] 단위테스트결과서 증적 누락"/>
    <m/>
    <m/>
    <s v="담당 PL과 결함 성격 재정의 후 분류 보완"/>
  </r>
  <r>
    <s v="UT-FSEY020S"/>
    <s v="2-1차"/>
    <n v="1"/>
    <s v="항공보안(FS)"/>
    <s v="DEF-00560"/>
    <s v="1. 숫자 천단위 표시 추가_x000a_2. 날짜 간격 수정 yyyy-mm-dd 형식으로 띄어쓰기 제거"/>
    <s v="개발자테스트"/>
    <s v="임소정"/>
    <s v="임소정"/>
    <s v="3자테스터공통"/>
    <s v="Online"/>
    <s v="개선/변경"/>
    <s v="UI"/>
    <s v="결함검토요청"/>
    <s v="임소정"/>
    <s v="Minor"/>
    <s v="결함검토요청"/>
    <d v="2026-04-30T13:09:26"/>
    <d v="2026-04-30T13:09:26"/>
    <s v=""/>
    <x v="0"/>
    <s v="날짜 표시/포맷"/>
    <s v="1. 숫자 천단위 표시 추가"/>
    <s v="1. 숫자 천단위 표시 추가 2. 날짜 간격 수정 yyyy-mm-dd 형식으로 띄어쓰기 제거"/>
    <m/>
    <m/>
    <s v="날짜 컴포넌트 표준화, 기준일자-운항일자 등 필드 매핑 점검 및 기간 가드 추가"/>
  </r>
  <r>
    <s v="UT-GO12805S"/>
    <s v="2-3차"/>
    <n v="1"/>
    <s v="공항운영(GO)"/>
    <s v="DEF-00648"/>
    <s v="[X_1] 조회조건에 해당하는 데이터를 찾을 수 없을 때 표출되는 alert의 UI 형식이 타 alert UI와 상이"/>
    <s v="개발자테스트"/>
    <s v="신문호"/>
    <s v="김경준"/>
    <s v="3자테스터공통"/>
    <s v="Online"/>
    <s v="결함"/>
    <s v="UI"/>
    <s v="결함검토요청"/>
    <s v="신문호"/>
    <s v="Minor"/>
    <s v="결함검토요청"/>
    <d v="2026-05-04T15:10:04"/>
    <d v="2026-05-04T15:10:04"/>
    <s v=""/>
    <x v="4"/>
    <s v="조회 조건 처리"/>
    <s v="[X_1] 조회조건에 해당하는 데이터를 찾을 수 없을 때 표출되는 alert의 UI 형식이 타 alert…"/>
    <s v="[X_1] 조회조건에 해당하는 데이터를 찾을 수 없을 때 표출되는 alert의 UI 형식이 타 alert UI와 상이"/>
    <m/>
    <m/>
    <s v="조회 SQL/조건 매핑 재검토, 정렬·필터 기본값 정의서와 일치화"/>
  </r>
  <r>
    <s v="UT-GO11950S"/>
    <s v="2-2차"/>
    <n v="1"/>
    <s v="공항운영(GO)"/>
    <s v="DEF-00680"/>
    <s v="[S_1] 일일 실적은 페이지 초기 로드 시 조회가 수행되지만, 주간 실적은 페이지 초기 로드 시 조회가 수행되지 않습니다."/>
    <s v="개발자테스트"/>
    <s v="신문호"/>
    <s v="신문호"/>
    <s v="3자테스터공통"/>
    <s v="Online"/>
    <s v="결함"/>
    <s v="프로세스"/>
    <s v="결함검토요청"/>
    <s v="신문호"/>
    <s v="Minor"/>
    <s v="결함검토요청"/>
    <d v="2026-05-06T09:01:31"/>
    <d v="2026-05-06T09:01:31"/>
    <s v=""/>
    <x v="4"/>
    <s v="조회 조건 처리"/>
    <s v="[S_1] 일일 실적은 페이지 초기 로드 시 조회가 수행되지만, 주간 실적은 페이지 초기 로드 시 조회가…"/>
    <s v="[S_1] 일일 실적은 페이지 초기 로드 시 조회가 수행되지만, 주간 실적은 페이지 초기 로드 시 조회가 수행되지 않습니다."/>
    <m/>
    <m/>
    <s v="조회 SQL/조건 매핑 재검토, 정렬·필터 기본값 정의서와 일치화"/>
  </r>
  <r>
    <s v="UT-GO11961S"/>
    <s v="2-2차"/>
    <n v="1"/>
    <s v="공항운영(GO)"/>
    <s v="DEF-00685"/>
    <s v="[C_1] 오타: 탑승동 개항우 → 탑승동 개항' 후'"/>
    <s v="개발자테스트"/>
    <s v="신문호"/>
    <s v="신문호"/>
    <s v="3자테스터공통"/>
    <s v="Online"/>
    <s v="결함"/>
    <s v="UI"/>
    <s v="결함검토요청"/>
    <s v="신문호"/>
    <s v="Minor"/>
    <s v="결함검토요청"/>
    <d v="2026-05-06T09:37:35"/>
    <d v="2026-05-06T09:37:35"/>
    <s v=""/>
    <x v="12"/>
    <s v="오타"/>
    <s v="[C_1] 오타: 탑승동 개항우 → 탑승동 개항' 후'"/>
    <s v="[C_1] 오타: 탑승동 개항우 → 탑승동 개항' 후'"/>
    <m/>
    <m/>
    <s v="용어집 기준으로 라벨 일괄 정비, 오타/표기 표준 적용"/>
  </r>
  <r>
    <s v="UT-PM10504S"/>
    <s v="2-3차"/>
    <n v="1"/>
    <s v="예측관리(PM)"/>
    <s v="DEF-00692"/>
    <s v="①최초 화면전체 모드 기준 표 보기에는 하단 좌우스크롤바 1개, ② 화면크기 조정후 스크롤바 2개 생성, ③ 다시 전체 화면 모드로 전환했지만, 하단 좌우스크롤 2개 유지 _x000a_"/>
    <s v="개발자테스트"/>
    <s v="임소정"/>
    <s v="pmtbd2"/>
    <s v="3자테스터공통"/>
    <s v="Online"/>
    <s v="개선/변경"/>
    <s v="UI"/>
    <s v="결함검토요청"/>
    <s v="임소정"/>
    <s v="Minor"/>
    <s v="결함검토요청"/>
    <d v="2026-05-06T10:34:28"/>
    <d v="2026-05-06T10:34:28"/>
    <s v=""/>
    <x v="8"/>
    <s v="폰트/크기"/>
    <s v="①최초 화면전체 모드 기준 표 보기에는 하단 좌우스크롤바 1개, ② 화면크기 조정후 스크롤바 2개 생성,…"/>
    <s v="①최초 화면전체 모드 기준 표 보기에는 하단 좌우스크롤바 1개, ② 화면크기 조정후 스크롤바 2개 생성, ③ 다시 전체 화면 모드로 전환했지만, 하단 좌우스크롤 2개 유지"/>
    <m/>
    <m/>
    <s v="디자인 시스템(GNB/그리드/타이포) 준수 점검, 잘림·정렬 보정"/>
  </r>
  <r>
    <s v="UT-GO11965S"/>
    <s v="2-2차"/>
    <n v="1"/>
    <s v="공항운영(GO)"/>
    <s v="DEF-00697"/>
    <s v="[C_1] '소'송 → '수'송"/>
    <s v="개발자테스트"/>
    <s v="신문호"/>
    <s v="신문호"/>
    <s v="3자테스터공통"/>
    <s v="Online"/>
    <s v="결함"/>
    <s v="UI"/>
    <s v="결함검토요청"/>
    <s v="신문호"/>
    <s v="Minor"/>
    <s v="결함검토요청"/>
    <d v="2026-05-06T10:53:12"/>
    <d v="2026-05-06T10:53:12"/>
    <s v=""/>
    <x v="5"/>
    <s v="기타 검토"/>
    <s v="[C_1] '소'송 → '수'송"/>
    <s v="[C_1] '소'송 → '수'송"/>
    <m/>
    <m/>
    <s v="담당 PL과 결함 성격 재정의 후 분류 보완"/>
  </r>
  <r>
    <s v="UT-GO21401S"/>
    <s v="2-2차"/>
    <n v="1"/>
    <s v="공항운영(GO)"/>
    <s v="DEF-00699"/>
    <s v="[X_1] 검색된 결과가 없을 때 좌측 하단 건수에도 '0'건이 표시되면 좋을 것 같습니다."/>
    <s v="개발자테스트"/>
    <s v="신문호"/>
    <s v="신문호"/>
    <s v="3자테스터공통"/>
    <s v="Online"/>
    <s v="개선/변경"/>
    <s v="UI"/>
    <s v="결함검토요청"/>
    <s v="신문호"/>
    <s v="Minor"/>
    <s v="결함검토요청"/>
    <d v="2026-05-06T11:03:32"/>
    <d v="2026-05-06T11:03:33"/>
    <s v=""/>
    <x v="4"/>
    <s v="조회 조건 처리"/>
    <s v="[X_1] 검색된 결과가 없을 때 좌측 하단 건수에도 '0'건이 표시되면 좋을 것 같습니다."/>
    <s v="[X_1] 검색된 결과가 없을 때 좌측 하단 건수에도 '0'건이 표시되면 좋을 것 같습니다."/>
    <m/>
    <m/>
    <s v="조회 SQL/조건 매핑 재검토, 정렬·필터 기본값 정의서와 일치화"/>
  </r>
  <r>
    <s v="UT-FSQB050S"/>
    <s v="1-2차"/>
    <n v="1"/>
    <s v="항공보안(FS)"/>
    <s v="DEF-00700"/>
    <s v="아래 화면처럼.. 동일 조회 기간의 환승 건수가 품목별 적발현황 Tab과 장소별 적발현황 Tab의 건수가 일치하지 않음._x000a_총 건수나 품목별 총수는 동일해야 하는데.. 불일치 함."/>
    <s v="개발자테스트"/>
    <s v="임소정"/>
    <s v="임소정"/>
    <s v="3자테스터공통"/>
    <s v="Online"/>
    <s v="결함"/>
    <s v="데이터"/>
    <s v="결함검토요청"/>
    <s v="임소정"/>
    <s v="Minor"/>
    <s v="결함검토요청"/>
    <d v="2026-05-06T11:04:17"/>
    <d v="2026-05-06T11:04:17"/>
    <s v=""/>
    <x v="0"/>
    <s v="기간 범위 처리"/>
    <s v="아래 화면처럼.. 동일 조회 기간의 환승 건수가 품목별 적발현황 Tab과 장소별 적발현황 Tab의 건수가…"/>
    <s v="아래 화면처럼.. 동일 조회 기간의 환승 건수가 품목별 적발현황 Tab과 장소별 적발현황 Tab의 건수가 일치하지 않음. 총 건수나 품목별 총수는 동일해야 하는데.. 불일치 함."/>
    <m/>
    <m/>
    <s v="날짜 컴포넌트 표준화, 기준일자-운항일자 등 필드 매핑 점검 및 기간 가드 추가"/>
  </r>
  <r>
    <s v="UT-GO21401S"/>
    <s v="2-2차"/>
    <n v="1"/>
    <s v="공항운영(GO)"/>
    <s v="DEF-00702"/>
    <s v="[S_6] 삭제 시 리스트는 갱신되지만 건수는 갱신되지 않고 있습니다."/>
    <s v="개발자테스트"/>
    <s v="신문호"/>
    <s v="신문호"/>
    <s v="3자테스터공통"/>
    <s v="Online"/>
    <s v="결함"/>
    <s v="UI"/>
    <s v="결함검토요청"/>
    <s v="신문호"/>
    <s v="Minor"/>
    <s v="결함검토요청"/>
    <d v="2026-05-06T11:11:09"/>
    <d v="2026-05-06T11:12:25"/>
    <s v=""/>
    <x v="5"/>
    <s v="기타 검토"/>
    <s v="[S_6] 삭제 시 리스트는 갱신되지만 건수는 갱신되지 않고 있습니다."/>
    <s v="[S_6] 삭제 시 리스트는 갱신되지만 건수는 갱신되지 않고 있습니다."/>
    <m/>
    <m/>
    <s v="담당 PL과 결함 성격 재정의 후 분류 보완"/>
  </r>
  <r>
    <s v="UT-PM20157S"/>
    <s v="2-2차"/>
    <n v="1"/>
    <s v="예측관리(PM)"/>
    <s v="DEF-00707"/>
    <s v="- 합계행 분리됨(배율 낮추면 분리됨) -&gt; PM 전반적으로 검토해야할 사안인듯._x000a_-합계오류(기존승객예고 결과) : 화면, 엑셀 두개 다 오류, 엑셀의 시뮬레이션결과, 셔틀트레인시트내 합계는 맞음_x000a_"/>
    <s v="개발자테스트"/>
    <s v="임소정"/>
    <s v="노세찬"/>
    <s v="3자테스터공통"/>
    <s v="Online"/>
    <s v="개선/변경"/>
    <s v="UI"/>
    <s v="결함검토요청"/>
    <s v="임소정"/>
    <s v="Minor"/>
    <s v="결함검토요청"/>
    <d v="2026-05-06T13:31:58"/>
    <d v="2026-05-06T13:31:59"/>
    <s v=""/>
    <x v="1"/>
    <s v="엑셀 다운로드 오류"/>
    <s v="- 합계행 분리됨(배율 낮추면 분리됨) -&gt; PM 전반적으로 검토해야할 사안인듯."/>
    <s v="- 합계행 분리됨(배율 낮추면 분리됨) -&gt; PM 전반적으로 검토해야할 사안인듯. -합계오류(기존승객예고 결과) : 화면, 엑셀 두개 다 오류, 엑셀의 시뮬레이션결과, 셔틀트레인시트내 합계는 맞음"/>
    <m/>
    <m/>
    <s v="엑셀/PDF 공통 출력 모듈 점검, 컬럼 매핑·서식 검증 및 예외 처리"/>
  </r>
  <r>
    <s v="UT-GO12901S"/>
    <s v="2-2차"/>
    <n v="1"/>
    <s v="공항운영(GO)"/>
    <s v="DEF-00736"/>
    <s v="[X_1] '대상 국가'를 선택하지 않고 검색했을 때, 전체 국가에 대해 검색될 것처럼 기대되지만 어떤 국가에 대해서도 검색되지 않기 때문에 사용자 입장에서 마치 데이터가 없는 것처럼 느껴집니다. 어차피 국가를 선택해야 데이터가 조회되기 때문에, 이 필드를 선택 필드로 둘 것이 아니라 필수 필드로 설정하는 것은 어떨지 건의드립니다."/>
    <s v="개발자테스트"/>
    <s v="신문호"/>
    <s v="신문호"/>
    <s v="3자테스터공통"/>
    <s v="Online"/>
    <s v="개선/변경"/>
    <s v="프로세스"/>
    <s v="결함검토요청"/>
    <s v="신문호"/>
    <s v="Minor"/>
    <s v="결함검토요청"/>
    <d v="2026-05-06T16:42:09"/>
    <d v="2026-05-06T16:42:09"/>
    <s v=""/>
    <x v="6"/>
    <s v="필수 입력 누락"/>
    <s v="[X_1] '대상 국가'를 선택하지 않고 검색했을 때, 전체 국가에 대해 검색될 것처럼 기대되지만 어떤 …"/>
    <s v="[X_1] '대상 국가'를 선택하지 않고 검색했을 때, 전체 국가에 대해 검색될 것처럼 기대되지만 어떤 국가에 대해서도 검색되지 않기 때문에 사용자 입장에서 마치 데이터가 없는 것처럼 느껴집니다. 어차피 국가를 선택해야 데이터가 조회되기 때문에, …"/>
    <m/>
    <m/>
    <s v="프론트/백엔드 양측에 입력 유효성 검증 추가 및 공통 validator 적용"/>
  </r>
  <r>
    <s v="UT-GO12901S"/>
    <s v="2-2차"/>
    <n v="1"/>
    <s v="공항운영(GO)"/>
    <s v="DEF-00737"/>
    <s v="[C_1] 천 단위 , 필요"/>
    <s v="개발자테스트"/>
    <s v="신문호"/>
    <s v="신문호"/>
    <s v="3자테스터공통"/>
    <s v="Online"/>
    <s v="개선/변경"/>
    <s v="UI"/>
    <s v="결함검토요청"/>
    <s v="신문호"/>
    <s v="Minor"/>
    <s v="결함검토요청"/>
    <d v="2026-05-06T16:44:24"/>
    <d v="2026-05-06T16:44:24"/>
    <s v=""/>
    <x v="9"/>
    <s v="개선/변경 요청"/>
    <s v="[C_1] 천 단위 , 필요"/>
    <s v="[C_1] 천 단위 , 필요"/>
    <m/>
    <m/>
    <s v="차기 반영 일감으로 등록 후 우선순위 협의, 정책 가이드 반영"/>
  </r>
  <r>
    <s v="UT-PM10104S"/>
    <s v="2-1차"/>
    <n v="1"/>
    <s v="예측관리(PM)"/>
    <s v="DEF-00753"/>
    <s v="①동일한 검색어(“741”)를  운항편명에 입력한 후에 SPS는 검색되지만, CPSI에서는 검색결과가 제시되지 않음._x000a_"/>
    <s v="개발자테스트"/>
    <s v="임소정"/>
    <s v="pmtbd3"/>
    <s v="3자테스터공통"/>
    <s v="Online"/>
    <s v="개선/변경"/>
    <s v="UI"/>
    <s v="결함검토요청"/>
    <s v="임소정"/>
    <s v="Minor"/>
    <s v="결함검토요청"/>
    <d v="2026-05-07T09:13:33"/>
    <d v="2026-05-07T09:13:33"/>
    <s v=""/>
    <x v="4"/>
    <s v="조회 조건 처리"/>
    <s v="①동일한 검색어(“741”)를  운항편명에 입력한 후에 SPS는 검색되지만, CPSI에서는 검색결과가 제…"/>
    <s v="①동일한 검색어(“741”)를  운항편명에 입력한 후에 SPS는 검색되지만, CPSI에서는 검색결과가 제시되지 않음."/>
    <m/>
    <m/>
    <s v="조회 SQL/조건 매핑 재검토, 정렬·필터 기본값 정의서와 일치화"/>
  </r>
  <r>
    <s v="UT-GO11952M"/>
    <s v="2-1차"/>
    <n v="1"/>
    <s v="공항운영(GO)"/>
    <s v="DEF-00760"/>
    <s v="[C_1] 모달상에는 DST, 대시보드 화면상에는 DSP로 기재되어 있음"/>
    <s v="개발자테스트"/>
    <s v="신문호"/>
    <s v="김경준"/>
    <s v="3자테스터공통"/>
    <s v="Online"/>
    <s v="결함"/>
    <s v="UI"/>
    <s v="결함검토요청"/>
    <s v="신문호"/>
    <s v="Minor"/>
    <s v="결함검토요청"/>
    <d v="2026-05-07T09:47:10"/>
    <d v="2026-05-07T09:47:10"/>
    <s v=""/>
    <x v="5"/>
    <s v="기타 검토"/>
    <s v="[C_1] 모달상에는 DST, 대시보드 화면상에는 DSP로 기재되어 있음"/>
    <s v="[C_1] 모달상에는 DST, 대시보드 화면상에는 DSP로 기재되어 있음"/>
    <m/>
    <m/>
    <s v="담당 PL과 결함 성격 재정의 후 분류 보완"/>
  </r>
  <r>
    <s v="UT-GO12808S"/>
    <s v="2-1차"/>
    <n v="1"/>
    <s v="공항운영(GO)"/>
    <s v="DEF-00766"/>
    <s v="[C_4] 조회된 데이터가 없을 때, 결항 소제목에도 '0'편 기재 필요 (현재 지연(0편)과 상이)"/>
    <s v="개발자테스트"/>
    <s v="신문호"/>
    <s v="박정구"/>
    <s v="3자테스터공통"/>
    <s v="Online"/>
    <s v="결함"/>
    <s v="UI"/>
    <s v="결함검토요청"/>
    <s v="신문호"/>
    <s v="Minor"/>
    <s v="결함검토요청"/>
    <d v="2026-05-07T10:14:37"/>
    <d v="2026-05-07T10:14:37"/>
    <s v=""/>
    <x v="4"/>
    <s v="조회 조건 처리"/>
    <s v="[C_4] 조회된 데이터가 없을 때, 결항 소제목에도 '0'편 기재 필요 (현재 지연(0편)과 상이)"/>
    <s v="[C_4] 조회된 데이터가 없을 때, 결항 소제목에도 '0'편 기재 필요 (현재 지연(0편)과 상이)"/>
    <m/>
    <m/>
    <s v="조회 SQL/조건 매핑 재검토, 정렬·필터 기본값 정의서와 일치화"/>
  </r>
  <r>
    <s v="UT-PM30101S"/>
    <s v="1-2차"/>
    <n v="1"/>
    <s v="예측관리(PM)"/>
    <s v="DEF-00767"/>
    <s v="시스템에러로 테스트 불가"/>
    <s v="개발자테스트"/>
    <s v="임소정"/>
    <s v="pmtbd1"/>
    <s v="3자테스터공통"/>
    <s v="Online"/>
    <s v="개선/변경"/>
    <s v="UI"/>
    <s v="결함검토요청"/>
    <s v="임소정"/>
    <s v="Minor"/>
    <s v="결함검토요청"/>
    <d v="2026-05-07T10:15:56"/>
    <d v="2026-05-07T10:15:56"/>
    <s v=""/>
    <x v="10"/>
    <s v="시스템 오류/예외"/>
    <s v="시스템에러로 테스트 불가"/>
    <s v="시스템에러로 테스트 불가"/>
    <m/>
    <m/>
    <s v="전역 에러 핸들러 점검, 사용자 친화적 오류 메시지 노출"/>
  </r>
  <r>
    <s v="UT-PM30102M"/>
    <s v="1-2차"/>
    <n v="1"/>
    <s v="예측관리(PM)"/>
    <s v="DEF-00768"/>
    <s v="시스템에러로 테스트불가"/>
    <s v="개발자테스트"/>
    <s v="임소정"/>
    <s v="pmtbd1"/>
    <s v="3자테스터공통"/>
    <s v="Online"/>
    <s v="개선/변경"/>
    <s v="UI"/>
    <s v="결함검토요청"/>
    <s v="임소정"/>
    <s v="Minor"/>
    <s v="결함검토요청"/>
    <d v="2026-05-07T10:16:23"/>
    <d v="2026-05-07T10:16:23"/>
    <s v=""/>
    <x v="10"/>
    <s v="시스템 오류/예외"/>
    <s v="시스템에러로 테스트불가"/>
    <s v="시스템에러로 테스트불가"/>
    <m/>
    <m/>
    <s v="전역 에러 핸들러 점검, 사용자 친화적 오류 메시지 노출"/>
  </r>
  <r>
    <s v="UT-PM30104S"/>
    <s v="1-2차"/>
    <n v="1"/>
    <s v="예측관리(PM)"/>
    <s v="DEF-00770"/>
    <s v="시스템에러로 테스트불가"/>
    <s v="개발자테스트"/>
    <s v="임소정"/>
    <s v="pmtbd2"/>
    <s v="3자테스터공통"/>
    <s v="Online"/>
    <s v="개선/변경"/>
    <s v="UI"/>
    <s v="결함검토요청"/>
    <s v="임소정"/>
    <s v="Minor"/>
    <s v="결함검토요청"/>
    <d v="2026-05-07T10:17:36"/>
    <d v="2026-05-07T10:17:36"/>
    <s v=""/>
    <x v="10"/>
    <s v="시스템 오류/예외"/>
    <s v="시스템에러로 테스트불가"/>
    <s v="시스템에러로 테스트불가"/>
    <m/>
    <m/>
    <s v="전역 에러 핸들러 점검, 사용자 친화적 오류 메시지 노출"/>
  </r>
  <r>
    <s v="UT-GO51234S"/>
    <s v="2-1차"/>
    <n v="1"/>
    <s v="공항운영(GO)"/>
    <s v="DEF-00774"/>
    <s v="[C_12] 조회조건 중 기준일자 입력포맷과 보고서상의 조회기간 출력포맷 불일치"/>
    <s v="개발자테스트"/>
    <s v="신문호"/>
    <s v="김경준"/>
    <s v="3자테스터공통"/>
    <s v="Online"/>
    <s v="결함"/>
    <s v="UI"/>
    <s v="결함검토요청"/>
    <s v="신문호"/>
    <s v="Minor"/>
    <s v="결함검토요청"/>
    <d v="2026-05-07T10:53:02"/>
    <d v="2026-05-07T10:53:02"/>
    <s v=""/>
    <x v="1"/>
    <s v="파일 출력/다운로드"/>
    <s v="[C_12] 조회조건 중 기준일자 입력포맷과 보고서상의 조회기간 출력포맷 불일치"/>
    <s v="[C_12] 조회조건 중 기준일자 입력포맷과 보고서상의 조회기간 출력포맷 불일치"/>
    <m/>
    <m/>
    <s v="엑셀/PDF 공통 출력 모듈 점검, 컬럼 매핑·서식 검증 및 예외 처리"/>
  </r>
  <r>
    <s v="UT-GO51236S"/>
    <s v="2-1차"/>
    <n v="1"/>
    <s v="공항운영(GO)"/>
    <s v="DEF-00775"/>
    <s v="[C_12] 조회조건 중 기준일자 입력포맷과 보고서상의 조회기간 출력포맷 불일치"/>
    <s v="개발자테스트"/>
    <s v="신문호"/>
    <s v="김경준"/>
    <s v="3자테스터공통"/>
    <s v="Online"/>
    <s v="결함"/>
    <s v="UI"/>
    <s v="결함검토요청"/>
    <s v="신문호"/>
    <s v="Minor"/>
    <s v="결함검토요청"/>
    <d v="2026-05-07T10:53:54"/>
    <d v="2026-05-07T10:53:54"/>
    <s v=""/>
    <x v="1"/>
    <s v="파일 출력/다운로드"/>
    <s v="[C_12] 조회조건 중 기준일자 입력포맷과 보고서상의 조회기간 출력포맷 불일치"/>
    <s v="[C_12] 조회조건 중 기준일자 입력포맷과 보고서상의 조회기간 출력포맷 불일치"/>
    <m/>
    <m/>
    <s v="엑셀/PDF 공통 출력 모듈 점검, 컬럼 매핑·서식 검증 및 예외 처리"/>
  </r>
  <r>
    <s v="UT-PM10301S"/>
    <s v="2-3차"/>
    <n v="1"/>
    <s v="예측관리(PM)"/>
    <s v="DEF-00001"/>
    <s v="데이터 있는 날짜(26-04-02)에서 없는 날짜(26-04-25)로 선택 시 아래 그림처럼 시뮬레이션 요약 그래프 생기는 현상._x000a_alert창 닫은 후에도 그래프 남아있음."/>
    <s v="개발자테스트"/>
    <s v="임소정"/>
    <s v="신문호"/>
    <s v="3자테스터공통"/>
    <s v="Online"/>
    <s v="개선/변경"/>
    <s v="데이터"/>
    <s v="결함검토요청"/>
    <s v="염희석"/>
    <s v="Minor"/>
    <s v="결함검토요청"/>
    <d v="2026-04-22T10:33:04"/>
    <d v="2026-04-22T10:33:04"/>
    <s v=""/>
    <x v="2"/>
    <s v="차트 표시 오류"/>
    <s v="데이터 있는 날짜(26-04-02)에서 없는 날짜(26-04-25)로 선택 시 아래 그림처럼 시뮬레이션 …"/>
    <s v="데이터 있는 날짜(26-04-02)에서 없는 날짜(26-04-25)로 선택 시 아래 그림처럼 시뮬레이션 요약 그래프 생기는 현상. alert창 닫은 후에도 그래프 남아있음."/>
    <m/>
    <m/>
    <s v="차트 공통 컴포넌트 점검, 무데이터 처리 및 축/범례 표준화"/>
  </r>
  <r>
    <s v="UT-PM10303S"/>
    <s v="2-3차"/>
    <n v="1"/>
    <s v="예측관리(PM)"/>
    <s v="DEF-00002"/>
    <s v="터미널, 아일랜드를 바꿔서 검색해도 데이터가 없습니다."/>
    <s v="개발자테스트"/>
    <s v="임소정"/>
    <s v="pmtbd2"/>
    <s v="3자테스터공통"/>
    <s v="Online"/>
    <s v="결함"/>
    <s v="데이터"/>
    <s v="결함검토요청"/>
    <s v="염희석"/>
    <s v="Major"/>
    <s v="결함검토요청"/>
    <d v="2026-04-22T11:02:45"/>
    <d v="2026-04-22T11:02:45"/>
    <s v=""/>
    <x v="4"/>
    <s v="조회 조건 처리"/>
    <s v="터미널, 아일랜드를 바꿔서 검색해도 데이터가 없습니다."/>
    <s v="터미널, 아일랜드를 바꿔서 검색해도 데이터가 없습니다."/>
    <m/>
    <m/>
    <s v="조회 SQL/조건 매핑 재검토, 정렬·필터 기본값 정의서와 일치화"/>
  </r>
  <r>
    <s v="UT-GO12505S"/>
    <s v="2-3차"/>
    <n v="1"/>
    <s v="공항운영(GO)"/>
    <s v="DEF-00006"/>
    <s v="Reporting 공통결함_x000a_ - 엑셀 저장 후 파일을 열었을 때(내용은 다 채워짐)_x000a_ - 4-5번행 : 낮은 가독성(일부 가림)_x000a_ - 출력시 왼편 쏠림 및 한페이지에 맞춤 안됨"/>
    <s v="개발자테스트"/>
    <s v="신문호"/>
    <s v="김경준"/>
    <s v="3자테스터공통"/>
    <s v="Online"/>
    <s v="개선/변경"/>
    <s v="UI"/>
    <s v="결함검토요청"/>
    <s v="신문호"/>
    <s v="Minor"/>
    <s v="결함검토요청"/>
    <d v="2026-04-22T13:05:44"/>
    <d v="2026-04-22T13:09:27"/>
    <s v=""/>
    <x v="1"/>
    <s v="엑셀 다운로드 오류"/>
    <s v="Reporting 공통결함"/>
    <s v="Reporting 공통결함  - 엑셀 저장 후 파일을 열었을 때(내용은 다 채워짐)  - 4-5번행 : 낮은 가독성(일부 가림)  - 출력시 왼편 쏠림 및 한페이지에 맞춤 안됨"/>
    <m/>
    <m/>
    <s v="엑셀/PDF 공통 출력 모듈 점검, 컬럼 매핑·서식 검증 및 예외 처리"/>
  </r>
  <r>
    <s v="UT-GO12512S"/>
    <s v="2-3차"/>
    <n v="1"/>
    <s v="공항운영(GO)"/>
    <s v="DEF-00034"/>
    <s v="동일일자 기준으로 운항편 목록비교 탭에서 검색되는 운항편이 운항편별 변경이력 탭에서는 검색되지 않음."/>
    <s v="개발자테스트"/>
    <s v="신문호"/>
    <s v="김경준"/>
    <s v="3자테스터공통"/>
    <s v="Online"/>
    <s v="결함"/>
    <s v="UI"/>
    <s v="결함검토요청"/>
    <s v="신문호"/>
    <s v="Critical"/>
    <s v="결함검토요청"/>
    <d v="2026-04-22T15:56:43"/>
    <d v="2026-04-22T15:56:43"/>
    <s v=""/>
    <x v="0"/>
    <s v="기준일자/조회일자 불일치"/>
    <s v="동일일자 기준으로 운항편 목록비교 탭에서 검색되는 운항편이 운항편별 변경이력 탭에서는 검색되지 않음."/>
    <s v="동일일자 기준으로 운항편 목록비교 탭에서 검색되는 운항편이 운항편별 변경이력 탭에서는 검색되지 않음."/>
    <m/>
    <m/>
    <s v="날짜 컴포넌트 표준화, 기준일자-운항일자 등 필드 매핑 점검 및 기간 가드 추가"/>
  </r>
  <r>
    <s v="UT-PM10306S"/>
    <s v="2-3차"/>
    <n v="1"/>
    <s v="예측관리(PM)"/>
    <s v="DEF-00005"/>
    <s v="아일랜드 버튼을 클릭하면 표보기가 아니라 차트보기로 넘어갑니다."/>
    <s v="개발자테스트"/>
    <s v="임소정"/>
    <s v="pmtbd3"/>
    <s v="3자테스터공통"/>
    <s v="Online"/>
    <s v="결함"/>
    <s v="기능"/>
    <s v="결함검토요청"/>
    <s v="염희석"/>
    <s v="Minor"/>
    <s v="결함검토요청"/>
    <d v="2026-04-22T12:58:36"/>
    <d v="2026-04-22T12:58:36"/>
    <s v=""/>
    <x v="2"/>
    <s v="차트 표시 오류"/>
    <s v="아일랜드 버튼을 클릭하면 표보기가 아니라 차트보기로 넘어갑니다."/>
    <s v="아일랜드 버튼을 클릭하면 표보기가 아니라 차트보기로 넘어갑니다."/>
    <m/>
    <m/>
    <s v="차트 공통 컴포넌트 점검, 무데이터 처리 및 축/범례 표준화"/>
  </r>
  <r>
    <s v="UT-GO12505S"/>
    <s v="2-3차"/>
    <n v="1"/>
    <s v="공항운영(GO)"/>
    <s v="DEF-00013"/>
    <s v="상단 프린터아이콘 출력의 의미 확인 어려움..(화면도, 콘텐츠도 아닌 애매한 출력물 제공)_x000a__x000a_모든 출력물 하단에 페이지번호 없음"/>
    <s v="개발자테스트"/>
    <s v="신문호"/>
    <s v="김경준"/>
    <s v="3자테스터공통"/>
    <s v="Online"/>
    <s v="개선/변경"/>
    <s v="UI"/>
    <s v="결함검토요청"/>
    <s v="신문호"/>
    <s v="Minor"/>
    <s v="결함검토요청"/>
    <d v="2026-04-22T13:58:59"/>
    <d v="2026-04-22T14:57:56"/>
    <s v=""/>
    <x v="1"/>
    <s v="파일 출력/다운로드"/>
    <s v="상단 프린터아이콘 출력의 의미 확인 어려움..(화면도, 콘텐츠도 아닌 애매한 출력물 제공)"/>
    <s v="상단 프린터아이콘 출력의 의미 확인 어려움..(화면도, 콘텐츠도 아닌 애매한 출력물 제공)  모든 출력물 하단에 페이지번호 없음"/>
    <m/>
    <m/>
    <s v="엑셀/PDF 공통 출력 모듈 점검, 컬럼 매핑·서식 검증 및 예외 처리"/>
  </r>
  <r>
    <s v="UT-GO12510S"/>
    <s v="2-3차"/>
    <n v="1"/>
    <s v="공항운영(GO)"/>
    <s v="DEF-00029"/>
    <s v="AOMS에서도 표 안의 숫자들이 우측에 밀착되어있음. 작업화면이나, 출력화면에서는 더 밀착되어 있는 것으로 보임._x000a__x000a_!!!!여백 조정 가능하면 적용 필요(파워포인트도 검토)_x000a_페이지 하단에 페이지번호 없음_x000a_"/>
    <s v="개발자테스트"/>
    <s v="신문호"/>
    <s v="김경준"/>
    <s v="3자테스터공통"/>
    <s v="Online"/>
    <s v="개선/변경"/>
    <s v="UI"/>
    <s v="결함검토요청"/>
    <s v="신문호"/>
    <s v="Minor"/>
    <s v="결함검토요청"/>
    <d v="2026-04-22T15:28:26"/>
    <d v="2026-04-22T15:35:56"/>
    <s v=""/>
    <x v="1"/>
    <s v="파일 출력/다운로드"/>
    <s v="AOMS에서도 표 안의 숫자들이 우측에 밀착되어있음. 작업화면이나, 출력화면에서는 더 밀착되어 있는 것으…"/>
    <s v="AOMS에서도 표 안의 숫자들이 우측에 밀착되어있음. 작업화면이나, 출력화면에서는 더 밀착되어 있는 것으로 보임.  !!!!여백 조정 가능하면 적용 필요(파워포인트도 검토) 페이지 하단에 페이지번호 없음"/>
    <m/>
    <m/>
    <s v="엑셀/PDF 공통 출력 모듈 점검, 컬럼 매핑·서식 검증 및 예외 처리"/>
  </r>
  <r>
    <s v="UT-GO12939S"/>
    <s v="2-3차"/>
    <n v="1"/>
    <s v="공항운영(GO)"/>
    <s v="DEF-00030"/>
    <s v="[S_2] 조건에 따른 조회결과가 표출되지 않음._x000a_(2025.06.10, 13:00, Grade  : 전체)"/>
    <s v="개발자테스트"/>
    <s v="신문호"/>
    <s v="신문호"/>
    <s v="3자테스터공통"/>
    <s v="Online"/>
    <s v="결함"/>
    <s v="기능"/>
    <s v="결함검토요청"/>
    <s v="신문호"/>
    <s v="Major"/>
    <s v="결함검토요청"/>
    <d v="2026-04-22T15:30:15"/>
    <d v="2026-04-22T15:30:55"/>
    <s v=""/>
    <x v="4"/>
    <s v="조회 조건 처리"/>
    <s v="[S_2] 조건에 따른 조회결과가 표출되지 않음."/>
    <s v="[S_2] 조건에 따른 조회결과가 표출되지 않음. (2025.06.10, 13:00, Grade  : 전체)"/>
    <m/>
    <m/>
    <s v="조회 SQL/조건 매핑 재검토, 정렬·필터 기본값 정의서와 일치화"/>
  </r>
  <r>
    <s v="UT-GO12505S"/>
    <s v="2-3차"/>
    <n v="1"/>
    <s v="공항운영(GO)"/>
    <s v="DEF-00010"/>
    <s v="Reporting 공통결함 의심_x000a_ - 상단 종모양의 &quot;show notice&quot;클릭 후 관련 창이 오른쪽 하단에서 확인(가운데에서 뜨게해줄 필요)"/>
    <s v="개발자테스트"/>
    <s v="신문호"/>
    <s v="김경준"/>
    <s v="3자테스터공통"/>
    <s v="Online"/>
    <s v="개선/변경"/>
    <s v="UI"/>
    <s v="결함검토요청"/>
    <s v="신문호"/>
    <s v="Minor"/>
    <s v="결함검토요청"/>
    <d v="2026-04-22T13:46:49"/>
    <d v="2026-04-22T13:46:49"/>
    <s v=""/>
    <x v="8"/>
    <s v="레이아웃/UI"/>
    <s v="Reporting 공통결함 의심"/>
    <s v="Reporting 공통결함 의심  - 상단 종모양의 &quot;show notice&quot;클릭 후 관련 창이 오른쪽 하단에서 확인(가운데에서 뜨게해줄 필요)"/>
    <m/>
    <m/>
    <s v="디자인 시스템(GNB/그리드/타이포) 준수 점검, 잘림·정렬 보정"/>
  </r>
  <r>
    <s v="UT-GO14001S"/>
    <s v="2-3차"/>
    <n v="1"/>
    <s v="공항운영(GO)"/>
    <s v="DEF-00049"/>
    <s v="공항운영 대시보드는 현재 검색이 안되고, 좌측 카테고리 트리에서도 확인안됨(시나리오 파일에도 테스트 결과는 없음, 아마도 개발중인듯..)"/>
    <s v="개발자테스트"/>
    <s v="신문호"/>
    <s v="김경준"/>
    <s v="3자테스터공통"/>
    <s v="Online"/>
    <s v="결함"/>
    <s v="UI"/>
    <s v="결함검토요청"/>
    <s v="신문호"/>
    <s v="Critical"/>
    <s v="결함검토요청"/>
    <d v="2026-04-22T17:09:15"/>
    <d v="2026-04-22T17:09:15"/>
    <s v=""/>
    <x v="4"/>
    <s v="검색 결과 불일치"/>
    <s v="공항운영 대시보드는 현재 검색이 안되고, 좌측 카테고리 트리에서도 확인안됨(시나리오 파일에도 테스트 결과…"/>
    <s v="공항운영 대시보드는 현재 검색이 안되고, 좌측 카테고리 트리에서도 확인안됨(시나리오 파일에도 테스트 결과는 없음, 아마도 개발중인듯..)"/>
    <m/>
    <m/>
    <s v="조회 SQL/조건 매핑 재검토, 정렬·필터 기본값 정의서와 일치화"/>
  </r>
  <r>
    <s v="UT-GO14002S"/>
    <s v="2-3차"/>
    <n v="1"/>
    <s v="공항운영(GO)"/>
    <s v="DEF-00050"/>
    <s v="대시보드 관련 화면에서 확인안됨."/>
    <s v="개발자테스트"/>
    <s v="신문호"/>
    <s v="김경준"/>
    <s v="3자테스터공통"/>
    <s v="Online"/>
    <s v="결함"/>
    <s v="UI"/>
    <s v="결함검토요청"/>
    <s v="신문호"/>
    <s v="Critical"/>
    <s v="결함검토요청"/>
    <d v="2026-04-22T17:15:16"/>
    <d v="2026-04-22T17:15:16"/>
    <s v=""/>
    <x v="5"/>
    <s v="기타 검토"/>
    <s v="대시보드 관련 화면에서 확인안됨."/>
    <s v="대시보드 관련 화면에서 확인안됨."/>
    <m/>
    <m/>
    <s v="담당 PL과 결함 성격 재정의 후 분류 보완"/>
  </r>
  <r>
    <s v="UT-GO12512S"/>
    <s v="2-3차"/>
    <n v="1"/>
    <s v="공항운영(GO)"/>
    <s v="DEF-00038"/>
    <s v="출력시 왼쪽 쏠림현상._x000a_화면단위로 한페이지에 들어가지 않음(45페이지 -&gt; 90페이지)_x000a_문서하단 페이지번호 확인"/>
    <s v="개발자테스트"/>
    <s v="신문호"/>
    <s v="김경준"/>
    <s v="3자테스터공통"/>
    <s v="Online"/>
    <s v="개선/변경"/>
    <s v="UI"/>
    <s v="결함검토요청"/>
    <s v="신문호"/>
    <s v="Minor"/>
    <s v="결함검토요청"/>
    <d v="2026-04-22T16:24:35"/>
    <d v="2026-04-22T16:33:18"/>
    <s v=""/>
    <x v="1"/>
    <s v="파일 출력/다운로드"/>
    <s v="출력시 왼쪽 쏠림현상."/>
    <s v="출력시 왼쪽 쏠림현상. 화면단위로 한페이지에 들어가지 않음(45페이지 -&gt; 90페이지) 문서하단 페이지번호 확인"/>
    <m/>
    <m/>
    <s v="엑셀/PDF 공통 출력 모듈 점검, 컬럼 매핑·서식 검증 및 예외 처리"/>
  </r>
  <r>
    <s v="UT-GO12707S"/>
    <s v="2-3차"/>
    <n v="1"/>
    <s v="공항운영(GO)"/>
    <s v="DEF-00042"/>
    <s v="조건에 따른 조회결과가 표출되지 않음. (2025.06.19, 18:00)"/>
    <s v="개발자테스트"/>
    <s v="신문호"/>
    <s v="김경준"/>
    <s v="3자테스터공통"/>
    <s v="Online"/>
    <s v="결함"/>
    <s v="기능"/>
    <s v="결함검토요청"/>
    <s v="신문호"/>
    <s v="Major"/>
    <s v="결함검토요청"/>
    <d v="2026-04-22T16:33:30"/>
    <d v="2026-04-22T16:33:30"/>
    <s v=""/>
    <x v="4"/>
    <s v="조회 조건 처리"/>
    <s v="조건에 따른 조회결과가 표출되지 않음. (2025.06.19, 18:00)"/>
    <s v="조건에 따른 조회결과가 표출되지 않음. (2025.06.19, 18:00)"/>
    <m/>
    <m/>
    <s v="조회 SQL/조건 매핑 재검토, 정렬·필터 기본값 정의서와 일치화"/>
  </r>
  <r>
    <s v="UT-GO12805S"/>
    <s v="2-3차"/>
    <n v="1"/>
    <s v="공항운영(GO)"/>
    <s v="DEF-00043"/>
    <s v="엑셀 출력시 한페이지 단위로 출력 지원안됨._x000a_중앙정렬도 안됨._x000a_화면 하단 페이지번호 "/>
    <s v="개발자테스트"/>
    <s v="신문호"/>
    <s v="김경준"/>
    <s v="3자테스터공통"/>
    <s v="Online"/>
    <s v="개선/변경"/>
    <s v="UI"/>
    <s v="결함검토요청"/>
    <s v="신문호"/>
    <s v="Minor"/>
    <s v="결함검토요청"/>
    <d v="2026-04-22T16:35:45"/>
    <d v="2026-04-22T16:36:12"/>
    <s v=""/>
    <x v="1"/>
    <s v="엑셀 다운로드 오류"/>
    <s v="엑셀 출력시 한페이지 단위로 출력 지원안됨."/>
    <s v="엑셀 출력시 한페이지 단위로 출력 지원안됨. 중앙정렬도 안됨. 화면 하단 페이지번호"/>
    <m/>
    <m/>
    <s v="엑셀/PDF 공통 출력 모듈 점검, 컬럼 매핑·서식 검증 및 예외 처리"/>
  </r>
  <r>
    <s v="UT-GO11961S"/>
    <s v="2-2차"/>
    <n v="1"/>
    <s v="공항운영(GO)"/>
    <s v="DEF-00159"/>
    <s v="시작일자, 종료일잘 각각 칸을 비웠을떄 모두 조회일자 항목을 필수 입력항목입니다 라고 표시되는데 각 항목에 맞는 문구로 변경 필요."/>
    <s v="개발자테스트"/>
    <s v="신문호"/>
    <s v="신문호"/>
    <s v="3자테스터공통"/>
    <s v="Online"/>
    <s v="결함"/>
    <s v="데이터"/>
    <s v="결함검토요청"/>
    <s v="신문호"/>
    <s v="Minor"/>
    <s v="결함검토요청"/>
    <d v="2026-04-27T10:33:16"/>
    <d v="2026-04-27T17:21:17"/>
    <s v=""/>
    <x v="0"/>
    <s v="기간 범위 처리"/>
    <s v="시작일자, 종료일잘 각각 칸을 비웠을떄 모두 조회일자 항목을 필수 입력항목입니다 라고 표시되는데 각 항목…"/>
    <s v="시작일자, 종료일잘 각각 칸을 비웠을떄 모두 조회일자 항목을 필수 입력항목입니다 라고 표시되는데 각 항목에 맞는 문구로 변경 필요."/>
    <m/>
    <m/>
    <s v="날짜 컴포넌트 표준화, 기준일자-운항일자 등 필드 매핑 점검 및 기간 가드 추가"/>
  </r>
  <r>
    <s v="UT-GO21401S"/>
    <s v="2-2차"/>
    <n v="1"/>
    <s v="공항운영(GO)"/>
    <s v="DEF-00175"/>
    <s v="조건에 따른 조회결과가 표출되지 않음. "/>
    <s v="개발자테스트"/>
    <s v="신문호"/>
    <s v="신문호"/>
    <s v="3자테스터공통"/>
    <s v="Online"/>
    <s v="결함"/>
    <s v="기능"/>
    <s v="결함검토요청"/>
    <s v="신문호"/>
    <s v="Minor"/>
    <s v="결함검토요청"/>
    <d v="2026-04-27T13:06:33"/>
    <d v="2026-04-27T13:06:33"/>
    <s v=""/>
    <x v="4"/>
    <s v="조회 조건 처리"/>
    <s v="조건에 따른 조회결과가 표출되지 않음."/>
    <s v="조건에 따른 조회결과가 표출되지 않음."/>
    <m/>
    <m/>
    <s v="조회 SQL/조건 매핑 재검토, 정렬·필터 기본값 정의서와 일치화"/>
  </r>
  <r>
    <s v="UT-GO12516S"/>
    <s v="2-2차"/>
    <n v="1"/>
    <s v="공항운영(GO)"/>
    <s v="DEF-00181"/>
    <s v="메뉴 최초 들어갔을떄와 초기화 버튼 클릭시 서버 오류입니다 발생합니다"/>
    <s v="개발자테스트"/>
    <s v="신문호"/>
    <s v="김경준"/>
    <s v="3자테스터공통"/>
    <s v="Online"/>
    <s v="결함"/>
    <s v="기능"/>
    <s v="결함검토요청"/>
    <s v="신문호"/>
    <s v="Major"/>
    <s v="결함검토요청"/>
    <d v="2026-04-27T13:38:51"/>
    <d v="2026-04-28T11:08:49"/>
    <s v=""/>
    <x v="11"/>
    <s v="버튼 동작 오류"/>
    <s v="메뉴 최초 들어갔을떄와 초기화 버튼 클릭시 서버 오류입니다 발생합니다"/>
    <s v="메뉴 최초 들어갔을떄와 초기화 버튼 클릭시 서버 오류입니다 발생합니다"/>
    <m/>
    <m/>
    <s v="버튼/상태 컴포넌트 표준 적용, 활성·비활성 조건 명세화"/>
  </r>
  <r>
    <s v="UT-PM20155S"/>
    <s v="2-1차"/>
    <n v="1"/>
    <s v="예측관리(PM)"/>
    <s v="DEF-00224"/>
    <s v="엑셀이 저장 1회 이상은 되지 않습니다._x000a_- 엑셀 저장 2번째 &gt; 우측 그래프 활성화 , 엑셀저장 안됨"/>
    <s v="개발자테스트"/>
    <s v="임소정"/>
    <s v="노세찬"/>
    <s v="3자테스터공통"/>
    <s v="Online"/>
    <s v="결함"/>
    <s v="기능"/>
    <s v="결함등록기각"/>
    <s v=""/>
    <s v="Major"/>
    <s v="결함등록기각"/>
    <d v="2026-04-27T16:47:01"/>
    <d v="2026-04-29T08:38:31"/>
    <s v="처리완료하였습니다. 개발서버 기준 (26년 04월 30일 오전에 확인가능합니다.)_x000a_DEF-00222 결함과 같은 내용이므로 기각합니다."/>
    <x v="1"/>
    <s v="엑셀 다운로드 오류"/>
    <s v="엑셀이 저장 1회 이상은 되지 않습니다."/>
    <s v="엑셀이 저장 1회 이상은 되지 않습니다. - 엑셀 저장 2번째 &gt; 우측 그래프 활성화 , 엑셀저장 안됨"/>
    <s v="기각사유: 처리완료하였습니다. 개발서버 기준 (26년 04월 30일 오전에 확인가능합니다.)_x000a_DEF-00222 결함과 같은 내용이므로… → 기타 기각 성격으로 판단"/>
    <s v="기타 기각"/>
    <s v="엑셀/PDF 공통 출력 모듈 점검, 컬럼 매핑·서식 검증 및 예외 처리"/>
  </r>
  <r>
    <s v="UT-PM10205S"/>
    <s v="2-3차"/>
    <n v="1"/>
    <s v="예측관리(PM)"/>
    <s v="DEF-00271"/>
    <s v="테스트 결과서 없음."/>
    <s v="개발자테스트"/>
    <s v="임소정"/>
    <s v="양우상"/>
    <s v="3자테스터공통"/>
    <s v="Online"/>
    <s v="결함"/>
    <s v="문서화"/>
    <s v="결함등록기각"/>
    <s v=""/>
    <s v="Critical"/>
    <s v="결함등록기각"/>
    <d v="2026-04-28T09:41:40"/>
    <d v="2026-04-29T07:36:03"/>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x v="5"/>
    <s v="기타 검토"/>
    <s v="테스트 결과서 없음."/>
    <s v="테스트 결과서 없음."/>
    <s v="기각사유: UT-PM10201S 입국장 운영시간 설정 관리_x000a_UT-PM10202S 입국장 운영시간 조회_x000a_UT-PM10203S 출국장 운… → 기타 기각 성격으로 판단"/>
    <s v="기타 기각"/>
    <s v="담당 PL과 결함 성격 재정의 후 분류 보완"/>
  </r>
  <r>
    <s v="UT-GO11101S"/>
    <s v="1-2차"/>
    <n v="1"/>
    <s v="공항운영(GO)"/>
    <s v="DEF-00273"/>
    <s v="다른 페이지에서는 버튼이 '저장' 입니다. (통일성)"/>
    <s v="개발자테스트"/>
    <s v="신문호"/>
    <s v="김경준"/>
    <s v="3자테스터공통"/>
    <s v="Online"/>
    <s v="개선/변경"/>
    <s v="UI"/>
    <s v="결함등록기각"/>
    <s v=""/>
    <s v="Minor"/>
    <s v="결함등록기각"/>
    <d v="2026-04-28T09:49:43"/>
    <d v="2026-04-30T14:31:47"/>
    <s v="둘다 표준 버튼입니다."/>
    <x v="11"/>
    <s v="상태값 처리"/>
    <s v="다른 페이지에서는 버튼이 '저장' 입니다. (통일성)"/>
    <s v="다른 페이지에서는 버튼이 '저장' 입니다. (통일성)"/>
    <s v="기각사유: 둘다 표준 버튼입니다. → 기타 기각 성격으로 판단"/>
    <s v="기타 기각"/>
    <s v="버튼/상태 컴포넌트 표준 적용, 활성·비활성 조건 명세화"/>
  </r>
  <r>
    <s v="UT-GO11101S"/>
    <s v="1-2차"/>
    <n v="1"/>
    <s v="공항운영(GO)"/>
    <s v="DEF-00277"/>
    <s v="영원히 조회되지 않습니다.. 2026-04-28 10:00 "/>
    <s v="개발자테스트"/>
    <s v="신문호"/>
    <s v="김경준"/>
    <s v="3자테스터공통"/>
    <s v="Online"/>
    <s v="개선/변경"/>
    <s v="기타"/>
    <s v="결함등록기각"/>
    <s v=""/>
    <s v="Major"/>
    <s v="결함등록기각"/>
    <d v="2026-04-28T10:00:25"/>
    <d v="2026-04-30T14:41:34"/>
    <s v="정상작동중"/>
    <x v="4"/>
    <s v="조회 조건 처리"/>
    <s v="영원히 조회되지 않습니다.. 2026-04-28 10:00"/>
    <s v="영원히 조회되지 않습니다.. 2026-04-28 10:00"/>
    <s v="기각사유: 정상작동중 → 정상동작/스펙대로 성격으로 판단"/>
    <s v="정상동작/스펙대로"/>
    <s v="조회 SQL/조건 매핑 재검토, 정렬·필터 기본값 정의서와 일치화"/>
  </r>
  <r>
    <s v="UT-PM20157S"/>
    <s v="2-2차"/>
    <n v="1"/>
    <s v="예측관리(PM)"/>
    <s v="DEF-00309"/>
    <s v="기준일자 선택이 필수 입력이 조건이 아님. 필수여야 할거 같음."/>
    <s v="개발자테스트"/>
    <s v="임소정"/>
    <s v="노세찬"/>
    <s v="3자테스터공통"/>
    <s v="Online"/>
    <s v="개선/변경"/>
    <s v="기능"/>
    <s v="결함등록기각"/>
    <s v=""/>
    <s v="Minor"/>
    <s v="결함등록기각"/>
    <d v="2026-04-28T13:04:08"/>
    <d v="2026-04-29T09:37:59"/>
    <s v="처리완료하였습니다. 개발서버 기준 (26년 04월 30일 오전에 확인가능합니다.)_x000a_DEF-00307 결함과 같은 내용이므로 기각합니다."/>
    <x v="0"/>
    <s v="기준일자/조회일자 불일치"/>
    <s v="기준일자 선택이 필수 입력이 조건이 아님. 필수여야 할거 같음."/>
    <s v="기준일자 선택이 필수 입력이 조건이 아님. 필수여야 할거 같음."/>
    <s v="기각사유: 처리완료하였습니다. 개발서버 기준 (26년 04월 30일 오전에 확인가능합니다.)_x000a_DEF-00307 결함과 같은 내용이므로… → 기타 기각 성격으로 판단"/>
    <s v="기타 기각"/>
    <s v="날짜 컴포넌트 표준화, 기준일자-운항일자 등 필드 매핑 점검 및 기간 가드 추가"/>
  </r>
  <r>
    <s v="UT-CASY011S(A)"/>
    <s v="2-2차"/>
    <n v="1"/>
    <s v="공통관리(AOMS-CA)"/>
    <s v="DEF-00396"/>
    <s v="1. 시나리오-순번1- 관리자 로그인을 위한 ID/PW 입력화면 확인 안됨. 입력없이 좌측에 “조직도선택”이 확인됨._x000a_2. 초기화버튼을 눌렀지만, 그림과 같이 선택된 행들이 선택해제가 되지 않음_x000a_3. SMS 전송 현황(상세)-조회기간 10일 제약(시나리오 순번31) 위반_x000a_4. 시나리오 순번 39번 관련 조회결과가 없는 경우 경고메시지 표출되지 않음._x000a_5. 전송대상자를 지우고 전송시작을 실행했는데, 실행되버림"/>
    <s v="개발자테스트"/>
    <s v="김명준"/>
    <s v="정연준"/>
    <s v="3자테스터공통"/>
    <s v="Online"/>
    <s v="개선/변경"/>
    <s v="UI"/>
    <s v="결함등록기각"/>
    <s v=""/>
    <s v="Minor"/>
    <s v="결함등록기각"/>
    <d v="2026-04-28T16:48:38"/>
    <d v="2026-04-30T08:59:29"/>
    <s v="로그인 -&gt; CA 모듈 선택 -&gt; 좌측 메뉴 SMS 관리 메뉴를 선택-&gt; 조직도 확인하는 시나리오로 정상입니다"/>
    <x v="2"/>
    <s v="차트 표시 오류"/>
    <s v="1. 시나리오-순번1- 관리자 로그인을 위한 ID/PW 입력화면 확인 안됨. 입력없이 좌측에 “조직도선택…"/>
    <s v="1. 시나리오-순번1- 관리자 로그인을 위한 ID/PW 입력화면 확인 안됨. 입력없이 좌측에 “조직도선택”이 확인됨. 2. 초기화버튼을 눌렀지만, 그림과 같이 선택된 행들이 선택해제가 되지 않음 3. SMS 전송 현황(상세)-조회기간 10일 제약(…"/>
    <s v="기각사유: 로그인 -&gt; CA 모듈 선택 -&gt; 좌측 메뉴 SMS 관리 메뉴를 선택-&gt; 조직도 확인하는 시나리오로 정상입니다 → 정상동작/스펙대로 성격으로 판단"/>
    <s v="정상동작/스펙대로"/>
    <s v="차트 공통 컴포넌트 점검, 무데이터 처리 및 축/범례 표준화"/>
  </r>
  <r>
    <s v="UT-CASY047S(A)"/>
    <s v="2-2차"/>
    <n v="1"/>
    <s v="공통관리(AOMS-CA)"/>
    <s v="DEF-00412"/>
    <s v="1. 최대조회기간 제한(8일) 위반(시나리오 순번3 관련 화면)_x000a_"/>
    <s v="개발자테스트"/>
    <s v="김명준"/>
    <s v="최민지"/>
    <s v="3자테스터공통"/>
    <s v="Online"/>
    <s v="개선/변경"/>
    <s v="UI"/>
    <s v="결함등록기각"/>
    <s v=""/>
    <s v="Minor"/>
    <s v="결함등록기각"/>
    <d v="2026-04-28T17:39:10"/>
    <d v="2026-04-30T10:38:29"/>
    <s v="단위테스트 후 공항공사 요청으로 검색 기간 변경함 정상입니다."/>
    <x v="0"/>
    <s v="기간 범위 처리"/>
    <s v="1. 최대조회기간 제한(8일) 위반(시나리오 순번3 관련 화면)"/>
    <s v="1. 최대조회기간 제한(8일) 위반(시나리오 순번3 관련 화면)"/>
    <s v="기각사유: 단위테스트 후 공항공사 요청으로 검색 기간 변경함 정상입니다. → 정상동작/스펙대로 성격으로 판단"/>
    <s v="정상동작/스펙대로"/>
    <s v="날짜 컴포넌트 표준화, 기준일자-운항일자 등 필드 매핑 점검 및 기간 가드 추가"/>
  </r>
  <r>
    <s v="UT-CARF037S(A)"/>
    <s v="1-1차"/>
    <n v="1"/>
    <s v="공통관리(AOMS-CA)"/>
    <s v="DEF-00486"/>
    <s v="코드리스트나, 코드 종류에 신규추가,삭제 +,- 버튼이 없음_x000a_권한문제로 막혀있나요?"/>
    <s v="개발자테스트"/>
    <s v="김명준"/>
    <s v="김태훈"/>
    <s v="3자테스터공통"/>
    <s v="Online"/>
    <s v="결함"/>
    <s v="UI"/>
    <s v="결함등록기각"/>
    <s v=""/>
    <s v="Minor"/>
    <s v="결함등록기각"/>
    <d v="2026-04-29T14:52:54"/>
    <d v="2026-04-30T13:23:25"/>
    <s v="동일 건으로 공항공사 요청사항 수정중이로 결함등록기각 으로 변경하겠습니다."/>
    <x v="11"/>
    <s v="상태값 처리"/>
    <s v="코드리스트나, 코드 종류에 신규추가,삭제 +,- 버튼이 없음"/>
    <s v="코드리스트나, 코드 종류에 신규추가,삭제 +,- 버튼이 없음 권한문제로 막혀있나요?"/>
    <s v="기각사유: 동일 건으로 공항공사 요청사항 수정중이로 결함등록기각 으로 변경하겠습니다. → 중복 성격으로 판단"/>
    <s v="중복"/>
    <s v="버튼/상태 컴포넌트 표준 적용, 활성·비활성 조건 명세화"/>
  </r>
  <r>
    <s v="UT-FSSG170S"/>
    <s v="2-2차"/>
    <n v="1"/>
    <s v="항공보안(FS)"/>
    <s v="DEF-00498"/>
    <s v="창을 줄이면 업무처리실적리스트에 가로스크롤이 생기지 않습니다. "/>
    <s v="개발자테스트"/>
    <s v="임소정"/>
    <s v="임소정"/>
    <s v="3자테스터공통"/>
    <s v="Online"/>
    <s v="개선/변경"/>
    <s v="UI"/>
    <s v="결함등록기각"/>
    <s v=""/>
    <s v="Minor"/>
    <s v="결함등록기각"/>
    <d v="2026-04-29T15:29:28"/>
    <d v="2026-05-07T19:39:39"/>
    <s v="전체화면 기준으로 개발 되었으며 넥사크로는 컴포넌트별로 위치나 크기등의 설정을 하므로 창 너비에 따른 개발이 어려움."/>
    <x v="9"/>
    <s v="개선/변경 요청"/>
    <s v="창을 줄이면 업무처리실적리스트에 가로스크롤이 생기지 않습니다."/>
    <s v="창을 줄이면 업무처리실적리스트에 가로스크롤이 생기지 않습니다."/>
    <s v="기각사유: 전체화면 기준으로 개발 되었으며 넥사크로는 컴포넌트별로 위치나 크기등의 설정을 하므로 창 너비에 따른 개발이 어려움. → 기타 기각 성격으로 판단"/>
    <s v="기타 기각"/>
    <s v="차기 반영 일감으로 등록 후 우선순위 협의, 정책 가이드 반영"/>
  </r>
  <r>
    <s v="UT-CASY033S(A)"/>
    <s v="1-1차"/>
    <n v="1"/>
    <s v="공통관리(AOMS-CA)"/>
    <s v="DEF-00513"/>
    <s v="화면배율을 크게하면 체크박스가 넘어감"/>
    <s v="개발자테스트"/>
    <s v="김명준"/>
    <s v="최민지"/>
    <s v="3자테스터공통"/>
    <s v="Online"/>
    <s v="결함"/>
    <s v="UI"/>
    <s v="결함등록기각"/>
    <s v=""/>
    <s v="Minor"/>
    <s v="결함등록기각"/>
    <d v="2026-04-29T16:06:11"/>
    <d v="2026-04-30T10:21:18"/>
    <s v="공통 퍼블로 퍼블 담당자에게 전달 하겠습니다."/>
    <x v="11"/>
    <s v="선택/체크 동작"/>
    <s v="화면배율을 크게하면 체크박스가 넘어감"/>
    <s v="화면배율을 크게하면 체크박스가 넘어감"/>
    <s v="기각사유: 공통 퍼블로 퍼블 담당자에게 전달 하겠습니다. → 기타 기각 성격으로 판단"/>
    <s v="기타 기각"/>
    <s v="버튼/상태 컴포넌트 표준 적용, 활성·비활성 조건 명세화"/>
  </r>
  <r>
    <s v="UT-FSSG170S"/>
    <s v="2-2차"/>
    <n v="1"/>
    <s v="항공보안(FS)"/>
    <s v="DEF-00514"/>
    <s v="오타가 있습니다. "/>
    <s v="개발자테스트"/>
    <s v="임소정"/>
    <s v="임소정"/>
    <s v="3자테스터공통"/>
    <s v="Online"/>
    <s v="개선/변경"/>
    <s v="데이터"/>
    <s v="결함등록기각"/>
    <s v=""/>
    <s v="Minor"/>
    <s v="결함등록기각"/>
    <d v="2026-04-29T16:06:17"/>
    <d v="2026-05-06T16:14:05"/>
    <s v="오타가 아닌 공통코드에 저장된 데이터임."/>
    <x v="12"/>
    <s v="오타"/>
    <s v="오타가 있습니다."/>
    <s v="오타가 있습니다."/>
    <s v="기각사유: 오타가 아닌 공통코드에 저장된 데이터임. → 기타 기각 성격으로 판단"/>
    <s v="기타 기각"/>
    <s v="용어집 기준으로 라벨 일괄 정비, 오타/표기 표준 적용"/>
  </r>
  <r>
    <s v="UT-CAMN012M(A)"/>
    <s v="1-1차"/>
    <n v="1"/>
    <s v="공통관리(AOMS-CA)"/>
    <s v="DEF-00522"/>
    <s v="프로그램 사용 사유 등록 팝업은 어디서 확인할수 있나요..?"/>
    <s v="개발자테스트"/>
    <s v="김명준"/>
    <s v="정연준"/>
    <s v="3자테스터공통"/>
    <s v="Online"/>
    <s v="결함"/>
    <s v="인터페이스"/>
    <s v="결함등록기각"/>
    <s v=""/>
    <s v="Minor"/>
    <s v="결함등록기각"/>
    <d v="2026-04-29T16:56:32"/>
    <d v="2026-04-29T18:54:59"/>
    <s v="단위 시험 이후 타 모듈에서 사용하는 팝업으로 해당 모듈에서 가능합니다."/>
    <x v="7"/>
    <s v="메시지 표시"/>
    <s v="프로그램 사용 사유 등록 팝업은 어디서 확인할수 있나요..?"/>
    <s v="프로그램 사용 사유 등록 팝업은 어디서 확인할수 있나요..?"/>
    <s v="기각사유: 단위 시험 이후 타 모듈에서 사용하는 팝업으로 해당 모듈에서 가능합니다. → 기타 기각 성격으로 판단"/>
    <s v="기타 기각"/>
    <s v="UX 가이드라인에 따라 표준 안내·툴팁 문구 적용, 무데이터/오류 메시지 정비"/>
  </r>
  <r>
    <s v="UT-CASY003S(A)"/>
    <s v="1-1차"/>
    <n v="1"/>
    <s v="공통관리(AOMS-CA)"/>
    <s v="DEF-00530"/>
    <s v="항공통계포털사용자 -&gt; 공식통계 -&gt; 운항 같이 하위 메뉴를 눌렀을떄 _x000a_Menu ID 길이는 8입니다라는 alert가 항상 뜸 의도된건가요?"/>
    <s v="개발자테스트"/>
    <s v="김명준"/>
    <s v="최민지"/>
    <s v="3자테스터공통"/>
    <s v="Online"/>
    <s v="결함"/>
    <s v="기능"/>
    <s v="결함등록기각"/>
    <s v=""/>
    <s v="Minor"/>
    <s v="결함등록기각"/>
    <d v="2026-04-29T17:50:43"/>
    <d v="2026-04-30T08:50:54"/>
    <s v="Menu ID 8자로 등록 해야하나 해당(항공통계포털) 모듈에서 TEST를 위해 7자리를 입력하여 해당 Alert 표출하고 있는 것은 정상입니다."/>
    <x v="7"/>
    <s v="메시지 표시"/>
    <s v="항공통계포털사용자 -&gt; 공식통계 -&gt; 운항 같이 하위 메뉴를 눌렀을떄"/>
    <s v="항공통계포털사용자 -&gt; 공식통계 -&gt; 운항 같이 하위 메뉴를 눌렀을떄  Menu ID 길이는 8입니다라는 alert가 항상 뜸 의도된건가요?"/>
    <s v="기각사유: Menu ID 8자로 등록 해야하나 해당(항공통계포털) 모듈에서 TEST를 위해 7자리를 입력하여 해당 Alert 표출하고… → 정상동작/스펙대로 성격으로 판단"/>
    <s v="정상동작/스펙대로"/>
    <s v="UX 가이드라인에 따라 표준 안내·툴팁 문구 적용, 무데이터/오류 메시지 정비"/>
  </r>
  <r>
    <s v="UT-FSEY040S"/>
    <s v="2-1차"/>
    <n v="1"/>
    <s v="항공보안(FS)"/>
    <s v="DEF-00567"/>
    <s v="-조회기간과 서식상 기간 불일치_x000a_-조회기간(23-04-20~25-12-31)외 기간(2022년)이 표출됨."/>
    <s v="개발자테스트"/>
    <s v="임소정"/>
    <s v="임소정"/>
    <s v="3자테스터공통"/>
    <s v="Online"/>
    <s v="개선/변경"/>
    <s v="UI"/>
    <s v="결함등록기각"/>
    <s v=""/>
    <s v="Minor"/>
    <s v="결함등록기각"/>
    <d v="2026-04-30T14:21:56"/>
    <d v="2026-05-06T16:41:21"/>
    <s v="현업 요구사항에 의한 검색 조건 변경이 있었으며 조회 종료일자의 연도 기준 4개년도 조회임."/>
    <x v="0"/>
    <s v="기간 범위 처리"/>
    <s v="-조회기간과 서식상 기간 불일치"/>
    <s v="-조회기간과 서식상 기간 불일치 -조회기간(23-04-20~25-12-31)외 기간(2022년)이 표출됨."/>
    <s v="기각사유: 현업 요구사항에 의한 검색 조건 변경이 있었으며 조회 종료일자의 연도 기준 4개년도 조회임. → 기타 기각 성격으로 판단"/>
    <s v="기타 기각"/>
    <s v="날짜 컴포넌트 표준화, 기준일자-운항일자 등 필드 매핑 점검 및 기간 가드 추가"/>
  </r>
  <r>
    <s v="UT-PM10305S"/>
    <s v="2-3차"/>
    <n v="1"/>
    <s v="예측관리(PM)"/>
    <s v="DEF-00004"/>
    <s v="데이터가 없어서 테스트 불가합니다."/>
    <s v="개발자테스트"/>
    <s v="임소정"/>
    <s v="pmtbd2"/>
    <s v="3자테스터공통"/>
    <s v="Online"/>
    <s v="결함"/>
    <s v="데이터"/>
    <s v="결함등록기각"/>
    <s v=""/>
    <s v="Major"/>
    <s v="결함등록기각"/>
    <d v="2026-04-22T11:10:07"/>
    <d v="2026-04-27T13:36:46"/>
    <s v="PL 공석으로 인한 준비 미비._x000a_04월 24일 금요일부터 재테스트 가능하도록 세팅 완료_x000a_DEF-00003 과 같은 내용의 결함이므로 기각처리했습니다."/>
    <x v="3"/>
    <s v="데이터 정합성"/>
    <s v="데이터가 없어서 테스트 불가합니다."/>
    <s v="데이터가 없어서 테스트 불가합니다."/>
    <s v="기각사유: PL 공석으로 인한 준비 미비._x000a_04월 24일 금요일부터 재테스트 가능하도록 세팅 완료_x000a_DEF-00003 과 같은 내용의 … → 기타 기각 성격으로 판단"/>
    <s v="기타 기각"/>
    <s v="원천 데이터-화면 매핑 재검증, 집계 로직 단위 테스트 보강"/>
  </r>
  <r>
    <s v="UT-PM10503S"/>
    <s v="2-3차"/>
    <n v="1"/>
    <s v="예측관리(PM)"/>
    <s v="DEF-00011"/>
    <s v="데이터가 없어서 테스트 불가."/>
    <s v="개발자테스트"/>
    <s v="임소정"/>
    <s v="pmtbd2"/>
    <s v="3자테스터공통"/>
    <s v="Online"/>
    <s v="결함"/>
    <s v="데이터"/>
    <s v="결함등록기각"/>
    <s v=""/>
    <s v="Minor"/>
    <s v="결함등록기각"/>
    <d v="2026-04-22T13:55:09"/>
    <d v="2026-04-27T13:37:03"/>
    <s v="PL 공석으로 인한 준비 미비._x000a_04월 24일 금요일부터 재테스트 가능하도록 세팅 완료_x000a_DEF-00003 과 같은 내용의 결함이므로 기각처리했습니다."/>
    <x v="3"/>
    <s v="데이터 정합성"/>
    <s v="데이터가 없어서 테스트 불가."/>
    <s v="데이터가 없어서 테스트 불가."/>
    <s v="기각사유: PL 공석으로 인한 준비 미비._x000a_04월 24일 금요일부터 재테스트 가능하도록 세팅 완료_x000a_DEF-00003 과 같은 내용의 … → 기타 기각 성격으로 판단"/>
    <s v="기타 기각"/>
    <s v="원천 데이터-화면 매핑 재검증, 집계 로직 단위 테스트 보강"/>
  </r>
  <r>
    <s v="UT-PM10504S"/>
    <s v="2-3차"/>
    <n v="1"/>
    <s v="예측관리(PM)"/>
    <s v="DEF-00012"/>
    <s v="데이터가 없어서 테스트 불가."/>
    <s v="개발자테스트"/>
    <s v="임소정"/>
    <s v="pmtbd2"/>
    <s v="3자테스터공통"/>
    <s v="Online"/>
    <s v="결함"/>
    <s v="데이터"/>
    <s v="결함등록기각"/>
    <s v=""/>
    <s v="Minor"/>
    <s v="결함등록기각"/>
    <d v="2026-04-22T13:58:31"/>
    <d v="2026-04-27T13:37:20"/>
    <s v="PL 공석으로 인한 준비 미비._x000a_04월 24일 금요일부터 재테스트 가능하도록 세팅 완료_x000a_DEF-00003 과 같은 내용의 결함이므로 기각처리했습니다."/>
    <x v="3"/>
    <s v="데이터 정합성"/>
    <s v="데이터가 없어서 테스트 불가."/>
    <s v="데이터가 없어서 테스트 불가."/>
    <s v="기각사유: PL 공석으로 인한 준비 미비._x000a_04월 24일 금요일부터 재테스트 가능하도록 세팅 완료_x000a_DEF-00003 과 같은 내용의 … → 기타 기각 성격으로 판단"/>
    <s v="기타 기각"/>
    <s v="원천 데이터-화면 매핑 재검증, 집계 로직 단위 테스트 보강"/>
  </r>
  <r>
    <s v="UT-PM10505S"/>
    <s v="2-3차"/>
    <n v="1"/>
    <s v="예측관리(PM)"/>
    <s v="DEF-00014"/>
    <s v="데이터가 없어서 테스트 불가함"/>
    <s v="개발자테스트"/>
    <s v="임소정"/>
    <s v="pmtbd2"/>
    <s v="3자테스터공통"/>
    <s v="Online"/>
    <s v="결함"/>
    <s v="데이터"/>
    <s v="결함등록기각"/>
    <s v=""/>
    <s v="Minor"/>
    <s v="결함등록기각"/>
    <d v="2026-04-22T14:17:22"/>
    <d v="2026-04-27T13:37:38"/>
    <s v="PL 공석으로 인한 준비 미비._x000a_04월 24일 금요일부터 재테스트 가능하도록 세팅 완료_x000a_DEF-00003 과 같은 내용의 결함이므로 기각처리했습니다."/>
    <x v="3"/>
    <s v="데이터 정합성"/>
    <s v="데이터가 없어서 테스트 불가함"/>
    <s v="데이터가 없어서 테스트 불가함"/>
    <s v="기각사유: PL 공석으로 인한 준비 미비._x000a_04월 24일 금요일부터 재테스트 가능하도록 세팅 완료_x000a_DEF-00003 과 같은 내용의 … → 기타 기각 성격으로 판단"/>
    <s v="기타 기각"/>
    <s v="원천 데이터-화면 매핑 재검증, 집계 로직 단위 테스트 보강"/>
  </r>
  <r>
    <s v="UT-CASY038S(A)"/>
    <s v="2-3차"/>
    <n v="1"/>
    <s v="공통관리(AOMS-CA)"/>
    <s v="DEF-00084"/>
    <s v="AOMS 화면 우측 상단의 엑셀 클릭후 다운로드받은 파일을 확인 후 인쇄화면 전환시 여백문제(좌측쏠림)는 없지만, 1개 페이지가 3개로 분리됨( 가로방향 전환 및 1페이지 맞춤 설정 지원 가능여부확인 필요)_x000a_"/>
    <s v="개발자테스트"/>
    <s v="김명준"/>
    <s v="김태훈"/>
    <s v="3자테스터공통"/>
    <s v="Online"/>
    <s v="개선/변경"/>
    <s v="UI"/>
    <s v="결함등록기각"/>
    <s v=""/>
    <s v="Minor"/>
    <s v="결함등록기각"/>
    <d v="2026-04-23T13:10:10"/>
    <d v="2026-04-23T17:24:36"/>
    <s v="엑셀 다운로드 시 3000천건 이상을 다운받아 한페이지요 표출하려면 동일 현상 발생함. 조회 조건 변경 후 테스트 하면 해당 현상 발생 안함"/>
    <x v="1"/>
    <s v="엑셀 다운로드 오류"/>
    <s v="AOMS 화면 우측 상단의 엑셀 클릭후 다운로드받은 파일을 확인 후 인쇄화면 전환시 여백문제(좌측쏠림)는…"/>
    <s v="AOMS 화면 우측 상단의 엑셀 클릭후 다운로드받은 파일을 확인 후 인쇄화면 전환시 여백문제(좌측쏠림)는 없지만, 1개 페이지가 3개로 분리됨( 가로방향 전환 및 1페이지 맞춤 설정 지원 가능여부확인 필요)"/>
    <s v="기각사유: 엑셀 다운로드 시 3000천건 이상을 다운받아 한페이지요 표출하려면 동일 현상 발생함. 조회 조건 변경 후 테스트 하면 해… → 중복 성격으로 판단"/>
    <s v="중복"/>
    <s v="엑셀/PDF 공통 출력 모듈 점검, 컬럼 매핑·서식 검증 및 예외 처리"/>
  </r>
  <r>
    <s v="UT-CASY039S(A)"/>
    <s v="2-3차"/>
    <n v="1"/>
    <s v="공통관리(AOMS-CA)"/>
    <s v="DEF-00090"/>
    <s v="엑셀파일의 시나리오 순번 5,6번 확인 불가 : _x000b_“ERRLOG”, “TRACELOG” 두 버튼 모두 활성화되지 않아 확인 불가_x000a_"/>
    <s v="개발자테스트"/>
    <s v="김명준"/>
    <s v="김태훈"/>
    <s v="3자테스터공통"/>
    <s v="Online"/>
    <s v="개선/변경"/>
    <s v="UI"/>
    <s v="결함등록기각"/>
    <s v=""/>
    <s v="Major"/>
    <s v="결함등록기각"/>
    <d v="2026-04-23T13:53:56"/>
    <d v="2026-05-06T09:27:07"/>
    <s v="Error Log 및 Trace Log 없을 경우 비 활성화는 정상 입니다."/>
    <x v="1"/>
    <s v="엑셀 다운로드 오류"/>
    <s v="엑셀파일의 시나리오 순번 5,6번 확인 불가 : _x000b_“ERRLOG”, “TRACELOG” 두 버튼 모두 활…"/>
    <s v="엑셀파일의 시나리오 순번 5,6번 확인 불가 : _x000b_“ERRLOG”, “TRACELOG” 두 버튼 모두 활성화되지 않아 확인 불가"/>
    <s v="기각사유: Error Log 및 Trace Log 없을 경우 비 활성화는 정상 입니다. → 정상동작/스펙대로 성격으로 판단"/>
    <s v="정상동작/스펙대로"/>
    <s v="엑셀/PDF 공통 출력 모듈 점검, 컬럼 매핑·서식 검증 및 예외 처리"/>
  </r>
  <r>
    <s v="UT-CARF013S(A)"/>
    <s v="2-1차"/>
    <n v="1"/>
    <s v="공통관리(AOMS-CA)"/>
    <s v="DEF-00103"/>
    <s v="수정 기능은 작동하나 추가, 삭제 버튼이 없어서 테스트 불가."/>
    <s v="개발자테스트"/>
    <s v="김명준"/>
    <s v="정연준"/>
    <s v="3자테스터공통"/>
    <s v="Online"/>
    <s v="결함"/>
    <s v="기능"/>
    <s v="결함등록기각"/>
    <s v=""/>
    <s v="Major"/>
    <s v="결함등록기각"/>
    <d v="2026-04-23T16:02:50"/>
    <d v="2026-04-24T14:40:03"/>
    <s v="AOMS는 수정기능만 가능으로 정상 입니다."/>
    <x v="11"/>
    <s v="상태값 처리"/>
    <s v="수정 기능은 작동하나 추가, 삭제 버튼이 없어서 테스트 불가."/>
    <s v="수정 기능은 작동하나 추가, 삭제 버튼이 없어서 테스트 불가."/>
    <s v="기각사유: AOMS는 수정기능만 가능으로 정상 입니다. → 정상동작/스펙대로 성격으로 판단"/>
    <s v="정상동작/스펙대로"/>
    <s v="버튼/상태 컴포넌트 표준 적용, 활성·비활성 조건 명세화"/>
  </r>
  <r>
    <s v="UT-CARF014S(A)"/>
    <s v="2-1차"/>
    <n v="1"/>
    <s v="공통관리(AOMS-CA)"/>
    <s v="DEF-00104"/>
    <s v="수정은 가능하나 추가, 삭제 버튼이 없어서 테스트 불가."/>
    <s v="개발자테스트"/>
    <s v="김명준"/>
    <s v="정연준"/>
    <s v="3자테스터공통"/>
    <s v="Online"/>
    <s v="결함"/>
    <s v="기능"/>
    <s v="결함등록기각"/>
    <s v=""/>
    <s v="Major"/>
    <s v="결함등록기각"/>
    <d v="2026-04-23T16:16:18"/>
    <d v="2026-04-24T14:40:27"/>
    <s v="AOMS는 수정기능만 가능으로 정상 입니다."/>
    <x v="11"/>
    <s v="상태값 처리"/>
    <s v="수정은 가능하나 추가, 삭제 버튼이 없어서 테스트 불가."/>
    <s v="수정은 가능하나 추가, 삭제 버튼이 없어서 테스트 불가."/>
    <s v="기각사유: AOMS는 수정기능만 가능으로 정상 입니다. → 정상동작/스펙대로 성격으로 판단"/>
    <s v="정상동작/스펙대로"/>
    <s v="버튼/상태 컴포넌트 표준 적용, 활성·비활성 조건 명세화"/>
  </r>
  <r>
    <s v="UT-FSQA021S"/>
    <s v="1-2차"/>
    <n v="1"/>
    <s v="항공보안(FS)"/>
    <s v="DEF-00147"/>
    <s v="-엑셀파일 분할 출력됨(출력용지방향 가로설정, 및 화면 맟춤필요)"/>
    <s v="개발자테스트"/>
    <s v="임소정"/>
    <s v="임소정"/>
    <s v="3자테스터공통"/>
    <s v="Online"/>
    <s v="개선/변경"/>
    <s v="UI"/>
    <s v="결함등록기각"/>
    <s v=""/>
    <s v="Minor"/>
    <s v="결함등록기각"/>
    <d v="2026-04-24T16:47:51"/>
    <d v="2026-05-07T18:04:01"/>
    <s v="해당 내용은 엑셀 기능임. 개발 가능 영역이 아님"/>
    <x v="1"/>
    <s v="엑셀 다운로드 오류"/>
    <s v="-엑셀파일 분할 출력됨(출력용지방향 가로설정, 및 화면 맟춤필요)"/>
    <s v="-엑셀파일 분할 출력됨(출력용지방향 가로설정, 및 화면 맟춤필요)"/>
    <s v="기각사유: 해당 내용은 엑셀 기능임. 개발 가능 영역이 아님 → 기타 기각 성격으로 판단"/>
    <s v="기타 기각"/>
    <s v="엑셀/PDF 공통 출력 모듈 점검, 컬럼 매핑·서식 검증 및 예외 처리"/>
  </r>
  <r>
    <s v="UT-PM10103S"/>
    <s v="2-1차"/>
    <n v="1"/>
    <s v="예측관리(PM)"/>
    <s v="DEF-00156"/>
    <s v="데이터 0건일 때 no data 뜨지 않음"/>
    <s v="개발자테스트"/>
    <s v="임소정"/>
    <s v="pmtbd2"/>
    <s v="3자테스터공통"/>
    <s v="Online"/>
    <s v="개선/변경"/>
    <s v="UI"/>
    <s v="결함등록기각"/>
    <s v=""/>
    <s v="Minor"/>
    <s v="결함등록기각"/>
    <d v="2026-04-27T10:20:00"/>
    <d v="2026-04-29T08:06:29"/>
    <s v="처리완료하였습니다. 개발서버 기준 (26년 04월 30일 오전에 확인가능합니다.)_x000a_DEF-00154 결함과 같은 내용이므로 기각합니다."/>
    <x v="3"/>
    <s v="데이터 정합성"/>
    <s v="데이터 0건일 때 no data 뜨지 않음"/>
    <s v="데이터 0건일 때 no data 뜨지 않음"/>
    <s v="기각사유: 처리완료하였습니다. 개발서버 기준 (26년 04월 30일 오전에 확인가능합니다.)_x000a_DEF-00154 결함과 같은 내용이므로… → 기타 기각 성격으로 판단"/>
    <s v="기타 기각"/>
    <s v="원천 데이터-화면 매핑 재검증, 집계 로직 단위 테스트 보강"/>
  </r>
  <r>
    <s v="UT-PM20141M"/>
    <s v="2-1차"/>
    <n v="1"/>
    <s v="예측관리(PM)"/>
    <s v="DEF-00174"/>
    <s v="테스트케이스 엑셀과 UI 다름._x000a_Config 자료가 정상 복사버튼 없음."/>
    <s v="개발자테스트"/>
    <s v="임소정"/>
    <s v="신문호"/>
    <s v="3자테스터공통"/>
    <s v="Online"/>
    <s v="개선/변경"/>
    <s v="UI"/>
    <s v="결함등록기각"/>
    <s v=""/>
    <s v="Minor"/>
    <s v="결함등록기각"/>
    <d v="2026-04-27T13:04:48"/>
    <d v="2026-04-27T13:44:38"/>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x v="1"/>
    <s v="엑셀 다운로드 오류"/>
    <s v="테스트케이스 엑셀과 UI 다름."/>
    <s v="테스트케이스 엑셀과 UI 다름. Config 자료가 정상 복사버튼 없음."/>
    <s v="기각사유: 공사측 개선/변경 사항으로 변경된 내용으로 테스트케이스는 업데이트 하지 못한 상태입니다._x000a_일정상 테스트 스크립트를 수정할 … → 정상동작/스펙대로 성격으로 판단"/>
    <s v="정상동작/스펙대로"/>
    <s v="엑셀/PDF 공통 출력 모듈 점검, 컬럼 매핑·서식 검증 및 예외 처리"/>
  </r>
  <r>
    <s v="UT-PM20129S"/>
    <s v="2-1차"/>
    <n v="1"/>
    <s v="예측관리(PM)"/>
    <s v="DEF-00163"/>
    <s v="데이터 0건일 때 no data 뜨지 않음"/>
    <s v="개발자테스트"/>
    <s v="임소정"/>
    <s v="pmtbd2"/>
    <s v="3자테스터공통"/>
    <s v="Online"/>
    <s v="개선/변경"/>
    <s v="UI"/>
    <s v="결함등록기각"/>
    <s v=""/>
    <s v="Minor"/>
    <s v="결함등록기각"/>
    <d v="2026-04-27T10:48:33"/>
    <d v="2026-04-29T09:28:23"/>
    <s v="처리완료하였습니다. 개발서버 기준 (26년 04월 30일 오전에 확인가능합니다.)_x000a_DEF-00154 결함과 같은 내용이므로 기각합니다."/>
    <x v="3"/>
    <s v="데이터 정합성"/>
    <s v="데이터 0건일 때 no data 뜨지 않음"/>
    <s v="데이터 0건일 때 no data 뜨지 않음"/>
    <s v="기각사유: 처리완료하였습니다. 개발서버 기준 (26년 04월 30일 오전에 확인가능합니다.)_x000a_DEF-00154 결함과 같은 내용이므로… → 기타 기각 성격으로 판단"/>
    <s v="기타 기각"/>
    <s v="원천 데이터-화면 매핑 재검증, 집계 로직 단위 테스트 보강"/>
  </r>
  <r>
    <s v="UT-TopFrame(A)"/>
    <s v="1-1차"/>
    <n v="1"/>
    <s v="공통관리(AOMS-CA)"/>
    <s v="DEF-00534"/>
    <s v="아래 화면처럼 각 화면 창 우측 상단의 Screen full 버튼을 클릭하면, 해당 화면이 넓게 열려야는데,, 아래 화면처럼.. AOMS 시스템 화면이 Full Screen으로 바뀌고, 해당 화면의 크기는 변동없이 유지됨._x000a_이후 화면  Screen standard 버튼을 클릭하면 시스템 화면이 이전 화면으로  원복됨"/>
    <s v="개발자테스트"/>
    <s v="김명준"/>
    <s v="김태훈"/>
    <s v="3자테스터공통"/>
    <s v="Online"/>
    <s v="결함"/>
    <s v="기능"/>
    <s v="결함등록기각"/>
    <s v=""/>
    <s v="Major"/>
    <s v="결함등록기각"/>
    <d v="2026-04-30T09:45:17"/>
    <d v="2026-04-30T09:52:38"/>
    <s v="화면 분할(2~3) 후 Screen Full 기능은 해당 이미지 처럼 동작 하는 것으로 설정되어 있어 정상입니다. "/>
    <x v="8"/>
    <s v="폰트/크기"/>
    <s v="아래 화면처럼 각 화면 창 우측 상단의 Screen full 버튼을 클릭하면, 해당 화면이 넓게 열려야는…"/>
    <s v="아래 화면처럼 각 화면 창 우측 상단의 Screen full 버튼을 클릭하면, 해당 화면이 넓게 열려야는데,, 아래 화면처럼.. AOMS 시스템 화면이 Full Screen으로 바뀌고, 해당 화면의 크기는 변동없이 유지됨. 이후 화면  Screen…"/>
    <s v="기각사유: 화면 분할(2~3) 후 Screen Full 기능은 해당 이미지 처럼 동작 하는 것으로 설정되어 있어 정상입니다. → 정상동작/스펙대로 성격으로 판단"/>
    <s v="정상동작/스펙대로"/>
    <s v="디자인 시스템(GNB/그리드/타이포) 준수 점검, 잘림·정렬 보정"/>
  </r>
  <r>
    <s v="UT-CASY014S(A)"/>
    <s v="1-1차"/>
    <n v="1"/>
    <s v="공통관리(AOMS-CA)"/>
    <s v="DEF-00540"/>
    <s v="아래 화면처럼 우측 상세 화면의 입력 및 콤보 필드의 크기와 바탕 디자인의 크기가 불일치 함._x000a_또한, 화면 축소시 고정 Text 등 화면 축소에 따른 화면 이동 축소가 불가하여 화면이 일그러짐"/>
    <s v="개발자테스트"/>
    <s v="김명준"/>
    <s v="최민지"/>
    <s v="3자테스터공통"/>
    <s v="Online"/>
    <s v="결함"/>
    <s v="UI"/>
    <s v="결함등록기각"/>
    <s v=""/>
    <s v="Minor"/>
    <s v="결함등록기각"/>
    <d v="2026-04-30T10:09:41"/>
    <d v="2026-04-30T10:50:14"/>
    <s v="공통 퍼블로 퍼블 담당자에게 말씀드리겠습니다."/>
    <x v="2"/>
    <s v="축/눈금 표시"/>
    <s v="아래 화면처럼 우측 상세 화면의 입력 및 콤보 필드의 크기와 바탕 디자인의 크기가 불일치 함."/>
    <s v="아래 화면처럼 우측 상세 화면의 입력 및 콤보 필드의 크기와 바탕 디자인의 크기가 불일치 함. 또한, 화면 축소시 고정 Text 등 화면 축소에 따른 화면 이동 축소가 불가하여 화면이 일그러짐"/>
    <s v="기각사유: 공통 퍼블로 퍼블 담당자에게 말씀드리겠습니다. → 기타 기각 성격으로 판단"/>
    <s v="기타 기각"/>
    <s v="차트 공통 컴포넌트 점검, 무데이터 처리 및 축/범례 표준화"/>
  </r>
  <r>
    <s v="UT-CARF020S(A)"/>
    <s v="2-1차"/>
    <n v="1"/>
    <s v="공통관리(AOMS-CA)"/>
    <s v="DEF-00546"/>
    <s v="시나리오(UT-A_CARF020S)의 순번 7([저장-다건수정])은 다건 선택이 불가여서 확인이 어렵습니다. _x000a_확인해주세요."/>
    <s v="개발자테스트"/>
    <s v="김명준"/>
    <s v="정연준"/>
    <s v="3자테스터공통"/>
    <s v="Online"/>
    <s v="개선/변경"/>
    <s v="UI"/>
    <s v="결함등록기각"/>
    <s v=""/>
    <s v="Minor"/>
    <s v="결함등록기각"/>
    <d v="2026-04-30T11:03:43"/>
    <d v="2026-04-30T11:08:00"/>
    <s v="단위테스트 후 다중 작업 단일 작업 메뉴 확정됨. 해당 메뉴는 단일 메뉴로 다건 선택 불가로 정상입니다. "/>
    <x v="11"/>
    <s v="선택/체크 동작"/>
    <s v="시나리오(UT-A_CARF020S)의 순번 7([저장-다건수정])은 다건 선택이 불가여서 확인이 어렵습니다."/>
    <s v="시나리오(UT-A_CARF020S)의 순번 7([저장-다건수정])은 다건 선택이 불가여서 확인이 어렵습니다.  확인해주세요."/>
    <s v="기각사유: 단위테스트 후 다중 작업 단일 작업 메뉴 확정됨. 해당 메뉴는 단일 메뉴로 다건 선택 불가로 정상입니다. → 정상동작/스펙대로 성격으로 판단"/>
    <s v="정상동작/스펙대로"/>
    <s v="버튼/상태 컴포넌트 표준 적용, 활성·비활성 조건 명세화"/>
  </r>
  <r>
    <s v="UT-CASY026S(A)"/>
    <s v="2-1차"/>
    <n v="1"/>
    <s v="공통관리(AOMS-CA)"/>
    <s v="DEF-00547"/>
    <s v="상단 우측의 Search 버튼과 Notice Dept 조회 영역이 겹침"/>
    <s v="개발자테스트"/>
    <s v="김명준"/>
    <s v="정연준"/>
    <s v="3자테스터공통"/>
    <s v="Online"/>
    <s v="결함"/>
    <s v="UI"/>
    <s v="결함등록기각"/>
    <s v=""/>
    <s v="Minor"/>
    <s v="결함등록기각"/>
    <d v="2026-04-30T11:04:27"/>
    <d v="2026-04-30T11:06:27"/>
    <s v="공통 퍼블로 퍼블 담당자에서 전달하겠습니다._x000a_테스트 환경 : 창모드 -&gt; 화면 축소 시 메뉴 범위와 서치 범위 겹침"/>
    <x v="4"/>
    <s v="조회 조건 처리"/>
    <s v="상단 우측의 Search 버튼과 Notice Dept 조회 영역이 겹침"/>
    <s v="상단 우측의 Search 버튼과 Notice Dept 조회 영역이 겹침"/>
    <s v="기각사유: 공통 퍼블로 퍼블 담당자에서 전달하겠습니다._x000a_테스트 환경 : 창모드 -&gt; 화면 축소 시 메뉴 범위와 서치 범위 겹침 → 기타 기각 성격으로 판단"/>
    <s v="기타 기각"/>
    <s v="조회 SQL/조건 매핑 재검토, 정렬·필터 기본값 정의서와 일치화"/>
  </r>
  <r>
    <s v="UT-CARF016S(A)"/>
    <s v="2-1차"/>
    <n v="1"/>
    <s v="공통관리(AOMS-CA)"/>
    <s v="DEF-00556"/>
    <s v="조회 조건 입력 필드 IP는 숫자만 입력되고.. 이름 필드는 한글 입력 불가함을 잘못 키인때 안내되길 바람"/>
    <s v="개발자테스트"/>
    <s v="김명준"/>
    <s v="정연준"/>
    <s v="3자테스터공통"/>
    <s v="Online"/>
    <s v="개선/변경"/>
    <s v="UI"/>
    <s v="결함등록기각"/>
    <s v=""/>
    <s v="Minor"/>
    <s v="결함등록기각"/>
    <d v="2026-04-30T12:54:49"/>
    <d v="2026-04-30T13:08:34"/>
    <s v="메뉴별 조회조건 다름 한글/영문/숫자 별도 안내 안함"/>
    <x v="6"/>
    <s v="입력 문자 제한"/>
    <s v="조회 조건 입력 필드 IP는 숫자만 입력되고.. 이름 필드는 한글 입력 불가함을 잘못 키인때 안내되길 바람"/>
    <s v="조회 조건 입력 필드 IP는 숫자만 입력되고.. 이름 필드는 한글 입력 불가함을 잘못 키인때 안내되길 바람"/>
    <s v="기각사유: 메뉴별 조회조건 다름 한글/영문/숫자 별도 안내 안함 → 기타 기각 성격으로 판단"/>
    <s v="기타 기각"/>
    <s v="프론트/백엔드 양측에 입력 유효성 검증 추가 및 공통 validator 적용"/>
  </r>
  <r>
    <s v="UT-CARF018S(A)"/>
    <s v="2-1차"/>
    <n v="1"/>
    <s v="공통관리(AOMS-CA)"/>
    <s v="DEF-00557"/>
    <s v="죄회 조건 입력 필드 값에 한글 키인 불가하면.. 키인 단계에 안내되길 요망"/>
    <s v="개발자테스트"/>
    <s v="김명준"/>
    <s v="정연준"/>
    <s v="3자테스터공통"/>
    <s v="Online"/>
    <s v="개선/변경"/>
    <s v="UI"/>
    <s v="결함등록기각"/>
    <s v=""/>
    <s v="Minor"/>
    <s v="결함등록기각"/>
    <d v="2026-04-30T13:01:05"/>
    <d v="2026-04-30T13:09:11"/>
    <s v="메뉴별 조회조건 다름 한글/영문/숫자 별도 안내 안함"/>
    <x v="4"/>
    <s v="조회 조건 처리"/>
    <s v="죄회 조건 입력 필드 값에 한글 키인 불가하면.. 키인 단계에 안내되길 요망"/>
    <s v="죄회 조건 입력 필드 값에 한글 키인 불가하면.. 키인 단계에 안내되길 요망"/>
    <s v="기각사유: 메뉴별 조회조건 다름 한글/영문/숫자 별도 안내 안함 → 기타 기각 성격으로 판단"/>
    <s v="기타 기각"/>
    <s v="조회 SQL/조건 매핑 재검토, 정렬·필터 기본값 정의서와 일치화"/>
  </r>
  <r>
    <s v="UT-CARF018S(A)"/>
    <s v="2-1차"/>
    <n v="1"/>
    <s v="공통관리(AOMS-CA)"/>
    <s v="DEF-00558"/>
    <s v="화면 우측의 정보 화면의 입력 필드 일부가 화면을 벋어남"/>
    <s v="개발자테스트"/>
    <s v="김명준"/>
    <s v="정연준"/>
    <s v="3자테스터공통"/>
    <s v="Online"/>
    <s v="결함"/>
    <s v="UI"/>
    <s v="결함등록기각"/>
    <s v=""/>
    <s v="Minor"/>
    <s v="결함등록기각"/>
    <d v="2026-04-30T13:04:10"/>
    <d v="2026-04-30T13:15:14"/>
    <s v="공통퍼블로 퍼블담당자에게 전달하겠습니다."/>
    <x v="8"/>
    <s v="레이아웃/UI"/>
    <s v="화면 우측의 정보 화면의 입력 필드 일부가 화면을 벋어남"/>
    <s v="화면 우측의 정보 화면의 입력 필드 일부가 화면을 벋어남"/>
    <s v="기각사유: 공통퍼블로 퍼블담당자에게 전달하겠습니다. → 기타 기각 성격으로 판단"/>
    <s v="기타 기각"/>
    <s v="디자인 시스템(GNB/그리드/타이포) 준수 점검, 잘림·정렬 보정"/>
  </r>
  <r>
    <s v="UT-FSQA060S"/>
    <s v="1-1차"/>
    <n v="1"/>
    <s v="항공보안(FS)"/>
    <s v="DEF-00653"/>
    <s v="그리드의 합계 부분이 maxheight에 의해 표출이 저렇게 나옴._x000a_마지막 행 바로 밑에 있어야하지않을까요"/>
    <s v="개발자테스트"/>
    <s v="임소정"/>
    <s v="임소정"/>
    <s v="3자테스터공통"/>
    <s v="Online"/>
    <s v="개선/변경"/>
    <s v="기능"/>
    <s v="결함등록기각"/>
    <s v=""/>
    <s v="Minor"/>
    <s v="결함등록기각"/>
    <d v="2026-05-04T15:46:28"/>
    <d v="2026-05-06T16:38:38"/>
    <s v="기존 UI 유지가 고객 요구사항이며 합계 행 하단 표출은 넥사크로 표준임."/>
    <x v="3"/>
    <s v="집계/계산 오류"/>
    <s v="그리드의 합계 부분이 maxheight에 의해 표출이 저렇게 나옴."/>
    <s v="그리드의 합계 부분이 maxheight에 의해 표출이 저렇게 나옴. 마지막 행 바로 밑에 있어야하지않을까요"/>
    <s v="기각사유: 기존 UI 유지가 고객 요구사항이며 합계 행 하단 표출은 넥사크로 표준임. → 기타 기각 성격으로 판단"/>
    <s v="기타 기각"/>
    <s v="원천 데이터-화면 매핑 재검증, 집계 로직 단위 테스트 보강"/>
  </r>
  <r>
    <s v="UT-FSQA050S"/>
    <s v="1-1차"/>
    <n v="1"/>
    <s v="항공보안(FS)"/>
    <s v="DEF-00655"/>
    <s v="합게가 그리드 마지막 행 바로 밑에 존재해야할꺼같습니다"/>
    <s v="개발자테스트"/>
    <s v="임소정"/>
    <s v="임소정"/>
    <s v="3자테스터공통"/>
    <s v="Online"/>
    <s v="개선/변경"/>
    <s v="기능"/>
    <s v="결함등록기각"/>
    <s v=""/>
    <s v="Minor"/>
    <s v="결함등록기각"/>
    <d v="2026-05-04T15:48:22"/>
    <d v="2026-05-06T16:39:14"/>
    <s v="기존 UI 유지가 고객 요구사항이며 합계 행 하단 표출은 넥사크로 표준임."/>
    <x v="9"/>
    <s v="개선/변경 요청"/>
    <s v="합게가 그리드 마지막 행 바로 밑에 존재해야할꺼같습니다"/>
    <s v="합게가 그리드 마지막 행 바로 밑에 존재해야할꺼같습니다"/>
    <s v="기각사유: 기존 UI 유지가 고객 요구사항이며 합계 행 하단 표출은 넥사크로 표준임. → 기타 기각 성격으로 판단"/>
    <s v="기타 기각"/>
    <s v="차기 반영 일감으로 등록 후 우선순위 협의, 정책 가이드 반영"/>
  </r>
  <r>
    <s v="UT-FSEX050S"/>
    <s v="1-1차"/>
    <n v="1"/>
    <s v="항공보안(FS)"/>
    <s v="DEF-00660"/>
    <s v="우측 하단 저장버튼의 필요성을 잘 모르겠습니다 "/>
    <s v="개발자테스트"/>
    <s v="임소정"/>
    <s v="임소정"/>
    <s v="3자테스터공통"/>
    <s v="Online"/>
    <s v="개선/변경"/>
    <s v="UI"/>
    <s v="결함등록기각"/>
    <s v=""/>
    <s v="Minor"/>
    <s v="결함등록기각"/>
    <d v="2026-05-04T16:23:56"/>
    <d v="2026-05-06T16:50:47"/>
    <s v="삭제 선택후 저장하는 기능임"/>
    <x v="8"/>
    <s v="레이아웃/UI"/>
    <s v="우측 하단 저장버튼의 필요성을 잘 모르겠습니다"/>
    <s v="우측 하단 저장버튼의 필요성을 잘 모르겠습니다"/>
    <s v="기각사유: 삭제 선택후 저장하는 기능임 → 기타 기각 성격으로 판단"/>
    <s v="기타 기각"/>
    <s v="디자인 시스템(GNB/그리드/타이포) 준수 점검, 잘림·정렬 보정"/>
  </r>
  <r>
    <s v="UT-FSEX060M"/>
    <s v="1-1차"/>
    <n v="1"/>
    <s v="항공보안(FS)"/>
    <s v="DEF-00661"/>
    <s v="우측 하단 저장버튼의 필요성을 잘 모르겠습니다 "/>
    <s v="개발자테스트"/>
    <s v="임소정"/>
    <s v="임소정"/>
    <s v="3자테스터공통"/>
    <s v="Online"/>
    <s v="개선/변경"/>
    <s v="기능"/>
    <s v="결함등록기각"/>
    <s v=""/>
    <s v="Minor"/>
    <s v="결함등록기각"/>
    <d v="2026-05-04T16:24:08"/>
    <d v="2026-05-06T16:50:38"/>
    <s v="삭제 선택후 저장하는 기능임"/>
    <x v="8"/>
    <s v="레이아웃/UI"/>
    <s v="우측 하단 저장버튼의 필요성을 잘 모르겠습니다"/>
    <s v="우측 하단 저장버튼의 필요성을 잘 모르겠습니다"/>
    <s v="기각사유: 삭제 선택후 저장하는 기능임 → 기타 기각 성격으로 판단"/>
    <s v="기타 기각"/>
    <s v="디자인 시스템(GNB/그리드/타이포) 준수 점검, 잘림·정렬 보정"/>
  </r>
  <r>
    <s v="UT-FSQA180S"/>
    <s v="1-1차"/>
    <n v="1"/>
    <s v="항공보안(FS)"/>
    <s v="DEF-00662"/>
    <s v="데이터행과 합계행의 확실한 구분이 필요할거같습니다"/>
    <s v="개발자테스트"/>
    <s v="임소정"/>
    <s v="임소정"/>
    <s v="3자테스터공통"/>
    <s v="Online"/>
    <s v="결함"/>
    <s v="UI"/>
    <s v="결함등록기각"/>
    <s v=""/>
    <s v="Minor"/>
    <s v="결함등록기각"/>
    <d v="2026-05-04T16:27:09"/>
    <d v="2026-05-06T16:36:44"/>
    <s v="화면 ID와 결함 내용 불일치._x000a_결함 내용은 환승검색장 승객처리현황조회 화면임."/>
    <x v="3"/>
    <s v="집계/계산 오류"/>
    <s v="데이터행과 합계행의 확실한 구분이 필요할거같습니다"/>
    <s v="데이터행과 합계행의 확실한 구분이 필요할거같습니다"/>
    <s v="기각사유: 화면 ID와 결함 내용 불일치._x000a_결함 내용은 환승검색장 승객처리현황조회 화면임. → 기타 기각 성격으로 판단"/>
    <s v="기타 기각"/>
    <s v="원천 데이터-화면 매핑 재검증, 집계 로직 단위 테스트 보강"/>
  </r>
  <r>
    <s v="UT-FSQA180S"/>
    <s v="1-1차"/>
    <n v="1"/>
    <s v="항공보안(FS)"/>
    <s v="DEF-00663"/>
    <s v="T1,t2, 합계 등 값의 중앙정렬이 필요할 것 같습니다"/>
    <s v="개발자테스트"/>
    <s v="임소정"/>
    <s v="임소정"/>
    <s v="3자테스터공통"/>
    <s v="Online"/>
    <s v="개선/변경"/>
    <s v="UI"/>
    <s v="결함등록기각"/>
    <s v=""/>
    <s v="Minor"/>
    <s v="결함등록기각"/>
    <d v="2026-05-04T16:28:40"/>
    <d v="2026-05-06T16:35:44"/>
    <s v="기존 UI 유지가 고객 요구사항임"/>
    <x v="4"/>
    <s v="정렬 오류"/>
    <s v="T1,t2, 합계 등 값의 중앙정렬이 필요할 것 같습니다"/>
    <s v="T1,t2, 합계 등 값의 중앙정렬이 필요할 것 같습니다"/>
    <s v="기각사유: 기존 UI 유지가 고객 요구사항임 → 기타 기각 성격으로 판단"/>
    <s v="기타 기각"/>
    <s v="조회 SQL/조건 매핑 재검토, 정렬·필터 기본값 정의서와 일치화"/>
  </r>
  <r>
    <s v="UT-FSQA180S"/>
    <s v="1-1차"/>
    <n v="1"/>
    <s v="항공보안(FS)"/>
    <s v="DEF-00664"/>
    <s v="합게 비율의 %가 비어있습니다"/>
    <s v="개발자테스트"/>
    <s v="임소정"/>
    <s v="임소정"/>
    <s v="3자테스터공통"/>
    <s v="Online"/>
    <s v="결함"/>
    <s v="기능"/>
    <s v="결함등록기각"/>
    <s v=""/>
    <s v="Minor"/>
    <s v="결함등록기각"/>
    <d v="2026-05-04T16:30:42"/>
    <d v="2026-05-06T16:35:10"/>
    <s v="비율이기 때문에 합계는 무조건 100%이므로 의미 없음. 기존 UI와 동일 유지"/>
    <x v="5"/>
    <s v="기타 검토"/>
    <s v="합게 비율의 %가 비어있습니다"/>
    <s v="합게 비율의 %가 비어있습니다"/>
    <s v="기각사유: 비율이기 때문에 합계는 무조건 100%이므로 의미 없음. 기존 UI와 동일 유지 → 중복 성격으로 판단"/>
    <s v="중복"/>
    <s v="담당 PL과 결함 성격 재정의 후 분류 보완"/>
  </r>
  <r>
    <s v="UT-FSQA120S"/>
    <s v="1-2차"/>
    <n v="1"/>
    <s v="항공보안(FS)"/>
    <s v="DEF-00669"/>
    <s v="도착 항공편 날자보다 출발 항공편 날자가 과거 날자로 조회 선택 후 등록 가능함._x000a_논리적으로 도착 날자보다 이후 날자에 출발하는 것이 타당함 "/>
    <s v="개발자테스트"/>
    <s v="임소정"/>
    <s v="임소정"/>
    <s v="3자테스터공통"/>
    <s v="Online"/>
    <s v="결함"/>
    <s v="프로세스"/>
    <s v="결함등록기각"/>
    <s v=""/>
    <s v="Minor"/>
    <s v="결함등록기각"/>
    <d v="2026-05-04T17:01:34"/>
    <d v="2026-05-06T16:37:44"/>
    <s v="도착항공편과 출발항공편은 별도의 항공편임. 논리적인 순서 관계 없음."/>
    <x v="4"/>
    <s v="조회 조건 처리"/>
    <s v="도착 항공편 날자보다 출발 항공편 날자가 과거 날자로 조회 선택 후 등록 가능함."/>
    <s v="도착 항공편 날자보다 출발 항공편 날자가 과거 날자로 조회 선택 후 등록 가능함. 논리적으로 도착 날자보다 이후 날자에 출발하는 것이 타당함"/>
    <s v="기각사유: 도착항공편과 출발항공편은 별도의 항공편임. 논리적인 순서 관계 없음. → 기타 기각 성격으로 판단"/>
    <s v="기타 기각"/>
    <s v="조회 SQL/조건 매핑 재검토, 정렬·필터 기본값 정의서와 일치화"/>
  </r>
  <r>
    <s v="UT-CAMN007M(A)"/>
    <s v="2-2차"/>
    <n v="1"/>
    <s v="공통관리(AOMS-CA)"/>
    <s v="DEF-00683"/>
    <s v="그리그와 그리드의 경계선이 없음._x000a_"/>
    <s v="개발자테스트"/>
    <s v="김명준"/>
    <s v="최민지"/>
    <s v="3자테스터공통"/>
    <s v="Online"/>
    <s v="개선/변경"/>
    <s v="UI"/>
    <s v="결함등록기각"/>
    <s v=""/>
    <s v="Minor"/>
    <s v="결함등록기각"/>
    <d v="2026-05-06T09:21:10"/>
    <d v="2026-05-06T09:23:51"/>
    <s v="그리드와 그리드 경계선 없는 것은 화면 디자인상 정상입니다."/>
    <x v="9"/>
    <s v="개선/변경 요청"/>
    <s v="그리그와 그리드의 경계선이 없음."/>
    <s v="그리그와 그리드의 경계선이 없음."/>
    <s v="기각사유: 그리드와 그리드 경계선 없는 것은 화면 디자인상 정상입니다. → 정상동작/스펙대로 성격으로 판단"/>
    <s v="정상동작/스펙대로"/>
    <s v="차기 반영 일감으로 등록 후 우선순위 협의, 정책 가이드 반영"/>
  </r>
  <r>
    <s v="UT-FSQB060S"/>
    <s v="1-1차"/>
    <n v="1"/>
    <s v="항공보안(FS)"/>
    <s v="DEF-00165"/>
    <s v="메뉴가 보이지 않아 테스트 불가"/>
    <s v="개발자테스트"/>
    <s v="임소정"/>
    <s v="임소정"/>
    <s v="3자테스터공통"/>
    <s v="Online"/>
    <s v="결함"/>
    <s v="UI"/>
    <s v="결함등록기각"/>
    <s v=""/>
    <s v="Major"/>
    <s v="결함등록기각"/>
    <d v="2026-04-27T11:12:15"/>
    <d v="2026-05-07T19:07:29"/>
    <s v="메뉴는 아이디별 권한에 의한것임. 결함이 아니라 아이디로 권한 추가 필요."/>
    <x v="5"/>
    <s v="기타 검토"/>
    <s v="메뉴가 보이지 않아 테스트 불가"/>
    <s v="메뉴가 보이지 않아 테스트 불가"/>
    <s v="기각사유: 메뉴는 아이디별 권한에 의한것임. 결함이 아니라 아이디로 권한 추가 필요. → 기타 기각 성격으로 판단"/>
    <s v="기타 기각"/>
    <s v="담당 PL과 결함 성격 재정의 후 분류 보완"/>
  </r>
  <r>
    <s v="UT-GO12101S"/>
    <s v="2-1차"/>
    <n v="1"/>
    <s v="공항운영(GO)"/>
    <s v="DEF-00166"/>
    <s v="검색기간 지정 안내의 기준이 모호함._x000a_25년4/1 ~ 26년5/1을 지정하면.. 12달을 초과할 수 없다함._x000a_25년4/1 ~ 26년4/30을 지정하면.. 정상 조회됨. 이것도 12달을 초과한 것인데.._x000a_즉, 12달이라는 표현이 어떤 기간을 의미하는 것인지.. 사용자는 혼돈될 수 있음. 정확하게 하려면, 25년4/1 ~ 25년3/31까지가 12개월임."/>
    <s v="개발자테스트"/>
    <s v="신문호"/>
    <s v="박정구"/>
    <s v="3자테스터공통"/>
    <s v="Online"/>
    <s v="개선/변경"/>
    <s v="인터페이스"/>
    <s v="결함등록기각"/>
    <s v=""/>
    <s v="Minor"/>
    <s v="결함등록기각"/>
    <d v="2026-04-27T11:12:49"/>
    <d v="2026-04-30T16:01:26"/>
    <s v="기존 IIS 기준이라 정상"/>
    <x v="0"/>
    <s v="기간 범위 처리"/>
    <s v="검색기간 지정 안내의 기준이 모호함."/>
    <s v="검색기간 지정 안내의 기준이 모호함. 25년4/1 ~ 26년5/1을 지정하면.. 12달을 초과할 수 없다함. 25년4/1 ~ 26년4/30을 지정하면.. 정상 조회됨. 이것도 12달을 초과한 것인데.. 즉, 12달이라는 표현이 어떤 기간을 의미하는…"/>
    <s v="기각사유: 기존 IIS 기준이라 정상 → 정상동작/스펙대로 성격으로 판단"/>
    <s v="정상동작/스펙대로"/>
    <s v="날짜 컴포넌트 표준화, 기준일자-운항일자 등 필드 매핑 점검 및 기간 가드 추가"/>
  </r>
  <r>
    <s v="UT-GO11601S"/>
    <s v="1-2차"/>
    <n v="1"/>
    <s v="공항운영(GO)"/>
    <s v="DEF-00215"/>
    <s v="조회 기간에 따라 에러가 자주 뜹니다. "/>
    <s v="개발자테스트"/>
    <s v="신문호"/>
    <s v="김경준"/>
    <s v="3자테스터공통"/>
    <s v="Online"/>
    <s v="개선/변경"/>
    <s v="기타"/>
    <s v="결함등록기각"/>
    <s v=""/>
    <s v="Minor"/>
    <s v="결함등록기각"/>
    <d v="2026-04-27T16:12:12"/>
    <d v="2026-04-30T15:47:49"/>
    <s v="데이터가 많아 2025-04-01 ~ 2025-04-01 로 검색시 정상작동(운영데이터 이관으로 조건 수정)"/>
    <x v="0"/>
    <s v="기간 범위 처리"/>
    <s v="조회 기간에 따라 에러가 자주 뜹니다."/>
    <s v="조회 기간에 따라 에러가 자주 뜹니다."/>
    <s v="기각사유: 데이터가 많아 2025-04-01 ~ 2025-04-01 로 검색시 정상작동(운영데이터 이관으로 조건 수정) → 정상동작/스펙대로 성격으로 판단"/>
    <s v="정상동작/스펙대로"/>
    <s v="날짜 컴포넌트 표준화, 기준일자-운항일자 등 필드 매핑 점검 및 기간 가드 추가"/>
  </r>
  <r>
    <s v="UT-CAMN011M(A)"/>
    <s v="1-1차"/>
    <n v="1"/>
    <s v="공통관리(AOMS-CA)"/>
    <s v="DEF-00221"/>
    <s v="시나리오 문서 와 일치하는 화면을 찾을 수가 없습니다. "/>
    <s v="개발자테스트"/>
    <s v="김명준"/>
    <s v="정연준"/>
    <s v="3자테스터공통"/>
    <s v="Online"/>
    <s v="결함"/>
    <s v="기능"/>
    <s v="결함등록기각"/>
    <s v=""/>
    <s v="Major"/>
    <s v="결함등록기각"/>
    <d v="2026-04-27T16:40:46"/>
    <d v="2026-04-28T10:46:07"/>
    <s v="푸시메시지 관리 메뉴에서 해당 화면 찾을 수 있어 결함기각등록 하겠습니다."/>
    <x v="3"/>
    <s v="데이터 정합성"/>
    <s v="시나리오 문서 와 일치하는 화면을 찾을 수가 없습니다."/>
    <s v="시나리오 문서 와 일치하는 화면을 찾을 수가 없습니다."/>
    <s v="기각사유: 푸시메시지 관리 메뉴에서 해당 화면 찾을 수 있어 결함기각등록 하겠습니다. → 기타 기각 성격으로 판단"/>
    <s v="기타 기각"/>
    <s v="원천 데이터-화면 매핑 재검증, 집계 로직 단위 테스트 보강"/>
  </r>
  <r>
    <s v="UT-GO11701S"/>
    <s v="1-1차"/>
    <n v="1"/>
    <s v="공항운영(GO)"/>
    <s v="DEF-00258"/>
    <s v="조회되는 데이터가 있는데, 최초 진입 시 결과없음 팝업이 뜹니다. "/>
    <s v="개발자테스트"/>
    <s v="신문호"/>
    <s v="김경준"/>
    <s v="3자테스터공통"/>
    <s v="Online"/>
    <s v="결함"/>
    <s v="기타"/>
    <s v="결함등록기각"/>
    <s v=""/>
    <s v="Minor"/>
    <s v="결함등록기각"/>
    <d v="2026-04-27T17:34:36"/>
    <d v="2026-04-30T15:55:29"/>
    <s v="그리드 5개 개별 검색에 대한 팝업임 정상작동"/>
    <x v="4"/>
    <s v="검색 결과 불일치"/>
    <s v="조회되는 데이터가 있는데, 최초 진입 시 결과없음 팝업이 뜹니다."/>
    <s v="조회되는 데이터가 있는데, 최초 진입 시 결과없음 팝업이 뜹니다."/>
    <s v="기각사유: 그리드 5개 개별 검색에 대한 팝업임 정상작동 → 정상동작/스펙대로 성격으로 판단"/>
    <s v="정상동작/스펙대로"/>
    <s v="조회 SQL/조건 매핑 재검토, 정렬·필터 기본값 정의서와 일치화"/>
  </r>
  <r>
    <s v="UT-CASY034S(A)"/>
    <s v="1-1차"/>
    <n v="1"/>
    <s v="공통관리(AOMS-CA)"/>
    <s v="DEF-00261"/>
    <s v="조회만 되고 모든 입력창이 비활성화되어 수정이 안됩니다. "/>
    <s v="개발자테스트"/>
    <s v="김명준"/>
    <s v="최민지"/>
    <s v="3자테스터공통"/>
    <s v="Online"/>
    <s v="결함"/>
    <s v="기능"/>
    <s v="결함등록기각"/>
    <s v=""/>
    <s v="Major"/>
    <s v="결함등록기각"/>
    <d v="2026-04-27T17:42:02"/>
    <d v="2026-04-28T12:59:52"/>
    <s v="AOMS에서는 수정 기능만 가능하며, 해당 메뉴는 활성화 된 체크박스(파란삭) 만 수정이 가능하므로 정상입니다, 결함등록기각으로 등록하겠습니다."/>
    <x v="4"/>
    <s v="조회 조건 처리"/>
    <s v="조회만 되고 모든 입력창이 비활성화되어 수정이 안됩니다."/>
    <s v="조회만 되고 모든 입력창이 비활성화되어 수정이 안됩니다."/>
    <s v="기각사유: AOMS에서는 수정 기능만 가능하며, 해당 메뉴는 활성화 된 체크박스(파란삭) 만 수정이 가능하므로 정상입니다, 결함등록기… → 정상동작/스펙대로 성격으로 판단"/>
    <s v="정상동작/스펙대로"/>
    <s v="조회 SQL/조건 매핑 재검토, 정렬·필터 기본값 정의서와 일치화"/>
  </r>
  <r>
    <s v="UT-CASY050S(A)"/>
    <s v="2-2차"/>
    <n v="1"/>
    <s v="공통관리(AOMS-CA)"/>
    <s v="DEF-00100"/>
    <s v="메뉴 확인불가"/>
    <s v="개발자테스트"/>
    <s v="김명준"/>
    <s v="최민지"/>
    <s v="3자테스터공통"/>
    <s v="Online"/>
    <s v="결함"/>
    <s v="기능"/>
    <s v="결함등록기각"/>
    <s v=""/>
    <s v="Major"/>
    <s v="결함등록기각"/>
    <d v="2026-04-23T15:39:38"/>
    <d v="2026-04-24T11:12:15"/>
    <s v=" UT-CASY049S(A) ] 접속자 이력, [ UT-CASY050S(A) ] 접속자 현황 단위테스트 후 고객사 요청으로 -&gt; User Session Info 로 통합 관리로 변경 되었습니다. "/>
    <x v="5"/>
    <s v="기타 검토"/>
    <s v="메뉴 확인불가"/>
    <s v="메뉴 확인불가"/>
    <s v="기각사유: UT-CASY049S(A) ] 접속자 이력, [ UT-CASY050S(A) ] 접속자 현황 단위테스트 후 고객사 요청으로 … → 기타 기각 성격으로 판단"/>
    <s v="기타 기각"/>
    <s v="담당 PL과 결함 성격 재정의 후 분류 보완"/>
  </r>
  <r>
    <s v="UT-CARF012S(A)"/>
    <s v="2-1차"/>
    <n v="1"/>
    <s v="공통관리(AOMS-CA)"/>
    <s v="DEF-00101"/>
    <s v="추가, 삭제 기능을 실행할 수 없습니다._x000a_그러나 수정은 가능함._x000a_(기능을 테스트할 버튼이 없음)"/>
    <s v="개발자테스트"/>
    <s v="김명준"/>
    <s v="정연준"/>
    <s v="3자테스터공통"/>
    <s v="Online"/>
    <s v="결함"/>
    <s v="기능"/>
    <s v="결함등록기각"/>
    <s v=""/>
    <s v="Major"/>
    <s v="결함등록기각"/>
    <d v="2026-04-23T15:55:49"/>
    <d v="2026-04-24T14:35:23"/>
    <s v="AOMS는 데이터 수정 기능만 가능으로 정상 기능 입니다."/>
    <x v="11"/>
    <s v="상태값 처리"/>
    <s v="추가, 삭제 기능을 실행할 수 없습니다."/>
    <s v="추가, 삭제 기능을 실행할 수 없습니다. 그러나 수정은 가능함. (기능을 테스트할 버튼이 없음)"/>
    <s v="기각사유: AOMS는 데이터 수정 기능만 가능으로 정상 기능 입니다. → 정상동작/스펙대로 성격으로 판단"/>
    <s v="정상동작/스펙대로"/>
    <s v="버튼/상태 컴포넌트 표준 적용, 활성·비활성 조건 명세화"/>
  </r>
  <r>
    <s v="UT-CARF018S(A)"/>
    <s v="2-1차"/>
    <n v="1"/>
    <s v="공통관리(AOMS-CA)"/>
    <s v="DEF-00116"/>
    <s v="Detail 정보 칸에 city가 Readonly처럼 회색이 들어가 있지만 오른쪽 검색팝업으로 검색 후 SAVE하여 수정 가능합니다."/>
    <s v="개발자테스트"/>
    <s v="김명준"/>
    <s v="정연준"/>
    <s v="3자테스터공통"/>
    <s v="Online"/>
    <s v="결함"/>
    <s v="UI"/>
    <s v="결함등록기각"/>
    <s v=""/>
    <s v="Major"/>
    <s v="결함등록기각"/>
    <d v="2026-04-24T09:48:17"/>
    <d v="2026-04-24T10:59:56"/>
    <s v="검색으로만 가능한 기능으로 정상입니다."/>
    <x v="4"/>
    <s v="조회 조건 처리"/>
    <s v="Detail 정보 칸에 city가 Readonly처럼 회색이 들어가 있지만 오른쪽 검색팝업으로 검색 후 …"/>
    <s v="Detail 정보 칸에 city가 Readonly처럼 회색이 들어가 있지만 오른쪽 검색팝업으로 검색 후 SAVE하여 수정 가능합니다."/>
    <s v="기각사유: 검색으로만 가능한 기능으로 정상입니다. → 정상동작/스펙대로 성격으로 판단"/>
    <s v="정상동작/스펙대로"/>
    <s v="조회 SQL/조건 매핑 재검토, 정렬·필터 기본값 정의서와 일치화"/>
  </r>
  <r>
    <s v="UT-CARF019S(A)"/>
    <s v="2-1차"/>
    <n v="1"/>
    <s v="공통관리(AOMS-CA)"/>
    <s v="DEF-00117"/>
    <s v="등록, 삭제 버튼이 없어서 테스트 할 수 없습니다._x000a_MOLIT는 저장 가능."/>
    <s v="개발자테스트"/>
    <s v="김명준"/>
    <s v="정연준"/>
    <s v="3자테스터공통"/>
    <s v="Online"/>
    <s v="결함"/>
    <s v="기능"/>
    <s v="결함등록기각"/>
    <s v=""/>
    <s v="Major"/>
    <s v="결함등록기각"/>
    <d v="2026-04-24T09:58:14"/>
    <d v="2026-04-24T14:48:07"/>
    <s v="AOMS는 수정만 가능으로 정상입니다._x000a_ - 활성화된 부분은 수정 가능"/>
    <x v="11"/>
    <s v="상태값 처리"/>
    <s v="등록, 삭제 버튼이 없어서 테스트 할 수 없습니다."/>
    <s v="등록, 삭제 버튼이 없어서 테스트 할 수 없습니다. MOLIT는 저장 가능."/>
    <s v="기각사유: AOMS는 수정만 가능으로 정상입니다._x000a_ - 활성화된 부분은 수정 가능 → 정상동작/스펙대로 성격으로 판단"/>
    <s v="정상동작/스펙대로"/>
    <s v="버튼/상태 컴포넌트 표준 적용, 활성·비활성 조건 명세화"/>
  </r>
  <r>
    <s v="UT-CARF020S(A)"/>
    <s v="2-1차"/>
    <n v="1"/>
    <s v="공통관리(AOMS-CA)"/>
    <s v="DEF-00118"/>
    <s v="등록, 삭제 버튼이 없어서 테스트 할 수 없습니다._x000a_수정기능은 정상 작동합니다."/>
    <s v="개발자테스트"/>
    <s v="김명준"/>
    <s v="정연준"/>
    <s v="3자테스터공통"/>
    <s v="Online"/>
    <s v="결함"/>
    <s v="기능"/>
    <s v="결함등록기각"/>
    <s v=""/>
    <s v="Major"/>
    <s v="결함등록기각"/>
    <d v="2026-04-24T10:12:41"/>
    <d v="2026-04-24T14:48:35"/>
    <s v="AOMS는 수정만 가능으로 정상입니다."/>
    <x v="11"/>
    <s v="상태값 처리"/>
    <s v="등록, 삭제 버튼이 없어서 테스트 할 수 없습니다."/>
    <s v="등록, 삭제 버튼이 없어서 테스트 할 수 없습니다. 수정기능은 정상 작동합니다."/>
    <s v="기각사유: AOMS는 수정만 가능으로 정상입니다. → 정상동작/스펙대로 성격으로 판단"/>
    <s v="정상동작/스펙대로"/>
    <s v="버튼/상태 컴포넌트 표준 적용, 활성·비활성 조건 명세화"/>
  </r>
  <r>
    <s v="UT-CARF021S(A)"/>
    <s v="2-1차"/>
    <n v="1"/>
    <s v="공통관리(AOMS-CA)"/>
    <s v="DEF-00119"/>
    <s v="등록, 삭제 버튼이 없어서 테스트 할 수 없습니다._x000a_수정은 가능합니다."/>
    <s v="개발자테스트"/>
    <s v="김명준"/>
    <s v="정연준"/>
    <s v="3자테스터공통"/>
    <s v="Online"/>
    <s v="결함"/>
    <s v="기능"/>
    <s v="결함등록기각"/>
    <s v=""/>
    <s v="Major"/>
    <s v="결함등록기각"/>
    <d v="2026-04-24T10:18:02"/>
    <d v="2026-04-24T14:48:53"/>
    <s v="AOMS는 수정만 가능으로 정상입니다."/>
    <x v="11"/>
    <s v="상태값 처리"/>
    <s v="등록, 삭제 버튼이 없어서 테스트 할 수 없습니다."/>
    <s v="등록, 삭제 버튼이 없어서 테스트 할 수 없습니다. 수정은 가능합니다."/>
    <s v="기각사유: AOMS는 수정만 가능으로 정상입니다. → 정상동작/스펙대로 성격으로 판단"/>
    <s v="정상동작/스펙대로"/>
    <s v="버튼/상태 컴포넌트 표준 적용, 활성·비활성 조건 명세화"/>
  </r>
  <r>
    <s v="UT-FSEX080M"/>
    <s v="2-2차"/>
    <n v="1"/>
    <s v="항공보안(FS)"/>
    <s v="DEF-00124"/>
    <s v="UT-FSEX080M – 드론탐지현황 일괄등록 메뉴 AOMS에서 확인 안됨._x000a_"/>
    <s v="개발자테스트"/>
    <s v="임소정"/>
    <s v="임소정"/>
    <s v="3자테스터공통"/>
    <s v="Online"/>
    <s v="결함"/>
    <s v="UI"/>
    <s v="결함등록기각"/>
    <s v=""/>
    <s v="Critical"/>
    <s v="결함등록기각"/>
    <d v="2026-04-24T11:20:56"/>
    <d v="2026-05-07T18:01:32"/>
    <s v="일괄등록은 메뉴가 아님."/>
    <x v="5"/>
    <s v="기타 검토"/>
    <s v="UT-FSEX080M – 드론탐지현황 일괄등록 메뉴 AOMS에서 확인 안됨."/>
    <s v="UT-FSEX080M – 드론탐지현황 일괄등록 메뉴 AOMS에서 확인 안됨."/>
    <s v="기각사유: 일괄등록은 메뉴가 아님. → 기타 기각 성격으로 판단"/>
    <s v="기타 기각"/>
    <s v="담당 PL과 결함 성격 재정의 후 분류 보완"/>
  </r>
  <r>
    <s v="UT-FSEX080S"/>
    <s v="2-2차"/>
    <n v="1"/>
    <s v="항공보안(FS)"/>
    <s v="DEF-00126"/>
    <s v="UT-FSEX080S – 드론탐지현황관리 메뉴 확인안됨._x000a_"/>
    <s v="개발자테스트"/>
    <s v="임소정"/>
    <s v="임소정"/>
    <s v="3자테스터공통"/>
    <s v="Online"/>
    <s v="결함"/>
    <s v="UI"/>
    <s v="결함등록기각"/>
    <s v=""/>
    <s v="Critical"/>
    <s v="결함등록기각"/>
    <d v="2026-04-24T12:59:08"/>
    <d v="2026-05-07T18:02:09"/>
    <s v="메뉴 권한 누락 확인 필요. 테스트 계정은 권한 추가하였음"/>
    <x v="5"/>
    <s v="기타 검토"/>
    <s v="UT-FSEX080S – 드론탐지현황관리 메뉴 확인안됨."/>
    <s v="UT-FSEX080S – 드론탐지현황관리 메뉴 확인안됨."/>
    <s v="기각사유: 메뉴 권한 누락 확인 필요. 테스트 계정은 권한 추가하였음 → 기타 기각 성격으로 판단"/>
    <s v="기타 기각"/>
    <s v="담당 PL과 결함 성격 재정의 후 분류 보완"/>
  </r>
  <r>
    <s v="UT-FSQB080S"/>
    <s v="2-1차"/>
    <n v="1"/>
    <s v="항공보안(FS)"/>
    <s v="DEF-00136"/>
    <s v="공통체크리스트 : 우측 상단 프린터 실행시 팝업 화면에 데이터 업로드 안됨  FSQB080S/090S/091S/092S동일"/>
    <s v="개발자테스트"/>
    <s v="임소정"/>
    <s v="임소정"/>
    <s v="3자테스터공통"/>
    <s v="Online"/>
    <s v="개선/변경"/>
    <s v="기능"/>
    <s v="결함등록기각"/>
    <s v=""/>
    <s v="Minor"/>
    <s v="결함등록기각"/>
    <d v="2026-04-24T15:13:46"/>
    <d v="2026-05-07T18:56:19"/>
    <s v="인쇄는 공통 기능으로 모듈 개발 내에서 처리 불가능"/>
    <x v="7"/>
    <s v="메시지 표시"/>
    <s v="공통체크리스트 : 우측 상단 프린터 실행시 팝업 화면에 데이터 업로드 안됨  FSQB080S/090S/0…"/>
    <s v="공통체크리스트 : 우측 상단 프린터 실행시 팝업 화면에 데이터 업로드 안됨  FSQB080S/090S/091S/092S동일"/>
    <s v="기각사유: 인쇄는 공통 기능으로 모듈 개발 내에서 처리 불가능 → 기타 기각 성격으로 판단"/>
    <s v="기타 기각"/>
    <s v="UX 가이드라인에 따라 표준 안내·툴팁 문구 적용, 무데이터/오류 메시지 정비"/>
  </r>
  <r>
    <s v="UT-FSQB090S"/>
    <s v="2-1차"/>
    <n v="1"/>
    <s v="항공보안(FS)"/>
    <s v="DEF-00137"/>
    <s v="단위테스트결과서 2-3 : 오류날짜 입력 안됨"/>
    <s v="개발자테스트"/>
    <s v="임소정"/>
    <s v="임소정"/>
    <s v="3자테스터공통"/>
    <s v="Online"/>
    <s v="개선/변경"/>
    <s v="기능"/>
    <s v="결함등록기각"/>
    <s v=""/>
    <s v="Minor"/>
    <s v="결함등록기각"/>
    <d v="2026-04-24T15:15:14"/>
    <d v="2026-05-07T18:56:38"/>
    <s v="공통 datepicker 개선 변경으로 인함."/>
    <x v="0"/>
    <s v="날짜 표시/포맷"/>
    <s v="단위테스트결과서 2-3 : 오류날짜 입력 안됨"/>
    <s v="단위테스트결과서 2-3 : 오류날짜 입력 안됨"/>
    <s v="기각사유: 공통 datepicker 개선 변경으로 인함. → 개선요청 이관 성격으로 판단"/>
    <s v="개선요청 이관"/>
    <s v="날짜 컴포넌트 표준화, 기준일자-운항일자 등 필드 매핑 점검 및 기간 가드 추가"/>
  </r>
  <r>
    <s v="UT-FSQA010S"/>
    <s v="1-2차"/>
    <n v="1"/>
    <s v="항공보안(FS)"/>
    <s v="DEF-00142"/>
    <s v="-AOMS내 조그만 프린터 클릭후 출력대상 화면의 일부가 출력되지 않음."/>
    <s v="개발자테스트"/>
    <s v="임소정"/>
    <s v="임소정"/>
    <s v="3자테스터공통"/>
    <s v="Online"/>
    <s v="개선/변경"/>
    <s v="UI"/>
    <s v="결함등록기각"/>
    <s v=""/>
    <s v="Minor"/>
    <s v="결함등록기각"/>
    <d v="2026-04-24T15:37:09"/>
    <d v="2026-05-07T18:03:27"/>
    <s v="공통 기능으로 모듈 개발 내에서 처리 불가능"/>
    <x v="1"/>
    <s v="파일 출력/다운로드"/>
    <s v="-AOMS내 조그만 프린터 클릭후 출력대상 화면의 일부가 출력되지 않음."/>
    <s v="-AOMS내 조그만 프린터 클릭후 출력대상 화면의 일부가 출력되지 않음."/>
    <s v="기각사유: 공통 기능으로 모듈 개발 내에서 처리 불가능 → 기타 기각 성격으로 판단"/>
    <s v="기타 기각"/>
    <s v="엑셀/PDF 공통 출력 모듈 점검, 컬럼 매핑·서식 검증 및 예외 처리"/>
  </r>
  <r>
    <s v="UT-FSQA020S"/>
    <s v="1-2차"/>
    <n v="1"/>
    <s v="항공보안(FS)"/>
    <s v="DEF-00143"/>
    <s v="AOMS내 작은 프린터 클릭후 제공되는 출력 화면에서 전체 45페이지중 1~2페이지 일부만 출력되고 나머지는 공란으로 출력되고 있음._x000a_전체 45 페이지중 1~2페이 일부만 인쇄대상 자료가 확인되고 이후 페이지 전부 공란_x000a_"/>
    <s v="개발자테스트"/>
    <s v="임소정"/>
    <s v="임소정"/>
    <s v="3자테스터공통"/>
    <s v="Online"/>
    <s v="개선/변경"/>
    <s v="UI"/>
    <s v="결함등록기각"/>
    <s v=""/>
    <s v="Minor"/>
    <s v="결함등록기각"/>
    <d v="2026-04-24T15:52:59"/>
    <d v="2026-05-07T18:03:41"/>
    <s v="공통 기능으로 모듈 개발 내에서 처리 불가능"/>
    <x v="1"/>
    <s v="인쇄/프린트"/>
    <s v="AOMS내 작은 프린터 클릭후 제공되는 출력 화면에서 전체 45페이지중 1~2페이지 일부만 출력되고 나머…"/>
    <s v="AOMS내 작은 프린터 클릭후 제공되는 출력 화면에서 전체 45페이지중 1~2페이지 일부만 출력되고 나머지는 공란으로 출력되고 있음. 전체 45 페이지중 1~2페이 일부만 인쇄대상 자료가 확인되고 이후 페이지 전부 공란"/>
    <s v="기각사유: 공통 기능으로 모듈 개발 내에서 처리 불가능 → 기타 기각 성격으로 판단"/>
    <s v="기타 기각"/>
    <s v="엑셀/PDF 공통 출력 모듈 점검, 컬럼 매핑·서식 검증 및 예외 처리"/>
  </r>
  <r>
    <s v="UT-CASY039S(A)"/>
    <s v="2-3차"/>
    <n v="1"/>
    <s v="공통관리(AOMS-CA)"/>
    <s v="DEF-00087"/>
    <s v="시나리오명 “EAI 인터페이스 송신 이력”이 시나리오파일(엑셀) 및 AOMS에는 없음( 엑셀 : ESB 인터페이스 송신 이력, AOMS : ESB Interface Send Hst._x000a_"/>
    <s v="개발자테스트"/>
    <s v="김명준"/>
    <s v="김태훈"/>
    <s v="3자테스터공통"/>
    <s v="Online"/>
    <s v="개선/변경"/>
    <s v="UI"/>
    <s v="결함등록기각"/>
    <s v=""/>
    <s v="Minor"/>
    <s v="결함등록기각"/>
    <d v="2026-04-23T13:36:13"/>
    <d v="2026-04-23T17:27:14"/>
    <s v="ESB의 기존 시스템 명 EAI로 최도 TMS 등록시 EAI 로 등록됨_x000a_EAI 인터페이스 = ESB 인터페이스 이며, 시나리오명 (한글과) AOMS 화면의 영문 표기는 결함/개선 건 아님"/>
    <x v="1"/>
    <s v="엑셀 다운로드 오류"/>
    <s v="시나리오명 “EAI 인터페이스 송신 이력”이 시나리오파일(엑셀) 및 AOMS에는 없음( 엑셀 : ESB …"/>
    <s v="시나리오명 “EAI 인터페이스 송신 이력”이 시나리오파일(엑셀) 및 AOMS에는 없음( 엑셀 : ESB 인터페이스 송신 이력, AOMS : ESB Interface Send Hst."/>
    <s v="기각사유: ESB의 기존 시스템 명 EAI로 최도 TMS 등록시 EAI 로 등록됨_x000a_EAI 인터페이스 = ESB 인터페이스 이며, 시나… → 개선요청 이관 성격으로 판단"/>
    <s v="개선요청 이관"/>
    <s v="엑셀/PDF 공통 출력 모듈 점검, 컬럼 매핑·서식 검증 및 예외 처리"/>
  </r>
  <r>
    <s v="UT-CARF041S(A)"/>
    <s v="2-3차"/>
    <n v="1"/>
    <s v="공통관리(AOMS-CA)"/>
    <s v="DEF-00094"/>
    <s v="다운로드한 엑셀파일의 출력시 페이지가 분리안되게(1p-&gt;2p 하는 방안이 있으면 적용 필요_x000a_- 용지방향 가로로 전환 _x000a_"/>
    <s v="개발자테스트"/>
    <s v="김명준"/>
    <s v="정연준"/>
    <s v="3자테스터공통"/>
    <s v="Online"/>
    <s v="개선/변경"/>
    <s v="UI"/>
    <s v="결함등록기각"/>
    <s v=""/>
    <s v="Minor"/>
    <s v="결함등록기각"/>
    <d v="2026-04-23T15:08:11"/>
    <d v="2026-04-23T17:52:20"/>
    <s v="엑셀 다운로드 후 -&gt; 보기 -&gt; 페이지 나누기 미리 보기 -&gt; 페이지 설정 후 출력 1P -&gt; 2P 분기 가능 용지 가로 전환 도 가능함니다."/>
    <x v="1"/>
    <s v="엑셀 다운로드 오류"/>
    <s v="다운로드한 엑셀파일의 출력시 페이지가 분리안되게(1p-&gt;2p 하는 방안이 있으면 적용 필요"/>
    <s v="다운로드한 엑셀파일의 출력시 페이지가 분리안되게(1p-&gt;2p 하는 방안이 있으면 적용 필요 - 용지방향 가로로 전환"/>
    <s v="기각사유: 엑셀 다운로드 후 -&gt; 보기 -&gt; 페이지 나누기 미리 보기 -&gt; 페이지 설정 후 출력 1P -&gt; 2P 분기 가능 용지 가로… → 기타 기각 성격으로 판단"/>
    <s v="기타 기각"/>
    <s v="엑셀/PDF 공통 출력 모듈 점검, 컬럼 매핑·서식 검증 및 예외 처리"/>
  </r>
  <r>
    <s v="UT-CASY049S(A)"/>
    <s v="2-2차"/>
    <n v="1"/>
    <s v="공통관리(AOMS-CA)"/>
    <s v="DEF-00098"/>
    <s v="메뉴가 존재하지 않음."/>
    <s v="개발자테스트"/>
    <s v="김명준"/>
    <s v="최민지"/>
    <s v="3자테스터공통"/>
    <s v="Online"/>
    <s v="결함"/>
    <s v="기능"/>
    <s v="결함등록기각"/>
    <s v=""/>
    <s v="Major"/>
    <s v="결함등록기각"/>
    <d v="2026-04-23T15:25:05"/>
    <d v="2026-04-24T11:11:58"/>
    <s v=" UT-CASY049S(A) ] 접속자 이력, [ UT-CASY050S(A) ] 접속자 현황 단위테스트 후 고객사 요청으로 -&gt; User Session Info 로 통합 관리로 변경 되었습니다. "/>
    <x v="5"/>
    <s v="기타 검토"/>
    <s v="메뉴가 존재하지 않음."/>
    <s v="메뉴가 존재하지 않음."/>
    <s v="기각사유: UT-CASY049S(A) ] 접속자 이력, [ UT-CASY050S(A) ] 접속자 현황 단위테스트 후 고객사 요청으로 … → 기타 기각 성격으로 판단"/>
    <s v="기타 기각"/>
    <s v="담당 PL과 결함 성격 재정의 후 분류 보완"/>
  </r>
  <r>
    <s v="UT-CAMN004M(A)"/>
    <s v="1-2차"/>
    <n v="1"/>
    <s v="공통관리(AOMS-CA)"/>
    <s v="DEF-00099"/>
    <s v="시나리오 순번 2의 예상결과 &quot;2. 조회 후 결과가 없는 경우 경고메시지를 표출한다.&quot; _x000a_ : 테스트결과 에러메시지 없음"/>
    <s v="개발자테스트"/>
    <s v="김명준"/>
    <s v="최민지"/>
    <s v="3자테스터공통"/>
    <s v="Online"/>
    <s v="결함"/>
    <s v="UI"/>
    <s v="결함등록기각"/>
    <s v=""/>
    <s v="Major"/>
    <s v="결함등록기각"/>
    <d v="2026-04-23T15:25:48"/>
    <d v="2026-04-24T10:50:52"/>
    <s v="테스트 시나리오 2.  Register Date : 2025-01-01~2025-06-30 메세지 정상 표출 됨"/>
    <x v="4"/>
    <s v="검색 결과 불일치"/>
    <s v="시나리오 순번 2의 예상결과 &quot;2. 조회 후 결과가 없는 경우 경고메시지를 표출한다.&quot;"/>
    <s v="시나리오 순번 2의 예상결과 &quot;2. 조회 후 결과가 없는 경우 경고메시지를 표출한다.&quot;   : 테스트결과 에러메시지 없음"/>
    <s v="기각사유: 테스트 시나리오 2.  Register Date : 2025-01-01~2025-06-30 메세지 정상 표출 됨 → 정상동작/스펙대로 성격으로 판단"/>
    <s v="정상동작/스펙대로"/>
    <s v="조회 SQL/조건 매핑 재검토, 정렬·필터 기본값 정의서와 일치화"/>
  </r>
  <r>
    <s v="UT-CARF015S(A)"/>
    <s v="2-1차"/>
    <n v="1"/>
    <s v="공통관리(AOMS-CA)"/>
    <s v="DEF-00105"/>
    <s v="수정은 가능하나 추가, 삭제 버튼이 없어서 테스트 불가."/>
    <s v="개발자테스트"/>
    <s v="김명준"/>
    <s v="정연준"/>
    <s v="3자테스터공통"/>
    <s v="Online"/>
    <s v="결함"/>
    <s v="기능"/>
    <s v="결함등록기각"/>
    <s v=""/>
    <s v="Major"/>
    <s v="결함등록기각"/>
    <d v="2026-04-23T17:15:16"/>
    <d v="2026-04-24T14:41:08"/>
    <s v="AOMS는 수정기능만 가능으로 정상 입니다."/>
    <x v="11"/>
    <s v="상태값 처리"/>
    <s v="수정은 가능하나 추가, 삭제 버튼이 없어서 테스트 불가."/>
    <s v="수정은 가능하나 추가, 삭제 버튼이 없어서 테스트 불가."/>
    <s v="기각사유: AOMS는 수정기능만 가능으로 정상 입니다. → 정상동작/스펙대로 성격으로 판단"/>
    <s v="정상동작/스펙대로"/>
    <s v="버튼/상태 컴포넌트 표준 적용, 활성·비활성 조건 명세화"/>
  </r>
  <r>
    <s v="UT-CARF016S(A)"/>
    <s v="2-1차"/>
    <n v="1"/>
    <s v="공통관리(AOMS-CA)"/>
    <s v="DEF-00107"/>
    <s v="수정은 가능하나 추가, 삭제 버튼이 없어서 테스트 불가."/>
    <s v="개발자테스트"/>
    <s v="김명준"/>
    <s v="정연준"/>
    <s v="3자테스터공통"/>
    <s v="Online"/>
    <s v="결함"/>
    <s v="기능"/>
    <s v="결함등록기각"/>
    <s v=""/>
    <s v="Major"/>
    <s v="결함등록기각"/>
    <d v="2026-04-23T17:27:17"/>
    <d v="2026-04-24T14:41:25"/>
    <s v="AOMS는 수정기능만 가능으로 정상 입니다."/>
    <x v="11"/>
    <s v="상태값 처리"/>
    <s v="수정은 가능하나 추가, 삭제 버튼이 없어서 테스트 불가."/>
    <s v="수정은 가능하나 추가, 삭제 버튼이 없어서 테스트 불가."/>
    <s v="기각사유: AOMS는 수정기능만 가능으로 정상 입니다. → 정상동작/스펙대로 성격으로 판단"/>
    <s v="정상동작/스펙대로"/>
    <s v="버튼/상태 컴포넌트 표준 적용, 활성·비활성 조건 명세화"/>
  </r>
  <r>
    <s v="UT-FSEX017S"/>
    <s v="2-2차"/>
    <n v="1"/>
    <s v="항공보안(FS)"/>
    <s v="DEF-00109"/>
    <s v="-AOMS 화면내 프린터 클릭 후 출력화면 제공안됨"/>
    <s v="개발자테스트"/>
    <s v="임소정"/>
    <s v="임소정"/>
    <s v="3자테스터공통"/>
    <s v="Online"/>
    <s v="결함"/>
    <s v="UI"/>
    <s v="결함등록기각"/>
    <s v=""/>
    <s v="Major"/>
    <s v="결함등록기각"/>
    <d v="2026-04-24T09:11:58"/>
    <d v="2026-04-29T16:02:33"/>
    <s v="넥사크로 공통기능"/>
    <x v="1"/>
    <s v="파일 출력/다운로드"/>
    <s v="-AOMS 화면내 프린터 클릭 후 출력화면 제공안됨"/>
    <s v="-AOMS 화면내 프린터 클릭 후 출력화면 제공안됨"/>
    <s v="기각사유: 넥사크로 공통기능 → 기타 기각 성격으로 판단"/>
    <s v="기타 기각"/>
    <s v="엑셀/PDF 공통 출력 모듈 점검, 컬럼 매핑·서식 검증 및 예외 처리"/>
  </r>
  <r>
    <s v="UT-CARF017S(A)"/>
    <s v="2-1차"/>
    <n v="1"/>
    <s v="공통관리(AOMS-CA)"/>
    <s v="DEF-00112"/>
    <s v="등록 및 삭제 버튼이 없습니다. "/>
    <s v="개발자테스트"/>
    <s v="김명준"/>
    <s v="정연준"/>
    <s v="3자테스터공통"/>
    <s v="Online"/>
    <s v="결함"/>
    <s v="기능"/>
    <s v="결함등록기각"/>
    <s v=""/>
    <s v="Major"/>
    <s v="결함등록기각"/>
    <d v="2026-04-24T09:34:13"/>
    <d v="2026-04-24T14:46:35"/>
    <s v="AOMS는 수정 기능만 가능으로 정상입니다."/>
    <x v="11"/>
    <s v="상태값 처리"/>
    <s v="등록 및 삭제 버튼이 없습니다."/>
    <s v="등록 및 삭제 버튼이 없습니다."/>
    <s v="기각사유: AOMS는 수정 기능만 가능으로 정상입니다. → 정상동작/스펙대로 성격으로 판단"/>
    <s v="정상동작/스펙대로"/>
    <s v="버튼/상태 컴포넌트 표준 적용, 활성·비활성 조건 명세화"/>
  </r>
  <r>
    <s v="UT-CARF022S(A)"/>
    <s v="2-1차"/>
    <n v="1"/>
    <s v="공통관리(AOMS-CA)"/>
    <s v="DEF-00120"/>
    <s v="등록, 삭제 버튼이 없어서 테스트 할 수 없습니다._x000a_수정 기능은 정상 작동했습니다."/>
    <s v="개발자테스트"/>
    <s v="김명준"/>
    <s v="정연준"/>
    <s v="3자테스터공통"/>
    <s v="Online"/>
    <s v="결함"/>
    <s v="기능"/>
    <s v="결함등록기각"/>
    <s v=""/>
    <s v="Major"/>
    <s v="결함등록기각"/>
    <d v="2026-04-24T10:22:14"/>
    <d v="2026-04-24T14:49:07"/>
    <s v="AOMS는 수정만 가능으로 정상입니다."/>
    <x v="11"/>
    <s v="상태값 처리"/>
    <s v="등록, 삭제 버튼이 없어서 테스트 할 수 없습니다."/>
    <s v="등록, 삭제 버튼이 없어서 테스트 할 수 없습니다. 수정 기능은 정상 작동했습니다."/>
    <s v="기각사유: AOMS는 수정만 가능으로 정상입니다. → 정상동작/스펙대로 성격으로 판단"/>
    <s v="정상동작/스펙대로"/>
    <s v="버튼/상태 컴포넌트 표준 적용, 활성·비활성 조건 명세화"/>
  </r>
  <r>
    <s v="UT-CARF023S(A)"/>
    <s v="2-1차"/>
    <n v="1"/>
    <s v="공통관리(AOMS-CA)"/>
    <s v="DEF-00121"/>
    <s v="등록, 삭제 버튼이 없어서 테스트 할 수 없습니다._x000a_수정기능은 정상 작동합니다."/>
    <s v="개발자테스트"/>
    <s v="김명준"/>
    <s v="정연준"/>
    <s v="3자테스터공통"/>
    <s v="Online"/>
    <s v="결함"/>
    <s v="기능"/>
    <s v="결함등록기각"/>
    <s v=""/>
    <s v="Major"/>
    <s v="결함등록기각"/>
    <d v="2026-04-24T10:25:06"/>
    <d v="2026-04-24T14:49:24"/>
    <s v="AOMS는 수정만 가능으로 정상입니다."/>
    <x v="11"/>
    <s v="상태값 처리"/>
    <s v="등록, 삭제 버튼이 없어서 테스트 할 수 없습니다."/>
    <s v="등록, 삭제 버튼이 없어서 테스트 할 수 없습니다. 수정기능은 정상 작동합니다."/>
    <s v="기각사유: AOMS는 수정만 가능으로 정상입니다. → 정상동작/스펙대로 성격으로 판단"/>
    <s v="정상동작/스펙대로"/>
    <s v="버튼/상태 컴포넌트 표준 적용, 활성·비활성 조건 명세화"/>
  </r>
  <r>
    <s v="UT-FSEY060S"/>
    <s v="2-2차"/>
    <n v="1"/>
    <s v="항공보안(FS)"/>
    <s v="DEF-00127"/>
    <s v="- 교육입력시 교육 시작일-종료일 입력하면 산정된 기간 자동 표출_x000a_- 이후 기간을 임의로 변경후 저장하면 저장됨."/>
    <s v="개발자테스트"/>
    <s v="임소정"/>
    <s v="임소정"/>
    <s v="3자테스터공통"/>
    <s v="Online"/>
    <s v="결함"/>
    <s v="UI"/>
    <s v="결함등록기각"/>
    <s v=""/>
    <s v="Major"/>
    <s v="결함등록기각"/>
    <d v="2026-04-24T13:12:17"/>
    <d v="2026-05-07T18:03:12"/>
    <s v="일자는 수정 가능한게 맞는 로직이며 자동 산정 로직이 이번 사업에서 개선된 내용임."/>
    <x v="0"/>
    <s v="기간 범위 처리"/>
    <s v="- 교육입력시 교육 시작일-종료일 입력하면 산정된 기간 자동 표출"/>
    <s v="- 교육입력시 교육 시작일-종료일 입력하면 산정된 기간 자동 표출 - 이후 기간을 임의로 변경후 저장하면 저장됨."/>
    <s v="기각사유: 일자는 수정 가능한게 맞는 로직이며 자동 산정 로직이 이번 사업에서 개선된 내용임. → 개선요청 이관 성격으로 판단"/>
    <s v="개선요청 이관"/>
    <s v="날짜 컴포넌트 표준화, 기준일자-운항일자 등 필드 매핑 점검 및 기간 가드 추가"/>
  </r>
  <r>
    <s v="UT-CASY019S(A)"/>
    <s v="1-2차"/>
    <n v="1"/>
    <s v="공통관리(AOMS-CA)"/>
    <s v="DEF-00128"/>
    <s v="초기 LOAD시 당일부터 한달전 사이 이외에 공지사항들도 표시됩니다._x000a_"/>
    <s v="개발자테스트"/>
    <s v="김명준"/>
    <s v="최민지"/>
    <s v="3자테스터공통"/>
    <s v="Online"/>
    <s v="결함"/>
    <s v="데이터"/>
    <s v="결함등록기각"/>
    <s v=""/>
    <s v="Minor"/>
    <s v="결함등록기각"/>
    <d v="2026-04-24T13:13:09"/>
    <d v="2026-04-24T13:38:57"/>
    <s v="1. 초기 LOAD시 나오면 Register Date는 당일을 포함한 1달을 표시됨_x000a_2. 초기 LOAD시 나오면 Register Date 조회 조건 아닙니다. _x000a_3. SEARCH버튼을 선택 하면 해당 일정만 조회 됩니다._x000a_"/>
    <x v="5"/>
    <s v="기타 검토"/>
    <s v="초기 LOAD시 당일부터 한달전 사이 이외에 공지사항들도 표시됩니다."/>
    <s v="초기 LOAD시 당일부터 한달전 사이 이외에 공지사항들도 표시됩니다."/>
    <s v="기각사유: 1. 초기 LOAD시 나오면 Register Date는 당일을 포함한 1달을 표시됨_x000a_2. 초기 LOAD시 나오면 Regis… → 기타 기각 성격으로 판단"/>
    <s v="기타 기각"/>
    <s v="담당 PL과 결함 성격 재정의 후 분류 보완"/>
  </r>
  <r>
    <s v="UT-FSQA022S"/>
    <s v="1-2차"/>
    <n v="1"/>
    <s v="항공보안(FS)"/>
    <s v="DEF-00149"/>
    <s v="다운로드받은 엑셀파일이 T1과 동일한 오류"/>
    <s v="개발자테스트"/>
    <s v="임소정"/>
    <s v="임소정"/>
    <s v="3자테스터공통"/>
    <s v="Online"/>
    <s v="개선/변경"/>
    <s v="UI"/>
    <s v="결함등록기각"/>
    <s v=""/>
    <s v="Minor"/>
    <s v="결함등록기각"/>
    <d v="2026-04-24T16:58:33"/>
    <d v="2026-05-07T18:04:24"/>
    <s v="해당 내용은 엑셀 기능임"/>
    <x v="1"/>
    <s v="엑셀 다운로드 오류"/>
    <s v="다운로드받은 엑셀파일이 T1과 동일한 오류"/>
    <s v="다운로드받은 엑셀파일이 T1과 동일한 오류"/>
    <s v="기각사유: 해당 내용은 엑셀 기능임 → 기타 기각 성격으로 판단"/>
    <s v="기타 기각"/>
    <s v="엑셀/PDF 공통 출력 모듈 점검, 컬럼 매핑·서식 검증 및 예외 처리"/>
  </r>
  <r>
    <s v="UT-FSQA031S"/>
    <s v="1-2차"/>
    <n v="1"/>
    <s v="항공보안(FS)"/>
    <s v="DEF-00152"/>
    <s v="다운로드된 엑셀파일 분할출력(용지방향 : 세로를 가로로 전환하고, 화면맞춤 적용 필요)"/>
    <s v="개발자테스트"/>
    <s v="임소정"/>
    <s v="임소정"/>
    <s v="3자테스터공통"/>
    <s v="Online"/>
    <s v="개선/변경"/>
    <s v="UI"/>
    <s v="결함등록기각"/>
    <s v=""/>
    <s v="Minor"/>
    <s v="결함등록기각"/>
    <d v="2026-04-24T17:30:16"/>
    <d v="2026-05-07T18:04:47"/>
    <s v="해당 내용은 엑셀 기능임. 개발 불가능 영역."/>
    <x v="1"/>
    <s v="엑셀 다운로드 오류"/>
    <s v="다운로드된 엑셀파일 분할출력(용지방향 : 세로를 가로로 전환하고, 화면맞춤 적용 필요)"/>
    <s v="다운로드된 엑셀파일 분할출력(용지방향 : 세로를 가로로 전환하고, 화면맞춤 적용 필요)"/>
    <s v="기각사유: 해당 내용은 엑셀 기능임. 개발 불가능 영역. → 기타 기각 성격으로 판단"/>
    <s v="기타 기각"/>
    <s v="엑셀/PDF 공통 출력 모듈 점검, 컬럼 매핑·서식 검증 및 예외 처리"/>
  </r>
  <r>
    <s v="UT-FSQB120S"/>
    <s v="1-2차"/>
    <n v="1"/>
    <s v="항공보안(FS)"/>
    <s v="DEF-00153"/>
    <s v="단위테스트6 : 엑셀아이콘 수정요"/>
    <s v="개발자테스트"/>
    <s v="임소정"/>
    <s v="임소정"/>
    <s v="3자테스터공통"/>
    <s v="Online"/>
    <s v="개선/변경"/>
    <s v="기능"/>
    <s v="결함등록기각"/>
    <s v=""/>
    <s v="Minor"/>
    <s v="결함등록기각"/>
    <d v="2026-04-24T17:47:35"/>
    <d v="2026-05-07T18:56:51"/>
    <s v="현업 요구사항"/>
    <x v="1"/>
    <s v="엑셀 다운로드 오류"/>
    <s v="단위테스트6 : 엑셀아이콘 수정요"/>
    <s v="단위테스트6 : 엑셀아이콘 수정요"/>
    <s v="기각사유: 현업 요구사항 → 기타 기각 성격으로 판단"/>
    <s v="기타 기각"/>
    <s v="엑셀/PDF 공통 출력 모듈 점검, 컬럼 매핑·서식 검증 및 예외 처리"/>
  </r>
  <r>
    <s v="UT-PM10102S"/>
    <s v="2-1차"/>
    <n v="1"/>
    <s v="예측관리(PM)"/>
    <s v="DEF-00155"/>
    <s v="운항 데이터 0건일 때 no data 뜨지 않음"/>
    <s v="개발자테스트"/>
    <s v="임소정"/>
    <s v="pmtbd1"/>
    <s v="3자테스터공통"/>
    <s v="Online"/>
    <s v="개선/변경"/>
    <s v="UI"/>
    <s v="결함등록기각"/>
    <s v=""/>
    <s v="Minor"/>
    <s v="결함등록기각"/>
    <d v="2026-04-27T10:17:00"/>
    <d v="2026-04-29T08:05:43"/>
    <s v="처리완료하였습니다. 개발서버 기준 (26년 04월 30일 오전에 확인가능합니다.)_x000a_DEF-00154 결함과 같은 내용이므로 기각합니다."/>
    <x v="3"/>
    <s v="데이터 정합성"/>
    <s v="운항 데이터 0건일 때 no data 뜨지 않음"/>
    <s v="운항 데이터 0건일 때 no data 뜨지 않음"/>
    <s v="기각사유: 처리완료하였습니다. 개발서버 기준 (26년 04월 30일 오전에 확인가능합니다.)_x000a_DEF-00154 결함과 같은 내용이므로… → 기타 기각 성격으로 판단"/>
    <s v="기타 기각"/>
    <s v="원천 데이터-화면 매핑 재검증, 집계 로직 단위 테스트 보강"/>
  </r>
  <r>
    <s v="UT-PM20135M"/>
    <s v="2-1차"/>
    <n v="1"/>
    <s v="예측관리(PM)"/>
    <s v="DEF-00167"/>
    <s v="테스트케이스 엑셀과 ui 가 달라 테스트 케이스 접근하지 못했습니다.._x000a_Config 자료가 정상 복사버튼 없음"/>
    <s v="개발자테스트"/>
    <s v="임소정"/>
    <s v="pmtbd2"/>
    <s v="3자테스터공통"/>
    <s v="Online"/>
    <s v="개선/변경"/>
    <s v="기타"/>
    <s v="결함등록기각"/>
    <s v=""/>
    <s v="Minor"/>
    <s v="결함등록기각"/>
    <d v="2026-04-27T11:15:49"/>
    <d v="2026-04-27T13:43:13"/>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x v="1"/>
    <s v="엑셀 다운로드 오류"/>
    <s v="테스트케이스 엑셀과 ui 가 달라 테스트 케이스 접근하지 못했습니다.."/>
    <s v="테스트케이스 엑셀과 ui 가 달라 테스트 케이스 접근하지 못했습니다.. Config 자료가 정상 복사버튼 없음"/>
    <s v="기각사유: 공사측 개선/변경 사항으로 변경된 내용으로 테스트케이스는 업데이트 하지 못한 상태입니다._x000a_일정상 테스트 스크립트를 수정할 … → 정상동작/스펙대로 성격으로 판단"/>
    <s v="정상동작/스펙대로"/>
    <s v="엑셀/PDF 공통 출력 모듈 점검, 컬럼 매핑·서식 검증 및 예외 처리"/>
  </r>
  <r>
    <s v="UT-PM20136M"/>
    <s v="2-1차"/>
    <n v="1"/>
    <s v="예측관리(PM)"/>
    <s v="DEF-00168"/>
    <s v="테스트케이스 엑셀과 UI 가 다릅니다. Config 자료가 정상 복사버튼 없음"/>
    <s v="개발자테스트"/>
    <s v="임소정"/>
    <s v="pmtbd3"/>
    <s v="3자테스터공통"/>
    <s v="Online"/>
    <s v="개선/변경"/>
    <s v="기타"/>
    <s v="결함등록기각"/>
    <s v=""/>
    <s v="Minor"/>
    <s v="결함등록기각"/>
    <d v="2026-04-27T11:20:42"/>
    <d v="2026-04-27T13:43:32"/>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x v="1"/>
    <s v="엑셀 다운로드 오류"/>
    <s v="테스트케이스 엑셀과 UI 가 다릅니다. Config 자료가 정상 복사버튼 없음"/>
    <s v="테스트케이스 엑셀과 UI 가 다릅니다. Config 자료가 정상 복사버튼 없음"/>
    <s v="기각사유: 공사측 개선/변경 사항으로 변경된 내용으로 테스트케이스는 업데이트 하지 못한 상태입니다._x000a_일정상 테스트 스크립트를 수정할 … → 정상동작/스펙대로 성격으로 판단"/>
    <s v="정상동작/스펙대로"/>
    <s v="엑셀/PDF 공통 출력 모듈 점검, 컬럼 매핑·서식 검증 및 예외 처리"/>
  </r>
  <r>
    <s v="UT-PM20137M"/>
    <s v="2-1차"/>
    <n v="1"/>
    <s v="예측관리(PM)"/>
    <s v="DEF-00169"/>
    <s v="테스트 케이스와 UI 가 다릅니다._x000a_Config 자료가 정상 복사버튼 없음."/>
    <s v="개발자테스트"/>
    <s v="임소정"/>
    <s v="pmtbd3"/>
    <s v="3자테스터공통"/>
    <s v="Online"/>
    <s v="개선/변경"/>
    <s v="기타"/>
    <s v="결함등록기각"/>
    <s v=""/>
    <s v="Minor"/>
    <s v="결함등록기각"/>
    <d v="2026-04-27T11:24:42"/>
    <d v="2026-04-27T13:43:46"/>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x v="8"/>
    <s v="레이아웃/UI"/>
    <s v="테스트 케이스와 UI 가 다릅니다."/>
    <s v="테스트 케이스와 UI 가 다릅니다. Config 자료가 정상 복사버튼 없음."/>
    <s v="기각사유: 공사측 개선/변경 사항으로 변경된 내용으로 테스트케이스는 업데이트 하지 못한 상태입니다._x000a_일정상 테스트 스크립트를 수정할 … → 정상동작/스펙대로 성격으로 판단"/>
    <s v="정상동작/스펙대로"/>
    <s v="디자인 시스템(GNB/그리드/타이포) 준수 점검, 잘림·정렬 보정"/>
  </r>
  <r>
    <s v="UT-PM20138M"/>
    <s v="2-1차"/>
    <n v="1"/>
    <s v="예측관리(PM)"/>
    <s v="DEF-00170"/>
    <s v="테스트케이스와 UI가 다릅니다._x000a_Config 자료가 정상 복사버튼 없음."/>
    <s v="개발자테스트"/>
    <s v="임소정"/>
    <s v="신문호"/>
    <s v="3자테스터공통"/>
    <s v="Online"/>
    <s v="신규"/>
    <s v="기타"/>
    <s v="결함등록기각"/>
    <s v=""/>
    <s v="Minor"/>
    <s v="결함등록기각"/>
    <d v="2026-04-27T11:26:57"/>
    <d v="2026-04-27T13:43:59"/>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x v="8"/>
    <s v="레이아웃/UI"/>
    <s v="테스트케이스와 UI가 다릅니다."/>
    <s v="테스트케이스와 UI가 다릅니다. Config 자료가 정상 복사버튼 없음."/>
    <s v="기각사유: 공사측 개선/변경 사항으로 변경된 내용으로 테스트케이스는 업데이트 하지 못한 상태입니다._x000a_일정상 테스트 스크립트를 수정할 … → 정상동작/스펙대로 성격으로 판단"/>
    <s v="정상동작/스펙대로"/>
    <s v="디자인 시스템(GNB/그리드/타이포) 준수 점검, 잘림·정렬 보정"/>
  </r>
  <r>
    <s v="UT-PM20139M"/>
    <s v="2-1차"/>
    <n v="1"/>
    <s v="예측관리(PM)"/>
    <s v="DEF-00171"/>
    <s v="테스트케이스 엑셀과 UI 다름._x000a_Config 자료가 정상 복사버튼 없음."/>
    <s v="개발자테스트"/>
    <s v="임소정"/>
    <s v="신문호"/>
    <s v="3자테스터공통"/>
    <s v="Online"/>
    <s v="개선/변경"/>
    <s v="기타"/>
    <s v="결함등록기각"/>
    <s v=""/>
    <s v="Minor"/>
    <s v="결함등록기각"/>
    <d v="2026-04-27T11:30:24"/>
    <d v="2026-04-27T13:44:11"/>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x v="1"/>
    <s v="엑셀 다운로드 오류"/>
    <s v="테스트케이스 엑셀과 UI 다름."/>
    <s v="테스트케이스 엑셀과 UI 다름. Config 자료가 정상 복사버튼 없음."/>
    <s v="기각사유: 공사측 개선/변경 사항으로 변경된 내용으로 테스트케이스는 업데이트 하지 못한 상태입니다._x000a_일정상 테스트 스크립트를 수정할 … → 정상동작/스펙대로 성격으로 판단"/>
    <s v="정상동작/스펙대로"/>
    <s v="엑셀/PDF 공통 출력 모듈 점검, 컬럼 매핑·서식 검증 및 예외 처리"/>
  </r>
  <r>
    <s v="UT-PM20140M"/>
    <s v="2-1차"/>
    <n v="1"/>
    <s v="예측관리(PM)"/>
    <s v="DEF-00172"/>
    <s v="테스트케이스 엑셀과 ui 다름._x000a_Config 자료가 정상 복사버튼 없음."/>
    <s v="개발자테스트"/>
    <s v="임소정"/>
    <s v="pmtbd1"/>
    <s v="3자테스터공통"/>
    <s v="Online"/>
    <s v="개선/변경"/>
    <s v="기타"/>
    <s v="결함등록기각"/>
    <s v=""/>
    <s v="Minor"/>
    <s v="결함등록기각"/>
    <d v="2026-04-27T11:32:40"/>
    <d v="2026-04-27T13:44:26"/>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x v="1"/>
    <s v="엑셀 다운로드 오류"/>
    <s v="테스트케이스 엑셀과 ui 다름."/>
    <s v="테스트케이스 엑셀과 ui 다름. Config 자료가 정상 복사버튼 없음."/>
    <s v="기각사유: 공사측 개선/변경 사항으로 변경된 내용으로 테스트케이스는 업데이트 하지 못한 상태입니다._x000a_일정상 테스트 스크립트를 수정할 … → 정상동작/스펙대로 성격으로 판단"/>
    <s v="정상동작/스펙대로"/>
    <s v="엑셀/PDF 공통 출력 모듈 점검, 컬럼 매핑·서식 검증 및 예외 처리"/>
  </r>
  <r>
    <s v="UT-FSEX060M"/>
    <s v="1-1차"/>
    <n v="1"/>
    <s v="항공보안(FS)"/>
    <s v="DEF-00173"/>
    <s v="교육현황 입력관리로 명칭 변경됨. (TMS 수정 필요)"/>
    <s v="개발자테스트"/>
    <s v="임소정"/>
    <s v="임소정"/>
    <s v="3자테스터공통"/>
    <s v="Online"/>
    <s v="개선/변경"/>
    <s v="기타"/>
    <s v="결함등록기각"/>
    <s v=""/>
    <s v="Minor"/>
    <s v="결함등록기각"/>
    <d v="2026-04-27T12:57:50"/>
    <d v="2026-05-07T18:05:52"/>
    <s v="해당 내용은 교육현황 입력관리의 팝업에 대한 내용임"/>
    <x v="12"/>
    <s v="용어/명칭 통일"/>
    <s v="교육현황 입력관리로 명칭 변경됨. (TMS 수정 필요)"/>
    <s v="교육현황 입력관리로 명칭 변경됨. (TMS 수정 필요)"/>
    <s v="기각사유: 해당 내용은 교육현황 입력관리의 팝업에 대한 내용임 → 기타 기각 성격으로 판단"/>
    <s v="기타 기각"/>
    <s v="용어집 기준으로 라벨 일괄 정비, 오타/표기 표준 적용"/>
  </r>
  <r>
    <s v="UT-PM20144M"/>
    <s v="2-1차"/>
    <n v="1"/>
    <s v="예측관리(PM)"/>
    <s v="DEF-00179"/>
    <s v="테스트케이스 엑셀과 UI 다름._x000a_Config 자료가 정상 복사버튼 없음."/>
    <s v="개발자테스트"/>
    <s v="임소정"/>
    <s v="pmtbd1"/>
    <s v="3자테스터공통"/>
    <s v="Online"/>
    <s v="개선/변경"/>
    <s v="UI"/>
    <s v="결함등록기각"/>
    <s v=""/>
    <s v="Minor"/>
    <s v="결함등록기각"/>
    <d v="2026-04-27T13:12:32"/>
    <d v="2026-04-27T13:42:41"/>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x v="1"/>
    <s v="엑셀 다운로드 오류"/>
    <s v="테스트케이스 엑셀과 UI 다름."/>
    <s v="테스트케이스 엑셀과 UI 다름. Config 자료가 정상 복사버튼 없음."/>
    <s v="기각사유: 공사측 개선/변경 사항으로 변경된 내용으로 테스트케이스는 업데이트 하지 못한 상태입니다._x000a_일정상 테스트 스크립트를 수정할 … → 정상동작/스펙대로 성격으로 판단"/>
    <s v="정상동작/스펙대로"/>
    <s v="엑셀/PDF 공통 출력 모듈 점검, 컬럼 매핑·서식 검증 및 예외 처리"/>
  </r>
  <r>
    <s v="UT-PM10204S"/>
    <s v="2-2차"/>
    <n v="1"/>
    <s v="예측관리(PM)"/>
    <s v="DEF-00194"/>
    <s v="해당 메뉴가 없습니다."/>
    <s v="개발자테스트"/>
    <s v="임소정"/>
    <s v="pmtbd2"/>
    <s v="3자테스터공통"/>
    <s v="Online"/>
    <s v="결함"/>
    <s v="기능"/>
    <s v="결함등록기각"/>
    <s v=""/>
    <s v="Critical"/>
    <s v="결함등록기각"/>
    <d v="2026-04-27T14:21:58"/>
    <d v="2026-04-29T07:35:34"/>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x v="5"/>
    <s v="기타 검토"/>
    <s v="해당 메뉴가 없습니다."/>
    <s v="해당 메뉴가 없습니다."/>
    <s v="기각사유: UT-PM10201S 입국장 운영시간 설정 관리_x000a_UT-PM10202S 입국장 운영시간 조회_x000a_UT-PM10203S 출국장 운… → 기타 기각 성격으로 판단"/>
    <s v="기타 기각"/>
    <s v="담당 PL과 결함 성격 재정의 후 분류 보완"/>
  </r>
  <r>
    <s v="UT-PM20101S"/>
    <s v="1-2차"/>
    <n v="1"/>
    <s v="예측관리(PM)"/>
    <s v="DEF-00210"/>
    <s v="차트가 10분단위 조회 값 변경에 따라 시간 범위가 조절 되야 할 것 같은데변하지 않습니다. 어떤 값을 선택 하든 전체 범위를 보여줍니다. "/>
    <s v="개발자테스트"/>
    <s v="임소정"/>
    <s v="신문호"/>
    <s v="3자테스터공통"/>
    <s v="Online"/>
    <s v="결함"/>
    <s v="기능"/>
    <s v="결함등록기각"/>
    <s v=""/>
    <s v="Major"/>
    <s v="결함등록기각"/>
    <d v="2026-04-27T15:15:46"/>
    <d v="2026-04-29T09:12:30"/>
    <s v="3단계 기준의 정책으로 개발된 사항이며, 10분 단위 조회 조건은 그리드에만 적용됩니다."/>
    <x v="2"/>
    <s v="차트 표시 오류"/>
    <s v="차트가 10분단위 조회 값 변경에 따라 시간 범위가 조절 되야 할 것 같은데변하지 않습니다. 어떤 값을 …"/>
    <s v="차트가 10분단위 조회 값 변경에 따라 시간 범위가 조절 되야 할 것 같은데변하지 않습니다. 어떤 값을 선택 하든 전체 범위를 보여줍니다."/>
    <s v="기각사유: 3단계 기준의 정책으로 개발된 사항이며, 10분 단위 조회 조건은 그리드에만 적용됩니다. → 정책상 비대상 성격으로 판단"/>
    <s v="정책상 비대상"/>
    <s v="차트 공통 컴포넌트 점검, 무데이터 처리 및 축/범례 표준화"/>
  </r>
  <r>
    <s v="UT-PM20101S"/>
    <s v="1-2차"/>
    <n v="1"/>
    <s v="예측관리(PM)"/>
    <s v="DEF-00211"/>
    <s v="차트 이미지 저장 버튼이 없습니다. "/>
    <s v="개발자테스트"/>
    <s v="임소정"/>
    <s v="신문호"/>
    <s v="3자테스터공통"/>
    <s v="Online"/>
    <s v="결함"/>
    <s v="기능"/>
    <s v="결함등록기각"/>
    <s v=""/>
    <s v="Major"/>
    <s v="결함등록기각"/>
    <d v="2026-04-27T15:16:08"/>
    <d v="2026-04-29T09:13:49"/>
    <s v="공사요청사항으로 상단 툴바 기능이 거슬리기 떄문에 제거 요청사항이 있었습니다."/>
    <x v="2"/>
    <s v="차트 표시 오류"/>
    <s v="차트 이미지 저장 버튼이 없습니다."/>
    <s v="차트 이미지 저장 버튼이 없습니다."/>
    <s v="기각사유: 공사요청사항으로 상단 툴바 기능이 거슬리기 떄문에 제거 요청사항이 있었습니다. → 기타 기각 성격으로 판단"/>
    <s v="기타 기각"/>
    <s v="차트 공통 컴포넌트 점검, 무데이터 처리 및 축/범례 표준화"/>
  </r>
  <r>
    <s v="UT-PM20153S"/>
    <s v="2-1차"/>
    <n v="1"/>
    <s v="예측관리(PM)"/>
    <s v="DEF-00222"/>
    <s v="엑셀이 저장 1회 이상은 되지 않습니다._x000a_- 엑셀 저장 2번째 &gt; 우측 그래프 활성화 , 엑셀저장 안됨"/>
    <s v="개발자테스트"/>
    <s v="임소정"/>
    <s v="노세찬"/>
    <s v="3자테스터공통"/>
    <s v="Online"/>
    <s v="결함"/>
    <s v="기능"/>
    <s v="결함등록기각"/>
    <s v=""/>
    <s v="Major"/>
    <s v="결함등록기각"/>
    <d v="2026-04-27T16:46:09"/>
    <d v="2026-04-29T08:37:43"/>
    <s v="처리완료하였습니다. 개발서버 기준 (26년 04월 30일 오전에 확인가능합니다.)"/>
    <x v="1"/>
    <s v="엑셀 다운로드 오류"/>
    <s v="엑셀이 저장 1회 이상은 되지 않습니다."/>
    <s v="엑셀이 저장 1회 이상은 되지 않습니다. - 엑셀 저장 2번째 &gt; 우측 그래프 활성화 , 엑셀저장 안됨"/>
    <s v="기각사유: 처리완료하였습니다. 개발서버 기준 (26년 04월 30일 오전에 확인가능합니다.) → 기타 기각 성격으로 판단"/>
    <s v="기타 기각"/>
    <s v="엑셀/PDF 공통 출력 모듈 점검, 컬럼 매핑·서식 검증 및 예외 처리"/>
  </r>
  <r>
    <s v="UT-PM20154S"/>
    <s v="2-1차"/>
    <n v="1"/>
    <s v="예측관리(PM)"/>
    <s v="DEF-00223"/>
    <s v="엑셀이 저장 1회 이상은 되지 않습니다._x000a_- 엑셀 저장 2번째 &gt; 우측 그래프 활성화 , 엑셀저장 안됨"/>
    <s v="개발자테스트"/>
    <s v="임소정"/>
    <s v="노세찬"/>
    <s v="3자테스터공통"/>
    <s v="Online"/>
    <s v="결함"/>
    <s v="기능"/>
    <s v="결함등록기각"/>
    <s v=""/>
    <s v="Major"/>
    <s v="결함등록기각"/>
    <d v="2026-04-27T16:46:23"/>
    <d v="2026-04-29T08:38:15"/>
    <s v="처리완료하였습니다. 개발서버 기준 (26년 04월 30일 오전에 확인가능합니다.)_x000a_DEF-00222 결함과 같은 내용이므로 기각합니다."/>
    <x v="1"/>
    <s v="엑셀 다운로드 오류"/>
    <s v="엑셀이 저장 1회 이상은 되지 않습니다."/>
    <s v="엑셀이 저장 1회 이상은 되지 않습니다. - 엑셀 저장 2번째 &gt; 우측 그래프 활성화 , 엑셀저장 안됨"/>
    <s v="기각사유: 처리완료하였습니다. 개발서버 기준 (26년 04월 30일 오전에 확인가능합니다.)_x000a_DEF-00222 결함과 같은 내용이므로… → 기타 기각 성격으로 판단"/>
    <s v="기타 기각"/>
    <s v="엑셀/PDF 공통 출력 모듈 점검, 컬럼 매핑·서식 검증 및 예외 처리"/>
  </r>
  <r>
    <s v="UT-CASY052S(A)"/>
    <s v="2-2차"/>
    <n v="1"/>
    <s v="공통관리(AOMS-CA)"/>
    <s v="DEF-00425"/>
    <s v="※ 잘못입력했습니다.(프로그램히스토리 결함등록을 한다는게 잘못입력했습니다.  본 건은 기각 처리해주세요)_x000a__x000a_1.“Menu Name” 검색시 조회 결과가 없을 때 해당 텍스트 박스에 검색했던 키워드가 살아 있고,  _x000a_2. “Program Name” 검색시 조회 결과가 없을 때 해당 텍스트 박스에 검색했던 키워드가 사라짐_x000b_3. 동일한 현상이 제공되는 것이 좋을듯."/>
    <s v="개발자테스트"/>
    <s v="김명준"/>
    <s v="최민지"/>
    <s v="3자테스터공통"/>
    <s v="Online"/>
    <s v="개선/변경"/>
    <s v="UI"/>
    <s v="결함등록기각"/>
    <s v=""/>
    <s v="Minor"/>
    <s v="결함등록기각"/>
    <d v="2026-04-29T09:31:39"/>
    <d v="2026-04-30T10:47:13"/>
    <s v="Program Name 조회 시 조회 결과 없어도 조회했던 Program Name 표출 하고 있습니다. 정상입니다."/>
    <x v="4"/>
    <s v="조회 조건 처리"/>
    <s v="※ 잘못입력했습니다.(프로그램히스토리 결함등록을 한다는게 잘못입력했습니다.  본 건은 기각 처리해주세요)"/>
    <s v="※ 잘못입력했습니다.(프로그램히스토리 결함등록을 한다는게 잘못입력했습니다.  본 건은 기각 처리해주세요)  1.“Menu Name” 검색시 조회 결과가 없을 때 해당 텍스트 박스에 검색했던 키워드가 살아 있고,   2. “Program Name” …"/>
    <s v="기각사유: Program Name 조회 시 조회 결과 없어도 조회했던 Program Name 표출 하고 있습니다. 정상입니다. → 정상동작/스펙대로 성격으로 판단"/>
    <s v="정상동작/스펙대로"/>
    <s v="조회 SQL/조건 매핑 재검토, 정렬·필터 기본값 정의서와 일치화"/>
  </r>
  <r>
    <s v="UT-CASY007S(A)"/>
    <s v="1-2차"/>
    <n v="1"/>
    <s v="공통관리(AOMS-CA)"/>
    <s v="DEF-00460"/>
    <s v="Order가 같았을때 발생하는 문제는 없을까요?"/>
    <s v="개발자테스트"/>
    <s v="김명준"/>
    <s v="최민지"/>
    <s v="3자테스터공통"/>
    <s v="Online"/>
    <s v="개선/변경"/>
    <s v="기능"/>
    <s v="결함등록기각"/>
    <s v=""/>
    <s v="Minor"/>
    <s v="결함등록기각"/>
    <d v="2026-04-29T13:09:48"/>
    <d v="2026-04-29T19:18:16"/>
    <s v="Order 발생해도 문제 없습니다."/>
    <x v="9"/>
    <s v="개선/변경 요청"/>
    <s v="Order가 같았을때 발생하는 문제는 없을까요?"/>
    <s v="Order가 같았을때 발생하는 문제는 없을까요?"/>
    <s v="기각사유: Order 발생해도 문제 없습니다. → 기타 기각 성격으로 판단"/>
    <s v="기타 기각"/>
    <s v="차기 반영 일감으로 등록 후 우선순위 협의, 정책 가이드 반영"/>
  </r>
  <r>
    <s v="UT-FSQB190S"/>
    <s v="2-2차"/>
    <n v="1"/>
    <s v="항공보안(FS)"/>
    <s v="DEF-00471"/>
    <s v="총계 != 휴대 + 위탁"/>
    <s v="개발자테스트"/>
    <s v="임소정"/>
    <s v="임소정"/>
    <s v="3자테스터공통"/>
    <s v="Online"/>
    <s v="개선/변경"/>
    <s v="UI"/>
    <s v="결함등록기각"/>
    <s v=""/>
    <s v="Minor"/>
    <s v="결함등록기각"/>
    <d v="2026-04-29T14:13:44"/>
    <d v="2026-05-07T19:33:19"/>
    <s v="기존 보고서와 동일하게 개발되었으며 해당 내용으로 현업테스트를 완료하였음."/>
    <x v="9"/>
    <s v="개선/변경 요청"/>
    <s v="총계 != 휴대 + 위탁"/>
    <s v="총계 != 휴대 + 위탁"/>
    <s v="기각사유: 기존 보고서와 동일하게 개발되었으며 해당 내용으로 현업테스트를 완료하였음. → 중복 성격으로 판단"/>
    <s v="중복"/>
    <s v="차기 반영 일감으로 등록 후 우선순위 협의, 정책 가이드 반영"/>
  </r>
  <r>
    <s v="UT-FSEX012S"/>
    <s v="2-1차"/>
    <n v="1"/>
    <s v="항공보안(FS)"/>
    <s v="DEF-00472"/>
    <s v="신규사용자 드롭박스에 내용이 없음."/>
    <s v="개발자테스트"/>
    <s v="임소정"/>
    <s v="임소정"/>
    <s v="3자테스터공통"/>
    <s v="Online"/>
    <s v="결함"/>
    <s v="기능"/>
    <s v="결함등록기각"/>
    <s v=""/>
    <s v="Major"/>
    <s v="결함등록기각"/>
    <d v="2026-04-29T14:18:36"/>
    <d v="2026-05-07T19:10:46"/>
    <s v="신규사용자는 신규로 등록될 데이터가 있을때만 추가 가능"/>
    <x v="5"/>
    <s v="기타 검토"/>
    <s v="신규사용자 드롭박스에 내용이 없음."/>
    <s v="신규사용자 드롭박스에 내용이 없음."/>
    <s v="기각사유: 신규사용자는 신규로 등록될 데이터가 있을때만 추가 가능 → 기타 기각 성격으로 판단"/>
    <s v="기타 기각"/>
    <s v="담당 PL과 결함 성격 재정의 후 분류 보완"/>
  </r>
  <r>
    <s v="UT-FSQB190S"/>
    <s v="2-2차"/>
    <n v="1"/>
    <s v="항공보안(FS)"/>
    <s v="DEF-00473"/>
    <s v="휴대수하물 소계만 볼드처리 되어있습니다. "/>
    <s v="개발자테스트"/>
    <s v="임소정"/>
    <s v="임소정"/>
    <s v="3자테스터공통"/>
    <s v="Online"/>
    <s v="개선/변경"/>
    <s v="UI"/>
    <s v="결함등록기각"/>
    <s v=""/>
    <s v="Minor"/>
    <s v="결함등록기각"/>
    <d v="2026-04-29T14:18:36"/>
    <d v="2026-05-07T19:33:34"/>
    <s v="기존 보고서와 동일하게 개발되었으며 해당 내용으로 현업테스트를 완료하였음."/>
    <x v="9"/>
    <s v="개선/변경 요청"/>
    <s v="휴대수하물 소계만 볼드처리 되어있습니다."/>
    <s v="휴대수하물 소계만 볼드처리 되어있습니다."/>
    <s v="기각사유: 기존 보고서와 동일하게 개발되었으며 해당 내용으로 현업테스트를 완료하였음. → 중복 성격으로 판단"/>
    <s v="중복"/>
    <s v="차기 반영 일감으로 등록 후 우선순위 협의, 정책 가이드 반영"/>
  </r>
  <r>
    <s v="UT-FSEX019S"/>
    <s v="2-2차"/>
    <n v="1"/>
    <s v="항공보안(FS)"/>
    <s v="DEF-00483"/>
    <s v="월의 첫 월요일이 있는 주를 1주차로 보는걸까요 ?_x000a_주차의 기간 또는 기준이 명시되면 좋을 것 같습니다."/>
    <s v="개발자테스트"/>
    <s v="임소정"/>
    <s v="임소정"/>
    <s v="3자테스터공통"/>
    <s v="Online"/>
    <s v="개선/변경"/>
    <s v="UI"/>
    <s v="결함등록기각"/>
    <s v=""/>
    <s v="Minor"/>
    <s v="결함등록기각"/>
    <d v="2026-04-29T14:50:02"/>
    <d v="2026-05-07T19:13:08"/>
    <s v="현업 요구사항에 의해 기존에 존재하던 보고서는 별도의 요청 없이 수정할 수 없음"/>
    <x v="0"/>
    <s v="기간 범위 처리"/>
    <s v="월의 첫 월요일이 있는 주를 1주차로 보는걸까요 ?"/>
    <s v="월의 첫 월요일이 있는 주를 1주차로 보는걸까요 ? 주차의 기간 또는 기준이 명시되면 좋을 것 같습니다."/>
    <s v="기각사유: 현업 요구사항에 의해 기존에 존재하던 보고서는 별도의 요청 없이 수정할 수 없음 → 기타 기각 성격으로 판단"/>
    <s v="기타 기각"/>
    <s v="날짜 컴포넌트 표준화, 기준일자-운항일자 등 필드 매핑 점검 및 기간 가드 추가"/>
  </r>
  <r>
    <s v="UT-PM10109S"/>
    <s v="2-2차"/>
    <n v="1"/>
    <s v="예측관리(PM)"/>
    <s v="DEF-00189"/>
    <s v="입력정보관리 - 시뮬레이션 실행관리 메뉴가 미노출 "/>
    <s v="개발자테스트"/>
    <s v="임소정"/>
    <s v="염희석"/>
    <s v="3자테스터공통"/>
    <s v="Online"/>
    <s v="결함"/>
    <s v="기능"/>
    <s v="결함등록기각"/>
    <s v=""/>
    <s v="Critical"/>
    <s v="결함등록기각"/>
    <d v="2026-04-27T14:11:54"/>
    <d v="2026-04-29T07:39:42"/>
    <s v="해당 메뉴는 넥사크로에서 리액트로 전환 요청이 있었고, 관련된 테스트 준비들은 26년 7월에 별도로 진행될 예정입니다."/>
    <x v="13"/>
    <s v="권한/노출 제어"/>
    <s v="입력정보관리 - 시뮬레이션 실행관리 메뉴가 미노출"/>
    <s v="입력정보관리 - 시뮬레이션 실행관리 메뉴가 미노출"/>
    <s v="기각사유: 해당 메뉴는 넥사크로에서 리액트로 전환 요청이 있었고, 관련된 테스트 준비들은 26년 7월에 별도로 진행될 예정입니다. → 기타 기각 성격으로 판단"/>
    <s v="기타 기각"/>
    <s v="권한 매트릭스 재확인, 메뉴/버튼 노출 규칙 일치화"/>
  </r>
  <r>
    <s v="UT-PM10202S"/>
    <s v="2-2차"/>
    <n v="1"/>
    <s v="예측관리(PM)"/>
    <s v="DEF-00190"/>
    <s v="메뉴가 없습니다. "/>
    <s v="개발자테스트"/>
    <s v="임소정"/>
    <s v="pmtbd1"/>
    <s v="3자테스터공통"/>
    <s v="Online"/>
    <s v="결함"/>
    <s v="기능"/>
    <s v="결함등록기각"/>
    <s v=""/>
    <s v="Critical"/>
    <s v="결함등록기각"/>
    <d v="2026-04-27T14:20:13"/>
    <d v="2026-04-29T07:35:03"/>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x v="5"/>
    <s v="기타 검토"/>
    <s v="메뉴가 없습니다."/>
    <s v="메뉴가 없습니다."/>
    <s v="기각사유: UT-PM10201S 입국장 운영시간 설정 관리_x000a_UT-PM10202S 입국장 운영시간 조회_x000a_UT-PM10203S 출국장 운… → 기타 기각 성격으로 판단"/>
    <s v="기타 기각"/>
    <s v="담당 PL과 결함 성격 재정의 후 분류 보완"/>
  </r>
  <r>
    <s v="UT-PM10104S"/>
    <s v="2-1차"/>
    <n v="1"/>
    <s v="예측관리(PM)"/>
    <s v="DEF-00158"/>
    <s v="데이터 0건일 때 no data 뜨지 않음"/>
    <s v="개발자테스트"/>
    <s v="임소정"/>
    <s v="pmtbd3"/>
    <s v="3자테스터공통"/>
    <s v="Online"/>
    <s v="개선/변경"/>
    <s v="UI"/>
    <s v="결함등록기각"/>
    <s v=""/>
    <s v="Minor"/>
    <s v="결함등록기각"/>
    <d v="2026-04-27T10:28:26"/>
    <d v="2026-04-29T08:07:02"/>
    <s v="처리완료하였습니다. 개발서버 기준 (26년 04월 30일 오전에 확인가능합니다.)_x000a_DEF-00154 결함과 같은 내용이므로 기각합니다."/>
    <x v="3"/>
    <s v="데이터 정합성"/>
    <s v="데이터 0건일 때 no data 뜨지 않음"/>
    <s v="데이터 0건일 때 no data 뜨지 않음"/>
    <s v="기각사유: 처리완료하였습니다. 개발서버 기준 (26년 04월 30일 오전에 확인가능합니다.)_x000a_DEF-00154 결함과 같은 내용이므로… → 기타 기각 성격으로 판단"/>
    <s v="기타 기각"/>
    <s v="원천 데이터-화면 매핑 재검증, 집계 로직 단위 테스트 보강"/>
  </r>
  <r>
    <s v="UT-CASY032S(A)"/>
    <s v="1-1차"/>
    <n v="1"/>
    <s v="공통관리(AOMS-CA)"/>
    <s v="DEF-00257"/>
    <s v="역할정책 매핑정보 관리 메뉴를 찾을 수 없음._x000a_정확한 메뉴 경로명 필요 "/>
    <s v="개발자테스트"/>
    <s v="김명준"/>
    <s v="최민지"/>
    <s v="3자테스터공통"/>
    <s v="Online"/>
    <s v="결함"/>
    <s v="기능"/>
    <s v="결함등록기각"/>
    <s v=""/>
    <s v="Major"/>
    <s v="결함등록기각"/>
    <d v="2026-04-27T17:32:50"/>
    <d v="2026-04-28T12:55:13"/>
    <s v="DEF-00254 건과 동일 건으로 결함등록 기각 등록하겠습니다."/>
    <x v="3"/>
    <s v="데이터 매핑 오류"/>
    <s v="역할정책 매핑정보 관리 메뉴를 찾을 수 없음."/>
    <s v="역할정책 매핑정보 관리 메뉴를 찾을 수 없음. 정확한 메뉴 경로명 필요"/>
    <s v="기각사유: DEF-00254 건과 동일 건으로 결함등록 기각 등록하겠습니다. → 중복 성격으로 판단"/>
    <s v="중복"/>
    <s v="원천 데이터-화면 매핑 재검증, 집계 로직 단위 테스트 보강"/>
  </r>
  <r>
    <s v="UT-CASY039S(A)"/>
    <s v="2-3차"/>
    <n v="1"/>
    <s v="공통관리(AOMS-CA)"/>
    <s v="DEF-00299"/>
    <s v="- UT-A_CASY038S(EAI 인터페이스 수신 이력)과 같이 기간 정의 없이 조회를 클릭하면 처리되어 결과 제공함."/>
    <s v="개발자테스트"/>
    <s v="김명준"/>
    <s v="김태훈"/>
    <s v="3자테스터공통"/>
    <s v="Online"/>
    <s v="결함"/>
    <s v="UI"/>
    <s v="결함등록기각"/>
    <s v=""/>
    <s v="Minor"/>
    <s v="결함등록기각"/>
    <d v="2026-04-28T11:17:44"/>
    <d v="2026-04-30T10:34:22"/>
    <s v="기간 정의 없이 조회 불가 확인_x000a_결함등록기각으로 등록하갰습니다."/>
    <x v="0"/>
    <s v="기간 범위 처리"/>
    <s v="- UT-A_CASY038S(EAI 인터페이스 수신 이력)과 같이 기간 정의 없이 조회를 클릭하면 처리되…"/>
    <s v="- UT-A_CASY038S(EAI 인터페이스 수신 이력)과 같이 기간 정의 없이 조회를 클릭하면 처리되어 결과 제공함."/>
    <s v="기각사유: 기간 정의 없이 조회 불가 확인_x000a_결함등록기각으로 등록하갰습니다. → 기타 기각 성격으로 판단"/>
    <s v="기타 기각"/>
    <s v="날짜 컴포넌트 표준화, 기준일자-운항일자 등 필드 매핑 점검 및 기간 가드 추가"/>
  </r>
  <r>
    <s v="UT-CARF031S(A)"/>
    <s v="2-2차"/>
    <n v="1"/>
    <s v="공통관리(AOMS-CA)"/>
    <s v="DEF-00300"/>
    <s v="Cancel Code 초기값이 없음."/>
    <s v="개발자테스트"/>
    <s v="김명준"/>
    <s v="최민지"/>
    <s v="3자테스터공통"/>
    <s v="Online"/>
    <s v="개선/변경"/>
    <s v="기타"/>
    <s v="결함등록기각"/>
    <s v=""/>
    <s v="Minor"/>
    <s v="결함등록기각"/>
    <d v="2026-04-28T11:18:57"/>
    <d v="2026-04-28T14:17:16"/>
    <s v="운항지연에 대한 분류 메뉴로 Cancel은 별도의 메뉴에서 확인 가능하므로 결함등록기각으로 등록하겠습니다."/>
    <x v="3"/>
    <s v="데이터 정합성"/>
    <s v="Cancel Code 초기값이 없음."/>
    <s v="Cancel Code 초기값이 없음."/>
    <s v="기각사유: 운항지연에 대한 분류 메뉴로 Cancel은 별도의 메뉴에서 확인 가능하므로 결함등록기각으로 등록하겠습니다. → 기타 기각 성격으로 판단"/>
    <s v="기타 기각"/>
    <s v="원천 데이터-화면 매핑 재검증, 집계 로직 단위 테스트 보강"/>
  </r>
  <r>
    <s v="UT-PM10205S"/>
    <s v="2-3차"/>
    <n v="1"/>
    <s v="예측관리(PM)"/>
    <s v="DEF-00021"/>
    <s v="테스트 결과서가 없습니다."/>
    <s v="개발자테스트"/>
    <s v="임소정"/>
    <s v="양우상"/>
    <s v="3자테스터공통"/>
    <s v="Online"/>
    <s v="개선/변경"/>
    <s v="기타"/>
    <s v="결함등록기각"/>
    <s v=""/>
    <s v="Minor"/>
    <s v="결함등록기각"/>
    <d v="2026-04-22T14:42:12"/>
    <d v="2026-04-27T13:39:01"/>
    <s v="메뉴 통합으로 인해 [UT-PM10201S] 로 테스트 부탁드립니다."/>
    <x v="9"/>
    <s v="개선/변경 요청"/>
    <s v="테스트 결과서가 없습니다."/>
    <s v="테스트 결과서가 없습니다."/>
    <s v="기각사유: 메뉴 통합으로 인해 [UT-PM10201S] 로 테스트 부탁드립니다. → 기타 기각 성격으로 판단"/>
    <s v="기타 기각"/>
    <s v="차기 반영 일감으로 등록 후 우선순위 협의, 정책 가이드 반영"/>
  </r>
  <r>
    <s v="UT-PM10206S"/>
    <s v="2-3차"/>
    <n v="1"/>
    <s v="예측관리(PM)"/>
    <s v="DEF-00022"/>
    <s v="테스트 결과서가 없습니다."/>
    <s v="개발자테스트"/>
    <s v="임소정"/>
    <s v="양우상"/>
    <s v="3자테스터공통"/>
    <s v="Online"/>
    <s v="개선/변경"/>
    <s v="기타"/>
    <s v="결함등록기각"/>
    <s v=""/>
    <s v="Minor"/>
    <s v="결함등록기각"/>
    <d v="2026-04-22T14:42:47"/>
    <d v="2026-04-27T13:39:19"/>
    <s v="메뉴 통합으로 인해 [UT-PM10202S] 로 테스트 부탁드립니다."/>
    <x v="9"/>
    <s v="개선/변경 요청"/>
    <s v="테스트 결과서가 없습니다."/>
    <s v="테스트 결과서가 없습니다."/>
    <s v="기각사유: 메뉴 통합으로 인해 [UT-PM10202S] 로 테스트 부탁드립니다. → 기타 기각 성격으로 판단"/>
    <s v="기타 기각"/>
    <s v="차기 반영 일감으로 등록 후 우선순위 협의, 정책 가이드 반영"/>
  </r>
  <r>
    <s v="UT-CAMN006S(A)"/>
    <s v="2-1차"/>
    <n v="1"/>
    <s v="공통관리(AOMS-CA)"/>
    <s v="DEF-00092"/>
    <s v="아이디가 다른 My Task 결과를 가져옵니다._x000a_IDTTEST08아이디로 처음 접속한 후 로그아웃 후 IDTTEST01로 접속했으나 My Data 정보는 잘 가져오지만 My Task는 Reload를 눌러도 안바뀝니다."/>
    <s v="개발자테스트"/>
    <s v="김명준"/>
    <s v="최민지"/>
    <s v="3자테스터공통"/>
    <s v="Online"/>
    <s v="결함"/>
    <s v="데이터"/>
    <s v="결함등록기각"/>
    <s v=""/>
    <s v="Major"/>
    <s v="결함등록기각"/>
    <d v="2026-04-23T14:33:13"/>
    <d v="2026-04-24T10:58:45"/>
    <s v="부서에서 작성된 데이터를 불러오며, 테스트 시 ​IDTTEST08과 IDTTEST01은 부서가 TEST팀(41000029)같아 동일한 데이터가 노출되는것이 정상입니다. "/>
    <x v="13"/>
    <s v="권한/노출 제어"/>
    <s v="아이디가 다른 My Task 결과를 가져옵니다."/>
    <s v="아이디가 다른 My Task 결과를 가져옵니다. IDTTEST08아이디로 처음 접속한 후 로그아웃 후 IDTTEST01로 접속했으나 My Data 정보는 잘 가져오지만 My Task는 Reload를 눌러도 안바뀝니다."/>
    <s v="기각사유: 부서에서 작성된 데이터를 불러오며, 테스트 시 ​IDTTEST08과 IDTTEST01은 부서가 TEST팀(41000029)… → 중복 성격으로 판단"/>
    <s v="중복"/>
    <s v="권한 매트릭스 재확인, 메뉴/버튼 노출 규칙 일치화"/>
  </r>
  <r>
    <s v="UT-CASY040S(A)"/>
    <s v="2-3차"/>
    <n v="1"/>
    <s v="공통관리(AOMS-CA)"/>
    <s v="DEF-00093"/>
    <s v="시나리오명 상이_x000a_시나리오명 “EAI 메시지 모니터링”이 시나리오파일(엑셀) 및 AOMS에는 없음( 엑셀 : ESB 메시지 모니터링, AOMS : ESB Message Monitoring_x000a_"/>
    <s v="개발자테스트"/>
    <s v="김명준"/>
    <s v="김태훈"/>
    <s v="3자테스터공통"/>
    <s v="Online"/>
    <s v="개선/변경"/>
    <s v="UI"/>
    <s v="결함등록기각"/>
    <s v=""/>
    <s v="Minor"/>
    <s v="결함등록기각"/>
    <d v="2026-04-23T14:39:16"/>
    <d v="2026-04-23T17:35:21"/>
    <s v="ESB의 기존 시스템 명 EAI로 최도 TMS 등록시 EAI 로 등록됨_x000a_EAI 인터페이스 = ESB 인터페이스 이며, 시나리오명 (한글과) AOMS 화면의 영문 표기는 결함/개선 건 아님"/>
    <x v="1"/>
    <s v="엑셀 다운로드 오류"/>
    <s v="시나리오명 상이"/>
    <s v="시나리오명 상이 시나리오명 “EAI 메시지 모니터링”이 시나리오파일(엑셀) 및 AOMS에는 없음( 엑셀 : ESB 메시지 모니터링, AOMS : ESB Message Monitoring"/>
    <s v="기각사유: ESB의 기존 시스템 명 EAI로 최도 TMS 등록시 EAI 로 등록됨_x000a_EAI 인터페이스 = ESB 인터페이스 이며, 시나… → 개선요청 이관 성격으로 판단"/>
    <s v="개선요청 이관"/>
    <s v="엑셀/PDF 공통 출력 모듈 점검, 컬럼 매핑·서식 검증 및 예외 처리"/>
  </r>
  <r>
    <s v="UT-FSQB170S"/>
    <s v="2-2차"/>
    <n v="1"/>
    <s v="항공보안(FS)"/>
    <s v="DEF-00106"/>
    <s v="- 다른 보고서형식의 출력물들은 상단의 정보가 각 페이지마다 있는데, “포기물품 검색 일자별 조회(신규)”에는 없음_x000a_-엑셀파일의 출력시 페이지단위로 출력되지 않음(원본 2페이지 엑셀은 4페이지)_x000a_-AOMS 화면 프린트 시도하면, 출력할 내용이 아예 없음."/>
    <s v="개발자테스트"/>
    <s v="임소정"/>
    <s v="임소정"/>
    <s v="3자테스터공통"/>
    <s v="Online"/>
    <s v="개선/변경"/>
    <s v="UI"/>
    <s v="결함등록기각"/>
    <s v=""/>
    <s v="Minor"/>
    <s v="결함등록기각"/>
    <d v="2026-04-23T17:23:38"/>
    <d v="2026-05-07T18:45:25"/>
    <s v="보고서는 현업과 협의된 내용임. 인쇄는 공통 기능으로 모듈 개발 내에서 처리 불가능"/>
    <x v="1"/>
    <s v="엑셀 다운로드 오류"/>
    <s v="- 다른 보고서형식의 출력물들은 상단의 정보가 각 페이지마다 있는데, “포기물품 검색 일자별 조회(신규)…"/>
    <s v="- 다른 보고서형식의 출력물들은 상단의 정보가 각 페이지마다 있는데, “포기물품 검색 일자별 조회(신규)”에는 없음 -엑셀파일의 출력시 페이지단위로 출력되지 않음(원본 2페이지 엑셀은 4페이지) -AOMS 화면 프린트 시도하면, 출력할 내용이 아예…"/>
    <s v="기각사유: 보고서는 현업과 협의된 내용임. 인쇄는 공통 기능으로 모듈 개발 내에서 처리 불가능 → 협의/보류 성격으로 판단"/>
    <s v="협의/보류"/>
    <s v="엑셀/PDF 공통 출력 모듈 점검, 컬럼 매핑·서식 검증 및 예외 처리"/>
  </r>
  <r>
    <s v="UT-PM20159S"/>
    <s v="2-2차"/>
    <n v="1"/>
    <s v="예측관리(PM)"/>
    <s v="DEF-00311"/>
    <s v="기준일자 선택이 필수조건이 아님."/>
    <s v="개발자테스트"/>
    <s v="임소정"/>
    <s v="노세찬"/>
    <s v="3자테스터공통"/>
    <s v="Online"/>
    <s v="결함"/>
    <s v="기능"/>
    <s v="결함등록기각"/>
    <s v=""/>
    <s v="Minor"/>
    <s v="결함등록기각"/>
    <d v="2026-04-28T13:10:47"/>
    <d v="2026-04-29T09:38:25"/>
    <s v="처리완료하였습니다. 개발서버 기준 (26년 04월 30일 오전에 확인가능합니다.)_x000a_DEF-00307 결함과 같은 내용이므로 기각합니다."/>
    <x v="0"/>
    <s v="기준일자/조회일자 불일치"/>
    <s v="기준일자 선택이 필수조건이 아님."/>
    <s v="기준일자 선택이 필수조건이 아님."/>
    <s v="기각사유: 처리완료하였습니다. 개발서버 기준 (26년 04월 30일 오전에 확인가능합니다.)_x000a_DEF-00307 결함과 같은 내용이므로… → 기타 기각 성격으로 판단"/>
    <s v="기타 기각"/>
    <s v="날짜 컴포넌트 표준화, 기준일자-운항일자 등 필드 매핑 점검 및 기간 가드 추가"/>
  </r>
  <r>
    <s v="UT-GO11601S"/>
    <s v="1-2차"/>
    <n v="1"/>
    <s v="공항운영(GO)"/>
    <s v="DEF-00335"/>
    <s v="미래일자 조회 시 결과가 출력 됨"/>
    <s v="개발자테스트"/>
    <s v="신문호"/>
    <s v="김경준"/>
    <s v="3자테스터공통"/>
    <s v="Online"/>
    <s v="결함"/>
    <s v="기능"/>
    <s v="결함등록기각"/>
    <s v=""/>
    <s v="Major"/>
    <s v="결함등록기각"/>
    <d v="2026-04-28T14:10:20"/>
    <d v="2026-04-30T15:52:16"/>
    <s v="정상"/>
    <x v="1"/>
    <s v="파일 출력/다운로드"/>
    <s v="미래일자 조회 시 결과가 출력 됨"/>
    <s v="미래일자 조회 시 결과가 출력 됨"/>
    <s v="기각사유: 정상 → 정상동작/스펙대로 성격으로 판단"/>
    <s v="정상동작/스펙대로"/>
    <s v="엑셀/PDF 공통 출력 모듈 점검, 컬럼 매핑·서식 검증 및 예외 처리"/>
  </r>
  <r>
    <s v="UT-GO11201S"/>
    <s v="1-1차"/>
    <n v="1"/>
    <s v="공항운영(GO)"/>
    <s v="DEF-00337"/>
    <s v="항공기 정보 국내인데, 국가는 폴란드로 설정"/>
    <s v="개발자테스트"/>
    <s v="신문호"/>
    <s v="박정구"/>
    <s v="3자테스터공통"/>
    <s v="Online"/>
    <s v="결함"/>
    <s v="기능"/>
    <s v="결함등록기각"/>
    <s v=""/>
    <s v="Major"/>
    <s v="결함등록기각"/>
    <d v="2026-04-28T14:16:39"/>
    <d v="2026-04-30T15:31:11"/>
    <s v="기존 화면과 동일하게 동작 "/>
    <x v="5"/>
    <s v="기타 검토"/>
    <s v="항공기 정보 국내인데, 국가는 폴란드로 설정"/>
    <s v="항공기 정보 국내인데, 국가는 폴란드로 설정"/>
    <s v="기각사유: 기존 화면과 동일하게 동작 → 중복 성격으로 판단"/>
    <s v="중복"/>
    <s v="담당 PL과 결함 성격 재정의 후 분류 보완"/>
  </r>
  <r>
    <s v="UT-FSQB190S"/>
    <s v="2-2차"/>
    <n v="1"/>
    <s v="항공보안(FS)"/>
    <s v="DEF-00108"/>
    <s v="-제공되는 엑셀파일이 페이지단위로출력되지 않음(10페이지 -&gt; 20페이지)_x000a_-엑셀파일 출력시 2번째페이지부터는 상단 여백이 없고, 문서 제목 없음_x000a_-AOMS 화면내 프린트 버튼 클릭후 출력 미리보기 화면에 출력물내용없음."/>
    <s v="개발자테스트"/>
    <s v="임소정"/>
    <s v="임소정"/>
    <s v="3자테스터공통"/>
    <s v="Online"/>
    <s v="개선/변경"/>
    <s v="UI"/>
    <s v="결함등록기각"/>
    <s v=""/>
    <s v="Minor"/>
    <s v="결함등록기각"/>
    <d v="2026-04-23T17:44:55"/>
    <d v="2026-04-29T15:59:08"/>
    <s v="엑셀, 넥사크로 공통 기능 문제"/>
    <x v="1"/>
    <s v="엑셀 다운로드 오류"/>
    <s v="-제공되는 엑셀파일이 페이지단위로출력되지 않음(10페이지 -&gt; 20페이지)"/>
    <s v="-제공되는 엑셀파일이 페이지단위로출력되지 않음(10페이지 -&gt; 20페이지) -엑셀파일 출력시 2번째페이지부터는 상단 여백이 없고, 문서 제목 없음 -AOMS 화면내 프린트 버튼 클릭후 출력 미리보기 화면에 출력물내용없음."/>
    <s v="기각사유: 엑셀, 넥사크로 공통 기능 문제 → 기타 기각 성격으로 판단"/>
    <s v="기타 기각"/>
    <s v="엑셀/PDF 공통 출력 모듈 점검, 컬럼 매핑·서식 검증 및 예외 처리"/>
  </r>
  <r>
    <s v="UT-FSEX012S"/>
    <s v="2-1차"/>
    <n v="1"/>
    <s v="항공보안(FS)"/>
    <s v="DEF-00138"/>
    <s v="단위테스트_3 : 신규사용자 저장기능 안됨"/>
    <s v="개발자테스트"/>
    <s v="임소정"/>
    <s v="임소정"/>
    <s v="3자테스터공통"/>
    <s v="Online"/>
    <s v="결함"/>
    <s v="기능"/>
    <s v="결함등록기각"/>
    <s v=""/>
    <s v="Minor"/>
    <s v="결함등록기각"/>
    <d v="2026-04-24T15:17:00"/>
    <d v="2026-04-29T16:02:19"/>
    <s v="신규사용자가 존재할 경우에만 저장 가능"/>
    <x v="5"/>
    <s v="기타 검토"/>
    <s v="단위테스트_3 : 신규사용자 저장기능 안됨"/>
    <s v="단위테스트_3 : 신규사용자 저장기능 안됨"/>
    <s v="기각사유: 신규사용자가 존재할 경우에만 저장 가능 → 기타 기각 성격으로 판단"/>
    <s v="기타 기각"/>
    <s v="담당 PL과 결함 성격 재정의 후 분류 보완"/>
  </r>
  <r>
    <s v="UT-FSEX060S"/>
    <s v="2-1차"/>
    <n v="1"/>
    <s v="항공보안(FS)"/>
    <s v="DEF-00140"/>
    <s v="단위테스트_2-3 : 오류 날짜 입력 안됨"/>
    <s v="개발자테스트"/>
    <s v="임소정"/>
    <s v="임소정"/>
    <s v="3자테스터공통"/>
    <s v="Online"/>
    <s v="개선/변경"/>
    <s v="기능"/>
    <s v="결함등록기각"/>
    <s v=""/>
    <s v="Minor"/>
    <s v="결함등록기각"/>
    <d v="2026-04-24T15:26:05"/>
    <d v="2026-05-07T18:54:52"/>
    <s v="공통 datepicker 변경 개선으로 인한 내용."/>
    <x v="0"/>
    <s v="날짜 표시/포맷"/>
    <s v="단위테스트_2-3 : 오류 날짜 입력 안됨"/>
    <s v="단위테스트_2-3 : 오류 날짜 입력 안됨"/>
    <s v="기각사유: 공통 datepicker 변경 개선으로 인한 내용. → 개선요청 이관 성격으로 판단"/>
    <s v="개선요청 이관"/>
    <s v="날짜 컴포넌트 표준화, 기준일자-운항일자 등 필드 매핑 점검 및 기간 가드 추가"/>
  </r>
  <r>
    <s v="UT-FSEX070S"/>
    <s v="2-1차"/>
    <n v="1"/>
    <s v="항공보안(FS)"/>
    <s v="DEF-00141"/>
    <s v="단위테스트_2-3 오류날짜 입력안됨 /5-1,2,3 입력창 비활성화 / 7. 엑셀버튼 모양 수정요"/>
    <s v="개발자테스트"/>
    <s v="임소정"/>
    <s v="임소정"/>
    <s v="3자테스터공통"/>
    <s v="Online"/>
    <s v="개선/변경"/>
    <s v="기능"/>
    <s v="결함등록기각"/>
    <s v=""/>
    <s v="Minor"/>
    <s v="결함등록기각"/>
    <d v="2026-04-24T15:29:21"/>
    <d v="2026-05-07T18:55:38"/>
    <s v="- 공통 datepicker 변경 개선으로 인한 내용._x000a_- 현업 테스트 단계에서 화면 변경 발생. 아직 개발 진행 중_x000a_- 현업 요청."/>
    <x v="1"/>
    <s v="엑셀 다운로드 오류"/>
    <s v="단위테스트_2-3 오류날짜 입력안됨 /5-1,2,3 입력창 비활성화 / 7. 엑셀버튼 모양 수정요"/>
    <s v="단위테스트_2-3 오류날짜 입력안됨 /5-1,2,3 입력창 비활성화 / 7. 엑셀버튼 모양 수정요"/>
    <s v="기각사유: - 공통 datepicker 변경 개선으로 인한 내용._x000a_- 현업 테스트 단계에서 화면 변경 발생. 아직 개발 진행 중_x000a_- … → 개선요청 이관 성격으로 판단"/>
    <s v="개선요청 이관"/>
    <s v="엑셀/PDF 공통 출력 모듈 점검, 컬럼 매핑·서식 검증 및 예외 처리"/>
  </r>
  <r>
    <s v="UT-PM20142M"/>
    <s v="2-1차"/>
    <n v="1"/>
    <s v="예측관리(PM)"/>
    <s v="DEF-00176"/>
    <s v="테스트케이스 엑셀과 UI 다름._x000a_Config 자료가 정상 복사버튼 없음."/>
    <s v="개발자테스트"/>
    <s v="임소정"/>
    <s v="신문호"/>
    <s v="3자테스터공통"/>
    <s v="Online"/>
    <s v="개선/변경"/>
    <s v="UI"/>
    <s v="결함등록기각"/>
    <s v=""/>
    <s v="Minor"/>
    <s v="결함등록기각"/>
    <d v="2026-04-27T13:07:06"/>
    <d v="2026-04-27T13:44:50"/>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x v="1"/>
    <s v="엑셀 다운로드 오류"/>
    <s v="테스트케이스 엑셀과 UI 다름."/>
    <s v="테스트케이스 엑셀과 UI 다름. Config 자료가 정상 복사버튼 없음."/>
    <s v="기각사유: 공사측 개선/변경 사항으로 변경된 내용으로 테스트케이스는 업데이트 하지 못한 상태입니다._x000a_일정상 테스트 스크립트를 수정할 … → 정상동작/스펙대로 성격으로 판단"/>
    <s v="정상동작/스펙대로"/>
    <s v="엑셀/PDF 공통 출력 모듈 점검, 컬럼 매핑·서식 검증 및 예외 처리"/>
  </r>
  <r>
    <s v="UT-PM20143M"/>
    <s v="2-1차"/>
    <n v="1"/>
    <s v="예측관리(PM)"/>
    <s v="DEF-00178"/>
    <s v="테스트케이스 엑셀과 UI 다름._x000a_Config 자료가 정상 복사버튼 없음."/>
    <s v="개발자테스트"/>
    <s v="임소정"/>
    <s v="pmtbd1"/>
    <s v="3자테스터공통"/>
    <s v="Online"/>
    <s v="개선/변경"/>
    <s v="기타"/>
    <s v="결함등록기각"/>
    <s v=""/>
    <s v="Minor"/>
    <s v="결함등록기각"/>
    <d v="2026-04-27T13:09:24"/>
    <d v="2026-04-27T13:45:05"/>
    <s v="공사측 개선/변경 사항으로 변경된 내용으로 테스트케이스는 업데이트 하지 못한 상태입니다._x000a_일정상 테스트 스크립트를 수정할 여유가 없기 때문에_x000a_UI 디자인과 관련된 내용으로 테스트 해주시면 감사하겠습니다."/>
    <x v="1"/>
    <s v="엑셀 다운로드 오류"/>
    <s v="테스트케이스 엑셀과 UI 다름."/>
    <s v="테스트케이스 엑셀과 UI 다름. Config 자료가 정상 복사버튼 없음."/>
    <s v="기각사유: 공사측 개선/변경 사항으로 변경된 내용으로 테스트케이스는 업데이트 하지 못한 상태입니다._x000a_일정상 테스트 스크립트를 수정할 … → 정상동작/스펙대로 성격으로 판단"/>
    <s v="정상동작/스펙대로"/>
    <s v="엑셀/PDF 공통 출력 모듈 점검, 컬럼 매핑·서식 검증 및 예외 처리"/>
  </r>
  <r>
    <s v="UT-CASY016S(A)"/>
    <s v="1-1차"/>
    <n v="1"/>
    <s v="공통관리(AOMS-CA)"/>
    <s v="DEF-00371"/>
    <s v="우측 상단의 Search 버튼과 문자열 겹침"/>
    <s v="개발자테스트"/>
    <s v="김명준"/>
    <s v="최민지"/>
    <s v="3자테스터공통"/>
    <s v="Online"/>
    <s v="결함"/>
    <s v="UI"/>
    <s v="결함등록기각"/>
    <s v=""/>
    <s v="Minor"/>
    <s v="결함등록기각"/>
    <d v="2026-04-28T15:18:46"/>
    <d v="2026-04-30T09:02:08"/>
    <s v="공통 퍼블(CSS) 부분이며, 해당 내용 퍼블 담당에게 내용 전달 하겠습니다."/>
    <x v="4"/>
    <s v="조회 조건 처리"/>
    <s v="우측 상단의 Search 버튼과 문자열 겹침"/>
    <s v="우측 상단의 Search 버튼과 문자열 겹침"/>
    <s v="기각사유: 공통 퍼블(CSS) 부분이며, 해당 내용 퍼블 담당에게 내용 전달 하겠습니다. → 기타 기각 성격으로 판단"/>
    <s v="기타 기각"/>
    <s v="조회 SQL/조건 매핑 재검토, 정렬·필터 기본값 정의서와 일치화"/>
  </r>
  <r>
    <s v="UT-CASY030S(A)"/>
    <s v="1-1차"/>
    <n v="1"/>
    <s v="공통관리(AOMS-CA)"/>
    <s v="DEF-00373"/>
    <s v="아래 화면처럼. 부서명 입력 필드 옆 Search 버튼과 겹침."/>
    <s v="개발자테스트"/>
    <s v="김명준"/>
    <s v="최민지"/>
    <s v="3자테스터공통"/>
    <s v="Online"/>
    <s v="결함"/>
    <s v="UI"/>
    <s v="결함등록기각"/>
    <s v=""/>
    <s v="Minor"/>
    <s v="결함등록기각"/>
    <d v="2026-04-28T15:23:44"/>
    <d v="2026-04-30T09:34:40"/>
    <s v="공통 퍼블(CSS)부분으로 화면 크기 과도하게 줄이면 발상합니다._x000a_해당 내용 퍼블 담당에게 전달 하겠습니다."/>
    <x v="4"/>
    <s v="조회 조건 처리"/>
    <s v="아래 화면처럼. 부서명 입력 필드 옆 Search 버튼과 겹침."/>
    <s v="아래 화면처럼. 부서명 입력 필드 옆 Search 버튼과 겹침."/>
    <s v="기각사유: 공통 퍼블(CSS)부분으로 화면 크기 과도하게 줄이면 발상합니다._x000a_해당 내용 퍼블 담당에게 전달 하겠습니다. → 기타 기각 성격으로 판단"/>
    <s v="기타 기각"/>
    <s v="조회 SQL/조건 매핑 재검토, 정렬·필터 기본값 정의서와 일치화"/>
  </r>
  <r>
    <s v="UT-CASY029S(A)"/>
    <s v="1-1차"/>
    <n v="1"/>
    <s v="공통관리(AOMS-CA)"/>
    <s v="DEF-00374"/>
    <s v="Menu Search - Menu Path 에서 분류를 선택 한 후 상단의 Search 버튼을누르면 분류 필터가 무시되고 전체 검색이 됩니다.  _x000a__x000a_Search 실행시 Menu Search 부분의 분류선택을 초기화 하거나, 해당 조건의 필터가 적용되도록 수정이 필요하다고 생각합니다. "/>
    <s v="개발자테스트"/>
    <s v="김명준"/>
    <s v="최민지"/>
    <s v="3자테스터공통"/>
    <s v="Online"/>
    <s v="결함"/>
    <s v="기능"/>
    <s v="결함등록기각"/>
    <s v=""/>
    <s v="Minor"/>
    <s v="결함등록기각"/>
    <d v="2026-04-28T15:24:34"/>
    <d v="2026-04-30T09:33:20"/>
    <s v="조회 조건 없이 Search 버튼 선택 시 전체 검색 되는 것은 프로세스상 정상 로직 입니다,"/>
    <x v="4"/>
    <s v="필터 동작 오류"/>
    <s v="Menu Search - Menu Path 에서 분류를 선택 한 후 상단의 Search 버튼을누르면 분류…"/>
    <s v="Menu Search - Menu Path 에서 분류를 선택 한 후 상단의 Search 버튼을누르면 분류 필터가 무시되고 전체 검색이 됩니다.    Search 실행시 Menu Search 부분의 분류선택을 초기화 하거나, 해당 조건의 필터가 적용…"/>
    <s v="기각사유: 조회 조건 없이 Search 버튼 선택 시 전체 검색 되는 것은 프로세스상 정상 로직 입니다, → 정상동작/스펙대로 성격으로 판단"/>
    <s v="정상동작/스펙대로"/>
    <s v="조회 SQL/조건 매핑 재검토, 정렬·필터 기본값 정의서와 일치화"/>
  </r>
  <r>
    <s v="UT-CAMN001S(A)"/>
    <s v="1-1차"/>
    <n v="1"/>
    <s v="공통관리(AOMS-CA)"/>
    <s v="DEF-00361"/>
    <s v="ID 입력시 키보드가 한글이면 입력이 안되는데, 사용자가 한글,영어 구분이 안되서 한글키에 대한 안내문이나 문구가 필요할 것 같습니다"/>
    <s v="개발자테스트"/>
    <s v="김명준"/>
    <s v="정연준"/>
    <s v="3자테스터공통"/>
    <s v="Online"/>
    <s v="개선/변경"/>
    <s v="기능"/>
    <s v="결함등록기각"/>
    <s v=""/>
    <s v="Minor"/>
    <s v="결함등록기각"/>
    <d v="2026-04-28T15:01:40"/>
    <d v="2026-04-28T18:16:00"/>
    <s v="ID는 영문 기본값으로 별도의 한글 입력시 안내 문구 표출 미정입니다."/>
    <x v="7"/>
    <s v="안내 메시지 부재"/>
    <s v="ID 입력시 키보드가 한글이면 입력이 안되는데, 사용자가 한글,영어 구분이 안되서 한글키에 대한 안내문이…"/>
    <s v="ID 입력시 키보드가 한글이면 입력이 안되는데, 사용자가 한글,영어 구분이 안되서 한글키에 대한 안내문이나 문구가 필요할 것 같습니다"/>
    <s v="기각사유: ID는 영문 기본값으로 별도의 한글 입력시 안내 문구 표출 미정입니다. → 기타 기각 성격으로 판단"/>
    <s v="기타 기각"/>
    <s v="UX 가이드라인에 따라 표준 안내·툴팁 문구 적용, 무데이터/오류 메시지 정비"/>
  </r>
  <r>
    <s v="UT-FSEX090M"/>
    <s v="2-3차"/>
    <n v="1"/>
    <s v="항공보안(FS)"/>
    <s v="DEF-00362"/>
    <s v="검측지원현황 입력관리 화면에서 신규등록 권한이 없어서 테스트 불가"/>
    <s v="개발자테스트"/>
    <s v="임소정"/>
    <s v="임소정"/>
    <s v="3자테스터공통"/>
    <s v="Online"/>
    <s v="개선/변경"/>
    <s v="기타"/>
    <s v="결함등록기각"/>
    <s v=""/>
    <s v="Minor"/>
    <s v="결함등록기각"/>
    <d v="2026-04-28T15:03:36"/>
    <d v="2026-05-07T19:08:25"/>
    <s v="권한은 아이디별로 설정 필요. 결함 아님."/>
    <x v="13"/>
    <s v="권한/노출 제어"/>
    <s v="검측지원현황 입력관리 화면에서 신규등록 권한이 없어서 테스트 불가"/>
    <s v="검측지원현황 입력관리 화면에서 신규등록 권한이 없어서 테스트 불가"/>
    <s v="기각사유: 권한은 아이디별로 설정 필요. 결함 아님. → 기타 기각 성격으로 판단"/>
    <s v="기타 기각"/>
    <s v="권한 매트릭스 재확인, 메뉴/버튼 노출 규칙 일치화"/>
  </r>
  <r>
    <s v="UT-CASY004S(A)"/>
    <s v="1-1차"/>
    <n v="1"/>
    <s v="공통관리(AOMS-CA)"/>
    <s v="DEF-00382"/>
    <s v="아래 화면처럼 파라미터 이름 입력 영역과 Search 버튼이 겹침"/>
    <s v="개발자테스트"/>
    <s v="김명준"/>
    <s v="정연준"/>
    <s v="3자테스터공통"/>
    <s v="Online"/>
    <s v="결함"/>
    <s v="UI"/>
    <s v="결함등록기각"/>
    <s v=""/>
    <s v="Major"/>
    <s v="결함등록기각"/>
    <d v="2026-04-28T15:40:12"/>
    <d v="2026-04-28T18:34:55"/>
    <s v="공통 퍼블(CSS)영역으로 담당자에게 해당 사항 전달하겠습니다._x000a_결함등록기각으로 변경처리함. "/>
    <x v="4"/>
    <s v="조회 조건 처리"/>
    <s v="아래 화면처럼 파라미터 이름 입력 영역과 Search 버튼이 겹침"/>
    <s v="아래 화면처럼 파라미터 이름 입력 영역과 Search 버튼이 겹침"/>
    <s v="기각사유: 공통 퍼블(CSS)영역으로 담당자에게 해당 사항 전달하겠습니다._x000a_결함등록기각으로 변경처리함. → 기타 기각 성격으로 판단"/>
    <s v="기타 기각"/>
    <s v="조회 SQL/조건 매핑 재검토, 정렬·필터 기본값 정의서와 일치화"/>
  </r>
  <r>
    <s v="UT-CASY037S(A)"/>
    <s v="1-2차"/>
    <n v="1"/>
    <s v="공통관리(AOMS-CA)"/>
    <s v="DEF-00376"/>
    <s v="아래 화면처럼. User Y/N 선택 영역과 Search 버튼 겹침"/>
    <s v="개발자테스트"/>
    <s v="김명준"/>
    <s v="최민지"/>
    <s v="3자테스터공통"/>
    <s v="Online"/>
    <s v="결함"/>
    <s v="UI"/>
    <s v="결함등록기각"/>
    <s v=""/>
    <s v="Minor"/>
    <s v="결함등록기각"/>
    <d v="2026-04-28T15:27:23"/>
    <d v="2026-04-30T10:27:45"/>
    <s v="공통 퍼블로 테스트 환경 -&gt; 화면사이즈 창모드 / 화면 줄이면 메뉴 및 아이콘 배치로 인해 겹침 현상 발생 "/>
    <x v="4"/>
    <s v="조회 조건 처리"/>
    <s v="아래 화면처럼. User Y/N 선택 영역과 Search 버튼 겹침"/>
    <s v="아래 화면처럼. User Y/N 선택 영역과 Search 버튼 겹침"/>
    <s v="기각사유: 공통 퍼블로 테스트 환경 -&gt; 화면사이즈 창모드 / 화면 줄이면 메뉴 및 아이콘 배치로 인해 겹침 현상 발생 → 기타 기각 성격으로 판단"/>
    <s v="기타 기각"/>
    <s v="조회 SQL/조건 매핑 재검토, 정렬·필터 기본값 정의서와 일치화"/>
  </r>
  <r>
    <s v="UT-FSQA030S"/>
    <s v="1-2차"/>
    <n v="1"/>
    <s v="항공보안(FS)"/>
    <s v="DEF-00398"/>
    <s v="T2 조회 한후 엑셀로 다운로드한 엑셀 문서에는 T1 자료가 다운로드 됨"/>
    <s v="개발자테스트"/>
    <s v="임소정"/>
    <s v="임소정"/>
    <s v="3자테스터공통"/>
    <s v="Online"/>
    <s v="결함"/>
    <s v="데이터"/>
    <s v="결함등록기각"/>
    <s v=""/>
    <s v="Critical"/>
    <s v="결함등록기각"/>
    <d v="2026-04-28T16:51:16"/>
    <d v="2026-05-07T19:08:57"/>
    <s v="해당 엑셀 다운로드는 T1, T2 전체에 대한 엑셀 다운로드임"/>
    <x v="1"/>
    <s v="엑셀 다운로드 오류"/>
    <s v="T2 조회 한후 엑셀로 다운로드한 엑셀 문서에는 T1 자료가 다운로드 됨"/>
    <s v="T2 조회 한후 엑셀로 다운로드한 엑셀 문서에는 T1 자료가 다운로드 됨"/>
    <s v="기각사유: 해당 엑셀 다운로드는 T1, T2 전체에 대한 엑셀 다운로드임 → 기타 기각 성격으로 판단"/>
    <s v="기타 기각"/>
    <s v="엑셀/PDF 공통 출력 모듈 점검, 컬럼 매핑·서식 검증 및 예외 처리"/>
  </r>
  <r>
    <s v="UT-PM20160S"/>
    <s v="2-2차"/>
    <n v="1"/>
    <s v="예측관리(PM)"/>
    <s v="DEF-00418"/>
    <s v="엑셀저장 버튼 클릭시 그래프  비교 화면이 나타남"/>
    <s v="개발자테스트"/>
    <s v="임소정"/>
    <s v="노세찬"/>
    <s v="3자테스터공통"/>
    <s v="Online"/>
    <s v="결함"/>
    <s v="기능"/>
    <s v="결함등록기각"/>
    <s v=""/>
    <s v="Major"/>
    <s v="결함등록기각"/>
    <d v="2026-04-28T17:58:24"/>
    <d v="2026-04-29T08:39:53"/>
    <s v="처리완료하였습니다. 개발서버 기준 (26년 04월 30일 오전에 확인가능합니다.)_x000a_DEF-00222 결함과 같은 내용이므로 기각합니다."/>
    <x v="1"/>
    <s v="엑셀 다운로드 오류"/>
    <s v="엑셀저장 버튼 클릭시 그래프  비교 화면이 나타남"/>
    <s v="엑셀저장 버튼 클릭시 그래프  비교 화면이 나타남"/>
    <s v="기각사유: 처리완료하였습니다. 개발서버 기준 (26년 04월 30일 오전에 확인가능합니다.)_x000a_DEF-00222 결함과 같은 내용이므로… → 기타 기각 성격으로 판단"/>
    <s v="기타 기각"/>
    <s v="엑셀/PDF 공통 출력 모듈 점검, 컬럼 매핑·서식 검증 및 예외 처리"/>
  </r>
  <r>
    <s v="UT-PM20159S"/>
    <s v="2-2차"/>
    <n v="1"/>
    <s v="예측관리(PM)"/>
    <s v="DEF-00419"/>
    <s v="엑셀저장 버튼 클릭시 그래프 비교 화면이 표시됨."/>
    <s v="개발자테스트"/>
    <s v="임소정"/>
    <s v="노세찬"/>
    <s v="3자테스터공통"/>
    <s v="Online"/>
    <s v="결함"/>
    <s v="기능"/>
    <s v="결함등록기각"/>
    <s v=""/>
    <s v="Major"/>
    <s v="결함등록기각"/>
    <d v="2026-04-28T17:59:20"/>
    <d v="2026-04-29T08:39:38"/>
    <s v="처리완료하였습니다. 개발서버 기준 (26년 04월 30일 오전에 확인가능합니다.)_x000a_DEF-00222 결함과 같은 내용이므로 기각합니다."/>
    <x v="1"/>
    <s v="엑셀 다운로드 오류"/>
    <s v="엑셀저장 버튼 클릭시 그래프 비교 화면이 표시됨."/>
    <s v="엑셀저장 버튼 클릭시 그래프 비교 화면이 표시됨."/>
    <s v="기각사유: 처리완료하였습니다. 개발서버 기준 (26년 04월 30일 오전에 확인가능합니다.)_x000a_DEF-00222 결함과 같은 내용이므로… → 기타 기각 성격으로 판단"/>
    <s v="기타 기각"/>
    <s v="엑셀/PDF 공통 출력 모듈 점검, 컬럼 매핑·서식 검증 및 예외 처리"/>
  </r>
  <r>
    <s v="UT-CASY019S(A)"/>
    <s v="1-2차"/>
    <n v="1"/>
    <s v="공통관리(AOMS-CA)"/>
    <s v="DEF-00424"/>
    <s v="종료일자가 현재일자보다 클수 없는 경우가 존재할수있나요?"/>
    <s v="개발자테스트"/>
    <s v="김명준"/>
    <s v="최민지"/>
    <s v="3자테스터공통"/>
    <s v="Online"/>
    <s v="결함"/>
    <s v="기능"/>
    <s v="결함등록기각"/>
    <s v=""/>
    <s v="Minor"/>
    <s v="결함등록기각"/>
    <d v="2026-04-29T09:28:26"/>
    <d v="2026-04-30T09:04:16"/>
    <s v="종료일자가 현재 일자보다 크게 입력 할 경우 (종료일자가 현재일자보다 빠를 수 없습니다.) 팝업 메시지 발생으로 정상입니다."/>
    <x v="0"/>
    <s v="기간 범위 처리"/>
    <s v="종료일자가 현재일자보다 클수 없는 경우가 존재할수있나요?"/>
    <s v="종료일자가 현재일자보다 클수 없는 경우가 존재할수있나요?"/>
    <s v="기각사유: 종료일자가 현재 일자보다 크게 입력 할 경우 (종료일자가 현재일자보다 빠를 수 없습니다.) 팝업 메시지 발생으로 정상입니다. → 정상동작/스펙대로 성격으로 판단"/>
    <s v="정상동작/스펙대로"/>
    <s v="날짜 컴포넌트 표준화, 기준일자-운항일자 등 필드 매핑 점검 및 기간 가드 추가"/>
  </r>
  <r>
    <s v="UT-FSQA010S"/>
    <s v="1-2차"/>
    <n v="1"/>
    <s v="항공보안(FS)"/>
    <s v="DEF-00443"/>
    <s v="화면 하단 [저장] 버튼 표준 미준수 ( * 표준 :  Save)  "/>
    <s v="개발자테스트"/>
    <s v="임소정"/>
    <s v="임소정"/>
    <s v="3자테스터공통"/>
    <s v="Online"/>
    <s v="결함"/>
    <s v="UI"/>
    <s v="결함등록기각"/>
    <s v=""/>
    <s v="Major"/>
    <s v="결함등록기각"/>
    <d v="2026-04-29T10:40:20"/>
    <d v="2026-05-07T19:26:00"/>
    <s v="저장도 표준임."/>
    <x v="11"/>
    <s v="상태값 처리"/>
    <s v="화면 하단 [저장] 버튼 표준 미준수 ( * 표준 :  Save)"/>
    <s v="화면 하단 [저장] 버튼 표준 미준수 ( * 표준 :  Save)"/>
    <s v="기각사유: 저장도 표준임. → 기타 기각 성격으로 판단"/>
    <s v="기타 기각"/>
    <s v="버튼/상태 컴포넌트 표준 적용, 활성·비활성 조건 명세화"/>
  </r>
  <r>
    <s v="UT-CASY007S(A)"/>
    <s v="1-2차"/>
    <n v="1"/>
    <s v="공통관리(AOMS-CA)"/>
    <s v="DEF-00461"/>
    <s v="나머지는 다 한글을 가져오고,Interface Message Module의 Module ID는 공통코드의 영문값을 가져오는거 같은데, 의도된 사항인지 궁금합니다."/>
    <s v="개발자테스트"/>
    <s v="김명준"/>
    <s v="최민지"/>
    <s v="3자테스터공통"/>
    <s v="Online"/>
    <s v="개선/변경"/>
    <s v="기능"/>
    <s v="결함등록기각"/>
    <s v=""/>
    <s v="Minor"/>
    <s v="결함등록기각"/>
    <d v="2026-04-29T13:13:33"/>
    <d v="2026-04-30T08:58:58"/>
    <s v="모듈명 (국문,한글) 표출에 대한 내용은 설계에 의한 의도된 것으로 정상입니다."/>
    <x v="6"/>
    <s v="입력 문자 제한"/>
    <s v="나머지는 다 한글을 가져오고,Interface Message Module의 Module ID는 공통코드의…"/>
    <s v="나머지는 다 한글을 가져오고,Interface Message Module의 Module ID는 공통코드의 영문값을 가져오는거 같은데, 의도된 사항인지 궁금합니다."/>
    <s v="기각사유: 모듈명 (국문,한글) 표출에 대한 내용은 설계에 의한 의도된 것으로 정상입니다. → 정상동작/스펙대로 성격으로 판단"/>
    <s v="정상동작/스펙대로"/>
    <s v="프론트/백엔드 양측에 입력 유효성 검증 추가 및 공통 validator 적용"/>
  </r>
  <r>
    <s v="UT-FSEX021S"/>
    <s v="2-2차"/>
    <n v="1"/>
    <s v="항공보안(FS)"/>
    <s v="DEF-00465"/>
    <s v="조회된 데이터 없음 표시 필요"/>
    <s v="개발자테스트"/>
    <s v="임소정"/>
    <s v="임소정"/>
    <s v="3자테스터공통"/>
    <s v="Online"/>
    <s v="개선/변경"/>
    <s v="기타"/>
    <s v="결함등록기각"/>
    <s v=""/>
    <s v="Minor"/>
    <s v="결함등록기각"/>
    <d v="2026-04-29T13:43:30"/>
    <d v="2026-05-07T19:20:50"/>
    <s v="기존 로직 상 요일을 데이터로 뽑고 있어 처리 불가능함."/>
    <x v="4"/>
    <s v="조회 조건 처리"/>
    <s v="조회된 데이터 없음 표시 필요"/>
    <s v="조회된 데이터 없음 표시 필요"/>
    <s v="기각사유: 기존 로직 상 요일을 데이터로 뽑고 있어 처리 불가능함. → 기타 기각 성격으로 판단"/>
    <s v="기타 기각"/>
    <s v="조회 SQL/조건 매핑 재검토, 정렬·필터 기본값 정의서와 일치화"/>
  </r>
  <r>
    <s v="UT-CAMN004M(A)"/>
    <s v="1-2차"/>
    <n v="1"/>
    <s v="공통관리(AOMS-CA)"/>
    <s v="DEF-00468"/>
    <s v="조회조건에 register Date가 존재하지않는데 일부로 지우신거면 기각하시면 될 것 같습니다"/>
    <s v="개발자테스트"/>
    <s v="김명준"/>
    <s v="최민지"/>
    <s v="3자테스터공통"/>
    <s v="Online"/>
    <s v="결함"/>
    <s v="인터페이스"/>
    <s v="결함등록기각"/>
    <s v=""/>
    <s v="Minor"/>
    <s v="결함등록기각"/>
    <d v="2026-04-29T13:57:09"/>
    <d v="2026-04-29T18:35:38"/>
    <s v="해당 팝업은 조회 조건에 Date는 미 포함으로 정상입니다."/>
    <x v="0"/>
    <s v="날짜 표시/포맷"/>
    <s v="조회조건에 register Date가 존재하지않는데 일부로 지우신거면 기각하시면 될 것 같습니다"/>
    <s v="조회조건에 register Date가 존재하지않는데 일부로 지우신거면 기각하시면 될 것 같습니다"/>
    <s v="기각사유: 해당 팝업은 조회 조건에 Date는 미 포함으로 정상입니다. → 정상동작/스펙대로 성격으로 판단"/>
    <s v="정상동작/스펙대로"/>
    <s v="날짜 컴포넌트 표준화, 기준일자-운항일자 등 필드 매핑 점검 및 기간 가드 추가"/>
  </r>
  <r>
    <s v="UT-FSQB170S"/>
    <s v="2-2차"/>
    <n v="1"/>
    <s v="항공보안(FS)"/>
    <s v="DEF-00469"/>
    <s v="DEF-00106 결함 관련해서 4/29일자로 저도 확인해봤는데, 한페이지에 모든열 맞추기 하면 되지 않을까요 ? "/>
    <s v="개발자테스트"/>
    <s v="임소정"/>
    <s v="임소정"/>
    <s v="3자테스터공통"/>
    <s v="Online"/>
    <s v="개선/변경"/>
    <s v="기타"/>
    <s v="결함등록기각"/>
    <s v=""/>
    <s v="Minor"/>
    <s v="결함등록기각"/>
    <d v="2026-04-29T14:04:09"/>
    <d v="2026-05-07T19:32:30"/>
    <s v="화면과 관련 없는 내용으로 보임"/>
    <x v="0"/>
    <s v="날짜 표시/포맷"/>
    <s v="DEF-00106 결함 관련해서 4/29일자로 저도 확인해봤는데, 한페이지에 모든열 맞추기 하면 되지 않…"/>
    <s v="DEF-00106 결함 관련해서 4/29일자로 저도 확인해봤는데, 한페이지에 모든열 맞추기 하면 되지 않을까요 ?"/>
    <s v="기각사유: 화면과 관련 없는 내용으로 보임 → 기타 기각 성격으로 판단"/>
    <s v="기타 기각"/>
    <s v="날짜 컴포넌트 표준화, 기준일자-운항일자 등 필드 매핑 점검 및 기간 가드 추가"/>
  </r>
  <r>
    <s v="UT-FSEY060S"/>
    <s v="2-2차"/>
    <n v="1"/>
    <s v="항공보안(FS)"/>
    <s v="DEF-00495"/>
    <s v="테스트했던 UT-FSEX017S/UT-FSEX018S 와  UT-FSEY060S 테스트 메뉴, 내용이 다른게 없습니다"/>
    <s v="개발자테스트"/>
    <s v="임소정"/>
    <s v="임소정"/>
    <s v="3자테스터공통"/>
    <s v="Online"/>
    <s v="신규"/>
    <s v="기타"/>
    <s v="결함등록기각"/>
    <s v=""/>
    <s v="Minor"/>
    <s v="결함등록기각"/>
    <d v="2026-04-29T15:15:29"/>
    <d v="2026-05-07T19:25:31"/>
    <s v="EX017,018은 보고서에 대한 내용이며 EY060은 화면에 대한 내용임"/>
    <x v="5"/>
    <s v="기타 검토"/>
    <s v="테스트했던 UT-FSEX017S/UT-FSEX018S 와  UT-FSEY060S 테스트 메뉴, 내용이 다…"/>
    <s v="테스트했던 UT-FSEX017S/UT-FSEX018S 와  UT-FSEY060S 테스트 메뉴, 내용이 다른게 없습니다"/>
    <s v="기각사유: EX017,018은 보고서에 대한 내용이며 EY060은 화면에 대한 내용임 → 기타 기각 성격으로 판단"/>
    <s v="기타 기각"/>
    <s v="담당 PL과 결함 성격 재정의 후 분류 보완"/>
  </r>
  <r>
    <s v="UT-CARF036S(A)"/>
    <s v="2-2차"/>
    <n v="1"/>
    <s v="공통관리(AOMS-CA)"/>
    <s v="DEF-00499"/>
    <s v="1. 저장된 엑셀파일에 Remark English Name 정보가 누락되어 있음_x000a_"/>
    <s v="개발자테스트"/>
    <s v="김명준"/>
    <s v="최민지"/>
    <s v="3자테스터공통"/>
    <s v="Online"/>
    <s v="개선/변경"/>
    <s v="UI"/>
    <s v="결함등록기각"/>
    <s v=""/>
    <s v="Minor"/>
    <s v="결함등록기각"/>
    <d v="2026-04-29T15:37:17"/>
    <d v="2026-04-30T12:51:49"/>
    <s v="엑셀파일 저장은 AS-IS와 동일하게 구성하여 정상입니다."/>
    <x v="1"/>
    <s v="엑셀 다운로드 오류"/>
    <s v="1. 저장된 엑셀파일에 Remark English Name 정보가 누락되어 있음"/>
    <s v="1. 저장된 엑셀파일에 Remark English Name 정보가 누락되어 있음"/>
    <s v="기각사유: 엑셀파일 저장은 AS-IS와 동일하게 구성하여 정상입니다. → 중복 성격으로 판단"/>
    <s v="중복"/>
    <s v="엑셀/PDF 공통 출력 모듈 점검, 컬럼 매핑·서식 검증 및 예외 처리"/>
  </r>
  <r>
    <s v="UT-CARF013S(A)"/>
    <s v="2-1차"/>
    <n v="1"/>
    <s v="공통관리(AOMS-CA)"/>
    <s v="DEF-00552"/>
    <s v="조회 조건 입력필드 터미널 Name과 ID 영역의 조건 입력시.. 키보드가 한글입력 모드에서는 키인해도 반응이 없음. 영문모드로 키인 하라든가.. 뭔가 매시지가 필요함"/>
    <s v="개발자테스트"/>
    <s v="김명준"/>
    <s v="정연준"/>
    <s v="3자테스터공통"/>
    <s v="Online"/>
    <s v="개선/변경"/>
    <s v="UI"/>
    <s v="결함등록기각"/>
    <s v=""/>
    <s v="Minor"/>
    <s v="결함등록기각"/>
    <d v="2026-04-30T11:19:34"/>
    <d v="2026-04-30T12:46:22"/>
    <s v="검색 메뉴별 한글/영어 검색 조건이 다르며, 해당 조건은 AS-IS 및 설계서 기반으로 되어 있어 정상입니다."/>
    <x v="6"/>
    <s v="입력 문자 제한"/>
    <s v="조회 조건 입력필드 터미널 Name과 ID 영역의 조건 입력시.. 키보드가 한글입력 모드에서는 키인해도 …"/>
    <s v="조회 조건 입력필드 터미널 Name과 ID 영역의 조건 입력시.. 키보드가 한글입력 모드에서는 키인해도 반응이 없음. 영문모드로 키인 하라든가.. 뭔가 매시지가 필요함"/>
    <s v="기각사유: 검색 메뉴별 한글/영어 검색 조건이 다르며, 해당 조건은 AS-IS 및 설계서 기반으로 되어 있어 정상입니다. → 정상동작/스펙대로 성격으로 판단"/>
    <s v="정상동작/스펙대로"/>
    <s v="프론트/백엔드 양측에 입력 유효성 검증 추가 및 공통 validator 적용"/>
  </r>
  <r>
    <s v="UT-PM10508S"/>
    <s v="2-3차"/>
    <n v="1"/>
    <s v="예측관리(PM)"/>
    <s v="DEF-00016"/>
    <s v="데이터가 없어서 테스트 불가"/>
    <s v="개발자테스트"/>
    <s v="임소정"/>
    <s v="pmtbd3"/>
    <s v="3자테스터공통"/>
    <s v="Online"/>
    <s v="결함"/>
    <s v="데이터"/>
    <s v="결함등록기각"/>
    <s v=""/>
    <s v="Minor"/>
    <s v="결함등록기각"/>
    <d v="2026-04-22T14:30:54"/>
    <d v="2026-04-27T13:38:10"/>
    <s v="PL 공석으로 인한 준비 미비._x000a_04월 24일 금요일부터 재테스트 가능하도록 세팅 완료_x000a_DEF-00003 과 같은 내용의 결함이므로 기각처리했습니다."/>
    <x v="3"/>
    <s v="데이터 정합성"/>
    <s v="데이터가 없어서 테스트 불가"/>
    <s v="데이터가 없어서 테스트 불가"/>
    <s v="기각사유: PL 공석으로 인한 준비 미비._x000a_04월 24일 금요일부터 재테스트 가능하도록 세팅 완료_x000a_DEF-00003 과 같은 내용의 … → 기타 기각 성격으로 판단"/>
    <s v="기타 기각"/>
    <s v="원천 데이터-화면 매핑 재검증, 집계 로직 단위 테스트 보강"/>
  </r>
  <r>
    <s v="UT-PM10507S"/>
    <s v="2-3차"/>
    <n v="1"/>
    <s v="예측관리(PM)"/>
    <s v="DEF-00017"/>
    <s v="데이터가 없어서 테스트 불가"/>
    <s v="개발자테스트"/>
    <s v="임소정"/>
    <s v="pmtbd3"/>
    <s v="3자테스터공통"/>
    <s v="Online"/>
    <s v="결함"/>
    <s v="데이터"/>
    <s v="결함등록기각"/>
    <s v=""/>
    <s v="Minor"/>
    <s v="결함등록기각"/>
    <d v="2026-04-22T14:31:19"/>
    <d v="2026-04-27T13:37:55"/>
    <s v="PL 공석으로 인한 준비 미비._x000a_04월 24일 금요일부터 재테스트 가능하도록 세팅 완료_x000a_DEF-00003 과 같은 내용의 결함이므로 기각처리했습니다."/>
    <x v="3"/>
    <s v="데이터 정합성"/>
    <s v="데이터가 없어서 테스트 불가"/>
    <s v="데이터가 없어서 테스트 불가"/>
    <s v="기각사유: PL 공석으로 인한 준비 미비._x000a_04월 24일 금요일부터 재테스트 가능하도록 세팅 완료_x000a_DEF-00003 과 같은 내용의 … → 기타 기각 성격으로 판단"/>
    <s v="기타 기각"/>
    <s v="원천 데이터-화면 매핑 재검증, 집계 로직 단위 테스트 보강"/>
  </r>
  <r>
    <s v="UT-CASY051S(A)"/>
    <s v="2-2차"/>
    <n v="1"/>
    <s v="공통관리(AOMS-CA)"/>
    <s v="DEF-00426"/>
    <s v="1.“Menu Name” 검색시 조회 결과가 없을 때 해당 텍스트 박스에 검색했던 키워드가 살아 있고,  _x000a_2. “Program Name” 검색시 조회 결과가 없을 때 해당 텍스트 박스에 검색했던 키워드가 사라짐_x000b_3. 동일한 현상이 제공되는 것이 좋을듯._x000a_"/>
    <s v="개발자테스트"/>
    <s v="김명준"/>
    <s v="최민지"/>
    <s v="3자테스터공통"/>
    <s v="Online"/>
    <s v="개선/변경"/>
    <s v="UI"/>
    <s v="결함등록기각"/>
    <s v=""/>
    <s v="Minor"/>
    <s v="결함등록기각"/>
    <d v="2026-04-29T09:34:17"/>
    <d v="2026-04-30T10:44:04"/>
    <s v="Menu Name 검색 후 조회 결과 없을 시 조회 했던 내용 표출 하는 것은 정상 입니다. "/>
    <x v="4"/>
    <s v="조회 조건 처리"/>
    <s v="1.“Menu Name” 검색시 조회 결과가 없을 때 해당 텍스트 박스에 검색했던 키워드가 살아 있고,"/>
    <s v="1.“Menu Name” 검색시 조회 결과가 없을 때 해당 텍스트 박스에 검색했던 키워드가 살아 있고,   2. “Program Name” 검색시 조회 결과가 없을 때 해당 텍스트 박스에 검색했던 키워드가 사라짐_x000b_3. 동일한 현상이 제공되는 것이 …"/>
    <s v="기각사유: Menu Name 검색 후 조회 결과 없을 시 조회 했던 내용 표출 하는 것은 정상 입니다. → 정상동작/스펙대로 성격으로 판단"/>
    <s v="정상동작/스펙대로"/>
    <s v="조회 SQL/조건 매핑 재검토, 정렬·필터 기본값 정의서와 일치화"/>
  </r>
  <r>
    <s v="UT-CASY052S(A)"/>
    <s v="2-2차"/>
    <n v="1"/>
    <s v="공통관리(AOMS-CA)"/>
    <s v="DEF-00430"/>
    <s v="1. 시나리오에 제공된 기간(2025-08-08~2025-08-09)이 아닌 다른 기간으로 변경해도 조회오류 발생(시나리오 순번 2)_x000a_"/>
    <s v="개발자테스트"/>
    <s v="김명준"/>
    <s v="최민지"/>
    <s v="3자테스터공통"/>
    <s v="Online"/>
    <s v="개선/변경"/>
    <s v="UI"/>
    <s v="결함등록기각"/>
    <s v=""/>
    <s v="Minor"/>
    <s v="결함등록기각"/>
    <d v="2026-04-29T09:45:15"/>
    <d v="2026-04-30T10:52:15"/>
    <s v="단위테스트 후 코드값 규정화 되어 해당 테스트 기간 코드값은 현재 사용 불가로 이미지 파일 처점 나오는 것이 정상입니다."/>
    <x v="0"/>
    <s v="기간 범위 처리"/>
    <s v="1. 시나리오에 제공된 기간(2025-08-08~2025-08-09)이 아닌 다른 기간으로 변경해도 조회…"/>
    <s v="1. 시나리오에 제공된 기간(2025-08-08~2025-08-09)이 아닌 다른 기간으로 변경해도 조회오류 발생(시나리오 순번 2)"/>
    <s v="기각사유: 단위테스트 후 코드값 규정화 되어 해당 테스트 기간 코드값은 현재 사용 불가로 이미지 파일 처점 나오는 것이 정상입니다. → 정상동작/스펙대로 성격으로 판단"/>
    <s v="정상동작/스펙대로"/>
    <s v="날짜 컴포넌트 표준화, 기준일자-운항일자 등 필드 매핑 점검 및 기간 가드 추가"/>
  </r>
  <r>
    <s v="UT-CASY006S(A)"/>
    <s v="1-2차"/>
    <n v="1"/>
    <s v="공통관리(AOMS-CA)"/>
    <s v="DEF-00463"/>
    <s v="interface Message List에서 + 버튼으로 신규추가 한 후 Detail에서 Module, Job Table Name에서 +를 누르면 선택이 그대로 남아있어서 다음 List의  +,- 버튼이 interface message detail에서 진행중인 작업이 있습니다가 뜹니다._x000a_(Detail의 Module, Job Table Name을 건드리면 리스트에서 행을 뺀후 +를 눌러도 막힌다는 뜻)"/>
    <s v="개발자테스트"/>
    <s v="김명준"/>
    <s v="정연준"/>
    <s v="3자테스터공통"/>
    <s v="Online"/>
    <s v="결함"/>
    <s v="기능"/>
    <s v="결함등록기각"/>
    <s v=""/>
    <s v="Minor"/>
    <s v="결함등록기각"/>
    <d v="2026-04-29T13:33:45"/>
    <d v="2026-04-30T08:54:09"/>
    <s v="추가 / 삭제 작업이 SAVE 완료되지 않은 상태로 추가 등 작업을 하면 해당 메시지 표출 되는 것은 정상입니다."/>
    <x v="7"/>
    <s v="메시지 표시"/>
    <s v="interface Message List에서 + 버튼으로 신규추가 한 후 Detail에서 Module, …"/>
    <s v="interface Message List에서 + 버튼으로 신규추가 한 후 Detail에서 Module, Job Table Name에서 +를 누르면 선택이 그대로 남아있어서 다음 List의  +,- 버튼이 interface message detail…"/>
    <s v="기각사유: 추가 / 삭제 작업이 SAVE 완료되지 않은 상태로 추가 등 작업을 하면 해당 메시지 표출 되는 것은 정상입니다. → 정상동작/스펙대로 성격으로 판단"/>
    <s v="정상동작/스펙대로"/>
    <s v="UX 가이드라인에 따라 표준 안내·툴팁 문구 적용, 무데이터/오류 메시지 정비"/>
  </r>
  <r>
    <s v="UT-CAMN016M(A)"/>
    <s v="1-2차"/>
    <n v="1"/>
    <s v="공통관리(AOMS-CA)"/>
    <s v="DEF-00466"/>
    <s v="Save시 15자 안내를 해주긴하지만 안내문구에 6~15자로 안내했으면 maxlength 15자로 막는게 좋을 것 같습니다._x000a_(의도된거면 무시해도될것 같습니다)"/>
    <s v="개발자테스트"/>
    <s v="김명준"/>
    <s v="정연준"/>
    <s v="3자테스터공통"/>
    <s v="Online"/>
    <s v="개선/변경"/>
    <s v="기능"/>
    <s v="결함등록기각"/>
    <s v=""/>
    <s v="Minor"/>
    <s v="결함등록기각"/>
    <d v="2026-04-29T13:46:13"/>
    <d v="2026-04-29T18:42:43"/>
    <s v="패스워드 안내 6~15자 안내로 정상입니다."/>
    <x v="7"/>
    <s v="문구/오타"/>
    <s v="Save시 15자 안내를 해주긴하지만 안내문구에 6~15자로 안내했으면 maxlength 15자로 막는게…"/>
    <s v="Save시 15자 안내를 해주긴하지만 안내문구에 6~15자로 안내했으면 maxlength 15자로 막는게 좋을 것 같습니다. (의도된거면 무시해도될것 같습니다)"/>
    <s v="기각사유: 패스워드 안내 6~15자 안내로 정상입니다. → 정상동작/스펙대로 성격으로 판단"/>
    <s v="정상동작/스펙대로"/>
    <s v="UX 가이드라인에 따라 표준 안내·툴팁 문구 적용, 무데이터/오류 메시지 정비"/>
  </r>
  <r>
    <s v="UT-CARF032S(A)"/>
    <s v="2-2차"/>
    <n v="1"/>
    <s v="공통관리(AOMS-CA)"/>
    <s v="DEF-00484"/>
    <s v="1. 저장된 엑셀파일에  PageNo 정보가 누락되어 있음(Thumbnail Image정보도 누락)_x000a_"/>
    <s v="개발자테스트"/>
    <s v="김명준"/>
    <s v="최민지"/>
    <s v="3자테스터공통"/>
    <s v="Online"/>
    <s v="개선/변경"/>
    <s v="UI"/>
    <s v="결함등록기각"/>
    <s v=""/>
    <s v="Minor"/>
    <s v="결함등록기각"/>
    <d v="2026-04-29T14:50:34"/>
    <d v="2026-04-30T12:41:44"/>
    <s v="엑셀파일 다운로드는 AS-IS의 출력 결과와 동일하게 개발되어 정상입니다."/>
    <x v="1"/>
    <s v="엑셀 다운로드 오류"/>
    <s v="1. 저장된 엑셀파일에  PageNo 정보가 누락되어 있음(Thumbnail Image정보도 누락)"/>
    <s v="1. 저장된 엑셀파일에  PageNo 정보가 누락되어 있음(Thumbnail Image정보도 누락)"/>
    <s v="기각사유: 엑셀파일 다운로드는 AS-IS의 출력 결과와 동일하게 개발되어 정상입니다. → 중복 성격으로 판단"/>
    <s v="중복"/>
    <s v="엑셀/PDF 공통 출력 모듈 점검, 컬럼 매핑·서식 검증 및 예외 처리"/>
  </r>
  <r>
    <s v="UT-FSEX021S"/>
    <s v="2-2차"/>
    <n v="1"/>
    <s v="항공보안(FS)"/>
    <s v="DEF-00489"/>
    <s v="없는 일자에 대해 요일 정보는 빈 값 표출이 필요합니다. "/>
    <s v="개발자테스트"/>
    <s v="임소정"/>
    <s v="임소정"/>
    <s v="3자테스터공통"/>
    <s v="Online"/>
    <s v="개선/변경"/>
    <s v="UI"/>
    <s v="결함등록기각"/>
    <s v=""/>
    <s v="Minor"/>
    <s v="결함등록기각"/>
    <d v="2026-04-29T15:01:29"/>
    <d v="2026-05-07T19:21:53"/>
    <s v="화면이 아닌 보고서에서 해당 로직은 구현이 어려우며 보고서는 별도의 요구사항이 없는 경우 수정 불가능함."/>
    <x v="0"/>
    <s v="날짜 표시/포맷"/>
    <s v="없는 일자에 대해 요일 정보는 빈 값 표출이 필요합니다."/>
    <s v="없는 일자에 대해 요일 정보는 빈 값 표출이 필요합니다."/>
    <s v="기각사유: 화면이 아닌 보고서에서 해당 로직은 구현이 어려우며 보고서는 별도의 요구사항이 없는 경우 수정 불가능함. → 기타 기각 성격으로 판단"/>
    <s v="기타 기각"/>
    <s v="날짜 컴포넌트 표준화, 기준일자-운항일자 등 필드 매핑 점검 및 기간 가드 추가"/>
  </r>
  <r>
    <s v="UT-FSQB090S"/>
    <s v="2-1차"/>
    <n v="1"/>
    <s v="항공보안(FS)"/>
    <s v="DEF-00493"/>
    <s v="1. 2페이지부터 상단 공백 생김._x000a_2. 월별 날짜 포멧 혹인 필요."/>
    <s v="개발자테스트"/>
    <s v="임소정"/>
    <s v="임소정"/>
    <s v="3자테스터공통"/>
    <s v="Online"/>
    <s v="개선/변경"/>
    <s v="UI"/>
    <s v="결함등록기각"/>
    <s v=""/>
    <s v="Major"/>
    <s v="결함등록기각"/>
    <d v="2026-04-29T15:07:40"/>
    <d v="2026-05-07T19:31:30"/>
    <s v="보고서는 현업의 요구사항이 없는 경우 임의 수정 불가."/>
    <x v="0"/>
    <s v="날짜 표시/포맷"/>
    <s v="1. 2페이지부터 상단 공백 생김."/>
    <s v="1. 2페이지부터 상단 공백 생김. 2. 월별 날짜 포멧 혹인 필요."/>
    <s v="기각사유: 보고서는 현업의 요구사항이 없는 경우 임의 수정 불가. → 기타 기각 성격으로 판단"/>
    <s v="기타 기각"/>
    <s v="날짜 컴포넌트 표준화, 기준일자-운항일자 등 필드 매핑 점검 및 기간 가드 추가"/>
  </r>
  <r>
    <s v="UT-FSEX020S"/>
    <s v="2-1차"/>
    <n v="1"/>
    <s v="항공보안(FS)"/>
    <s v="DEF-00515"/>
    <s v="버튼 기능명 필요"/>
    <s v="개발자테스트"/>
    <s v="임소정"/>
    <s v="임소정"/>
    <s v="3자테스터공통"/>
    <s v="Online"/>
    <s v="개선/변경"/>
    <s v="UI"/>
    <s v="결함등록기각"/>
    <s v=""/>
    <s v="Minor"/>
    <s v="결함등록기각"/>
    <d v="2026-04-29T16:11:51"/>
    <d v="2026-05-07T19:13:51"/>
    <s v="엑셀 저장버튼은 기존유지가 요구사항임"/>
    <x v="11"/>
    <s v="상태값 처리"/>
    <s v="버튼 기능명 필요"/>
    <s v="버튼 기능명 필요"/>
    <s v="기각사유: 엑셀 저장버튼은 기존유지가 요구사항임 → 기타 기각 성격으로 판단"/>
    <s v="기타 기각"/>
    <s v="버튼/상태 컴포넌트 표준 적용, 활성·비활성 조건 명세화"/>
  </r>
  <r>
    <s v="UT-CARF027S(A)"/>
    <s v="2-2차"/>
    <n v="1"/>
    <s v="공통관리(AOMS-CA)"/>
    <s v="DEF-00757"/>
    <s v="필수값 체크 확인 필요"/>
    <s v="개발자테스트"/>
    <s v="김명준"/>
    <s v="최민지"/>
    <s v="3자테스터공통"/>
    <s v="Online"/>
    <s v="개선/변경"/>
    <s v="기능"/>
    <s v="결함등록기각"/>
    <s v=""/>
    <s v="Minor"/>
    <s v="결함등록기각"/>
    <d v="2026-05-07T09:40:11"/>
    <d v="2026-05-07T11:22:31"/>
    <s v="운항지연정보의 필수 값은 -&gt; PAS Reason의 데이터를 사용 하는데. 필수값 공백은 원 데이터 PAS Reason에 값이 없어 공백으로 표시되는 것은 정상입니다. "/>
    <x v="6"/>
    <s v="필수 입력 누락"/>
    <s v="필수값 체크 확인 필요"/>
    <s v="필수값 체크 확인 필요"/>
    <s v="기각사유: 운항지연정보의 필수 값은 -&gt; PAS Reason의 데이터를 사용 하는데. 필수값 공백은 원 데이터 PAS Reason에 … → 정상동작/스펙대로 성격으로 판단"/>
    <s v="정상동작/스펙대로"/>
    <s v="프론트/백엔드 양측에 입력 유효성 검증 추가 및 공통 validator 적용"/>
  </r>
  <r>
    <s v="UT-CASY039S(A)"/>
    <s v="2-3차"/>
    <n v="1"/>
    <s v="공통관리(AOMS-CA)"/>
    <s v="DEF-00091"/>
    <s v="AOMS 화면 우측 상단의 엑셀 클릭후 다운로드받은 파일을 확인 후 인쇄화면 전환시 여백문제는 없지만, 1개 페이지가 3개로 분리됨( 가로방향 전환 및 1페이지 맞춤 설정 지원 가능여부확인 필요)_x000a_"/>
    <s v="개발자테스트"/>
    <s v="김명준"/>
    <s v="김태훈"/>
    <s v="3자테스터공통"/>
    <s v="Online"/>
    <s v="개선/변경"/>
    <s v="UI"/>
    <s v="결함등록기각"/>
    <s v=""/>
    <s v="Minor"/>
    <s v="결함등록기각"/>
    <d v="2026-04-23T13:57:50"/>
    <d v="2026-04-23T17:32:54"/>
    <s v="엑셀 다운로드 시 3000천건 이상을 다운받아 한페이지요 표출하려면 동일 현상 발생함. 조회 조건 변경 후 테스트 하면 해당 현상 발생 안함"/>
    <x v="1"/>
    <s v="엑셀 다운로드 오류"/>
    <s v="AOMS 화면 우측 상단의 엑셀 클릭후 다운로드받은 파일을 확인 후 인쇄화면 전환시 여백문제는 없지만, …"/>
    <s v="AOMS 화면 우측 상단의 엑셀 클릭후 다운로드받은 파일을 확인 후 인쇄화면 전환시 여백문제는 없지만, 1개 페이지가 3개로 분리됨( 가로방향 전환 및 1페이지 맞춤 설정 지원 가능여부확인 필요)"/>
    <s v="기각사유: 엑셀 다운로드 시 3000천건 이상을 다운받아 한페이지요 표출하려면 동일 현상 발생함. 조회 조건 변경 후 테스트 하면 해… → 중복 성격으로 판단"/>
    <s v="중복"/>
    <s v="엑셀/PDF 공통 출력 모듈 점검, 컬럼 매핑·서식 검증 및 예외 처리"/>
  </r>
  <r>
    <s v="UT-CARF040S(A)"/>
    <s v="1-2차"/>
    <n v="1"/>
    <s v="공통관리(AOMS-CA)"/>
    <s v="DEF-00130"/>
    <s v="에러 내역이 없어서 해결관련 테스트를 하지 못했습니다."/>
    <s v="개발자테스트"/>
    <s v="김명준"/>
    <s v="김태훈"/>
    <s v="3자테스터공통"/>
    <s v="Online"/>
    <s v="개선/변경"/>
    <s v="데이터"/>
    <s v="결함등록기각"/>
    <s v=""/>
    <s v="Minor"/>
    <s v="결함등록기각"/>
    <d v="2026-04-24T14:01:01"/>
    <d v="2026-04-24T15:46:46"/>
    <s v="UT-CARF40S는 Check List 단위시험 시나리오 이며 첨부된 이미지의 ESB Massage Monitor은 ERROR 메시지 없을 시 미 표출 되는 것이 정상 화면으로 기각 등록 하겠습니다. "/>
    <x v="10"/>
    <s v="시스템 오류/예외"/>
    <s v="에러 내역이 없어서 해결관련 테스트를 하지 못했습니다."/>
    <s v="에러 내역이 없어서 해결관련 테스트를 하지 못했습니다."/>
    <s v="기각사유: UT-CARF40S는 Check List 단위시험 시나리오 이며 첨부된 이미지의 ESB Massage Monitor은 ER… → 정상동작/스펙대로 성격으로 판단"/>
    <s v="정상동작/스펙대로"/>
    <s v="전역 에러 핸들러 점검, 사용자 친화적 오류 메시지 노출"/>
  </r>
  <r>
    <s v="UT-FSSG170S"/>
    <s v="2-2차"/>
    <n v="1"/>
    <s v="항공보안(FS)"/>
    <s v="DEF-00131"/>
    <s v="-엑셀파일 출력용지 : Letter (A4로 변경하면 1페이지로 출력)_x000a_-엑셀 표 제목 : 셀병합 재검토필요(맨 왼쪽열은 빈 공간으로 두고(출력범위에서는 제외되어야할 듯)_x000a_- AOMS 화면내 프린터 클릭후 출력화면에 종료시간 칼럼 이후 자료 확인 불가_x000a_"/>
    <s v="개발자테스트"/>
    <s v="임소정"/>
    <s v="임소정"/>
    <s v="3자테스터공통"/>
    <s v="Online"/>
    <s v="개선/변경"/>
    <s v="UI"/>
    <s v="결함등록기각"/>
    <s v=""/>
    <s v="Minor"/>
    <s v="결함등록기각"/>
    <d v="2026-04-24T14:01:40"/>
    <d v="2026-05-07T18:05:30"/>
    <s v="엑셀 관련 내용은 엑셀의 기능임. _x000a_인쇄는 공통 기능으로 모듈 개발 내에서 처리 불가능"/>
    <x v="1"/>
    <s v="엑셀 다운로드 오류"/>
    <s v="-엑셀파일 출력용지 : Letter (A4로 변경하면 1페이지로 출력)"/>
    <s v="-엑셀파일 출력용지 : Letter (A4로 변경하면 1페이지로 출력) -엑셀 표 제목 : 셀병합 재검토필요(맨 왼쪽열은 빈 공간으로 두고(출력범위에서는 제외되어야할 듯) - AOMS 화면내 프린터 클릭후 출력화면에 종료시간 칼럼 이후 자료 확인 불가"/>
    <s v="기각사유: 엑셀 관련 내용은 엑셀의 기능임. _x000a_인쇄는 공통 기능으로 모듈 개발 내에서 처리 불가능 → 기타 기각 성격으로 판단"/>
    <s v="기타 기각"/>
    <s v="엑셀/PDF 공통 출력 모듈 점검, 컬럼 매핑·서식 검증 및 예외 처리"/>
  </r>
  <r>
    <s v="UT-CAMN001S(A)"/>
    <s v="1-1차"/>
    <n v="1"/>
    <s v="공통관리(AOMS-CA)"/>
    <s v="DEF-00134"/>
    <s v="우측상단 계정신청안내 앞 아이콘 하단부 짤립니다."/>
    <s v="개발자테스트"/>
    <s v="김명준"/>
    <s v="정연준"/>
    <s v="3자테스터공통"/>
    <s v="Online"/>
    <s v="개선/변경"/>
    <s v="UI"/>
    <s v="결함등록기각"/>
    <s v=""/>
    <s v="Minor"/>
    <s v="결함등록기각"/>
    <d v="2026-04-24T14:43:54"/>
    <d v="2026-04-24T14:55:34"/>
    <s v="아이콘 디자인입니다."/>
    <x v="7"/>
    <s v="메시지 표시"/>
    <s v="우측상단 계정신청안내 앞 아이콘 하단부 짤립니다."/>
    <s v="우측상단 계정신청안내 앞 아이콘 하단부 짤립니다."/>
    <s v="기각사유: 아이콘 디자인입니다. → 기타 기각 성격으로 판단"/>
    <s v="기타 기각"/>
    <s v="UX 가이드라인에 따라 표준 안내·툴팁 문구 적용, 무데이터/오류 메시지 정비"/>
  </r>
  <r>
    <s v="UT-CAMN001S(A)"/>
    <s v="1-1차"/>
    <n v="1"/>
    <s v="공통관리(AOMS-CA)"/>
    <s v="DEF-00135"/>
    <s v="브라우저 확대축소 시 Notice, FAQ만 크기가 변동됩니다._x000a_두번째 사진처럼 끝라인이 일치하지 않습니다."/>
    <s v="개발자테스트"/>
    <s v="김명준"/>
    <s v="정연준"/>
    <s v="3자테스터공통"/>
    <s v="Online"/>
    <s v="개선/변경"/>
    <s v="UI"/>
    <s v="결함등록기각"/>
    <s v=""/>
    <s v="Minor"/>
    <s v="결함등록기각"/>
    <d v="2026-04-24T14:47:05"/>
    <d v="2026-04-24T15:03:39"/>
    <s v="AOMS CA 부분에서 퍼블 담당자에서 해당 현상 전달 하겠습니다._x000a_- AOMS-CA에서는 결함등록기각함."/>
    <x v="2"/>
    <s v="축/눈금 표시"/>
    <s v="브라우저 확대축소 시 Notice, FAQ만 크기가 변동됩니다."/>
    <s v="브라우저 확대축소 시 Notice, FAQ만 크기가 변동됩니다. 두번째 사진처럼 끝라인이 일치하지 않습니다."/>
    <s v="기각사유: AOMS CA 부분에서 퍼블 담당자에서 해당 현상 전달 하겠습니다._x000a_- AOMS-CA에서는 결함등록기각함. → 기타 기각 성격으로 판단"/>
    <s v="기타 기각"/>
    <s v="차트 공통 컴포넌트 점검, 무데이터 처리 및 축/범례 표준화"/>
  </r>
  <r>
    <s v="UT-FSEX040S"/>
    <s v="2-1차"/>
    <n v="1"/>
    <s v="항공보안(FS)"/>
    <s v="DEF-00139"/>
    <s v="단위테스트_2-5 오류 날짜 입력 안됨"/>
    <s v="개발자테스트"/>
    <s v="임소정"/>
    <s v="임소정"/>
    <s v="3자테스터공통"/>
    <s v="Online"/>
    <s v="개선/변경"/>
    <s v="기능"/>
    <s v="결함등록기각"/>
    <s v=""/>
    <s v="Minor"/>
    <s v="결함등록기각"/>
    <d v="2026-04-24T15:22:30"/>
    <d v="2026-04-30T13:10:40"/>
    <s v="날짜 컴포넌트 변경됨. 정상"/>
    <x v="0"/>
    <s v="날짜 표시/포맷"/>
    <s v="단위테스트_2-5 오류 날짜 입력 안됨"/>
    <s v="단위테스트_2-5 오류 날짜 입력 안됨"/>
    <s v="기각사유: 날짜 컴포넌트 변경됨. 정상 → 정상동작/스펙대로 성격으로 판단"/>
    <s v="정상동작/스펙대로"/>
    <s v="날짜 컴포넌트 표준화, 기준일자-운항일자 등 필드 매핑 점검 및 기간 가드 추가"/>
  </r>
  <r>
    <s v="UT-PM10104S"/>
    <s v="2-1차"/>
    <n v="1"/>
    <s v="예측관리(PM)"/>
    <s v="DEF-00157"/>
    <s v="데이터 0건일 때 no data 뜨지 않음"/>
    <s v="개발자테스트"/>
    <s v="임소정"/>
    <s v="pmtbd3"/>
    <s v="3자테스터공통"/>
    <s v="Online"/>
    <s v="개선/변경"/>
    <s v="UI"/>
    <s v="결함등록기각"/>
    <s v=""/>
    <s v="Minor"/>
    <s v="결함등록기각"/>
    <d v="2026-04-27T10:26:16"/>
    <d v="2026-04-29T08:06:50"/>
    <s v="처리완료하였습니다. 개발서버 기준 (26년 04월 30일 오전에 확인가능합니다.)_x000a_DEF-00154 결함과 같은 내용이므로 기각합니다."/>
    <x v="3"/>
    <s v="데이터 정합성"/>
    <s v="데이터 0건일 때 no data 뜨지 않음"/>
    <s v="데이터 0건일 때 no data 뜨지 않음"/>
    <s v="기각사유: 처리완료하였습니다. 개발서버 기준 (26년 04월 30일 오전에 확인가능합니다.)_x000a_DEF-00154 결함과 같은 내용이므로… → 기타 기각 성격으로 판단"/>
    <s v="기타 기각"/>
    <s v="원천 데이터-화면 매핑 재검증, 집계 로직 단위 테스트 보강"/>
  </r>
  <r>
    <s v="UT-GO11901S"/>
    <s v="2-1차"/>
    <n v="1"/>
    <s v="공항운영(GO)"/>
    <s v="DEF-00161"/>
    <s v="집계기간을 지정 후 엑셀다운로드 클릭하여 다운로드 함._x000a_다운로드 목록에 나타남. 이후 엑셀파일 열기를 하여 Excel 파일을 내용을 확인하고.. Excel 파일을 닫음._x000a_이후 집계 기간을 바꾸거나 동일하게 하고 엑셀다운로드 클릭하면.. 다운로드 진행되지 않음._x000a_김포제출자료생성 화면을 닫고.. 죄측 메뉴 클릭하여 화면 열고.. 다시 진행하면, 엑셀 다운로드 됨. 그렇치만, 이때도 엑셀파일 조회 이후에 다시 다운로드 수행하면 다운로드 수행되지 않음"/>
    <s v="개발자테스트"/>
    <s v="신문호"/>
    <s v="박정구"/>
    <s v="3자테스터공통"/>
    <s v="Online"/>
    <s v="결함"/>
    <s v="기능"/>
    <s v="결함등록기각"/>
    <s v=""/>
    <s v="Minor"/>
    <s v="결함등록기각"/>
    <d v="2026-04-27T10:47:51"/>
    <d v="2026-04-30T15:57:52"/>
    <s v="현재 정상작동중 좀더 상세한 설명 필요"/>
    <x v="1"/>
    <s v="엑셀 다운로드 오류"/>
    <s v="집계기간을 지정 후 엑셀다운로드 클릭하여 다운로드 함."/>
    <s v="집계기간을 지정 후 엑셀다운로드 클릭하여 다운로드 함. 다운로드 목록에 나타남. 이후 엑셀파일 열기를 하여 Excel 파일을 내용을 확인하고.. Excel 파일을 닫음. 이후 집계 기간을 바꾸거나 동일하게 하고 엑셀다운로드 클릭하면.. 다운로드 진…"/>
    <s v="기각사유: 현재 정상작동중 좀더 상세한 설명 필요 → 정상동작/스펙대로 성격으로 판단"/>
    <s v="정상동작/스펙대로"/>
    <s v="엑셀/PDF 공통 출력 모듈 점검, 컬럼 매핑·서식 검증 및 예외 처리"/>
  </r>
  <r>
    <s v="UT-CAMN014M(A)"/>
    <s v="1-1차"/>
    <n v="1"/>
    <s v="공통관리(AOMS-CA)"/>
    <s v="DEF-00227"/>
    <s v="회사 선택후 회사 전화번호 입력의 포메팅이 4-3-4 로 고정되어 있어서 예를들어 010-1234-1234 혹은 031)1234-1234 등의 전화번호 입력이 불가능합니다. "/>
    <s v="개발자테스트"/>
    <s v="김명준"/>
    <s v="정연준"/>
    <s v="3자테스터공통"/>
    <s v="Online"/>
    <s v="결함"/>
    <s v="기능"/>
    <s v="결함등록기각"/>
    <s v=""/>
    <s v="Major"/>
    <s v="결함등록기각"/>
    <d v="2026-04-27T16:55:44"/>
    <d v="2026-04-28T11:13:10"/>
    <s v="숫자 입력 기본값으로 특수 문자 입력 불가입니다."/>
    <x v="11"/>
    <s v="선택/체크 동작"/>
    <s v="회사 선택후 회사 전화번호 입력의 포메팅이 4-3-4 로 고정되어 있어서 예를들어 010-1234-123…"/>
    <s v="회사 선택후 회사 전화번호 입력의 포메팅이 4-3-4 로 고정되어 있어서 예를들어 010-1234-1234 혹은 031)1234-1234 등의 전화번호 입력이 불가능합니다."/>
    <s v="기각사유: 숫자 입력 기본값으로 특수 문자 입력 불가입니다. → 기타 기각 성격으로 판단"/>
    <s v="기타 기각"/>
    <s v="버튼/상태 컴포넌트 표준 적용, 활성·비활성 조건 명세화"/>
  </r>
  <r>
    <s v="UT-CASY017M(A)"/>
    <s v="1-1차"/>
    <n v="1"/>
    <s v="공통관리(AOMS-CA)"/>
    <s v="DEF-00231"/>
    <s v="해당 메뉴를 찾을 수가 없음."/>
    <s v="개발자테스트"/>
    <s v="김명준"/>
    <s v="최민지"/>
    <s v="3자테스터공통"/>
    <s v="Online"/>
    <s v="결함"/>
    <s v="기능"/>
    <s v="결함등록기각"/>
    <s v=""/>
    <s v="Major"/>
    <s v="결함등록기각"/>
    <d v="2026-04-27T17:11:10"/>
    <d v="2026-04-28T12:48:23"/>
    <s v="외부사용자등록은 외부 시스템에서 등록 되도록 변경됨_x000a_단위테스트 시 외부 모듈과 연계가 불가로 임시로 외부 사용자 등록 메뉴 만들어 테스트진행 하였음"/>
    <x v="5"/>
    <s v="기타 검토"/>
    <s v="해당 메뉴를 찾을 수가 없음."/>
    <s v="해당 메뉴를 찾을 수가 없음."/>
    <s v="기각사유: 외부사용자등록은 외부 시스템에서 등록 되도록 변경됨_x000a_단위테스트 시 외부 모듈과 연계가 불가로 임시로 외부 사용자 등록 메뉴… → 기타 기각 성격으로 판단"/>
    <s v="기타 기각"/>
    <s v="담당 PL과 결함 성격 재정의 후 분류 보완"/>
  </r>
  <r>
    <s v="UT-PM20126S"/>
    <s v="2-1차"/>
    <n v="1"/>
    <s v="예측관리(PM)"/>
    <s v="DEF-00232"/>
    <s v="화면의 첫 째 필드에 커셔가 Set focus되어 있지 않음."/>
    <s v="개발자테스트"/>
    <s v="임소정"/>
    <s v="신문호"/>
    <s v="3자테스터공통"/>
    <s v="Online"/>
    <s v="개선/변경"/>
    <s v="UI"/>
    <s v="결함등록기각"/>
    <s v=""/>
    <s v="Minor"/>
    <s v="결함등록기각"/>
    <d v="2026-04-27T17:12:16"/>
    <d v="2026-04-29T09:22:24"/>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10102S"/>
    <s v="2-1차"/>
    <n v="1"/>
    <s v="예측관리(PM)"/>
    <s v="DEF-00234"/>
    <s v="화면의 첫 째 필드에 커셔가 Set focus되어 있지 않음."/>
    <s v="개발자테스트"/>
    <s v="임소정"/>
    <s v="pmtbd1"/>
    <s v="3자테스터공통"/>
    <s v="Online"/>
    <s v="개선/변경"/>
    <s v="UI"/>
    <s v="결함등록기각"/>
    <s v=""/>
    <s v="Minor"/>
    <s v="결함등록기각"/>
    <d v="2026-04-27T17:13:43"/>
    <d v="2026-04-29T08:07:23"/>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10203S"/>
    <s v="2-2차"/>
    <n v="1"/>
    <s v="예측관리(PM)"/>
    <s v="DEF-00193"/>
    <s v="해당 메뉴가 없습니다."/>
    <s v="개발자테스트"/>
    <s v="임소정"/>
    <s v="pmtbd2"/>
    <s v="3자테스터공통"/>
    <s v="Online"/>
    <s v="결함"/>
    <s v="기능"/>
    <s v="결함등록기각"/>
    <s v=""/>
    <s v="Critical"/>
    <s v="결함등록기각"/>
    <d v="2026-04-27T14:21:46"/>
    <d v="2026-04-29T07:35:18"/>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x v="5"/>
    <s v="기타 검토"/>
    <s v="해당 메뉴가 없습니다."/>
    <s v="해당 메뉴가 없습니다."/>
    <s v="기각사유: UT-PM10201S 입국장 운영시간 설정 관리_x000a_UT-PM10202S 입국장 운영시간 조회_x000a_UT-PM10203S 출국장 운… → 기타 기각 성격으로 판단"/>
    <s v="기타 기각"/>
    <s v="담당 PL과 결함 성격 재정의 후 분류 보완"/>
  </r>
  <r>
    <s v="UT-PM20106M"/>
    <s v="1-2차"/>
    <n v="1"/>
    <s v="예측관리(PM)"/>
    <s v="DEF-00199"/>
    <s v="결함아님."/>
    <s v="개발자테스트"/>
    <s v="임소정"/>
    <s v="염희석"/>
    <s v="3자테스터공통"/>
    <s v="Online"/>
    <s v="결함"/>
    <s v="기타"/>
    <s v="결함등록기각"/>
    <s v=""/>
    <s v="Major"/>
    <s v="결함등록기각"/>
    <d v="2026-04-27T14:37:14"/>
    <d v="2026-04-29T07:37:09"/>
    <s v="결함아님"/>
    <x v="5"/>
    <s v="기타 검토"/>
    <s v="결함아님."/>
    <s v="결함아님."/>
    <s v="기각사유: 결함아님 → 기타 기각 성격으로 판단"/>
    <s v="기타 기각"/>
    <s v="담당 PL과 결함 성격 재정의 후 분류 보완"/>
  </r>
  <r>
    <s v="UT-PM10107S"/>
    <s v="2-2차"/>
    <n v="1"/>
    <s v="예측관리(PM)"/>
    <s v="DEF-00200"/>
    <s v="테스트 결과서가 없습니다."/>
    <s v="개발자테스트"/>
    <s v="임소정"/>
    <s v="pmtbd3"/>
    <s v="3자테스터공통"/>
    <s v="Online"/>
    <s v="결함"/>
    <s v="기능"/>
    <s v="결함등록기각"/>
    <s v=""/>
    <s v="Critical"/>
    <s v="결함등록기각"/>
    <d v="2026-04-27T14:42:10"/>
    <d v="2026-04-29T07:39:24"/>
    <s v="해당 메뉴는 넥사크로에서 리액트로 전환 요청이 있었고, 관련된 테스트 준비들은 26년 7월에 별도로 진행될 예정입니다."/>
    <x v="5"/>
    <s v="기타 검토"/>
    <s v="테스트 결과서가 없습니다."/>
    <s v="테스트 결과서가 없습니다."/>
    <s v="기각사유: 해당 메뉴는 넥사크로에서 리액트로 전환 요청이 있었고, 관련된 테스트 준비들은 26년 7월에 별도로 진행될 예정입니다. → 기타 기각 성격으로 판단"/>
    <s v="기타 기각"/>
    <s v="담당 PL과 결함 성격 재정의 후 분류 보완"/>
  </r>
  <r>
    <s v="UT-PM10104S"/>
    <s v="2-1차"/>
    <n v="1"/>
    <s v="예측관리(PM)"/>
    <s v="DEF-00236"/>
    <s v="화면의 첫 째 필드에 커셔가 Set focus되어 있지 않음."/>
    <s v="개발자테스트"/>
    <s v="임소정"/>
    <s v="pmtbd3"/>
    <s v="3자테스터공통"/>
    <s v="Online"/>
    <s v="개선/변경"/>
    <s v="UI"/>
    <s v="결함등록기각"/>
    <s v=""/>
    <s v="Minor"/>
    <s v="결함등록기각"/>
    <d v="2026-04-27T17:14:42"/>
    <d v="2026-04-29T08:07:54"/>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20155S"/>
    <s v="2-1차"/>
    <n v="1"/>
    <s v="예측관리(PM)"/>
    <s v="DEF-00238"/>
    <s v="화면의 첫 째 필드에 커셔가 Set focus되어 있지 않음."/>
    <s v="개발자테스트"/>
    <s v="임소정"/>
    <s v="노세찬"/>
    <s v="3자테스터공통"/>
    <s v="Online"/>
    <s v="개선/변경"/>
    <s v="UI"/>
    <s v="결함등록기각"/>
    <s v=""/>
    <s v="Minor"/>
    <s v="결함등록기각"/>
    <d v="2026-04-27T17:15:50"/>
    <d v="2026-04-29T08:21:29"/>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20154S"/>
    <s v="2-1차"/>
    <n v="1"/>
    <s v="예측관리(PM)"/>
    <s v="DEF-00239"/>
    <s v="화면의 첫 째 필드에 커셔가 Set focus되어 있지 않음."/>
    <s v="개발자테스트"/>
    <s v="임소정"/>
    <s v="노세찬"/>
    <s v="3자테스터공통"/>
    <s v="Online"/>
    <s v="개선/변경"/>
    <s v="UI"/>
    <s v="결함등록기각"/>
    <s v=""/>
    <s v="Minor"/>
    <s v="결함등록기각"/>
    <d v="2026-04-27T17:16:05"/>
    <d v="2026-04-29T08:21:16"/>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20153S"/>
    <s v="2-1차"/>
    <n v="1"/>
    <s v="예측관리(PM)"/>
    <s v="DEF-00240"/>
    <s v="화면의 첫 째 필드에 커셔가 Set focus되어 있지 않음."/>
    <s v="개발자테스트"/>
    <s v="임소정"/>
    <s v="노세찬"/>
    <s v="3자테스터공통"/>
    <s v="Online"/>
    <s v="개선/변경"/>
    <s v="UI"/>
    <s v="결함등록기각"/>
    <s v=""/>
    <s v="Minor"/>
    <s v="결함등록기각"/>
    <d v="2026-04-27T17:16:27"/>
    <d v="2026-04-29T08:21:03"/>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20147S"/>
    <s v="2-1차"/>
    <n v="1"/>
    <s v="예측관리(PM)"/>
    <s v="DEF-00241"/>
    <s v="화면의 첫 째 필드에 커셔가 Set focus되어 있지 않음."/>
    <s v="개발자테스트"/>
    <s v="임소정"/>
    <s v="pmtbd3"/>
    <s v="3자테스터공통"/>
    <s v="Online"/>
    <s v="개선/변경"/>
    <s v="UI"/>
    <s v="결함등록기각"/>
    <s v=""/>
    <s v="Minor"/>
    <s v="결함등록기각"/>
    <d v="2026-04-27T17:16:54"/>
    <d v="2026-04-29T09:22:42"/>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20144M"/>
    <s v="2-1차"/>
    <n v="1"/>
    <s v="예측관리(PM)"/>
    <s v="DEF-00242"/>
    <s v="화면의 첫 째 필드에 커셔가 Set focus되어 있지 않음."/>
    <s v="개발자테스트"/>
    <s v="임소정"/>
    <s v="pmtbd1"/>
    <s v="3자테스터공통"/>
    <s v="Online"/>
    <s v="개선/변경"/>
    <s v="UI"/>
    <s v="결함등록기각"/>
    <s v=""/>
    <s v="Minor"/>
    <s v="결함등록기각"/>
    <d v="2026-04-27T17:17:22"/>
    <d v="2026-04-29T08:20:45"/>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20143M"/>
    <s v="2-1차"/>
    <n v="1"/>
    <s v="예측관리(PM)"/>
    <s v="DEF-00243"/>
    <s v="화면의 첫 째 필드에 커셔가 Set focus되어 있지 않음."/>
    <s v="개발자테스트"/>
    <s v="임소정"/>
    <s v="pmtbd1"/>
    <s v="3자테스터공통"/>
    <s v="Online"/>
    <s v="개선/변경"/>
    <s v="UI"/>
    <s v="결함등록기각"/>
    <s v=""/>
    <s v="Minor"/>
    <s v="결함등록기각"/>
    <d v="2026-04-27T17:17:31"/>
    <d v="2026-04-29T08:20:32"/>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20142M"/>
    <s v="2-1차"/>
    <n v="1"/>
    <s v="예측관리(PM)"/>
    <s v="DEF-00244"/>
    <s v="화면의 첫 째 필드에 커셔가 Set focus되어 있지 않음."/>
    <s v="개발자테스트"/>
    <s v="임소정"/>
    <s v="신문호"/>
    <s v="3자테스터공통"/>
    <s v="Online"/>
    <s v="개선/변경"/>
    <s v="UI"/>
    <s v="결함등록기각"/>
    <s v=""/>
    <s v="Minor"/>
    <s v="결함등록기각"/>
    <d v="2026-04-27T17:17:39"/>
    <d v="2026-04-29T08:20:20"/>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20141M"/>
    <s v="2-1차"/>
    <n v="1"/>
    <s v="예측관리(PM)"/>
    <s v="DEF-00245"/>
    <s v="화면의 첫 째 필드에 커셔가 Set focus되어 있지 않음."/>
    <s v="개발자테스트"/>
    <s v="임소정"/>
    <s v="신문호"/>
    <s v="3자테스터공통"/>
    <s v="Online"/>
    <s v="개선/변경"/>
    <s v="UI"/>
    <s v="결함등록기각"/>
    <s v=""/>
    <s v="Minor"/>
    <s v="결함등록기각"/>
    <d v="2026-04-27T17:17:49"/>
    <d v="2026-04-29T08:20:06"/>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20140M"/>
    <s v="2-1차"/>
    <n v="1"/>
    <s v="예측관리(PM)"/>
    <s v="DEF-00246"/>
    <s v="화면의 첫 째 필드에 커셔가 Set focus되어 있지 않음."/>
    <s v="개발자테스트"/>
    <s v="임소정"/>
    <s v="pmtbd1"/>
    <s v="3자테스터공통"/>
    <s v="Online"/>
    <s v="개선/변경"/>
    <s v="UI"/>
    <s v="결함등록기각"/>
    <s v=""/>
    <s v="Minor"/>
    <s v="결함등록기각"/>
    <d v="2026-04-27T17:17:57"/>
    <d v="2026-04-29T08:19:51"/>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20139M"/>
    <s v="2-1차"/>
    <n v="1"/>
    <s v="예측관리(PM)"/>
    <s v="DEF-00247"/>
    <s v="화면의 첫 째 필드에 커셔가 Set focus되어 있지 않음."/>
    <s v="개발자테스트"/>
    <s v="임소정"/>
    <s v="신문호"/>
    <s v="3자테스터공통"/>
    <s v="Online"/>
    <s v="개선/변경"/>
    <s v="UI"/>
    <s v="결함등록기각"/>
    <s v=""/>
    <s v="Minor"/>
    <s v="결함등록기각"/>
    <d v="2026-04-27T17:18:05"/>
    <d v="2026-04-29T08:19:38"/>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20138M"/>
    <s v="2-1차"/>
    <n v="1"/>
    <s v="예측관리(PM)"/>
    <s v="DEF-00248"/>
    <s v="화면의 첫 째 필드에 커셔가 Set focus되어 있지 않음."/>
    <s v="개발자테스트"/>
    <s v="임소정"/>
    <s v="신문호"/>
    <s v="3자테스터공통"/>
    <s v="Online"/>
    <s v="개선/변경"/>
    <s v="UI"/>
    <s v="결함등록기각"/>
    <s v=""/>
    <s v="Minor"/>
    <s v="결함등록기각"/>
    <d v="2026-04-27T17:18:13"/>
    <d v="2026-04-29T08:19:22"/>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20137M"/>
    <s v="2-1차"/>
    <n v="1"/>
    <s v="예측관리(PM)"/>
    <s v="DEF-00249"/>
    <s v="화면의 첫 째 필드에 커셔가 Set focus되어 있지 않음."/>
    <s v="개발자테스트"/>
    <s v="임소정"/>
    <s v="pmtbd3"/>
    <s v="3자테스터공통"/>
    <s v="Online"/>
    <s v="개선/변경"/>
    <s v="UI"/>
    <s v="결함등록기각"/>
    <s v=""/>
    <s v="Minor"/>
    <s v="결함등록기각"/>
    <d v="2026-04-27T17:18:20"/>
    <d v="2026-04-29T08:18:21"/>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20136M"/>
    <s v="2-1차"/>
    <n v="1"/>
    <s v="예측관리(PM)"/>
    <s v="DEF-00250"/>
    <s v="화면의 첫 째 필드에 커셔가 Set focus되어 있지 않음."/>
    <s v="개발자테스트"/>
    <s v="임소정"/>
    <s v="pmtbd3"/>
    <s v="3자테스터공통"/>
    <s v="Online"/>
    <s v="개선/변경"/>
    <s v="UI"/>
    <s v="결함등록기각"/>
    <s v=""/>
    <s v="Minor"/>
    <s v="결함등록기각"/>
    <d v="2026-04-27T17:18:28"/>
    <d v="2026-04-29T08:18:03"/>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PM20135M"/>
    <s v="2-1차"/>
    <n v="1"/>
    <s v="예측관리(PM)"/>
    <s v="DEF-00251"/>
    <s v="화면의 첫 째 필드에 커셔가 Set focus되어 있지 않음."/>
    <s v="개발자테스트"/>
    <s v="임소정"/>
    <s v="pmtbd2"/>
    <s v="3자테스터공통"/>
    <s v="Online"/>
    <s v="개선/변경"/>
    <s v="UI"/>
    <s v="결함등록기각"/>
    <s v=""/>
    <s v="Minor"/>
    <s v="결함등록기각"/>
    <d v="2026-04-27T17:18:35"/>
    <d v="2026-04-29T08:17:49"/>
    <s v="처리완료하였습니다. 개발서버 기준 (26년 04월 30일 오전에 확인가능합니다.)_x000a_DEF-00237 결함과 같은 내용이므로 기각합니다"/>
    <x v="9"/>
    <s v="개선/변경 요청"/>
    <s v="화면의 첫 째 필드에 커셔가 Set focus되어 있지 않음."/>
    <s v="화면의 첫 째 필드에 커셔가 Set focus되어 있지 않음."/>
    <s v="기각사유: 처리완료하였습니다. 개발서버 기준 (26년 04월 30일 오전에 확인가능합니다.)_x000a_DEF-00237 결함과 같은 내용이므로… → 기타 기각 성격으로 판단"/>
    <s v="기타 기각"/>
    <s v="차기 반영 일감으로 등록 후 우선순위 협의, 정책 가이드 반영"/>
  </r>
  <r>
    <s v="UT-GO11201S"/>
    <s v="1-1차"/>
    <n v="1"/>
    <s v="공항운영(GO)"/>
    <s v="DEF-00256"/>
    <s v="편명 입력 시 숫자만 입력 가능합니다._x000a__x000a_하지만 조회된 데이터는 영문 + 숫자 조합도 있으니 영문 입력도 가능해야하지 않을까요 ? "/>
    <s v="개발자테스트"/>
    <s v="신문호"/>
    <s v="박정구"/>
    <s v="3자테스터공통"/>
    <s v="Online"/>
    <s v="개선/변경"/>
    <s v="기타"/>
    <s v="결함등록기각"/>
    <s v=""/>
    <s v="Minor"/>
    <s v="결함등록기각"/>
    <d v="2026-04-27T17:29:37"/>
    <d v="2026-04-30T15:29:48"/>
    <s v="테스트시 한영키 확인필요 영문은 정상작동중"/>
    <x v="6"/>
    <s v="입력 문자 제한"/>
    <s v="편명 입력 시 숫자만 입력 가능합니다."/>
    <s v="편명 입력 시 숫자만 입력 가능합니다.  하지만 조회된 데이터는 영문 + 숫자 조합도 있으니 영문 입력도 가능해야하지 않을까요 ?"/>
    <s v="기각사유: 테스트시 한영키 확인필요 영문은 정상작동중 → 정상동작/스펙대로 성격으로 판단"/>
    <s v="정상동작/스펙대로"/>
    <s v="프론트/백엔드 양측에 입력 유효성 검증 추가 및 공통 validator 적용"/>
  </r>
  <r>
    <s v="UT-GO11101S"/>
    <s v="1-2차"/>
    <n v="1"/>
    <s v="공항운영(GO)"/>
    <s v="DEF-00274"/>
    <s v="창을 줄이면 해당 테이블 가로 스크롤이 생기지 않아 확인할 수 없습니다. "/>
    <s v="개발자테스트"/>
    <s v="신문호"/>
    <s v="김경준"/>
    <s v="3자테스터공통"/>
    <s v="Online"/>
    <s v="개선/변경"/>
    <s v="UI"/>
    <s v="결함등록기각"/>
    <s v=""/>
    <s v="Minor"/>
    <s v="결함등록기각"/>
    <d v="2026-04-28T09:53:39"/>
    <d v="2026-04-30T14:35:38"/>
    <s v="전체 스크롤이 생겨 확인가능 정상작동"/>
    <x v="9"/>
    <s v="개선/변경 요청"/>
    <s v="창을 줄이면 해당 테이블 가로 스크롤이 생기지 않아 확인할 수 없습니다."/>
    <s v="창을 줄이면 해당 테이블 가로 스크롤이 생기지 않아 확인할 수 없습니다."/>
    <s v="기각사유: 전체 스크롤이 생겨 확인가능 정상작동 → 정상동작/스펙대로 성격으로 판단"/>
    <s v="정상동작/스펙대로"/>
    <s v="차기 반영 일감으로 등록 후 우선순위 협의, 정책 가이드 반영"/>
  </r>
  <r>
    <s v="UT-CASY040S(A)"/>
    <s v="2-3차"/>
    <n v="1"/>
    <s v="공통관리(AOMS-CA)"/>
    <s v="DEF-00305"/>
    <s v="1. 송신메시지, 수신메시지 클릭해도 에러내역에 출력되는 내역이 출력되지 않음._x000a_"/>
    <s v="개발자테스트"/>
    <s v="김명준"/>
    <s v="김태훈"/>
    <s v="3자테스터공통"/>
    <s v="Online"/>
    <s v="개선/변경"/>
    <s v="UI"/>
    <s v="결함등록기각"/>
    <s v=""/>
    <s v="Minor"/>
    <s v="결함등록기각"/>
    <d v="2026-04-28T12:52:55"/>
    <d v="2026-04-30T10:37:19"/>
    <s v="미처리건수 와 에러 내역은 다른 메시지 출력으로 에러 내역이 없으면 메시지 미 표출이 정상입니다. "/>
    <x v="1"/>
    <s v="파일 출력/다운로드"/>
    <s v="1. 송신메시지, 수신메시지 클릭해도 에러내역에 출력되는 내역이 출력되지 않음."/>
    <s v="1. 송신메시지, 수신메시지 클릭해도 에러내역에 출력되는 내역이 출력되지 않음."/>
    <s v="기각사유: 미처리건수 와 에러 내역은 다른 메시지 출력으로 에러 내역이 없으면 메시지 미 표출이 정상입니다. → 정상동작/스펙대로 성격으로 판단"/>
    <s v="정상동작/스펙대로"/>
    <s v="엑셀/PDF 공통 출력 모듈 점검, 컬럼 매핑·서식 검증 및 예외 처리"/>
  </r>
  <r>
    <s v="UT-PM20158S"/>
    <s v="2-2차"/>
    <n v="1"/>
    <s v="예측관리(PM)"/>
    <s v="DEF-00310"/>
    <s v=" 1.기준일자 선택이 필수 입력이 조건이 아님. 필수여야 할거 같음."/>
    <s v="개발자테스트"/>
    <s v="임소정"/>
    <s v="노세찬"/>
    <s v="3자테스터공통"/>
    <s v="Online"/>
    <s v="개선/변경"/>
    <s v="기능"/>
    <s v="결함등록기각"/>
    <s v=""/>
    <s v="Minor"/>
    <s v="결함등록기각"/>
    <d v="2026-04-28T13:07:55"/>
    <d v="2026-04-29T09:38:13"/>
    <s v="처리완료하였습니다. 개발서버 기준 (26년 04월 30일 오전에 확인가능합니다.)_x000a_DEF-00307 결함과 같은 내용이므로 기각합니다."/>
    <x v="0"/>
    <s v="기준일자/조회일자 불일치"/>
    <s v="1.기준일자 선택이 필수 입력이 조건이 아님. 필수여야 할거 같음."/>
    <s v="1.기준일자 선택이 필수 입력이 조건이 아님. 필수여야 할거 같음."/>
    <s v="기각사유: 처리완료하였습니다. 개발서버 기준 (26년 04월 30일 오전에 확인가능합니다.)_x000a_DEF-00307 결함과 같은 내용이므로… → 기타 기각 성격으로 판단"/>
    <s v="기타 기각"/>
    <s v="날짜 컴포넌트 표준화, 기준일자-운항일자 등 필드 매핑 점검 및 기간 가드 추가"/>
  </r>
  <r>
    <s v="UT-PM30102M"/>
    <s v="1-2차"/>
    <n v="1"/>
    <s v="예측관리(PM)"/>
    <s v="DEF-00209"/>
    <s v="테스트결과서 없음. "/>
    <s v="개발자테스트"/>
    <s v="임소정"/>
    <s v="pmtbd1"/>
    <s v="3자테스터공통"/>
    <s v="Online"/>
    <s v="개선/변경"/>
    <s v="기타"/>
    <s v="결함등록기각"/>
    <s v=""/>
    <s v="Major"/>
    <s v="결함등록기각"/>
    <d v="2026-04-27T15:10:18"/>
    <d v="2026-04-29T09:40:59"/>
    <s v="UT-PM30102R 테스트 문서로 확인부탁드립니다._x000a_문서자체가 없을시 별도로 연락부탁드립니다. 010-2990-2820"/>
    <x v="9"/>
    <s v="개선/변경 요청"/>
    <s v="테스트결과서 없음."/>
    <s v="테스트결과서 없음."/>
    <s v="기각사유: UT-PM30102R 테스트 문서로 확인부탁드립니다._x000a_문서자체가 없을시 별도로 연락부탁드립니다. 010-2990-2820 → 기타 기각 성격으로 판단"/>
    <s v="기타 기각"/>
    <s v="차기 반영 일감으로 등록 후 우선순위 협의, 정책 가이드 반영"/>
  </r>
  <r>
    <s v="UT-GO11101S"/>
    <s v="1-2차"/>
    <n v="1"/>
    <s v="공항운영(GO)"/>
    <s v="DEF-00214"/>
    <s v="F12 기능키 클릭으로 조회조건의 일자 항목에 FOCUS 이동 되지 않습니다. _x000a_다른 컴퓨터로도 확인해봐야 할것같습니다."/>
    <s v="개발자테스트"/>
    <s v="신문호"/>
    <s v="김경준"/>
    <s v="3자테스터공통"/>
    <s v="Online"/>
    <s v="결함"/>
    <s v="기타"/>
    <s v="결함등록기각"/>
    <s v=""/>
    <s v="Major"/>
    <s v="결함등록기각"/>
    <d v="2026-04-27T16:05:31"/>
    <d v="2026-04-30T14:31:06"/>
    <s v="웹브라우저 환경이라 INPUT 박스에 FOCUS 해놓은 상태에서 눌러야 동작함"/>
    <x v="0"/>
    <s v="날짜 표시/포맷"/>
    <s v="F12 기능키 클릭으로 조회조건의 일자 항목에 FOCUS 이동 되지 않습니다."/>
    <s v="F12 기능키 클릭으로 조회조건의 일자 항목에 FOCUS 이동 되지 않습니다.  다른 컴퓨터로도 확인해봐야 할것같습니다."/>
    <s v="기각사유: 웹브라우저 환경이라 INPUT 박스에 FOCUS 해놓은 상태에서 눌러야 동작함 → 기타 기각 성격으로 판단"/>
    <s v="기타 기각"/>
    <s v="날짜 컴포넌트 표준화, 기준일자-운항일자 등 필드 매핑 점검 및 기간 가드 추가"/>
  </r>
  <r>
    <s v="UT-GO11201S"/>
    <s v="1-1차"/>
    <n v="1"/>
    <s v="공항운영(GO)"/>
    <s v="DEF-00262"/>
    <s v="하단 'SAVE' 버튼 다른 페이지들은 '저장' 입니다. (관리자 분이 UI 통일성도 잡으라 하셔서 적어요 ^^,,)"/>
    <s v="개발자테스트"/>
    <s v="신문호"/>
    <s v="박정구"/>
    <s v="3자테스터공통"/>
    <s v="Online"/>
    <s v="개선/변경"/>
    <s v="UI"/>
    <s v="결함등록기각"/>
    <s v=""/>
    <s v="Minor"/>
    <s v="결함등록기각"/>
    <d v="2026-04-27T17:43:44"/>
    <d v="2026-04-30T15:30:08"/>
    <s v="둘다 표준임"/>
    <x v="8"/>
    <s v="레이아웃/UI"/>
    <s v="하단 'SAVE' 버튼 다른 페이지들은 '저장' 입니다. (관리자 분이 UI 통일성도 잡으라 하셔서 적어…"/>
    <s v="하단 'SAVE' 버튼 다른 페이지들은 '저장' 입니다. (관리자 분이 UI 통일성도 잡으라 하셔서 적어요 ^^,,)"/>
    <s v="기각사유: 둘다 표준임 → 기타 기각 성격으로 판단"/>
    <s v="기타 기각"/>
    <s v="디자인 시스템(GNB/그리드/타이포) 준수 점검, 잘림·정렬 보정"/>
  </r>
  <r>
    <s v="UT-GO11102M"/>
    <s v="1-1차"/>
    <n v="1"/>
    <s v="공항운영(GO)"/>
    <s v="DEF-00263"/>
    <s v="하단 'SAVE' 버튼 다른 페이지들은 '저장' 입니다. (관리자 분이 UI 통일성도 잡으라 하셔서 적어요 ^^,,)"/>
    <s v="개발자테스트"/>
    <s v="신문호"/>
    <s v="박정구"/>
    <s v="3자테스터공통"/>
    <s v="Online"/>
    <s v="개선/변경"/>
    <s v="UI"/>
    <s v="결함등록기각"/>
    <s v=""/>
    <s v="Minor"/>
    <s v="결함등록기각"/>
    <d v="2026-04-27T17:44:19"/>
    <d v="2026-04-30T15:28:19"/>
    <s v="저장 , SAVE둘다 표준임"/>
    <x v="8"/>
    <s v="레이아웃/UI"/>
    <s v="하단 'SAVE' 버튼 다른 페이지들은 '저장' 입니다. (관리자 분이 UI 통일성도 잡으라 하셔서 적어…"/>
    <s v="하단 'SAVE' 버튼 다른 페이지들은 '저장' 입니다. (관리자 분이 UI 통일성도 잡으라 하셔서 적어요 ^^,,)"/>
    <s v="기각사유: 저장 , SAVE둘다 표준임 → 기타 기각 성격으로 판단"/>
    <s v="기타 기각"/>
    <s v="디자인 시스템(GNB/그리드/타이포) 준수 점검, 잘림·정렬 보정"/>
  </r>
  <r>
    <s v="UT-PM10206S"/>
    <s v="2-3차"/>
    <n v="1"/>
    <s v="예측관리(PM)"/>
    <s v="DEF-00281"/>
    <s v="테스트 결과서 없음."/>
    <s v="개발자테스트"/>
    <s v="임소정"/>
    <s v="양우상"/>
    <s v="3자테스터공통"/>
    <s v="Online"/>
    <s v="결함"/>
    <s v="문서화"/>
    <s v="결함등록기각"/>
    <s v=""/>
    <s v="Critical"/>
    <s v="결함등록기각"/>
    <d v="2026-04-28T10:21:07"/>
    <d v="2026-04-29T07:36:29"/>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x v="5"/>
    <s v="기타 검토"/>
    <s v="테스트 결과서 없음."/>
    <s v="테스트 결과서 없음."/>
    <s v="기각사유: UT-PM10201S 입국장 운영시간 설정 관리_x000a_UT-PM10202S 입국장 운영시간 조회_x000a_UT-PM10203S 출국장 운… → 기타 기각 성격으로 판단"/>
    <s v="기타 기각"/>
    <s v="담당 PL과 결함 성격 재정의 후 분류 보완"/>
  </r>
  <r>
    <s v="UT-PM20160S"/>
    <s v="2-2차"/>
    <n v="1"/>
    <s v="예측관리(PM)"/>
    <s v="DEF-00314"/>
    <s v="1. 기준일자가 필수입력 사항으로 표시 안됨"/>
    <s v="개발자테스트"/>
    <s v="임소정"/>
    <s v="노세찬"/>
    <s v="3자테스터공통"/>
    <s v="Online"/>
    <s v="결함"/>
    <s v="기능"/>
    <s v="결함등록기각"/>
    <s v=""/>
    <s v="Minor"/>
    <s v="결함등록기각"/>
    <d v="2026-04-28T13:21:32"/>
    <d v="2026-04-29T09:38:37"/>
    <s v="처리완료하였습니다. 개발서버 기준 (26년 04월 30일 오전에 확인가능합니다.)_x000a_DEF-00307 결함과 같은 내용이므로 기각합니다."/>
    <x v="0"/>
    <s v="기준일자/조회일자 불일치"/>
    <s v="1. 기준일자가 필수입력 사항으로 표시 안됨"/>
    <s v="1. 기준일자가 필수입력 사항으로 표시 안됨"/>
    <s v="기각사유: 처리완료하였습니다. 개발서버 기준 (26년 04월 30일 오전에 확인가능합니다.)_x000a_DEF-00307 결함과 같은 내용이므로… → 기타 기각 성격으로 판단"/>
    <s v="기타 기각"/>
    <s v="날짜 컴포넌트 표준화, 기준일자-운항일자 등 필드 매핑 점검 및 기간 가드 추가"/>
  </r>
  <r>
    <s v="UT-GO11101S"/>
    <s v="1-2차"/>
    <n v="1"/>
    <s v="공항운영(GO)"/>
    <s v="DEF-00327"/>
    <s v="GD error 사유 입력 후 저장을 하면 행검색이 됩니다. 이후 저장 결과 팝업이 뜹니다._x000a_저장과 함께 데이터를 재 로딩 하는 것 같은데, 저장에 대한 팝업만 떠야할것같아요"/>
    <s v="개발자테스트"/>
    <s v="신문호"/>
    <s v="김경준"/>
    <s v="3자테스터공통"/>
    <s v="Online"/>
    <s v="개선/변경"/>
    <s v="UI"/>
    <s v="결함등록기각"/>
    <s v=""/>
    <s v="Minor"/>
    <s v="결함등록기각"/>
    <d v="2026-04-28T13:50:20"/>
    <d v="2026-04-30T15:24:49"/>
    <s v="현재 정상작동중"/>
    <x v="4"/>
    <s v="조회 조건 처리"/>
    <s v="GD error 사유 입력 후 저장을 하면 행검색이 됩니다. 이후 저장 결과 팝업이 뜹니다."/>
    <s v="GD error 사유 입력 후 저장을 하면 행검색이 됩니다. 이후 저장 결과 팝업이 뜹니다. 저장과 함께 데이터를 재 로딩 하는 것 같은데, 저장에 대한 팝업만 떠야할것같아요"/>
    <s v="기각사유: 현재 정상작동중 → 정상동작/스펙대로 성격으로 판단"/>
    <s v="정상동작/스펙대로"/>
    <s v="조회 SQL/조건 매핑 재검토, 정렬·필터 기본값 정의서와 일치화"/>
  </r>
  <r>
    <s v="UT-GO11101S"/>
    <s v="1-2차"/>
    <n v="1"/>
    <s v="공항운영(GO)"/>
    <s v="DEF-00329"/>
    <s v="F8은 현재 포커스 된 FLT에 대한 에러 조회라는 것을 가독성있게 할 필요가 있을것같습니다._x000a_Ctrl + F8 과 F8 조회차이를 한눈에 알기 어렵습니다._x000a_또한 function key 가 노트북에 따라 동작 하지 않는다 하니 테스트를 해보셔야 할것같습니다."/>
    <s v="개발자테스트"/>
    <s v="신문호"/>
    <s v="김경준"/>
    <s v="3자테스터공통"/>
    <s v="Online"/>
    <s v="개선/변경"/>
    <s v="UI"/>
    <s v="결함등록기각"/>
    <s v=""/>
    <s v="Minor"/>
    <s v="결함등록기각"/>
    <d v="2026-04-28T13:54:51"/>
    <d v="2026-04-30T15:27:59"/>
    <s v="현재화면은 현업요청에따라 기존 IIS와 모두 동일하게 구성되게 해야함"/>
    <x v="4"/>
    <s v="조회 조건 처리"/>
    <s v="F8은 현재 포커스 된 FLT에 대한 에러 조회라는 것을 가독성있게 할 필요가 있을것같습니다."/>
    <s v="F8은 현재 포커스 된 FLT에 대한 에러 조회라는 것을 가독성있게 할 필요가 있을것같습니다. Ctrl + F8 과 F8 조회차이를 한눈에 알기 어렵습니다. 또한 function key 가 노트북에 따라 동작 하지 않는다 하니 테스트를 해보셔야 할…"/>
    <s v="기각사유: 현재화면은 현업요청에따라 기존 IIS와 모두 동일하게 구성되게 해야함 → 중복 성격으로 판단"/>
    <s v="중복"/>
    <s v="조회 SQL/조건 매핑 재검토, 정렬·필터 기본값 정의서와 일치화"/>
  </r>
  <r>
    <s v="UT-FSQA170S"/>
    <s v="1-1차"/>
    <n v="1"/>
    <s v="항공보안(FS)"/>
    <s v="DEF-00369"/>
    <s v="결함아님"/>
    <s v="개발자테스트"/>
    <s v="임소정"/>
    <s v="임소정"/>
    <s v="3자테스터공통"/>
    <s v="Online"/>
    <s v="개선/변경"/>
    <s v="기능"/>
    <s v="결함등록기각"/>
    <s v=""/>
    <s v="Minor"/>
    <s v="결함등록기각"/>
    <d v="2026-04-28T15:11:31"/>
    <d v="2026-05-07T18:06:29"/>
    <s v="기각요청"/>
    <x v="9"/>
    <s v="개선/변경 요청"/>
    <s v="결함아님"/>
    <s v="결함아님"/>
    <s v="기각사유: 기각요청 → 기타 기각 성격으로 판단"/>
    <s v="기타 기각"/>
    <s v="차기 반영 일감으로 등록 후 우선순위 협의, 정책 가이드 반영"/>
  </r>
  <r>
    <s v="UT-CASY035S(A)"/>
    <s v="1-2차"/>
    <n v="1"/>
    <s v="공통관리(AOMS-CA)"/>
    <s v="DEF-00394"/>
    <s v="아래 화면과 같이 Request 사유 상세 영역 입력 불가임._x000a_Save 버튼 클릭하면, 요청 사유는 필수 입력이라는 메시지 나타나며.. 진행 불가함. 좌측에서 2개 항목을 우측으로 이동 후 하나를 좌측으로 이동하면.. 입력 사유 영역이 입력 불가로 바뀜"/>
    <s v="개발자테스트"/>
    <s v="김명준"/>
    <s v="최민지"/>
    <s v="3자테스터공통"/>
    <s v="Online"/>
    <s v="결함"/>
    <s v="기능"/>
    <s v="결함등록기각"/>
    <s v=""/>
    <s v="Major"/>
    <s v="결함등록기각"/>
    <d v="2026-04-28T16:38:44"/>
    <d v="2026-04-30T10:25:55"/>
    <s v="값 입력 되는것 확인됨 결함등록기각으로 등록하겠습니다."/>
    <x v="6"/>
    <s v="필수 입력 누락"/>
    <s v="아래 화면과 같이 Request 사유 상세 영역 입력 불가임."/>
    <s v="아래 화면과 같이 Request 사유 상세 영역 입력 불가임. Save 버튼 클릭하면, 요청 사유는 필수 입력이라는 메시지 나타나며.. 진행 불가함. 좌측에서 2개 항목을 우측으로 이동 후 하나를 좌측으로 이동하면.. 입력 사유 영역이 입력 불가로…"/>
    <s v="기각사유: 값 입력 되는것 확인됨 결함등록기각으로 등록하겠습니다. → 기타 기각 성격으로 판단"/>
    <s v="기타 기각"/>
    <s v="프론트/백엔드 양측에 입력 유효성 검증 추가 및 공통 validator 적용"/>
  </r>
  <r>
    <s v="UT-CASY051S(A)"/>
    <s v="2-2차"/>
    <n v="1"/>
    <s v="공통관리(AOMS-CA)"/>
    <s v="DEF-00423"/>
    <s v="화면에는 조회기간이 특정일(시작일/종료일 구조가 아님)만 입력 가능한데, 테스트 시나리오 및 증적에는 기간 관련 자료가 있음"/>
    <s v="개발자테스트"/>
    <s v="김명준"/>
    <s v="최민지"/>
    <s v="3자테스터공통"/>
    <s v="Online"/>
    <s v="개선/변경"/>
    <s v="UI"/>
    <s v="결함등록기각"/>
    <s v=""/>
    <s v="Minor"/>
    <s v="결함등록기각"/>
    <d v="2026-04-29T09:13:27"/>
    <d v="2026-04-30T10:40:16"/>
    <s v="단위테스트 후 공항공사 요청으로 1일치 조회 조건으로 변경되어 시작일 종료일 조회에서 날짜 조회로 변경 함 정상입니다."/>
    <x v="0"/>
    <s v="기간 범위 처리"/>
    <s v="화면에는 조회기간이 특정일(시작일/종료일 구조가 아님)만 입력 가능한데, 테스트 시나리오 및 증적에는 기…"/>
    <s v="화면에는 조회기간이 특정일(시작일/종료일 구조가 아님)만 입력 가능한데, 테스트 시나리오 및 증적에는 기간 관련 자료가 있음"/>
    <s v="기각사유: 단위테스트 후 공항공사 요청으로 1일치 조회 조건으로 변경되어 시작일 종료일 조회에서 날짜 조회로 변경 함 정상입니다. → 정상동작/스펙대로 성격으로 판단"/>
    <s v="정상동작/스펙대로"/>
    <s v="날짜 컴포넌트 표준화, 기준일자-운항일자 등 필드 매핑 점검 및 기간 가드 추가"/>
  </r>
  <r>
    <s v="UT-CARF037S(A)"/>
    <s v="1-1차"/>
    <n v="1"/>
    <s v="공통관리(AOMS-CA)"/>
    <s v="DEF-00476"/>
    <s v="화면 배율을 눌리면 Search 버튼이 영역을 침범함 반응형 불가?인가요"/>
    <s v="개발자테스트"/>
    <s v="김명준"/>
    <s v="김태훈"/>
    <s v="3자테스터공통"/>
    <s v="Online"/>
    <s v="개선/변경"/>
    <s v="UI"/>
    <s v="결함등록기각"/>
    <s v=""/>
    <s v="Minor"/>
    <s v="결함등록기각"/>
    <d v="2026-04-29T14:32:33"/>
    <d v="2026-04-30T12:55:06"/>
    <s v="공통 퍼블로 퍼블 담당자에게 전달 하겠습니다."/>
    <x v="4"/>
    <s v="조회 조건 처리"/>
    <s v="화면 배율을 눌리면 Search 버튼이 영역을 침범함 반응형 불가?인가요"/>
    <s v="화면 배율을 눌리면 Search 버튼이 영역을 침범함 반응형 불가?인가요"/>
    <s v="기각사유: 공통 퍼블로 퍼블 담당자에게 전달 하겠습니다. → 기타 기각 성격으로 판단"/>
    <s v="기타 기각"/>
    <s v="조회 SQL/조건 매핑 재검토, 정렬·필터 기본값 정의서와 일치화"/>
  </r>
  <r>
    <s v="UT-FSQB190S"/>
    <s v="2-2차"/>
    <n v="1"/>
    <s v="항공보안(FS)"/>
    <s v="DEF-00506"/>
    <s v="[C_4] 총계 row에서 휴대수하물의 경우 정상적으로 집계하고 있으나 위탁수하물, 총계는 집계하고 있지 않음"/>
    <s v="개발자테스트"/>
    <s v="임소정"/>
    <s v="임소정"/>
    <s v="3자테스터공통"/>
    <s v="Online"/>
    <s v="결함"/>
    <s v="UI"/>
    <s v="결함등록기각"/>
    <s v=""/>
    <s v="Major"/>
    <s v="결함등록기각"/>
    <d v="2026-04-29T15:49:18"/>
    <d v="2026-04-30T13:14:53"/>
    <s v="기존과 동일."/>
    <x v="3"/>
    <s v="집계/계산 오류"/>
    <s v="[C_4] 총계 row에서 휴대수하물의 경우 정상적으로 집계하고 있으나 위탁수하물, 총계는 집계하고 있지…"/>
    <s v="[C_4] 총계 row에서 휴대수하물의 경우 정상적으로 집계하고 있으나 위탁수하물, 총계는 집계하고 있지 않음"/>
    <s v="기각사유: 기존과 동일. → 중복 성격으로 판단"/>
    <s v="중복"/>
    <s v="원천 데이터-화면 매핑 재검증, 집계 로직 단위 테스트 보강"/>
  </r>
  <r>
    <s v="UT-CARF031S(A)"/>
    <s v="2-2차"/>
    <n v="1"/>
    <s v="공통관리(AOMS-CA)"/>
    <s v="DEF-00510"/>
    <s v="1. 저장된 엑셀파일의 열 순서가 화면상의 순서와 상이(고객 요청사항이 아니면, 맞출 필요가 있어보임, 이름도 상이)_x000a_"/>
    <s v="개발자테스트"/>
    <s v="김명준"/>
    <s v="최민지"/>
    <s v="3자테스터공통"/>
    <s v="Online"/>
    <s v="개선/변경"/>
    <s v="UI"/>
    <s v="결함등록기각"/>
    <s v=""/>
    <s v="Minor"/>
    <s v="결함등록기각"/>
    <d v="2026-04-29T16:01:52"/>
    <d v="2026-04-30T11:04:43"/>
    <s v="엑셀파일의 순서는 기존 AS-IS의 순서와 동일하게 설정되어 있습니다."/>
    <x v="1"/>
    <s v="엑셀 다운로드 오류"/>
    <s v="1. 저장된 엑셀파일의 열 순서가 화면상의 순서와 상이(고객 요청사항이 아니면, 맞출 필요가 있어보임, …"/>
    <s v="1. 저장된 엑셀파일의 열 순서가 화면상의 순서와 상이(고객 요청사항이 아니면, 맞출 필요가 있어보임, 이름도 상이)"/>
    <s v="기각사유: 엑셀파일의 순서는 기존 AS-IS의 순서와 동일하게 설정되어 있습니다. → 중복 성격으로 판단"/>
    <s v="중복"/>
    <s v="엑셀/PDF 공통 출력 모듈 점검, 컬럼 매핑·서식 검증 및 예외 처리"/>
  </r>
  <r>
    <s v="UT-FSSG170S"/>
    <s v="2-2차"/>
    <n v="1"/>
    <s v="항공보안(FS)"/>
    <s v="DEF-00516"/>
    <s v="풀 내 print 버튼을 누르면 보이는 미리보기 화면입니다. 많이 깨집니다 "/>
    <s v="개발자테스트"/>
    <s v="임소정"/>
    <s v="임소정"/>
    <s v="3자테스터공통"/>
    <s v="Online"/>
    <s v="개선/변경"/>
    <s v="UI"/>
    <s v="결함등록기각"/>
    <s v=""/>
    <s v="Minor"/>
    <s v="결함등록기각"/>
    <d v="2026-04-29T16:12:49"/>
    <d v="2026-05-06T16:10:48"/>
    <s v="공통 기능으로 모듈 개발 내에서 처리 불가능"/>
    <x v="11"/>
    <s v="상태값 처리"/>
    <s v="풀 내 print 버튼을 누르면 보이는 미리보기 화면입니다. 많이 깨집니다"/>
    <s v="풀 내 print 버튼을 누르면 보이는 미리보기 화면입니다. 많이 깨집니다"/>
    <s v="기각사유: 공통 기능으로 모듈 개발 내에서 처리 불가능 → 기타 기각 성격으로 판단"/>
    <s v="기타 기각"/>
    <s v="버튼/상태 컴포넌트 표준 적용, 활성·비활성 조건 명세화"/>
  </r>
  <r>
    <s v="UT-FSSG170S"/>
    <s v="2-2차"/>
    <n v="1"/>
    <s v="항공보안(FS)"/>
    <s v="DEF-00520"/>
    <s v="진행중인 건에 대해서는 조회가 되지 않는건지 궁금합니다._x000a_조회일자가 시작일자를 기준으로한다면 해당 내용에 대해 페이지에 명시가 돼야한다 생각합니다. "/>
    <s v="개발자테스트"/>
    <s v="임소정"/>
    <s v="임소정"/>
    <s v="3자테스터공통"/>
    <s v="Online"/>
    <s v="개선/변경"/>
    <s v="UI"/>
    <s v="결함등록기각"/>
    <s v=""/>
    <s v="Minor"/>
    <s v="결함등록기각"/>
    <d v="2026-04-29T16:22:16"/>
    <d v="2026-05-06T16:15:27"/>
    <s v="현업에서 수정 없이 기존 로직 유지를 요구함."/>
    <x v="0"/>
    <s v="기간 범위 처리"/>
    <s v="진행중인 건에 대해서는 조회가 되지 않는건지 궁금합니다."/>
    <s v="진행중인 건에 대해서는 조회가 되지 않는건지 궁금합니다. 조회일자가 시작일자를 기준으로한다면 해당 내용에 대해 페이지에 명시가 돼야한다 생각합니다."/>
    <s v="기각사유: 현업에서 수정 없이 기존 로직 유지를 요구함. → 기타 기각 성격으로 판단"/>
    <s v="기타 기각"/>
    <s v="날짜 컴포넌트 표준화, 기준일자-운항일자 등 필드 매핑 점검 및 기간 가드 추가"/>
  </r>
  <r>
    <s v="UT-FSEX060S"/>
    <s v="2-1차"/>
    <n v="1"/>
    <s v="항공보안(FS)"/>
    <s v="DEF-00526"/>
    <s v="자동 계산일자에 대한 로직 확인 필요_x000a_날짜 수정 시 시작/종료에 대한 기간 일이 계산 되지만 일을 수정했을 때는 시작 또는 종료 일이 변경이 되지 않음. 그러다 보니 일을 수정하게 되면 입력된 시간/종료 의 기간과 다른 값을 저장할 수 있음."/>
    <s v="개발자테스트"/>
    <s v="임소정"/>
    <s v="임소정"/>
    <s v="3자테스터공통"/>
    <s v="Online"/>
    <s v="개선/변경"/>
    <s v="기타"/>
    <s v="결함등록기각"/>
    <s v=""/>
    <s v="Minor"/>
    <s v="결함등록기각"/>
    <d v="2026-04-29T17:24:20"/>
    <d v="2026-04-30T13:11:51"/>
    <s v="일수는 직접 입력하는 로직이 정상. 자동 계산은 추가 개선 기능임."/>
    <x v="0"/>
    <s v="기간 범위 처리"/>
    <s v="자동 계산일자에 대한 로직 확인 필요"/>
    <s v="자동 계산일자에 대한 로직 확인 필요 날짜 수정 시 시작/종료에 대한 기간 일이 계산 되지만 일을 수정했을 때는 시작 또는 종료 일이 변경이 되지 않음. 그러다 보니 일을 수정하게 되면 입력된 시간/종료 의 기간과 다른 값을 저장할 수 있음."/>
    <s v="기각사유: 일수는 직접 입력하는 로직이 정상. 자동 계산은 추가 개선 기능임. → 정상동작/스펙대로 성격으로 판단"/>
    <s v="정상동작/스펙대로"/>
    <s v="날짜 컴포넌트 표준화, 기준일자-운항일자 등 필드 매핑 점검 및 기간 가드 추가"/>
  </r>
  <r>
    <s v="UT-TabFrame(A)"/>
    <s v="1-1차"/>
    <n v="1"/>
    <s v="공통관리(AOMS-CA)"/>
    <s v="DEF-00533"/>
    <s v="화면 4개 Open 상태에서 상단 Tab 기능 우측의 &quot;3 Tile&quot;을 클릭하면.. 아래 화면처럼 Cascade 형태로 배치됨. 화면 3개와 4개 일때 다르게 동작함."/>
    <s v="개발자테스트"/>
    <s v="김명준"/>
    <s v="김태훈"/>
    <s v="3자테스터공통"/>
    <s v="Online"/>
    <s v="결함"/>
    <s v="UI"/>
    <s v="결함등록기각"/>
    <s v=""/>
    <s v="Minor"/>
    <s v="결함등록기각"/>
    <d v="2026-04-30T09:28:49"/>
    <d v="2026-04-30T09:42:13"/>
    <s v="해당 메뉴 분할 종류에 따라 (3~4)표현 되는 방식이 다른것은 정상입니다._x000a_"/>
    <x v="8"/>
    <s v="레이아웃/UI"/>
    <s v="화면 4개 Open 상태에서 상단 Tab 기능 우측의 &quot;3 Tile&quot;을 클릭하면.. 아래 화면처럼 Cas…"/>
    <s v="화면 4개 Open 상태에서 상단 Tab 기능 우측의 &quot;3 Tile&quot;을 클릭하면.. 아래 화면처럼 Cascade 형태로 배치됨. 화면 3개와 4개 일때 다르게 동작함."/>
    <s v="기각사유: 해당 메뉴 분할 종류에 따라 (3~4)표현 되는 방식이 다른것은 정상입니다. → 정상동작/스펙대로 성격으로 판단"/>
    <s v="정상동작/스펙대로"/>
    <s v="디자인 시스템(GNB/그리드/타이포) 준수 점검, 잘림·정렬 보정"/>
  </r>
  <r>
    <s v="UT-CASY005S(A)"/>
    <s v="1-1차"/>
    <n v="1"/>
    <s v="공통관리(AOMS-CA)"/>
    <s v="DEF-00535"/>
    <s v="파라미터 관리 화면 하단의 좌우 스크로바가 불필요한데.. 존재하며 기능 동작하지 않음"/>
    <s v="개발자테스트"/>
    <s v="김명준"/>
    <s v="정연준"/>
    <s v="3자테스터공통"/>
    <s v="Online"/>
    <s v="결함"/>
    <s v="UI"/>
    <s v="결함등록기각"/>
    <s v=""/>
    <s v="Minor"/>
    <s v="결함등록기각"/>
    <d v="2026-04-30T09:52:26"/>
    <d v="2026-04-30T10:14:12"/>
    <s v="화면 분할 후 사이즈 줄이면 화면 크기로 인해 스크롤 나타는 것은 정상입니다."/>
    <x v="5"/>
    <s v="기타 검토"/>
    <s v="파라미터 관리 화면 하단의 좌우 스크로바가 불필요한데.. 존재하며 기능 동작하지 않음"/>
    <s v="파라미터 관리 화면 하단의 좌우 스크로바가 불필요한데.. 존재하며 기능 동작하지 않음"/>
    <s v="기각사유: 화면 분할 후 사이즈 줄이면 화면 크기로 인해 스크롤 나타는 것은 정상입니다. → 정상동작/스펙대로 성격으로 판단"/>
    <s v="정상동작/스펙대로"/>
    <s v="담당 PL과 결함 성격 재정의 후 분류 보완"/>
  </r>
  <r>
    <s v="UT-CASY005S(A)"/>
    <s v="1-1차"/>
    <n v="1"/>
    <s v="공통관리(AOMS-CA)"/>
    <s v="DEF-00536"/>
    <s v="화면 크기 축소시 상단의 Search 버튼이 가려짐. 하단의 Save 버튼은 정상적으로 이동됨. 하단의 좌우 스크로에 의해 이동되지도 않음"/>
    <s v="개발자테스트"/>
    <s v="김명준"/>
    <s v="정연준"/>
    <s v="3자테스터공통"/>
    <s v="Online"/>
    <s v="결함"/>
    <s v="UI"/>
    <s v="결함등록기각"/>
    <s v=""/>
    <s v="Minor"/>
    <s v="결함등록기각"/>
    <d v="2026-04-30T09:57:58"/>
    <d v="2026-04-30T10:18:06"/>
    <s v="공통 퍼블로 화면 비율(마우스로) 작게 조정 시 상단 서치 부분과 하단 저장의 위치가 달라 안보이는 것은 정상입니다. (상단 메뉴로 인한 범위 설정 다름)"/>
    <x v="2"/>
    <s v="축/눈금 표시"/>
    <s v="화면 크기 축소시 상단의 Search 버튼이 가려짐. 하단의 Save 버튼은 정상적으로 이동됨. 하단의 …"/>
    <s v="화면 크기 축소시 상단의 Search 버튼이 가려짐. 하단의 Save 버튼은 정상적으로 이동됨. 하단의 좌우 스크로에 의해 이동되지도 않음"/>
    <s v="기각사유: 공통 퍼블로 화면 비율(마우스로) 작게 조정 시 상단 서치 부분과 하단 저장의 위치가 달라 안보이는 것은 정상입니다. (상… → 정상동작/스펙대로 성격으로 판단"/>
    <s v="정상동작/스펙대로"/>
    <s v="차트 공통 컴포넌트 점검, 무데이터 처리 및 축/범례 표준화"/>
  </r>
  <r>
    <s v="UT-FSEY070S"/>
    <s v="2-2차"/>
    <n v="1"/>
    <s v="항공보안(FS)"/>
    <s v="DEF-00545"/>
    <s v="[X_1] 29, 30, 31일이 없는 월에도 항상 일자와 요일이 표기되어 있음"/>
    <s v="개발자테스트"/>
    <s v="임소정"/>
    <s v="임소정"/>
    <s v="3자테스터공통"/>
    <s v="Online"/>
    <s v="결함"/>
    <s v="UI"/>
    <s v="결함등록기각"/>
    <s v=""/>
    <s v="Minor"/>
    <s v="결함등록기각"/>
    <d v="2026-04-30T10:58:17"/>
    <d v="2026-04-30T13:14:22"/>
    <s v="기존 로직 유지"/>
    <x v="0"/>
    <s v="날짜 표시/포맷"/>
    <s v="[X_1] 29, 30, 31일이 없는 월에도 항상 일자와 요일이 표기되어 있음"/>
    <s v="[X_1] 29, 30, 31일이 없는 월에도 항상 일자와 요일이 표기되어 있음"/>
    <s v="기각사유: 기존 로직 유지 → 기타 기각 성격으로 판단"/>
    <s v="기타 기각"/>
    <s v="날짜 컴포넌트 표준화, 기준일자-운항일자 등 필드 매핑 점검 및 기간 가드 추가"/>
  </r>
  <r>
    <s v="UT-CARF007S(A)"/>
    <s v="2-1차"/>
    <n v="1"/>
    <s v="공통관리(AOMS-CA)"/>
    <s v="DEF-00548"/>
    <s v="화면 일부 축소시 우측 상세 화면의 하단에 불필요한 좌우 스크롤 바가 나타남."/>
    <s v="개발자테스트"/>
    <s v="김명준"/>
    <s v="최민지"/>
    <s v="3자테스터공통"/>
    <s v="Online"/>
    <s v="결함"/>
    <s v="UI"/>
    <s v="결함등록기각"/>
    <s v=""/>
    <s v="Minor"/>
    <s v="결함등록기각"/>
    <d v="2026-04-30T11:09:25"/>
    <d v="2026-04-30T12:43:30"/>
    <s v="공통 퍼블로 창모드 -&gt; 화면크기는 화면의 메뉴 구성에 따라 크기 줄일 시 스크롤 생성되는 것은 정상입니다."/>
    <x v="2"/>
    <s v="축/눈금 표시"/>
    <s v="화면 일부 축소시 우측 상세 화면의 하단에 불필요한 좌우 스크롤 바가 나타남."/>
    <s v="화면 일부 축소시 우측 상세 화면의 하단에 불필요한 좌우 스크롤 바가 나타남."/>
    <s v="기각사유: 공통 퍼블로 창모드 -&gt; 화면크기는 화면의 메뉴 구성에 따라 크기 줄일 시 스크롤 생성되는 것은 정상입니다. → 정상동작/스펙대로 성격으로 판단"/>
    <s v="정상동작/스펙대로"/>
    <s v="차트 공통 컴포넌트 점검, 무데이터 처리 및 축/범례 표준화"/>
  </r>
  <r>
    <s v="UT-CARF019S(A)"/>
    <s v="2-1차"/>
    <n v="1"/>
    <s v="공통관리(AOMS-CA)"/>
    <s v="DEF-00550"/>
    <s v="1. 화면 배율 100%임에도 불구하고 하단의 “SAVE”버튼이 일부 잘려서 보여짐. (90%에서는 잘 보임, 110%에서는 더 가려짐) _x000a_ – 테스트환경(노트북(1920*1080) _x000a_ - 연결된 모니터에서는 100%에서는 잘 보임_x000a_※ 적정 화면 크기에 대한 합의가 있다면 패쓰.._x000a_  그러나, 노트북이라도 100%에서 잘리는게 보이면 조금...... _x000a_"/>
    <s v="개발자테스트"/>
    <s v="김명준"/>
    <s v="정연준"/>
    <s v="3자테스터공통"/>
    <s v="Online"/>
    <s v="개선/변경"/>
    <s v="UI"/>
    <s v="결함등록기각"/>
    <s v=""/>
    <s v="Minor"/>
    <s v="결함등록기각"/>
    <d v="2026-04-30T11:15:21"/>
    <d v="2026-04-30T12:50:22"/>
    <s v="공통 퍼블로 퍼블담당자에게 전달겠습니다._x000a_동일한 규격의 노트북 + 모니터에서 정상 표출 됩니다."/>
    <x v="8"/>
    <s v="폰트/크기"/>
    <s v="1. 화면 배율 100%임에도 불구하고 하단의 “SAVE”버튼이 일부 잘려서 보여짐. (90%에서는 잘 …"/>
    <s v="1. 화면 배율 100%임에도 불구하고 하단의 “SAVE”버튼이 일부 잘려서 보여짐. (90%에서는 잘 보임, 110%에서는 더 가려짐)   – 테스트환경(노트북(1920*1080)   - 연결된 모니터에서는 100%에서는 잘 보임 ※ 적정 화면 …"/>
    <s v="기각사유: 공통 퍼블로 퍼블담당자에게 전달겠습니다._x000a_동일한 규격의 노트북 + 모니터에서 정상 표출 됩니다. → 중복 성격으로 판단"/>
    <s v="중복"/>
    <s v="디자인 시스템(GNB/그리드/타이포) 준수 점검, 잘림·정렬 보정"/>
  </r>
  <r>
    <s v="UT-CARF012S(A)"/>
    <s v="2-1차"/>
    <n v="1"/>
    <s v="공통관리(AOMS-CA)"/>
    <s v="DEF-00551"/>
    <s v="조회 조건 입력 필드인 케로셀ID 또는 Exit ID 영역에 입력시.. 자판이 한글입력 모드에서는 키인해도 반응이 없음. 영문모드로 전환 후 입력하라든가.. 뭔가 안내 메시지가 필요함."/>
    <s v="개발자테스트"/>
    <s v="김명준"/>
    <s v="정연준"/>
    <s v="3자테스터공통"/>
    <s v="Online"/>
    <s v="개선/변경"/>
    <s v="UI"/>
    <s v="결함등록기각"/>
    <s v=""/>
    <s v="Minor"/>
    <s v="결함등록기각"/>
    <d v="2026-04-30T11:15:53"/>
    <d v="2026-04-30T12:45:04"/>
    <s v="해당기능 영문 입력만 가능한 메뉴이며, 한글 입력불가 등 메시지 표출 팝업 미사용으로 정상입니다."/>
    <x v="6"/>
    <s v="입력 문자 제한"/>
    <s v="조회 조건 입력 필드인 케로셀ID 또는 Exit ID 영역에 입력시.. 자판이 한글입력 모드에서는 키인해…"/>
    <s v="조회 조건 입력 필드인 케로셀ID 또는 Exit ID 영역에 입력시.. 자판이 한글입력 모드에서는 키인해도 반응이 없음. 영문모드로 전환 후 입력하라든가.. 뭔가 안내 메시지가 필요함."/>
    <s v="기각사유: 해당기능 영문 입력만 가능한 메뉴이며, 한글 입력불가 등 메시지 표출 팝업 미사용으로 정상입니다. → 정상동작/스펙대로 성격으로 판단"/>
    <s v="정상동작/스펙대로"/>
    <s v="프론트/백엔드 양측에 입력 유효성 검증 추가 및 공통 validator 적용"/>
  </r>
  <r>
    <s v="UT-CARF014S(A)"/>
    <s v="2-1차"/>
    <n v="1"/>
    <s v="공통관리(AOMS-CA)"/>
    <s v="DEF-00553"/>
    <s v="출구ID 조건 입력시.. 키보드가 한글 입력모드에서는 키인해도 반응이 없음. 영문모드로 키인하라던가 뭔가 메시지 필요할듯.."/>
    <s v="개발자테스트"/>
    <s v="김명준"/>
    <s v="정연준"/>
    <s v="3자테스터공통"/>
    <s v="Online"/>
    <s v="개선/변경"/>
    <s v="UI"/>
    <s v="결함등록기각"/>
    <s v=""/>
    <s v="Minor"/>
    <s v="결함등록기각"/>
    <d v="2026-04-30T11:29:24"/>
    <d v="2026-04-30T12:46:44"/>
    <s v="검색 메뉴별 한글/영어 검색 조건이 다르며, 해당 조건은 AS-IS 및 설계서 기반으로 되어 있어 정상입니다."/>
    <x v="6"/>
    <s v="입력 문자 제한"/>
    <s v="출구ID 조건 입력시.. 키보드가 한글 입력모드에서는 키인해도 반응이 없음. 영문모드로 키인하라던가 뭔가…"/>
    <s v="출구ID 조건 입력시.. 키보드가 한글 입력모드에서는 키인해도 반응이 없음. 영문모드로 키인하라던가 뭔가 메시지 필요할듯.."/>
    <s v="기각사유: 검색 메뉴별 한글/영어 검색 조건이 다르며, 해당 조건은 AS-IS 및 설계서 기반으로 되어 있어 정상입니다. → 정상동작/스펙대로 성격으로 판단"/>
    <s v="정상동작/스펙대로"/>
    <s v="프론트/백엔드 양측에 입력 유효성 검증 추가 및 공통 validator 적용"/>
  </r>
  <r>
    <s v="UT-CARF015S(A)"/>
    <s v="2-1차"/>
    <n v="1"/>
    <s v="공통관리(AOMS-CA)"/>
    <s v="DEF-00554"/>
    <s v="조회 조건 입력 필드인 IP는 숫자만 입력 가능하고.. 케로셀 번호 필드는 한글 입력 불가한 것을 키인할때.. 잘못 입력되면 안내되길 바람"/>
    <s v="개발자테스트"/>
    <s v="김명준"/>
    <s v="정연준"/>
    <s v="3자테스터공통"/>
    <s v="Online"/>
    <s v="개선/변경"/>
    <s v="UI"/>
    <s v="결함등록기각"/>
    <s v=""/>
    <s v="Minor"/>
    <s v="결함등록기각"/>
    <d v="2026-04-30T12:49:41"/>
    <d v="2026-04-30T12:53:55"/>
    <s v="검색 조건에 따라 영문/한글/숫자만 입력 되도록 되어 있습니다._x000a_별도의 메세지 표출 예정 없음 "/>
    <x v="6"/>
    <s v="입력 문자 제한"/>
    <s v="조회 조건 입력 필드인 IP는 숫자만 입력 가능하고.. 케로셀 번호 필드는 한글 입력 불가한 것을 키인할…"/>
    <s v="조회 조건 입력 필드인 IP는 숫자만 입력 가능하고.. 케로셀 번호 필드는 한글 입력 불가한 것을 키인할때.. 잘못 입력되면 안내되길 바람"/>
    <s v="기각사유: 검색 조건에 따라 영문/한글/숫자만 입력 되도록 되어 있습니다._x000a_별도의 메세지 표출 예정 없음 → 기타 기각 성격으로 판단"/>
    <s v="기타 기각"/>
    <s v="프론트/백엔드 양측에 입력 유효성 검증 추가 및 공통 validator 적용"/>
  </r>
  <r>
    <s v="UT-CARF017S(A)"/>
    <s v="2-1차"/>
    <n v="1"/>
    <s v="공통관리(AOMS-CA)"/>
    <s v="DEF-00555"/>
    <s v="조회 조건 입력 필드에 한글 입력 불가함을 키인 잘못할때 안내되길 바람"/>
    <s v="개발자테스트"/>
    <s v="김명준"/>
    <s v="정연준"/>
    <s v="3자테스터공통"/>
    <s v="Online"/>
    <s v="개선/변경"/>
    <s v="UI"/>
    <s v="결함등록기각"/>
    <s v=""/>
    <s v="Minor"/>
    <s v="결함등록기각"/>
    <d v="2026-04-30T12:52:23"/>
    <d v="2026-04-30T13:08:54"/>
    <s v="메뉴별 조회조건 다름 한글/영문/숫자 별도 안내 안함"/>
    <x v="4"/>
    <s v="조회 조건 처리"/>
    <s v="조회 조건 입력 필드에 한글 입력 불가함을 키인 잘못할때 안내되길 바람"/>
    <s v="조회 조건 입력 필드에 한글 입력 불가함을 키인 잘못할때 안내되길 바람"/>
    <s v="기각사유: 메뉴별 조회조건 다름 한글/영문/숫자 별도 안내 안함 → 기타 기각 성격으로 판단"/>
    <s v="기타 기각"/>
    <s v="조회 SQL/조건 매핑 재검토, 정렬·필터 기본값 정의서와 일치화"/>
  </r>
  <r>
    <s v="UT-CARF018S(A)"/>
    <s v="2-1차"/>
    <n v="1"/>
    <s v="공통관리(AOMS-CA)"/>
    <s v="DEF-00559"/>
    <s v="동일한 ICAO Code가 입력되어도 중복에러가 발생하지 않음(IATA Code와 ICAO Code는 중복되지 않아야하는 공항명칭 룰인지 확인 필요)"/>
    <s v="개발자테스트"/>
    <s v="김명준"/>
    <s v="정연준"/>
    <s v="3자테스터공통"/>
    <s v="Online"/>
    <s v="개선/변경"/>
    <s v="UI"/>
    <s v="결함등록기각"/>
    <s v=""/>
    <s v="Minor"/>
    <s v="결함등록기각"/>
    <d v="2026-04-30T13:07:28"/>
    <d v="2026-05-06T09:28:10"/>
    <s v="AS-IS 동일하게 IATA, ICAO Code 중복 체크를 하고 있어 정상입니다."/>
    <x v="12"/>
    <s v="용어/명칭 통일"/>
    <s v="동일한 ICAO Code가 입력되어도 중복에러가 발생하지 않음(IATA Code와 ICAO Code는 중…"/>
    <s v="동일한 ICAO Code가 입력되어도 중복에러가 발생하지 않음(IATA Code와 ICAO Code는 중복되지 않아야하는 공항명칭 룰인지 확인 필요)"/>
    <s v="기각사유: AS-IS 동일하게 IATA, ICAO Code 중복 체크를 하고 있어 정상입니다. → 중복 성격으로 판단"/>
    <s v="중복"/>
    <s v="용어집 기준으로 라벨 일괄 정비, 오타/표기 표준 적용"/>
  </r>
  <r>
    <s v="UT-FSEY050S"/>
    <s v="2-1차"/>
    <n v="1"/>
    <s v="항공보안(FS)"/>
    <s v="DEF-00561"/>
    <s v="검색조건 기간이 시작년월일 ~ 종료년월일 이지만 조회되는 내용은 종료년월일의 년에 대한 데이터를 조회 함._x000a_검색조건 조회기간에 대해 조정이 필요해 보임."/>
    <s v="개발자테스트"/>
    <s v="임소정"/>
    <s v="임소정"/>
    <s v="3자테스터공통"/>
    <s v="Online"/>
    <s v="개선/변경"/>
    <s v="기능"/>
    <s v="결함등록기각"/>
    <s v=""/>
    <s v="Minor"/>
    <s v="결함등록기각"/>
    <d v="2026-04-30T13:14:45"/>
    <d v="2026-05-06T16:40:06"/>
    <s v="현업 요구사항에 의한 변경이며 내용에 대한 문구 작성되어있음"/>
    <x v="0"/>
    <s v="기간 범위 처리"/>
    <s v="검색조건 기간이 시작년월일 ~ 종료년월일 이지만 조회되는 내용은 종료년월일의 년에 대한 데이터를 조회 함."/>
    <s v="검색조건 기간이 시작년월일 ~ 종료년월일 이지만 조회되는 내용은 종료년월일의 년에 대한 데이터를 조회 함. 검색조건 조회기간에 대해 조정이 필요해 보임."/>
    <s v="기각사유: 현업 요구사항에 의한 변경이며 내용에 대한 문구 작성되어있음 → 기타 기각 성격으로 판단"/>
    <s v="기타 기각"/>
    <s v="날짜 컴포넌트 표준화, 기준일자-운항일자 등 필드 매핑 점검 및 기간 가드 추가"/>
  </r>
  <r>
    <s v="UT-FSEY040S"/>
    <s v="2-1차"/>
    <n v="1"/>
    <s v="항공보안(FS)"/>
    <s v="DEF-00562"/>
    <s v="검색조건 기간이 시작년월일 ~ 종료년월일 이지만 조회되는 내용은 종료년월일의 년에 대한 데이터를 조회 함._x000a_검색조건 조회기간에 대해 조정이 필요해 보임."/>
    <s v="개발자테스트"/>
    <s v="임소정"/>
    <s v="임소정"/>
    <s v="3자테스터공통"/>
    <s v="Online"/>
    <s v="개선/변경"/>
    <s v="기능"/>
    <s v="결함등록기각"/>
    <s v=""/>
    <s v="Minor"/>
    <s v="결함등록기각"/>
    <d v="2026-04-30T13:16:32"/>
    <d v="2026-05-06T16:42:23"/>
    <s v="현업 요구사항에 의한 검색 조건 변경이 있었음. 해당 내용은 현업 요구사항임"/>
    <x v="0"/>
    <s v="기간 범위 처리"/>
    <s v="검색조건 기간이 시작년월일 ~ 종료년월일 이지만 조회되는 내용은 종료년월일의 년에 대한 데이터를 조회 함."/>
    <s v="검색조건 기간이 시작년월일 ~ 종료년월일 이지만 조회되는 내용은 종료년월일의 년에 대한 데이터를 조회 함. 검색조건 조회기간에 대해 조정이 필요해 보임."/>
    <s v="기각사유: 현업 요구사항에 의한 검색 조건 변경이 있었음. 해당 내용은 현업 요구사항임 → 기타 기각 성격으로 판단"/>
    <s v="기타 기각"/>
    <s v="날짜 컴포넌트 표준화, 기준일자-운항일자 등 필드 매핑 점검 및 기간 가드 추가"/>
  </r>
  <r>
    <s v="UT-FSQB080S"/>
    <s v="2-1차"/>
    <n v="1"/>
    <s v="항공보안(FS)"/>
    <s v="DEF-00563"/>
    <s v="[X_1] 같은 합계 성격의 column이지만, 기내반입 금지물품 적발 현황의 합계 셀은 색상이 설정되지 않음"/>
    <s v="개발자테스트"/>
    <s v="임소정"/>
    <s v="임소정"/>
    <s v="3자테스터공통"/>
    <s v="Online"/>
    <s v="개선/변경"/>
    <s v="UI"/>
    <s v="결함등록기각"/>
    <s v=""/>
    <s v="Minor"/>
    <s v="결함등록기각"/>
    <d v="2026-04-30T13:19:24"/>
    <d v="2026-05-06T16:26:36"/>
    <s v="보고서는 현업에서 협의한 내용이므로 별도의 요구사항이 존재하지 않으면 기존 UI를 유지하는게 요구사항임"/>
    <x v="8"/>
    <s v="색상/배경"/>
    <s v="[X_1] 같은 합계 성격의 column이지만, 기내반입 금지물품 적발 현황의 합계 셀은 색상이 설정되지…"/>
    <s v="[X_1] 같은 합계 성격의 column이지만, 기내반입 금지물품 적발 현황의 합계 셀은 색상이 설정되지 않음"/>
    <s v="기각사유: 보고서는 현업에서 협의한 내용이므로 별도의 요구사항이 존재하지 않으면 기존 UI를 유지하는게 요구사항임 → 협의/보류 성격으로 판단"/>
    <s v="협의/보류"/>
    <s v="디자인 시스템(GNB/그리드/타이포) 준수 점검, 잘림·정렬 보정"/>
  </r>
  <r>
    <s v="UT-CASY002S(A)"/>
    <s v="1-1차"/>
    <n v="1"/>
    <s v="공통관리(AOMS-CA)"/>
    <s v="DEF-00384"/>
    <s v="아래 화면처럼 Y/N 입력 영역과 Search 버튼이 겹침"/>
    <s v="개발자테스트"/>
    <s v="김명준"/>
    <s v="정연준"/>
    <s v="3자테스터공통"/>
    <s v="Online"/>
    <s v="결함"/>
    <s v="UI"/>
    <s v="결함등록기각"/>
    <s v=""/>
    <s v="Minor"/>
    <s v="결함등록기각"/>
    <d v="2026-04-28T15:42:03"/>
    <d v="2026-04-28T18:33:54"/>
    <s v="공통 퍼블(CSS)영역으로 담당자에게 해당 사항 전달하겠습니다._x000a_결함등록기각으로 변경처리함. "/>
    <x v="4"/>
    <s v="조회 조건 처리"/>
    <s v="아래 화면처럼 Y/N 입력 영역과 Search 버튼이 겹침"/>
    <s v="아래 화면처럼 Y/N 입력 영역과 Search 버튼이 겹침"/>
    <s v="기각사유: 공통 퍼블(CSS)영역으로 담당자에게 해당 사항 전달하겠습니다._x000a_결함등록기각으로 변경처리함. → 기타 기각 성격으로 판단"/>
    <s v="기타 기각"/>
    <s v="조회 SQL/조건 매핑 재검토, 정렬·필터 기본값 정의서와 일치화"/>
  </r>
  <r>
    <s v="UT-CASY002S(A)"/>
    <s v="1-1차"/>
    <n v="1"/>
    <s v="공통관리(AOMS-CA)"/>
    <s v="DEF-00386"/>
    <s v="우측 하단의 Save 버튼과 문자열 겹침"/>
    <s v="개발자테스트"/>
    <s v="김명준"/>
    <s v="정연준"/>
    <s v="3자테스터공통"/>
    <s v="Online"/>
    <s v="결함"/>
    <s v="UI"/>
    <s v="결함등록기각"/>
    <s v=""/>
    <s v="Minor"/>
    <s v="결함등록기각"/>
    <d v="2026-04-28T15:43:44"/>
    <d v="2026-04-28T18:34:15"/>
    <s v="공통 퍼블(CSS)영역으로 담당자에게 해당 사항 전달하겠습니다._x000a_결함등록기각으로 변경처리함. "/>
    <x v="8"/>
    <s v="텍스트 잘림/겹침"/>
    <s v="우측 하단의 Save 버튼과 문자열 겹침"/>
    <s v="우측 하단의 Save 버튼과 문자열 겹침"/>
    <s v="기각사유: 공통 퍼블(CSS)영역으로 담당자에게 해당 사항 전달하겠습니다._x000a_결함등록기각으로 변경처리함. → 기타 기각 성격으로 판단"/>
    <s v="기타 기각"/>
    <s v="디자인 시스템(GNB/그리드/타이포) 준수 점검, 잘림·정렬 보정"/>
  </r>
  <r>
    <s v="UT-CASY026S(A)"/>
    <s v="2-1차"/>
    <n v="1"/>
    <s v="공통관리(AOMS-CA)"/>
    <s v="DEF-00388"/>
    <s v="title은 최대 글자수를 초과시 입력 자체가 안되는데,_x000a_context는  글자수를 초과 입력이 허용되고 저장시 alert 이 뜸_x000a_"/>
    <s v="개발자테스트"/>
    <s v="김명준"/>
    <s v="정연준"/>
    <s v="3자테스터공통"/>
    <s v="Online"/>
    <s v="결함"/>
    <s v="프로세스"/>
    <s v="결함등록기각"/>
    <s v=""/>
    <s v="Critical"/>
    <s v="결함등록기각"/>
    <d v="2026-04-28T15:45:46"/>
    <d v="2026-04-30T09:31:46"/>
    <s v="헤당 글자수 입력할때마다 Bytes 관련_x000a_1차 Bytes 숫자료 사용자에게 알림_x000a_2차 저장시 Bytes 초가 알림으로 정상입니다."/>
    <x v="6"/>
    <s v="입력 길이 제한"/>
    <s v="title은 최대 글자수를 초과시 입력 자체가 안되는데,"/>
    <s v="title은 최대 글자수를 초과시 입력 자체가 안되는데, context는  글자수를 초과 입력이 허용되고 저장시 alert 이 뜸"/>
    <s v="기각사유: 헤당 글자수 입력할때마다 Bytes 관련_x000a_1차 Bytes 숫자료 사용자에게 알림_x000a_2차 저장시 Bytes 초가 알림으로 정상… → 정상동작/스펙대로 성격으로 판단"/>
    <s v="정상동작/스펙대로"/>
    <s v="프론트/백엔드 양측에 입력 유효성 검증 추가 및 공통 validator 적용"/>
  </r>
  <r>
    <s v="UT-CARF040S(A)"/>
    <s v="1-2차"/>
    <n v="1"/>
    <s v="공통관리(AOMS-CA)"/>
    <s v="DEF-00406"/>
    <s v="아이템 삭제가 진행되지 않습니다._x000a__x000a_List1, List2 동일._x000a_검색된 아이템을 포커스 한 후 - 버튼으로 삭제 선택을 하고 SAVE 버튼을 누르면 잠깐 체크한 아이템이 사라지는데 저장완료 ALERT 의 확인버튼을 누르면 다시 나타납니다. _x000a__x000a_DB 에서 삭제 처리가 제대로 안되는것 같습니다. "/>
    <s v="개발자테스트"/>
    <s v="김명준"/>
    <s v="김태훈"/>
    <s v="3자테스터공통"/>
    <s v="Online"/>
    <s v="결함"/>
    <s v="기능"/>
    <s v="결함등록기각"/>
    <s v=""/>
    <s v="Critical"/>
    <s v="결함등록기각"/>
    <d v="2026-04-28T17:28:18"/>
    <d v="2026-04-29T13:40:52"/>
    <s v="List 1, List 2 등 AOMS 에서 (-) 삭제선택 -&gt; Save시 데이터 지워졌다 다시 나타나는 상황은 AOMS는 삭제의 개념(DB 데이터삭제) 가 아닌 (-) 삭제선택 -&gt; Save시 Use Y/N 이 Y-&gt;N으로 변경되도록 하는 기능으로 정삭 작동입니다. "/>
    <x v="4"/>
    <s v="조회 조건 처리"/>
    <s v="아이템 삭제가 진행되지 않습니다."/>
    <s v="아이템 삭제가 진행되지 않습니다.  List1, List2 동일. 검색된 아이템을 포커스 한 후 - 버튼으로 삭제 선택을 하고 SAVE 버튼을 누르면 잠깐 체크한 아이템이 사라지는데 저장완료 ALERT 의 확인버튼을 누르면 다시 나타납니다.   D…"/>
    <s v="기각사유: List 1, List 2 등 AOMS 에서 (-) 삭제선택 -&gt; Save시 데이터 지워졌다 다시 나타나는 상황은 AOMS… → 기타 기각 성격으로 판단"/>
    <s v="기타 기각"/>
    <s v="조회 SQL/조건 매핑 재검토, 정렬·필터 기본값 정의서와 일치화"/>
  </r>
  <r>
    <s v="UT-PM20158S"/>
    <s v="2-2차"/>
    <n v="1"/>
    <s v="예측관리(PM)"/>
    <s v="DEF-00420"/>
    <s v="엑셀 저장 버튼 클릭시 그래프 비교 화면이 나타남._x000a_(엑셀 파일은 다운이 안됨)"/>
    <s v="개발자테스트"/>
    <s v="임소정"/>
    <s v="노세찬"/>
    <s v="3자테스터공통"/>
    <s v="Online"/>
    <s v="결함"/>
    <s v="기능"/>
    <s v="결함등록기각"/>
    <s v=""/>
    <s v="Major"/>
    <s v="결함등록기각"/>
    <d v="2026-04-28T18:02:58"/>
    <d v="2026-04-29T08:39:18"/>
    <s v="처리완료하였습니다. 개발서버 기준 (26년 04월 30일 오전에 확인가능합니다.)_x000a_DEF-00222 결함과 같은 내용이므로 기각합니다."/>
    <x v="1"/>
    <s v="엑셀 다운로드 오류"/>
    <s v="엑셀 저장 버튼 클릭시 그래프 비교 화면이 나타남."/>
    <s v="엑셀 저장 버튼 클릭시 그래프 비교 화면이 나타남. (엑셀 파일은 다운이 안됨)"/>
    <s v="기각사유: 처리완료하였습니다. 개발서버 기준 (26년 04월 30일 오전에 확인가능합니다.)_x000a_DEF-00222 결함과 같은 내용이므로… → 기타 기각 성격으로 판단"/>
    <s v="기타 기각"/>
    <s v="엑셀/PDF 공통 출력 모듈 점검, 컬럼 매핑·서식 검증 및 예외 처리"/>
  </r>
  <r>
    <s v="UT-PM20157S"/>
    <s v="2-2차"/>
    <n v="1"/>
    <s v="예측관리(PM)"/>
    <s v="DEF-00421"/>
    <s v="엑셀저장 버튼 클릭시 그래프 비교화면이 나타남(엑셀파일은 저장이 안됨)"/>
    <s v="개발자테스트"/>
    <s v="임소정"/>
    <s v="노세찬"/>
    <s v="3자테스터공통"/>
    <s v="Online"/>
    <s v="결함"/>
    <s v="기능"/>
    <s v="결함등록기각"/>
    <s v=""/>
    <s v="Major"/>
    <s v="결함등록기각"/>
    <d v="2026-04-28T18:03:57"/>
    <d v="2026-04-29T08:39:04"/>
    <s v="처리완료하였습니다. 개발서버 기준 (26년 04월 30일 오전에 확인가능합니다.)_x000a_DEF-00222 결함과 같은 내용이므로 기각합니다."/>
    <x v="1"/>
    <s v="엑셀 다운로드 오류"/>
    <s v="엑셀저장 버튼 클릭시 그래프 비교화면이 나타남(엑셀파일은 저장이 안됨)"/>
    <s v="엑셀저장 버튼 클릭시 그래프 비교화면이 나타남(엑셀파일은 저장이 안됨)"/>
    <s v="기각사유: 처리완료하였습니다. 개발서버 기준 (26년 04월 30일 오전에 확인가능합니다.)_x000a_DEF-00222 결함과 같은 내용이므로… → 기타 기각 성격으로 판단"/>
    <s v="기타 기각"/>
    <s v="엑셀/PDF 공통 출력 모듈 점검, 컬럼 매핑·서식 검증 및 예외 처리"/>
  </r>
  <r>
    <s v="UT-PM20156S"/>
    <s v="2-2차"/>
    <n v="1"/>
    <s v="예측관리(PM)"/>
    <s v="DEF-00422"/>
    <s v="엑셀저장 버튼 클릭시 그래프 비교 화면이 나타남.(엑셀파일은 저장 안됨)"/>
    <s v="개발자테스트"/>
    <s v="임소정"/>
    <s v="노세찬"/>
    <s v="3자테스터공통"/>
    <s v="Online"/>
    <s v="결함"/>
    <s v="기능"/>
    <s v="결함등록기각"/>
    <s v=""/>
    <s v="Major"/>
    <s v="결함등록기각"/>
    <d v="2026-04-28T18:04:43"/>
    <d v="2026-04-29T08:38:49"/>
    <s v="처리완료하였습니다. 개발서버 기준 (26년 04월 30일 오전에 확인가능합니다.)_x000a_DEF-00222 결함과 같은 내용이므로 기각합니다."/>
    <x v="1"/>
    <s v="엑셀 다운로드 오류"/>
    <s v="엑셀저장 버튼 클릭시 그래프 비교 화면이 나타남.(엑셀파일은 저장 안됨)"/>
    <s v="엑셀저장 버튼 클릭시 그래프 비교 화면이 나타남.(엑셀파일은 저장 안됨)"/>
    <s v="기각사유: 처리완료하였습니다. 개발서버 기준 (26년 04월 30일 오전에 확인가능합니다.)_x000a_DEF-00222 결함과 같은 내용이므로… → 기타 기각 성격으로 판단"/>
    <s v="기타 기각"/>
    <s v="엑셀/PDF 공통 출력 모듈 점검, 컬럼 매핑·서식 검증 및 예외 처리"/>
  </r>
  <r>
    <s v="UT-FSEX020S"/>
    <s v="2-1차"/>
    <n v="1"/>
    <s v="항공보안(FS)"/>
    <s v="DEF-00509"/>
    <s v="수정버튼을 눌러야 체크되어 있는 것이 보임. "/>
    <s v="개발자테스트"/>
    <s v="임소정"/>
    <s v="임소정"/>
    <s v="3자테스터공통"/>
    <s v="Online"/>
    <s v="결함"/>
    <s v="기능"/>
    <s v="조치요청"/>
    <s v="임소정"/>
    <s v="Major"/>
    <s v="조치요청"/>
    <d v="2026-04-29T15:57:14"/>
    <d v="2026-05-08T08:42:17"/>
    <s v=""/>
    <x v="11"/>
    <s v="버튼 동작 오류"/>
    <s v="수정버튼을 눌러야 체크되어 있는 것이 보임."/>
    <s v="수정버튼을 눌러야 체크되어 있는 것이 보임."/>
    <m/>
    <m/>
    <s v="버튼/상태 컴포넌트 표준 적용, 활성·비활성 조건 명세화"/>
  </r>
  <r>
    <s v="UT-FSEX021S"/>
    <s v="2-2차"/>
    <n v="1"/>
    <s v="항공보안(FS)"/>
    <s v="DEF-00122"/>
    <s v="-페이지번호 누락_x000a_-MS-WORD파일 출력 에러(용지크기 오류, 출력대상 오류)_x000a_-엑셀파일 출력(용지 확인, 1페이지-&gt; 2페이지 조정)_x000a_-다운로드받은 각 파일들 왼쪽에 쏠림현상(출력대상 내용이 많지만, 좌우 여백 고려할 필요-&gt;관련 기능이 있다면 좌측여백 조정 지원 필요) _x000a_-AOMS화면 프린터 클릭 출력후 화면에서 출력내용 없음."/>
    <s v="개발자테스트"/>
    <s v="임소정"/>
    <s v="임소정"/>
    <s v="3자테스터공통"/>
    <s v="Online"/>
    <s v="개선/변경"/>
    <s v="UI"/>
    <s v="조치요청"/>
    <s v="임소정"/>
    <s v="Minor"/>
    <s v="조치요청"/>
    <d v="2026-04-24T10:40:47"/>
    <d v="2026-04-29T16:00:46"/>
    <s v=""/>
    <x v="1"/>
    <s v="엑셀 다운로드 오류"/>
    <s v="-페이지번호 누락"/>
    <s v="-페이지번호 누락 -MS-WORD파일 출력 에러(용지크기 오류, 출력대상 오류) -엑셀파일 출력(용지 확인, 1페이지-&gt; 2페이지 조정) -다운로드받은 각 파일들 왼쪽에 쏠림현상(출력대상 내용이 많지만, 좌우 여백 고려할 필요-&gt;관련 기능이 있다면…"/>
    <m/>
    <m/>
    <s v="엑셀/PDF 공통 출력 모듈 점검, 컬럼 매핑·서식 검증 및 예외 처리"/>
  </r>
  <r>
    <s v="UT-FSEX019S"/>
    <s v="2-2차"/>
    <n v="1"/>
    <s v="항공보안(FS)"/>
    <s v="DEF-00113"/>
    <s v="-페이지 하단 페이지 번호 누락_x000a_-다운로드받은 엑셀파일 출력 용지 방향을 세로로 설정 필요(1페이지가 2페이지로 출력됨)_x000a_-AOMS화면내 출력내용의 왼편으로 쏠림(셀크기 조정 기능이 있다면 적용 필요)_x000a_-AOMS화면내 프린터 클릭후 출력내용이 안 보임._x000a_-AOMS 화면내 시기 선택 관련 다른 화면과 상이(다만, 본 화면은 년/월 선택조건)"/>
    <s v="개발자테스트"/>
    <s v="임소정"/>
    <s v="임소정"/>
    <s v="3자테스터공통"/>
    <s v="Online"/>
    <s v="개선/변경"/>
    <s v="UI"/>
    <s v="조치요청"/>
    <s v="임소정"/>
    <s v="Minor"/>
    <s v="조치요청"/>
    <d v="2026-04-24T09:37:43"/>
    <d v="2026-04-29T16:00:34"/>
    <s v=""/>
    <x v="1"/>
    <s v="엑셀 다운로드 오류"/>
    <s v="-페이지 하단 페이지 번호 누락"/>
    <s v="-페이지 하단 페이지 번호 누락 -다운로드받은 엑셀파일 출력 용지 방향을 세로로 설정 필요(1페이지가 2페이지로 출력됨) -AOMS화면내 출력내용의 왼편으로 쏠림(셀크기 조정 기능이 있다면 적용 필요) -AOMS화면내 프린터 클릭후 출력내용이 안 …"/>
    <m/>
    <m/>
    <s v="엑셀/PDF 공통 출력 모듈 점검, 컬럼 매핑·서식 검증 및 예외 처리"/>
  </r>
  <r>
    <s v="UT-CASY001S(A)"/>
    <s v="1-1차"/>
    <n v="1"/>
    <s v="공통관리(AOMS-CA)"/>
    <s v="DEF-00144"/>
    <s v="보여지는 Message List에는 없지만 데이터는 있을 경우 중복데이터 오류메시지가 아닌 서버오류 메시지가 나옵니다. "/>
    <s v="개발자테스트"/>
    <s v="김명준"/>
    <s v="정연준"/>
    <s v="3자테스터공통"/>
    <s v="Online"/>
    <s v="개선/변경"/>
    <s v="데이터"/>
    <s v="최종확인    "/>
    <s v=""/>
    <s v="Minor"/>
    <s v="최종확인    "/>
    <d v="2026-04-24T15:54:54"/>
    <d v="2026-04-29T16:24:52"/>
    <s v=""/>
    <x v="7"/>
    <s v="안내 메시지 부재"/>
    <s v="보여지는 Message List에는 없지만 데이터는 있을 경우 중복데이터 오류메시지가 아닌 서버오류 메시…"/>
    <s v="보여지는 Message List에는 없지만 데이터는 있을 경우 중복데이터 오류메시지가 아닌 서버오류 메시지가 나옵니다."/>
    <m/>
    <m/>
    <s v="UX 가이드라인에 따라 표준 안내·툴팁 문구 적용, 무데이터/오류 메시지 정비"/>
  </r>
  <r>
    <s v="UT-CASY014S(A)"/>
    <s v="1-1차"/>
    <n v="1"/>
    <s v="공통관리(AOMS-CA)"/>
    <s v="DEF-00150"/>
    <s v="보여지는 List에는 없지만 데이터는 있을 경우 중복데이터 오류메시지가 아닌 서버오류 메시지가 나옵니다._x000a__x000a_데이터 조회기능과 생성기능이 같이있는 페이지 경우 같은 오류가 나옵니다._x000a_이 이후 생기는 페이지는 결함으로 올리지 않겠습니다._x000a_같은 종류의 페이지 확인 부탁드립니다."/>
    <s v="개발자테스트"/>
    <s v="김명준"/>
    <s v="최민지"/>
    <s v="3자테스터공통"/>
    <s v="Online"/>
    <s v="결함"/>
    <s v="데이터"/>
    <s v="최종확인    "/>
    <s v=""/>
    <s v="Minor"/>
    <s v="최종확인    "/>
    <d v="2026-04-24T17:00:51"/>
    <d v="2026-04-30T10:21:13"/>
    <s v=""/>
    <x v="4"/>
    <s v="조회 조건 처리"/>
    <s v="보여지는 List에는 없지만 데이터는 있을 경우 중복데이터 오류메시지가 아닌 서버오류 메시지가 나옵니다."/>
    <s v="보여지는 List에는 없지만 데이터는 있을 경우 중복데이터 오류메시지가 아닌 서버오류 메시지가 나옵니다.  데이터 조회기능과 생성기능이 같이있는 페이지 경우 같은 오류가 나옵니다. 이 이후 생기는 페이지는 결함으로 올리지 않겠습니다. 같은 종류의 …"/>
    <m/>
    <m/>
    <s v="조회 SQL/조건 매핑 재검토, 정렬·필터 기본값 정의서와 일치화"/>
  </r>
  <r>
    <s v="UT-CASY006S(A)"/>
    <s v="1-2차"/>
    <n v="1"/>
    <s v="공통관리(AOMS-CA)"/>
    <s v="DEF-00380"/>
    <s v="아래의 첫화면에서 아래로 스크롤하면.. 내용만 스크롤 되지 않고.. 화면 전체가 올라가서.. 상단 Search 버튼은 사라지고.. 하단의 Save 버튼은 함께 따라 올라옴"/>
    <s v="개발자테스트"/>
    <s v="김명준"/>
    <s v="정연준"/>
    <s v="3자테스터공통"/>
    <s v="Online"/>
    <s v="결함"/>
    <s v="UI"/>
    <s v="최종확인    "/>
    <s v=""/>
    <s v="Minor"/>
    <s v="최종확인    "/>
    <d v="2026-04-28T15:37:19"/>
    <d v="2026-04-29T13:21:41"/>
    <s v=""/>
    <x v="4"/>
    <s v="조회 조건 처리"/>
    <s v="아래의 첫화면에서 아래로 스크롤하면.. 내용만 스크롤 되지 않고.. 화면 전체가 올라가서.. 상단 Sea…"/>
    <s v="아래의 첫화면에서 아래로 스크롤하면.. 내용만 스크롤 되지 않고.. 화면 전체가 올라가서.. 상단 Search 버튼은 사라지고.. 하단의 Save 버튼은 함께 따라 올라옴"/>
    <m/>
    <m/>
    <s v="조회 SQL/조건 매핑 재검토, 정렬·필터 기본값 정의서와 일치화"/>
  </r>
  <r>
    <s v="UT-CAMN002M(A)"/>
    <s v="1-2차"/>
    <n v="1"/>
    <s v="공통관리(AOMS-CA)"/>
    <s v="DEF-00096"/>
    <s v="로그인중 OTP 인증 불가로 테스트 진행 불가"/>
    <s v="개발자테스트"/>
    <s v="김명준"/>
    <s v="정연준"/>
    <s v="3자테스터공통"/>
    <s v="Online"/>
    <s v="개선/변경"/>
    <s v="UI"/>
    <s v="최종확인    "/>
    <s v=""/>
    <s v="Minor"/>
    <s v="최종확인    "/>
    <d v="2026-04-23T15:19:41"/>
    <d v="2026-04-30T10:05:13"/>
    <s v=""/>
    <x v="13"/>
    <s v="권한/노출 제어"/>
    <s v="로그인중 OTP 인증 불가로 테스트 진행 불가"/>
    <s v="로그인중 OTP 인증 불가로 테스트 진행 불가"/>
    <m/>
    <m/>
    <s v="권한 매트릭스 재확인, 메뉴/버튼 노출 규칙 일치화"/>
  </r>
  <r>
    <s v="UT-CASY010S(A)"/>
    <s v="1-2차"/>
    <n v="1"/>
    <s v="공통관리(AOMS-CA)"/>
    <s v="DEF-00125"/>
    <s v="검색창에서 검색을 하지 않은 상태에서는 중복데이터 알림이 나오지만_x000a_검색 후 추가를 하면 아래 이미지와 같은 오류메시지가 나옵니다."/>
    <s v="개발자테스트"/>
    <s v="김명준"/>
    <s v="최민지"/>
    <s v="3자테스터공통"/>
    <s v="Online"/>
    <s v="개선/변경"/>
    <s v="UI"/>
    <s v="최종확인    "/>
    <s v=""/>
    <s v="Minor"/>
    <s v="최종확인    "/>
    <d v="2026-04-24T11:22:40"/>
    <d v="2026-04-29T10:05:36"/>
    <s v=""/>
    <x v="4"/>
    <s v="조회 조건 처리"/>
    <s v="검색창에서 검색을 하지 않은 상태에서는 중복데이터 알림이 나오지만"/>
    <s v="검색창에서 검색을 하지 않은 상태에서는 중복데이터 알림이 나오지만 검색 후 추가를 하면 아래 이미지와 같은 오류메시지가 나옵니다."/>
    <m/>
    <m/>
    <s v="조회 SQL/조건 매핑 재검토, 정렬·필터 기본값 정의서와 일치화"/>
  </r>
  <r>
    <s v="UT-CARF037S(A)"/>
    <s v="1-1차"/>
    <n v="1"/>
    <s v="공통관리(AOMS-CA)"/>
    <s v="DEF-00265"/>
    <s v="공통코드관리 에 해당하는 메뉴를 찾을 수 없습니다. _x000a_영문 메뉴 경로 필요."/>
    <s v="개발자테스트"/>
    <s v="김명준"/>
    <s v="김태훈"/>
    <s v="3자테스터공통"/>
    <s v="Online"/>
    <s v="결함"/>
    <s v="기능"/>
    <s v="최종확인    "/>
    <s v=""/>
    <s v="Major"/>
    <s v="최종확인    "/>
    <d v="2026-04-27T17:48:45"/>
    <d v="2026-04-29T14:33:07"/>
    <s v=""/>
    <x v="6"/>
    <s v="입력 문자 제한"/>
    <s v="공통코드관리 에 해당하는 메뉴를 찾을 수 없습니다."/>
    <s v="공통코드관리 에 해당하는 메뉴를 찾을 수 없습니다.  영문 메뉴 경로 필요."/>
    <m/>
    <m/>
    <s v="프론트/백엔드 양측에 입력 유효성 검증 추가 및 공통 validator 적용"/>
  </r>
  <r>
    <s v="UT-PM10103S"/>
    <s v="2-1차"/>
    <n v="1"/>
    <s v="예측관리(PM)"/>
    <s v="DEF-00235"/>
    <s v="화면의 첫 째 필드에 커셔가 Set focus되어 있지 않음."/>
    <s v="개발자테스트"/>
    <s v="임소정"/>
    <s v="pmtbd2"/>
    <s v="3자테스터공통"/>
    <s v="Online"/>
    <s v="개선/변경"/>
    <s v="UI"/>
    <s v="최종확인    "/>
    <s v=""/>
    <s v="Minor"/>
    <s v="최종확인    "/>
    <d v="2026-04-27T17:14:13"/>
    <d v="2026-05-06T17:53:21"/>
    <s v=""/>
    <x v="9"/>
    <s v="개선/변경 요청"/>
    <s v="화면의 첫 째 필드에 커셔가 Set focus되어 있지 않음."/>
    <s v="화면의 첫 째 필드에 커셔가 Set focus되어 있지 않음."/>
    <m/>
    <m/>
    <s v="차기 반영 일감으로 등록 후 우선순위 협의, 정책 가이드 반영"/>
  </r>
  <r>
    <s v="UT-CAMN015M(A)"/>
    <s v="1-1차"/>
    <n v="1"/>
    <s v="공통관리(AOMS-CA)"/>
    <s v="DEF-00230"/>
    <s v="파일첨부  팝업 메뉴를 찾을 수가 없음."/>
    <s v="개발자테스트"/>
    <s v="김명준"/>
    <s v="정연준"/>
    <s v="3자테스터공통"/>
    <s v="Online"/>
    <s v="결함"/>
    <s v="기능"/>
    <s v="최종확인    "/>
    <s v=""/>
    <s v="Major"/>
    <s v="최종확인    "/>
    <d v="2026-04-27T17:05:19"/>
    <d v="2026-04-29T17:10:27"/>
    <s v=""/>
    <x v="7"/>
    <s v="안내 메시지 부재"/>
    <s v="파일첨부  팝업 메뉴를 찾을 수가 없음."/>
    <s v="파일첨부  팝업 메뉴를 찾을 수가 없음."/>
    <m/>
    <m/>
    <s v="UX 가이드라인에 따라 표준 안내·툴팁 문구 적용, 무데이터/오류 메시지 정비"/>
  </r>
  <r>
    <s v="UT-CAMN014M(A)"/>
    <s v="1-1차"/>
    <n v="1"/>
    <s v="공통관리(AOMS-CA)"/>
    <s v="DEF-00523"/>
    <s v="Company Type readonly로 막아놓을꺼면 빈칸으로 남겨두거나, 삭제하면 좋을것 같습니다"/>
    <s v="개발자테스트"/>
    <s v="김명준"/>
    <s v="정연준"/>
    <s v="3자테스터공통"/>
    <s v="Online"/>
    <s v="개선/변경"/>
    <s v="기능"/>
    <s v="확인요청"/>
    <s v="3자테스터공통"/>
    <s v="Minor"/>
    <s v="확인대기"/>
    <d v="2026-04-29T17:08:43"/>
    <d v="2026-05-06T09:24:59"/>
    <s v=""/>
    <x v="9"/>
    <s v="개선/변경 요청"/>
    <s v="Company Type readonly로 막아놓을꺼면 빈칸으로 남겨두거나, 삭제하면 좋을것 같습니다"/>
    <s v="Company Type readonly로 막아놓을꺼면 빈칸으로 남겨두거나, 삭제하면 좋을것 같습니다"/>
    <m/>
    <m/>
    <s v="차기 반영 일감으로 등록 후 우선순위 협의, 정책 가이드 반영"/>
  </r>
  <r>
    <s v="UT-CASY002S(A)"/>
    <s v="1-1차"/>
    <n v="1"/>
    <s v="공통관리(AOMS-CA)"/>
    <s v="DEF-00528"/>
    <s v="program descripton validator 걸렸을때 undefined의 길이라고 뜹니다"/>
    <s v="개발자테스트"/>
    <s v="김명준"/>
    <s v="정연준"/>
    <s v="3자테스터공통"/>
    <s v="Online"/>
    <s v="결함"/>
    <s v="UI"/>
    <s v="확인요청"/>
    <s v="3자테스터공통"/>
    <s v="Minor"/>
    <s v="확인대기"/>
    <d v="2026-04-29T17:48:17"/>
    <d v="2026-05-06T09:25:56"/>
    <s v=""/>
    <x v="6"/>
    <s v="입력값 유효성"/>
    <s v="program descripton validator 걸렸을때 undefined의 길이라고 뜹니다"/>
    <s v="program descripton validator 걸렸을때 undefined의 길이라고 뜹니다"/>
    <m/>
    <m/>
    <s v="프론트/백엔드 양측에 입력 유효성 검증 추가 및 공통 validator 적용"/>
  </r>
  <r>
    <s v="UT-FSEX080M"/>
    <s v="2-2차"/>
    <n v="1"/>
    <s v="항공보안(FS)"/>
    <s v="DEF-00529"/>
    <s v="[X_1] 필수 필드들 중, '탐지/식별 구분', '운항통제', '단계' 필드에는 양식에 나열된 값 뿐 아니라 '해당없음' 항목도 입력 가능하므로 양식에도 이를 반영하면 좋을 것 같습니다."/>
    <s v="개발자테스트"/>
    <s v="임소정"/>
    <s v="임소정"/>
    <s v="3자테스터공통"/>
    <s v="Online"/>
    <s v="개선/변경"/>
    <s v="UI"/>
    <s v="확인요청"/>
    <s v="3자테스터공통"/>
    <s v="Minor"/>
    <s v="확인대기"/>
    <d v="2026-04-29T17:49:29"/>
    <d v="2026-05-07T19:22:57"/>
    <s v=""/>
    <x v="6"/>
    <s v="필수 입력 누락"/>
    <s v="[X_1] 필수 필드들 중, '탐지/식별 구분', '운항통제', '단계' 필드에는 양식에 나열된 값 뿐 …"/>
    <s v="[X_1] 필수 필드들 중, '탐지/식별 구분', '운항통제', '단계' 필드에는 양식에 나열된 값 뿐 아니라 '해당없음' 항목도 입력 가능하므로 양식에도 이를 반영하면 좋을 것 같습니다."/>
    <m/>
    <m/>
    <s v="프론트/백엔드 양측에 입력 유효성 검증 추가 및 공통 validator 적용"/>
  </r>
  <r>
    <s v="UT-FSEX070S"/>
    <s v="2-1차"/>
    <n v="1"/>
    <s v="항공보안(FS)"/>
    <s v="DEF-00543"/>
    <s v="이미지 미리보기 팝업에서 닫기 버튼 위치 조정을 하여 가로스크로 제거 피료"/>
    <s v="개발자테스트"/>
    <s v="임소정"/>
    <s v="임소정"/>
    <s v="3자테스터공통"/>
    <s v="Online"/>
    <s v="개선/변경"/>
    <s v="UI"/>
    <s v="확인요청"/>
    <s v="3자테스터공통"/>
    <s v="Minor"/>
    <s v="확인대기"/>
    <d v="2026-04-30T10:54:11"/>
    <d v="2026-05-07T19:40:15"/>
    <s v=""/>
    <x v="7"/>
    <s v="메시지 표시"/>
    <s v="이미지 미리보기 팝업에서 닫기 버튼 위치 조정을 하여 가로스크로 제거 피료"/>
    <s v="이미지 미리보기 팝업에서 닫기 버튼 위치 조정을 하여 가로스크로 제거 피료"/>
    <m/>
    <m/>
    <s v="UX 가이드라인에 따라 표준 안내·툴팁 문구 적용, 무데이터/오류 메시지 정비"/>
  </r>
  <r>
    <s v="UT-CARF004S(A)"/>
    <s v="2-2차"/>
    <n v="1"/>
    <s v="공통관리(AOMS-CA)"/>
    <s v="DEF-00703"/>
    <s v="시작, 종료 일자 안내 메시자 나오지만 입력 가능하고 저장도 처리 됨."/>
    <s v="개발자테스트"/>
    <s v="김명준"/>
    <s v="최민지"/>
    <s v="3자테스터공통"/>
    <s v="Online"/>
    <s v="개선/변경"/>
    <s v="기능"/>
    <s v="확인요청"/>
    <s v="3자테스터공통"/>
    <s v="Major"/>
    <s v="확인대기"/>
    <d v="2026-05-06T11:12:08"/>
    <d v="2026-05-07T10:48:15"/>
    <s v=""/>
    <x v="0"/>
    <s v="날짜 표시/포맷"/>
    <s v="시작, 종료 일자 안내 메시자 나오지만 입력 가능하고 저장도 처리 됨."/>
    <s v="시작, 종료 일자 안내 메시자 나오지만 입력 가능하고 저장도 처리 됨."/>
    <m/>
    <m/>
    <s v="날짜 컴포넌트 표준화, 기준일자-운항일자 등 필드 매핑 점검 및 기간 가드 추가"/>
  </r>
  <r>
    <s v="UT-CARF004S(A)"/>
    <s v="2-2차"/>
    <n v="1"/>
    <s v="공통관리(AOMS-CA)"/>
    <s v="DEF-00704"/>
    <s v="입력된 건은 - 삭제 처리가 안됨."/>
    <s v="개발자테스트"/>
    <s v="김명준"/>
    <s v="최민지"/>
    <s v="3자테스터공통"/>
    <s v="Online"/>
    <s v="개선/변경"/>
    <s v="기능"/>
    <s v="확인요청"/>
    <s v="3자테스터공통"/>
    <s v="Major"/>
    <s v="확인대기"/>
    <d v="2026-05-06T11:14:22"/>
    <d v="2026-05-07T10:49:28"/>
    <s v=""/>
    <x v="9"/>
    <s v="개선/변경 요청"/>
    <s v="입력된 건은 - 삭제 처리가 안됨."/>
    <s v="입력된 건은 - 삭제 처리가 안됨."/>
    <m/>
    <m/>
    <s v="차기 반영 일감으로 등록 후 우선순위 협의, 정책 가이드 반영"/>
  </r>
  <r>
    <s v="UT-PM10304S"/>
    <s v="2-3차"/>
    <n v="1"/>
    <s v="예측관리(PM)"/>
    <s v="DEF-00003"/>
    <s v="데이터가 없어서 테스트가 불가합니다."/>
    <s v="개발자테스트"/>
    <s v="임소정"/>
    <s v="pmtbd2"/>
    <s v="3자테스터공통"/>
    <s v="Online"/>
    <s v="결함"/>
    <s v="데이터"/>
    <s v="확인요청"/>
    <s v="3자테스터공통"/>
    <s v="Major"/>
    <s v="확인대기"/>
    <d v="2026-04-22T11:08:35"/>
    <d v="2026-04-27T13:35:27"/>
    <s v=""/>
    <x v="3"/>
    <s v="데이터 정합성"/>
    <s v="데이터가 없어서 테스트가 불가합니다."/>
    <s v="데이터가 없어서 테스트가 불가합니다."/>
    <m/>
    <m/>
    <s v="원천 데이터-화면 매핑 재검증, 집계 로직 단위 테스트 보강"/>
  </r>
  <r>
    <s v="UT-FSEX018S"/>
    <s v="2-2차"/>
    <n v="1"/>
    <s v="항공보안(FS)"/>
    <s v="DEF-00111"/>
    <s v="엑셀 파일 화면 및 출력화면 하단에 페이지번호 누락_x000a_이전 &quot;훈련현황 조회&quot; 와 마찬가지로 AOMS화면내 프린터 클릭시 출력할 내용이 안 보임"/>
    <s v="개발자테스트"/>
    <s v="임소정"/>
    <s v="임소정"/>
    <s v="3자테스터공통"/>
    <s v="Online"/>
    <s v="개선/변경"/>
    <s v="UI"/>
    <s v="확인요청"/>
    <s v="3자테스터공통"/>
    <s v="Minor"/>
    <s v="확인대기"/>
    <d v="2026-04-24T09:30:49"/>
    <d v="2026-05-06T16:52:53"/>
    <s v=""/>
    <x v="1"/>
    <s v="엑셀 다운로드 오류"/>
    <s v="엑셀 파일 화면 및 출력화면 하단에 페이지번호 누락"/>
    <s v="엑셀 파일 화면 및 출력화면 하단에 페이지번호 누락 이전 &quot;훈련현황 조회&quot; 와 마찬가지로 AOMS화면내 프린터 클릭시 출력할 내용이 안 보임"/>
    <m/>
    <m/>
    <s v="엑셀/PDF 공통 출력 모듈 점검, 컬럼 매핑·서식 검증 및 예외 처리"/>
  </r>
  <r>
    <s v="UT-CASY008S(A)"/>
    <s v="1-1차"/>
    <n v="1"/>
    <s v="공통관리(AOMS-CA)"/>
    <s v="DEF-00148"/>
    <s v="보여지는 List에는 없지만 데이터는 있을 경우 중복데이터 오류메시지가 아닌 서버오류 메시지가 나옵니다. "/>
    <s v="개발자테스트"/>
    <s v="김명준"/>
    <s v="정연준"/>
    <s v="3자테스터공통"/>
    <s v="Online"/>
    <s v="결함"/>
    <s v="데이터"/>
    <s v="확인요청"/>
    <s v="3자테스터공통"/>
    <s v="Minor"/>
    <s v="확인대기"/>
    <d v="2026-04-24T16:50:04"/>
    <d v="2026-04-28T12:42:14"/>
    <s v=""/>
    <x v="7"/>
    <s v="안내 메시지 부재"/>
    <s v="보여지는 List에는 없지만 데이터는 있을 경우 중복데이터 오류메시지가 아닌 서버오류 메시지가 나옵니다."/>
    <s v="보여지는 List에는 없지만 데이터는 있을 경우 중복데이터 오류메시지가 아닌 서버오류 메시지가 나옵니다."/>
    <m/>
    <m/>
    <s v="UX 가이드라인에 따라 표준 안내·툴팁 문구 적용, 무데이터/오류 메시지 정비"/>
  </r>
  <r>
    <s v="UT-PM10201S"/>
    <s v="2-2차"/>
    <n v="1"/>
    <s v="예측관리(PM)"/>
    <s v="DEF-00191"/>
    <s v="해당 메뉴가 없습니다."/>
    <s v="개발자테스트"/>
    <s v="임소정"/>
    <s v="pmtbd1"/>
    <s v="3자테스터공통"/>
    <s v="Online"/>
    <s v="결함"/>
    <s v="기능"/>
    <s v="결함등록기각"/>
    <s v="3자테스터공통"/>
    <s v="Critical"/>
    <s v="확인대기"/>
    <d v="2026-04-27T14:20:48"/>
    <d v="2026-04-29T07:34:47"/>
    <s v="UT-PM10201S 입국장 운영시간 설정 관리_x000a_UT-PM10202S 입국장 운영시간 조회_x000a_UT-PM10203S 출국장 운영시간 설정 관리_x000a_UT-PM10204S 출국장 운영시간 조회_x000a_UT-PM10205S 환승장 운영시간 설정 관리_x000a_UT-PM10206S 환승장 운영시간 조회_x000a__x000a_메뉴들은 UT-PM10201S 운영시간설정관리, UT-PM10202S 운영시간조회 메뉴로 통합되었습니다."/>
    <x v="5"/>
    <s v="기타 검토"/>
    <s v="해당 메뉴가 없습니다."/>
    <s v="해당 메뉴가 없습니다."/>
    <s v="기각사유: UT-PM10201S 입국장 운영시간 설정 관리_x000a_UT-PM10202S 입국장 운영시간 조회_x000a_UT-PM10203S 출국장 운… → 기타 기각 성격으로 판단"/>
    <s v="기타 기각"/>
    <s v="담당 PL과 결함 성격 재정의 후 분류 보완"/>
  </r>
  <r>
    <s v="UT-PM10101S"/>
    <s v="2-1차"/>
    <n v="1"/>
    <s v="예측관리(PM)"/>
    <s v="DEF-00237"/>
    <s v="화면의 첫 째 필드(날짜)에 커셔가 Set focus되어 있지 않음. "/>
    <s v="개발자테스트"/>
    <s v="임소정"/>
    <s v="신문호"/>
    <s v="3자테스터공통"/>
    <s v="Online"/>
    <s v="개선/변경"/>
    <s v="UI"/>
    <s v="확인요청"/>
    <s v="3자테스터공통"/>
    <s v="Minor"/>
    <s v="확인대기"/>
    <d v="2026-04-27T17:15:15"/>
    <d v="2026-04-29T08:04:35"/>
    <s v=""/>
    <x v="0"/>
    <s v="날짜 표시/포맷"/>
    <s v="화면의 첫 째 필드(날짜)에 커셔가 Set focus되어 있지 않음."/>
    <s v="화면의 첫 째 필드(날짜)에 커셔가 Set focus되어 있지 않음."/>
    <m/>
    <m/>
    <s v="날짜 컴포넌트 표준화, 기준일자-운항일자 등 필드 매핑 점검 및 기간 가드 추가"/>
  </r>
  <r>
    <s v="UT-CASY028S(A)"/>
    <s v="1-1차"/>
    <n v="1"/>
    <s v="공통관리(AOMS-CA)"/>
    <s v="DEF-00252"/>
    <s v="역할그룹관리 에 해당하는 메뉴를 찾을 수가 없음. _x000a_접근 경로명 정보 필요. "/>
    <s v="개발자테스트"/>
    <s v="김명준"/>
    <s v="최민지"/>
    <s v="3자테스터공통"/>
    <s v="Online"/>
    <s v="결함"/>
    <s v="기능"/>
    <s v="확인요청"/>
    <s v="3자테스터공통"/>
    <s v="Major"/>
    <s v="확인대기"/>
    <d v="2026-04-27T17:21:05"/>
    <d v="2026-04-28T12:52:18"/>
    <s v=""/>
    <x v="13"/>
    <s v="권한/노출 제어"/>
    <s v="역할그룹관리 에 해당하는 메뉴를 찾을 수가 없음."/>
    <s v="역할그룹관리 에 해당하는 메뉴를 찾을 수가 없음.  접근 경로명 정보 필요."/>
    <m/>
    <m/>
    <s v="권한 매트릭스 재확인, 메뉴/버튼 노출 규칙 일치화"/>
  </r>
  <r>
    <s v="UT-GO11101S"/>
    <s v="1-2차"/>
    <n v="1"/>
    <s v="공항운영(GO)"/>
    <s v="DEF-00280"/>
    <s v="오타 같습니다. "/>
    <s v="개발자테스트"/>
    <s v="신문호"/>
    <s v="김경준"/>
    <s v="3자테스터공통"/>
    <s v="Online"/>
    <s v="개선/변경"/>
    <s v="기타"/>
    <s v="확인요청"/>
    <s v="3자테스터공통"/>
    <s v="Minor"/>
    <s v="확인대기"/>
    <d v="2026-04-28T10:20:13"/>
    <d v="2026-04-30T15:11:03"/>
    <s v=""/>
    <x v="12"/>
    <s v="오타"/>
    <s v="오타 같습니다."/>
    <s v="오타 같습니다."/>
    <m/>
    <m/>
    <s v="용어집 기준으로 라벨 일괄 정비, 오타/표기 표준 적용"/>
  </r>
  <r>
    <s v="UT-FSQA050S"/>
    <s v="1-1차"/>
    <n v="1"/>
    <s v="항공보안(FS)"/>
    <s v="DEF-00318"/>
    <s v="화면 로딩시 아래와 같은 오류가 뜸. _x000a_(포기물품 정보의 근무지가 근무지 자회사 매핑정보와 일치하는 데이터가 없습니다.)"/>
    <s v="개발자테스트"/>
    <s v="임소정"/>
    <s v="임소정"/>
    <s v="3자테스터공통"/>
    <s v="Online"/>
    <s v="결함"/>
    <s v="기능"/>
    <s v="확인요청"/>
    <s v="3자테스터공통"/>
    <s v="Minor"/>
    <s v="확인대기"/>
    <d v="2026-04-28T13:36:17"/>
    <d v="2026-05-07T19:09:32"/>
    <s v=""/>
    <x v="10"/>
    <s v="시스템 오류/예외"/>
    <s v="화면 로딩시 아래와 같은 오류가 뜸."/>
    <s v="화면 로딩시 아래와 같은 오류가 뜸.  (포기물품 정보의 근무지가 근무지 자회사 매핑정보와 일치하는 데이터가 없습니다.)"/>
    <m/>
    <m/>
    <s v="전역 에러 핸들러 점검, 사용자 친화적 오류 메시지 노출"/>
  </r>
  <r>
    <s v="UT-CAMN005M(A)"/>
    <s v="1-2차"/>
    <n v="1"/>
    <s v="공통관리(AOMS-CA)"/>
    <s v="DEF-00467"/>
    <s v="최초로그인 계정 알려주시면 그떄 다시 테스트 해보겠습니다!"/>
    <s v="개발자테스트"/>
    <s v="김명준"/>
    <s v="정연준"/>
    <s v="3자테스터공통"/>
    <s v="Online"/>
    <s v="신규"/>
    <s v="기타"/>
    <s v="확인요청"/>
    <s v="3자테스터공통"/>
    <s v="Minor"/>
    <s v="확인대기"/>
    <d v="2026-04-29T13:52:50"/>
    <d v="2026-04-29T18:40:39"/>
    <s v=""/>
    <x v="13"/>
    <s v="권한/노출 제어"/>
    <s v="최초로그인 계정 알려주시면 그떄 다시 테스트 해보겠습니다!"/>
    <s v="최초로그인 계정 알려주시면 그떄 다시 테스트 해보겠습니다!"/>
    <m/>
    <m/>
    <s v="권한 매트릭스 재확인, 메뉴/버튼 노출 규칙 일치화"/>
  </r>
  <r>
    <s v="UT-FSEX020S"/>
    <s v="2-1차"/>
    <n v="1"/>
    <s v="항공보안(FS)"/>
    <s v="DEF-00504"/>
    <s v="최대 입려값 확인 필요"/>
    <s v="개발자테스트"/>
    <s v="임소정"/>
    <s v="임소정"/>
    <s v="3자테스터공통"/>
    <s v="Online"/>
    <s v="결함"/>
    <s v="기능"/>
    <s v="확인요청"/>
    <s v="3자테스터공통"/>
    <s v="Critical"/>
    <s v="확인대기"/>
    <d v="2026-04-29T15:46:18"/>
    <d v="2026-05-08T08:39:57"/>
    <s v=""/>
    <x v="3"/>
    <s v="데이터 정합성"/>
    <s v="최대 입려값 확인 필요"/>
    <s v="최대 입려값 확인 필요"/>
    <m/>
    <m/>
    <s v="원천 데이터-화면 매핑 재검증, 집계 로직 단위 테스트 보강"/>
  </r>
  <r>
    <s v="UT-FSEX020S"/>
    <s v="2-1차"/>
    <n v="1"/>
    <s v="항공보안(FS)"/>
    <s v="DEF-00505"/>
    <s v="최대 입력값 확인 필요"/>
    <s v="개발자테스트"/>
    <s v="임소정"/>
    <s v="임소정"/>
    <s v="3자테스터공통"/>
    <s v="Online"/>
    <s v="결함"/>
    <s v="기능"/>
    <s v="확인요청"/>
    <s v="3자테스터공통"/>
    <s v="Critical"/>
    <s v="확인대기"/>
    <d v="2026-04-29T15:47:02"/>
    <d v="2026-05-08T08:41:02"/>
    <s v=""/>
    <x v="3"/>
    <s v="데이터 정합성"/>
    <s v="최대 입력값 확인 필요"/>
    <s v="최대 입력값 확인 필요"/>
    <m/>
    <m/>
    <s v="원천 데이터-화면 매핑 재검증, 집계 로직 단위 테스트 보강"/>
  </r>
  <r>
    <s v="UT-FSEX020S"/>
    <s v="2-1차"/>
    <n v="1"/>
    <s v="항공보안(FS)"/>
    <s v="DEF-00507"/>
    <s v="최대 입력값 확인 필요"/>
    <s v="개발자테스트"/>
    <s v="임소정"/>
    <s v="임소정"/>
    <s v="3자테스터공통"/>
    <s v="Online"/>
    <s v="결함"/>
    <s v="기능"/>
    <s v="확인요청"/>
    <s v="3자테스터공통"/>
    <s v="Critical"/>
    <s v="확인대기"/>
    <d v="2026-04-29T15:49:36"/>
    <d v="2026-05-08T08:41:37"/>
    <s v=""/>
    <x v="3"/>
    <s v="데이터 정합성"/>
    <s v="최대 입력값 확인 필요"/>
    <s v="최대 입력값 확인 필요"/>
    <m/>
    <m/>
    <s v="원천 데이터-화면 매핑 재검증, 집계 로직 단위 테스트 보강"/>
  </r>
  <r>
    <s v="UT-CASY033S(A)"/>
    <s v="1-1차"/>
    <n v="1"/>
    <s v="공통관리(AOMS-CA)"/>
    <s v="DEF-00511"/>
    <s v="데이터가 0인 상태에서 Count 영역을 지운후 Save치면 변경된 내용이 없다는 alert가 표시"/>
    <s v="개발자테스트"/>
    <s v="김명준"/>
    <s v="최민지"/>
    <s v="3자테스터공통"/>
    <s v="Online"/>
    <s v="결함"/>
    <s v="기능"/>
    <s v="확인요청"/>
    <s v="3자테스터공통"/>
    <s v="Minor"/>
    <s v="확인대기"/>
    <d v="2026-04-29T16:03:50"/>
    <d v="2026-05-06T09:26:21"/>
    <s v=""/>
    <x v="7"/>
    <s v="안내 메시지 부재"/>
    <s v="데이터가 0인 상태에서 Count 영역을 지운후 Save치면 변경된 내용이 없다는 alert가 표시"/>
    <s v="데이터가 0인 상태에서 Count 영역을 지운후 Save치면 변경된 내용이 없다는 alert가 표시"/>
    <m/>
    <m/>
    <s v="UX 가이드라인에 따라 표준 안내·툴팁 문구 적용, 무데이터/오류 메시지 정비"/>
  </r>
  <r>
    <s v="UT-FSEX080S"/>
    <s v="2-2차"/>
    <n v="1"/>
    <s v="항공보안(FS)"/>
    <s v="DEF-00524"/>
    <s v="[S_9] '시간(b-a)' 필드는 세부내용의 하위 필드가 아닌 탐지/식별 시간의 하위 필드이기 때문에 셀 병합이 잘못되었음."/>
    <s v="개발자테스트"/>
    <s v="임소정"/>
    <s v="임소정"/>
    <s v="3자테스터공통"/>
    <s v="Online"/>
    <s v="결함"/>
    <s v="UI"/>
    <s v="확인요청"/>
    <s v="3자테스터공통"/>
    <s v="Minor"/>
    <s v="확인대기"/>
    <d v="2026-04-29T17:09:42"/>
    <d v="2026-05-07T19:23:27"/>
    <s v=""/>
    <x v="5"/>
    <s v="기타 검토"/>
    <s v="[S_9] '시간(b-a)' 필드는 세부내용의 하위 필드가 아닌 탐지/식별 시간의 하위 필드이기 때문에 …"/>
    <s v="[S_9] '시간(b-a)' 필드는 세부내용의 하위 필드가 아닌 탐지/식별 시간의 하위 필드이기 때문에 셀 병합이 잘못되었음."/>
    <m/>
    <m/>
    <s v="담당 PL과 결함 성격 재정의 후 분류 보완"/>
  </r>
  <r>
    <s v="UT-TitleFrame(A)"/>
    <s v="1-1차"/>
    <n v="1"/>
    <s v="공통관리(AOMS-CA)"/>
    <s v="DEF-00525"/>
    <s v="X버튼의 미동작입니다. X버튼은 무슨 기능을 하는건가요? "/>
    <s v="개발자테스트"/>
    <s v="김명준"/>
    <s v="김태훈"/>
    <s v="3자테스터공통"/>
    <s v="Online"/>
    <s v="결함"/>
    <s v="기능"/>
    <s v="확인요청"/>
    <s v="3자테스터공통"/>
    <s v="Minor"/>
    <s v="확인대기"/>
    <d v="2026-04-29T17:22:44"/>
    <d v="2026-04-30T08:45:20"/>
    <s v=""/>
    <x v="11"/>
    <s v="버튼 동작 오류"/>
    <s v="X버튼의 미동작입니다. X버튼은 무슨 기능을 하는건가요?"/>
    <s v="X버튼의 미동작입니다. X버튼은 무슨 기능을 하는건가요?"/>
    <m/>
    <m/>
    <s v="버튼/상태 컴포넌트 표준 적용, 활성·비활성 조건 명세화"/>
  </r>
  <r>
    <s v="UT-CARF010S(A)"/>
    <s v="2-2차"/>
    <n v="1"/>
    <s v="공통관리(AOMS-CA)"/>
    <s v="DEF-00527"/>
    <s v="1. 화면에서 CCTY → CCTV로 변경 필요_x000a_-&gt;엑셀에서는 CCTV로 입력되어 있음._x000a_"/>
    <s v="개발자테스트"/>
    <s v="김명준"/>
    <s v="최민지"/>
    <s v="3자테스터공통"/>
    <s v="Online"/>
    <s v="개선/변경"/>
    <s v="UI"/>
    <s v="확인요청"/>
    <s v="3자테스터공통"/>
    <s v="Minor"/>
    <s v="확인대기"/>
    <d v="2026-04-29T17:27:51"/>
    <d v="2026-04-30T10:53:58"/>
    <s v=""/>
    <x v="1"/>
    <s v="엑셀 다운로드 오류"/>
    <s v="1. 화면에서 CCTY → CCTV로 변경 필요"/>
    <s v="1. 화면에서 CCTY → CCTV로 변경 필요 -&gt;엑셀에서는 CCTV로 입력되어 있음."/>
    <m/>
    <m/>
    <s v="엑셀/PDF 공통 출력 모듈 점검, 컬럼 매핑·서식 검증 및 예외 처리"/>
  </r>
  <r>
    <s v="UT-FSEX080M"/>
    <s v="2-2차"/>
    <n v="1"/>
    <s v="항공보안(FS)"/>
    <s v="DEF-00531"/>
    <s v="[X_2] '세부내용' 누락"/>
    <s v="개발자테스트"/>
    <s v="임소정"/>
    <s v="임소정"/>
    <s v="3자테스터공통"/>
    <s v="Online"/>
    <s v="개선/변경"/>
    <s v="UI"/>
    <s v="확인요청"/>
    <s v="3자테스터공통"/>
    <s v="Minor"/>
    <s v="확인대기"/>
    <d v="2026-04-29T17:56:44"/>
    <d v="2026-05-07T19:22:43"/>
    <s v=""/>
    <x v="9"/>
    <s v="개선/변경 요청"/>
    <s v="[X_2] '세부내용' 누락"/>
    <s v="[X_2] '세부내용' 누락"/>
    <m/>
    <m/>
    <s v="차기 반영 일감으로 등록 후 우선순위 협의, 정책 가이드 반영"/>
  </r>
  <r>
    <s v="UT-FSEY040S"/>
    <s v="2-1차"/>
    <n v="1"/>
    <s v="항공보안(FS)"/>
    <s v="DEF-00568"/>
    <s v="-점검 현황 자료와 점검 상세현황 조회 자료간 불일치_x000a_-점검 상세현황조회에는 조회기간이 없음._x000a_"/>
    <s v="개발자테스트"/>
    <s v="임소정"/>
    <s v="임소정"/>
    <s v="3자테스터공통"/>
    <s v="Online"/>
    <s v="결함"/>
    <s v="기능"/>
    <s v="확인요청"/>
    <s v="3자테스터공통"/>
    <s v="Critical"/>
    <s v="확인대기"/>
    <d v="2026-04-30T14:23:50"/>
    <d v="2026-05-08T08:52:54"/>
    <s v=""/>
    <x v="0"/>
    <s v="기간 범위 처리"/>
    <s v="-점검 현황 자료와 점검 상세현황 조회 자료간 불일치"/>
    <s v="-점검 현황 자료와 점검 상세현황 조회 자료간 불일치 -점검 상세현황조회에는 조회기간이 없음."/>
    <m/>
    <m/>
    <s v="날짜 컴포넌트 표준화, 기준일자-운항일자 등 필드 매핑 점검 및 기간 가드 추가"/>
  </r>
  <r>
    <s v="UT-GO12101S"/>
    <s v="2-1차"/>
    <n v="1"/>
    <s v="공항운영(GO)"/>
    <s v="DEF-00482"/>
    <s v="&quot;4. 노선별 실적&quot; 조회시 오류발생함"/>
    <s v="개발자테스트"/>
    <s v="신문호"/>
    <s v="박정구"/>
    <s v="3자테스터공통"/>
    <s v="Online"/>
    <s v="결함"/>
    <s v="기능"/>
    <s v="확인요청"/>
    <s v="3자테스터공통"/>
    <s v="Major"/>
    <s v="확인대기"/>
    <d v="2026-04-29T14:49:10"/>
    <d v="2026-04-30T17:28:08"/>
    <s v=""/>
    <x v="4"/>
    <s v="조회 조건 처리"/>
    <s v="&quot;4. 노선별 실적&quot; 조회시 오류발생함"/>
    <s v="&quot;4. 노선별 실적&quot; 조회시 오류발생함"/>
    <m/>
    <m/>
    <s v="조회 SQL/조건 매핑 재검토, 정렬·필터 기본값 정의서와 일치화"/>
  </r>
  <r>
    <s v="UT-GO11601S"/>
    <s v="1-2차"/>
    <n v="1"/>
    <s v="공항운영(GO)"/>
    <s v="DEF-00213"/>
    <s v="하단 그리드 조회 조건에 맞는 데이터 없음 2022-09-20 ~ 2022-09-30"/>
    <s v="개발자테스트"/>
    <s v="신문호"/>
    <s v="김경준"/>
    <s v="3자테스터공통"/>
    <s v="Online"/>
    <s v="결함"/>
    <s v="데이터"/>
    <s v="확인요청"/>
    <s v="3자테스터공통"/>
    <s v="Minor"/>
    <s v="확인대기"/>
    <d v="2026-04-27T15:29:35"/>
    <d v="2026-04-30T15:47:16"/>
    <s v=""/>
    <x v="4"/>
    <s v="조회 조건 처리"/>
    <s v="하단 그리드 조회 조건에 맞는 데이터 없음 2022-09-20 ~ 2022-09-30"/>
    <s v="하단 그리드 조회 조건에 맞는 데이터 없음 2022-09-20 ~ 2022-09-30"/>
    <m/>
    <m/>
    <s v="조회 SQL/조건 매핑 재검토, 정렬·필터 기본값 정의서와 일치화"/>
  </r>
  <r>
    <s v="UT-GO12304M"/>
    <s v="1-1차"/>
    <n v="1"/>
    <s v="공항운영(GO)"/>
    <s v="DEF-00266"/>
    <s v="그룹명 입력에 길이 제한이 있는것같기는 하나, 최대치 입력 후 저장을 누르면 오류가 납니다. "/>
    <s v="개발자테스트"/>
    <s v="신문호"/>
    <s v="김경준"/>
    <s v="3자테스터공통"/>
    <s v="Online"/>
    <s v="개선/변경"/>
    <s v="기타"/>
    <s v="확인요청"/>
    <s v="3자테스터공통"/>
    <s v="Minor"/>
    <s v="확인대기"/>
    <d v="2026-04-27T17:50:25"/>
    <d v="2026-05-06T11:28:36"/>
    <s v=""/>
    <x v="10"/>
    <s v="시스템 오류/예외"/>
    <s v="그룹명 입력에 길이 제한이 있는것같기는 하나, 최대치 입력 후 저장을 누르면 오류가 납니다."/>
    <s v="그룹명 입력에 길이 제한이 있는것같기는 하나, 최대치 입력 후 저장을 누르면 오류가 납니다."/>
    <m/>
    <m/>
    <s v="전역 에러 핸들러 점검, 사용자 친화적 오류 메시지 노출"/>
  </r>
  <r>
    <s v="UT-GO12305M"/>
    <s v="1-1차"/>
    <n v="1"/>
    <s v="공항운영(GO)"/>
    <s v="DEF-00267"/>
    <s v="그룹명 입력에 길이 제한이 있는것같기는 하나, 최대치 입력 후 저장을 누르면 오류가 납니다."/>
    <s v="개발자테스트"/>
    <s v="신문호"/>
    <s v="김경준"/>
    <s v="3자테스터공통"/>
    <s v="Online"/>
    <s v="개선/변경"/>
    <s v="기타"/>
    <s v="확인요청"/>
    <s v="3자테스터공통"/>
    <s v="Minor"/>
    <s v="확인대기"/>
    <d v="2026-04-27T17:51:59"/>
    <d v="2026-05-06T11:37:44"/>
    <s v=""/>
    <x v="10"/>
    <s v="시스템 오류/예외"/>
    <s v="그룹명 입력에 길이 제한이 있는것같기는 하나, 최대치 입력 후 저장을 누르면 오류가 납니다."/>
    <s v="그룹명 입력에 길이 제한이 있는것같기는 하나, 최대치 입력 후 저장을 누르면 오류가 납니다."/>
    <m/>
    <m/>
    <s v="전역 에러 핸들러 점검, 사용자 친화적 오류 메시지 노출"/>
  </r>
  <r>
    <s v="UT-PM20156S"/>
    <s v="2-2차"/>
    <n v="1"/>
    <s v="예측관리(PM)"/>
    <s v="DEF-00307"/>
    <s v="기준일자 선택이 필수조건이 아님."/>
    <s v="개발자테스트"/>
    <s v="임소정"/>
    <s v="노세찬"/>
    <s v="3자테스터공통"/>
    <s v="Online"/>
    <s v="개선/변경"/>
    <s v="기능"/>
    <s v="확인요청"/>
    <s v="3자테스터공통"/>
    <s v="Minor"/>
    <s v="확인대기"/>
    <d v="2026-04-28T13:01:58"/>
    <d v="2026-04-29T09:37:27"/>
    <s v=""/>
    <x v="0"/>
    <s v="기준일자/조회일자 불일치"/>
    <s v="기준일자 선택이 필수조건이 아님."/>
    <s v="기준일자 선택이 필수조건이 아님."/>
    <m/>
    <m/>
    <s v="날짜 컴포넌트 표준화, 기준일자-운항일자 등 필드 매핑 점검 및 기간 가드 추가"/>
  </r>
  <r>
    <s v="UT-CASY003S(A)"/>
    <s v="1-1차"/>
    <n v="1"/>
    <s v="공통관리(AOMS-CA)"/>
    <s v="DEF-00343"/>
    <s v="프로그램 관리에서 프로그램 id는 영문+숫자만 입력 가능한데,_x000a_메유 관리에서 프로그램은 국문 입력이 돔"/>
    <s v="개발자테스트"/>
    <s v="김명준"/>
    <s v="최민지"/>
    <s v="3자테스터공통"/>
    <s v="Online"/>
    <s v="결함"/>
    <s v="기능"/>
    <s v="확인요청"/>
    <s v="3자테스터공통"/>
    <s v="Major"/>
    <s v="확인대기"/>
    <d v="2026-04-28T14:32:43"/>
    <d v="2026-04-29T19:12:27"/>
    <s v=""/>
    <x v="6"/>
    <s v="입력 문자 제한"/>
    <s v="프로그램 관리에서 프로그램 id는 영문+숫자만 입력 가능한데,"/>
    <s v="프로그램 관리에서 프로그램 id는 영문+숫자만 입력 가능한데, 메유 관리에서 프로그램은 국문 입력이 돔"/>
    <m/>
    <m/>
    <s v="프론트/백엔드 양측에 입력 유효성 검증 추가 및 공통 validator 적용"/>
  </r>
  <r>
    <s v="UT-FSEY070S"/>
    <s v="2-2차"/>
    <n v="1"/>
    <s v="항공보안(FS)"/>
    <s v="DEF-00129"/>
    <s v="- AOMS프린터버튼클릭후출력내용없음_x000a_-문서 하단 페이지번호 누락_x000a_- 워드파일 출력화면에 문서의 일부출력. &amp; 페이지종류가 &quot;사용자 지정&quot;_x000a_- 엑셀파일 출력화면 화면 분할됨. &amp; 페이지 종류가 &quot;Letter&quot;로 지정됨"/>
    <s v="개발자테스트"/>
    <s v="임소정"/>
    <s v="임소정"/>
    <s v="3자테스터공통"/>
    <s v="Online"/>
    <s v="개선/변경"/>
    <s v="UI"/>
    <s v="확인요청"/>
    <s v="3자테스터공통"/>
    <s v="Major"/>
    <s v="확인대기"/>
    <d v="2026-04-24T13:26:18"/>
    <d v="2026-05-08T08:54:02"/>
    <s v=""/>
    <x v="1"/>
    <s v="엑셀 다운로드 오류"/>
    <s v="- AOMS프린터버튼클릭후출력내용없음"/>
    <s v="- AOMS프린터버튼클릭후출력내용없음 -문서 하단 페이지번호 누락 - 워드파일 출력화면에 문서의 일부출력. &amp; 페이지종류가 &quot;사용자 지정&quot; - 엑셀파일 출력화면 화면 분할됨. &amp; 페이지 종류가 &quot;Letter&quot;로 지정됨"/>
    <m/>
    <m/>
    <s v="엑셀/PDF 공통 출력 모듈 점검, 컬럼 매핑·서식 검증 및 예외 처리"/>
  </r>
  <r>
    <s v="UT-CAMN001S(A)"/>
    <s v="1-1차"/>
    <n v="1"/>
    <s v="공통관리(AOMS-CA)"/>
    <s v="DEF-00365"/>
    <s v="비밀번호 유효일이 적용된 계정, 사번 계정 등을 모르겠어서 테스트가 불가능합니다..혹시라도 알려주시면 다시 테스트해보겠습니다"/>
    <s v="개발자테스트"/>
    <s v="김명준"/>
    <s v="정연준"/>
    <s v="3자테스터공통"/>
    <s v="Online"/>
    <s v="개선/변경"/>
    <s v="프로세스"/>
    <s v="확인요청"/>
    <s v="3자테스터공통"/>
    <s v="Minor"/>
    <s v="확인대기"/>
    <d v="2026-04-28T15:07:03"/>
    <d v="2026-04-28T18:23:43"/>
    <s v=""/>
    <x v="9"/>
    <s v="개선/변경 요청"/>
    <s v="비밀번호 유효일이 적용된 계정, 사번 계정 등을 모르겠어서 테스트가 불가능합니다..혹시라도 알려주시면 다…"/>
    <s v="비밀번호 유효일이 적용된 계정, 사번 계정 등을 모르겠어서 테스트가 불가능합니다..혹시라도 알려주시면 다시 테스트해보겠습니다"/>
    <m/>
    <m/>
    <s v="차기 반영 일감으로 등록 후 우선순위 협의, 정책 가이드 반영"/>
  </r>
  <r>
    <s v="UT-FSQA210S"/>
    <s v="1-2차"/>
    <n v="1"/>
    <s v="항공보안(FS)"/>
    <s v="DEF-00675"/>
    <s v="등록된 승객 정보에 남 여 구분되어 있는데.. 목록에는 승객 성별 나타나지 않음."/>
    <s v="개발자테스트"/>
    <s v="임소정"/>
    <s v="임소정"/>
    <s v="3자테스터공통"/>
    <s v="Online"/>
    <s v="결함"/>
    <s v="기능"/>
    <s v="확인요청"/>
    <s v="3자테스터공통"/>
    <s v="Minor"/>
    <s v="확인대기"/>
    <d v="2026-05-04T17:45:23"/>
    <d v="2026-05-08T09:05:58"/>
    <s v=""/>
    <x v="5"/>
    <s v="기타 검토"/>
    <s v="등록된 승객 정보에 남 여 구분되어 있는데.. 목록에는 승객 성별 나타나지 않음."/>
    <s v="등록된 승객 정보에 남 여 구분되어 있는데.. 목록에는 승객 성별 나타나지 않음."/>
    <m/>
    <m/>
    <s v="담당 PL과 결함 성격 재정의 후 분류 보완"/>
  </r>
  <r>
    <s v="UT-CARF004S(A)"/>
    <s v="2-2차"/>
    <n v="1"/>
    <s v="공통관리(AOMS-CA)"/>
    <s v="DEF-00693"/>
    <s v="수정 시 오류 뜸. 최대 입력값 확인 필요."/>
    <s v="개발자테스트"/>
    <s v="김명준"/>
    <s v="최민지"/>
    <s v="3자테스터공통"/>
    <s v="Online"/>
    <s v="결함"/>
    <s v="기능"/>
    <s v="확인요청"/>
    <s v="3자테스터공통"/>
    <s v="Critical"/>
    <s v="확인대기"/>
    <d v="2026-05-06T10:43:36"/>
    <d v="2026-05-07T10:47:29"/>
    <s v=""/>
    <x v="10"/>
    <s v="시스템 오류/예외"/>
    <s v="수정 시 오류 뜸. 최대 입력값 확인 필요."/>
    <s v="수정 시 오류 뜸. 최대 입력값 확인 필요."/>
    <m/>
    <m/>
    <s v="전역 에러 핸들러 점검, 사용자 친화적 오류 메시지 노출"/>
  </r>
  <r>
    <s v="UT-CARF006S(A)"/>
    <s v="2-2차"/>
    <n v="1"/>
    <s v="공통관리(AOMS-CA)"/>
    <s v="DEF-00718"/>
    <s v="정상 조회 후 조회 값이 없는 조회조건 입력 후 잔존해 있는 데이터 수정 후 저장하면 오류 발생"/>
    <s v="개발자테스트"/>
    <s v="김명준"/>
    <s v="최민지"/>
    <s v="3자테스터공통"/>
    <s v="Online"/>
    <s v="결함"/>
    <s v="기능"/>
    <s v="확인요청"/>
    <s v="3자테스터공통"/>
    <s v="Critical"/>
    <s v="확인대기"/>
    <d v="2026-05-06T14:54:47"/>
    <d v="2026-05-07T10:50:56"/>
    <s v=""/>
    <x v="4"/>
    <s v="조회 조건 처리"/>
    <s v="정상 조회 후 조회 값이 없는 조회조건 입력 후 잔존해 있는 데이터 수정 후 저장하면 오류 발생"/>
    <s v="정상 조회 후 조회 값이 없는 조회조건 입력 후 잔존해 있는 데이터 수정 후 저장하면 오류 발생"/>
    <m/>
    <m/>
    <s v="조회 SQL/조건 매핑 재검토, 정렬·필터 기본값 정의서와 일치화"/>
  </r>
  <r>
    <s v="UT-FSQA052S"/>
    <s v="1-1차"/>
    <n v="1"/>
    <s v="항공보안(FS)"/>
    <s v="DEF-00363"/>
    <s v="단위테스트 6. 행추가 후 저장은 되나 포기물품리스트에 업데이트 안됨 전,후 사진 참조                                                                                  단위테스트 7. 행 내용 수정후 저장은 되나 데이터 변경 안됨, 사진 전후 참조"/>
    <s v="개발자테스트"/>
    <s v="임소정"/>
    <s v="임소정"/>
    <s v="3자테스터공통"/>
    <s v="Online"/>
    <s v="개선/변경"/>
    <s v="기능"/>
    <s v="확인요청"/>
    <s v="3자테스터공통"/>
    <s v="Minor"/>
    <s v="확인대기"/>
    <d v="2026-04-28T15:03:57"/>
    <d v="2026-05-07T19:09:52"/>
    <s v=""/>
    <x v="3"/>
    <s v="데이터 정합성"/>
    <s v="단위테스트 6. 행추가 후 저장은 되나 포기물품리스트에 업데이트 안됨 전,후 사진 참조          …"/>
    <s v="단위테스트 6. 행추가 후 저장은 되나 포기물품리스트에 업데이트 안됨 전,후 사진 참조                                                                                  단위테스트 7.…"/>
    <m/>
    <m/>
    <s v="원천 데이터-화면 매핑 재검증, 집계 로직 단위 테스트 보강"/>
  </r>
  <r>
    <s v="UT-CARF011S(A)"/>
    <s v="2-2차"/>
    <n v="1"/>
    <s v="공통관리(AOMS-CA)"/>
    <s v="DEF-00744"/>
    <s v="0.24 와 같이 1 미만의 소수점으로 입력 시 .24 식으로 앞에 0이 보이지 않음."/>
    <s v="개발자테스트"/>
    <s v="김명준"/>
    <s v="최민지"/>
    <s v="3자테스터공통"/>
    <s v="Online"/>
    <s v="개선/변경"/>
    <s v="데이터"/>
    <s v="확인요청"/>
    <s v="3자테스터공통"/>
    <s v="Major"/>
    <s v="확인대기"/>
    <d v="2026-05-06T17:09:50"/>
    <d v="2026-05-07T10:53:58"/>
    <s v=""/>
    <x v="9"/>
    <s v="개선/변경 요청"/>
    <s v="0.24 와 같이 1 미만의 소수점으로 입력 시 .24 식으로 앞에 0이 보이지 않음."/>
    <s v="0.24 와 같이 1 미만의 소수점으로 입력 시 .24 식으로 앞에 0이 보이지 않음."/>
    <m/>
    <m/>
    <s v="차기 반영 일감으로 등록 후 우선순위 협의, 정책 가이드 반영"/>
  </r>
  <r>
    <s v="UT-FSQB080S"/>
    <s v="2-1차"/>
    <n v="1"/>
    <s v="항공보안(FS)"/>
    <s v="DEF-00479"/>
    <s v="PDF 로 저장 시 줄내림으로 되어 있는 금액 짤림._x000a_월의 열 크기를 조정 또는 다들 방법을 활용하여 줄내림 되는 금액 열에 대한 열 크기 조절 필요."/>
    <s v="개발자테스트"/>
    <s v="임소정"/>
    <s v="임소정"/>
    <s v="3자테스터공통"/>
    <s v="Online"/>
    <s v="결함"/>
    <s v="UI"/>
    <s v="확인요청"/>
    <s v="3자테스터공통"/>
    <s v="Critical"/>
    <s v="확인대기"/>
    <d v="2026-04-29T14:40:52"/>
    <d v="2026-05-08T09:11:22"/>
    <s v=""/>
    <x v="1"/>
    <s v="PDF 출력 오류"/>
    <s v="PDF 로 저장 시 줄내림으로 되어 있는 금액 짤림."/>
    <s v="PDF 로 저장 시 줄내림으로 되어 있는 금액 짤림. 월의 열 크기를 조정 또는 다들 방법을 활용하여 줄내림 되는 금액 열에 대한 열 크기 조절 필요."/>
    <m/>
    <m/>
    <s v="엑셀/PDF 공통 출력 모듈 점검, 컬럼 매핑·서식 검증 및 예외 처리"/>
  </r>
  <r>
    <s v="UT-FSEX019S"/>
    <s v="2-2차"/>
    <n v="1"/>
    <s v="항공보안(FS)"/>
    <s v="DEF-00464"/>
    <s v="천 단위 표시"/>
    <s v="개발자테스트"/>
    <s v="임소정"/>
    <s v="임소정"/>
    <s v="3자테스터공통"/>
    <s v="Online"/>
    <s v="개선/변경"/>
    <s v="데이터"/>
    <s v="확인요청"/>
    <s v="3자테스터공통"/>
    <s v="Minor"/>
    <s v="확인대기"/>
    <d v="2026-04-29T13:37:49"/>
    <d v="2026-05-08T08:38:25"/>
    <s v=""/>
    <x v="9"/>
    <s v="개선/변경 요청"/>
    <s v="천 단위 표시"/>
    <s v="천 단위 표시"/>
    <m/>
    <m/>
    <s v="차기 반영 일감으로 등록 후 우선순위 협의, 정책 가이드 반영"/>
  </r>
  <r>
    <s v="UT-CARF001S(A)"/>
    <s v="2-2차"/>
    <n v="1"/>
    <s v="공통관리(AOMS-CA)"/>
    <s v="DEF-00132"/>
    <s v="SAVE 버튼이 비활성화 되어 있다."/>
    <s v="개발자테스트"/>
    <s v="김명준"/>
    <s v="최민지"/>
    <s v="3자테스터공통"/>
    <s v="Online"/>
    <s v="결함"/>
    <s v="기능"/>
    <s v="재조치요청"/>
    <s v="3자테스터공통"/>
    <s v="Major"/>
    <s v="확인대기"/>
    <d v="2026-04-24T14:32:35"/>
    <d v="2026-04-29T14:21:27"/>
    <s v=""/>
    <x v="11"/>
    <s v="활성/비활성 처리"/>
    <s v="SAVE 버튼이 비활성화 되어 있다."/>
    <s v="SAVE 버튼이 비활성화 되어 있다."/>
    <m/>
    <m/>
    <s v="버튼/상태 컴포넌트 표준 적용, 활성·비활성 조건 명세화"/>
  </r>
  <r>
    <s v="UT-CASY005S(A)"/>
    <s v="1-1차"/>
    <n v="1"/>
    <s v="공통관리(AOMS-CA)"/>
    <s v="DEF-00146"/>
    <s v="보여지는 List에는 없지만 데이터는 있을 경우 중복데이터 오류메시지가 아닌 서버오류 메시지가 나옵니다. "/>
    <s v="개발자테스트"/>
    <s v="김명준"/>
    <s v="정연준"/>
    <s v="3자테스터공통"/>
    <s v="Online"/>
    <s v="결함"/>
    <s v="데이터"/>
    <s v="확인요청"/>
    <s v="3자테스터공통"/>
    <s v="Major"/>
    <s v="확인대기"/>
    <d v="2026-04-24T16:33:38"/>
    <d v="2026-04-28T12:39:16"/>
    <s v=""/>
    <x v="7"/>
    <s v="안내 메시지 부재"/>
    <s v="보여지는 List에는 없지만 데이터는 있을 경우 중복데이터 오류메시지가 아닌 서버오류 메시지가 나옵니다."/>
    <s v="보여지는 List에는 없지만 데이터는 있을 경우 중복데이터 오류메시지가 아닌 서버오류 메시지가 나옵니다."/>
    <m/>
    <m/>
    <s v="UX 가이드라인에 따라 표준 안내·툴팁 문구 적용, 무데이터/오류 메시지 정비"/>
  </r>
  <r>
    <s v="UT-CASY032S(A)"/>
    <s v="1-1차"/>
    <n v="1"/>
    <s v="공통관리(AOMS-CA)"/>
    <s v="DEF-00532"/>
    <s v="1. 화면내 오타 추정(확인 필요) : “Permisson” -&gt; “Permission”_x000a_"/>
    <s v="개발자테스트"/>
    <s v="김명준"/>
    <s v="최민지"/>
    <s v="3자테스터공통"/>
    <s v="Online"/>
    <s v="개선/변경"/>
    <s v="UI"/>
    <s v="확인요청"/>
    <s v="3자테스터공통"/>
    <s v="Minor"/>
    <s v="확인대기"/>
    <d v="2026-04-30T09:09:53"/>
    <d v="2026-05-07T10:45:45"/>
    <s v=""/>
    <x v="12"/>
    <s v="오타"/>
    <s v="1. 화면내 오타 추정(확인 필요) : “Permisson” -&gt; “Permission”"/>
    <s v="1. 화면내 오타 추정(확인 필요) : “Permisson” -&gt; “Permission”"/>
    <m/>
    <m/>
    <s v="용어집 기준으로 라벨 일괄 정비, 오타/표기 표준 적용"/>
  </r>
  <r>
    <s v="UT-CASY008S(A)"/>
    <s v="1-1차"/>
    <n v="1"/>
    <s v="공통관리(AOMS-CA)"/>
    <s v="DEF-00538"/>
    <s v="우측 Push Message 상세 화면의 입력 및 콤보 영역과 바탕 다자인 크기가 불일치함._x000a_또한, 화면 축소시 고정 text 표출 등 화면이 일그러짐"/>
    <s v="개발자테스트"/>
    <s v="김명준"/>
    <s v="정연준"/>
    <s v="3자테스터공통"/>
    <s v="Online"/>
    <s v="결함"/>
    <s v="UI"/>
    <s v="확인요청"/>
    <s v="3자테스터공통"/>
    <s v="Minor"/>
    <s v="확인대기"/>
    <d v="2026-04-30T10:05:23"/>
    <d v="2026-05-07T10:59:41"/>
    <s v=""/>
    <x v="2"/>
    <s v="축/눈금 표시"/>
    <s v="우측 Push Message 상세 화면의 입력 및 콤보 영역과 바탕 다자인 크기가 불일치함."/>
    <s v="우측 Push Message 상세 화면의 입력 및 콤보 영역과 바탕 다자인 크기가 불일치함. 또한, 화면 축소시 고정 text 표출 등 화면이 일그러짐"/>
    <m/>
    <m/>
    <s v="차트 공통 컴포넌트 점검, 무데이터 처리 및 축/범례 표준화"/>
  </r>
  <r>
    <s v="UT-FSEX080M"/>
    <s v="2-2차"/>
    <n v="1"/>
    <s v="항공보안(FS)"/>
    <s v="DEF-00539"/>
    <s v="[X_3] '시간(b-a)' 필드는 세부내용의 하위 필드가 아닌 탐지/식별 시간의 하위 필드이기 때문에 셀 병합이 잘못되었음."/>
    <s v="개발자테스트"/>
    <s v="임소정"/>
    <s v="임소정"/>
    <s v="3자테스터공통"/>
    <s v="Online"/>
    <s v="결함"/>
    <s v="UI"/>
    <s v="확인요청"/>
    <s v="3자테스터공통"/>
    <s v="Minor"/>
    <s v="확인대기"/>
    <d v="2026-04-30T10:09:36"/>
    <d v="2026-05-08T08:43:14"/>
    <s v=""/>
    <x v="5"/>
    <s v="기타 검토"/>
    <s v="[X_3] '시간(b-a)' 필드는 세부내용의 하위 필드가 아닌 탐지/식별 시간의 하위 필드이기 때문에 …"/>
    <s v="[X_3] '시간(b-a)' 필드는 세부내용의 하위 필드가 아닌 탐지/식별 시간의 하위 필드이기 때문에 셀 병합이 잘못되었음."/>
    <m/>
    <m/>
    <s v="담당 PL과 결함 성격 재정의 후 분류 보완"/>
  </r>
  <r>
    <s v="UT-FSQA210S"/>
    <s v="1-2차"/>
    <n v="1"/>
    <s v="항공보안(FS)"/>
    <s v="DEF-00677"/>
    <s v="아래 화면처럼 검색 감독자 인터뷰 및 인터뷰 의견 체크 및 입력하여 등록했는데.. 목록에는 등록된거로 나타나지 않음"/>
    <s v="개발자테스트"/>
    <s v="임소정"/>
    <s v="임소정"/>
    <s v="3자테스터공통"/>
    <s v="Online"/>
    <s v="결함"/>
    <s v="기능"/>
    <s v="확인요청"/>
    <s v="3자테스터공통"/>
    <s v="Minor"/>
    <s v="확인대기"/>
    <d v="2026-05-04T17:57:51"/>
    <d v="2026-05-06T16:34:13"/>
    <s v=""/>
    <x v="4"/>
    <s v="조회 조건 처리"/>
    <s v="아래 화면처럼 검색 감독자 인터뷰 및 인터뷰 의견 체크 및 입력하여 등록했는데.. 목록에는 등록된거로 나…"/>
    <s v="아래 화면처럼 검색 감독자 인터뷰 및 인터뷰 의견 체크 및 입력하여 등록했는데.. 목록에는 등록된거로 나타나지 않음"/>
    <m/>
    <m/>
    <s v="조회 SQL/조건 매핑 재검토, 정렬·필터 기본값 정의서와 일치화"/>
  </r>
  <r>
    <s v="UT-FSQB060S"/>
    <s v="1-1차"/>
    <n v="1"/>
    <s v="항공보안(FS)"/>
    <s v="DEF-00691"/>
    <s v="2026-04-27 터미널구분 전체 데이터 조회하면 T2 인천국제공항보안 데이터값이 뜨지만 T2 똑같은날짜에 조회하면 데이터값이 뜨지않습니다."/>
    <s v="개발자테스트"/>
    <s v="임소정"/>
    <s v="임소정"/>
    <s v="3자테스터공통"/>
    <s v="Online"/>
    <s v="결함"/>
    <s v="기능"/>
    <s v="확인요청"/>
    <s v="3자테스터공통"/>
    <s v="Major"/>
    <s v="확인대기"/>
    <d v="2026-05-06T10:22:34"/>
    <d v="2026-05-08T09:10:27"/>
    <s v=""/>
    <x v="0"/>
    <s v="날짜 표시/포맷"/>
    <s v="2026-04-27 터미널구분 전체 데이터 조회하면 T2 인천국제공항보안 데이터값이 뜨지만 T2 똑같은날…"/>
    <s v="2026-04-27 터미널구분 전체 데이터 조회하면 T2 인천국제공항보안 데이터값이 뜨지만 T2 똑같은날짜에 조회하면 데이터값이 뜨지않습니다."/>
    <m/>
    <m/>
    <s v="날짜 컴포넌트 표준화, 기준일자-운항일자 등 필드 매핑 점검 및 기간 가드 추가"/>
  </r>
  <r>
    <s v="UT-FSQA210S"/>
    <s v="1-2차"/>
    <n v="1"/>
    <s v="항공보안(FS)"/>
    <s v="DEF-00220"/>
    <s v="단위테스트 7. 모든 검색버트, 입력창 활성화 안되어 있음(11~12번 테스트 안됨)"/>
    <s v="개발자테스트"/>
    <s v="임소정"/>
    <s v="임소정"/>
    <s v="3자테스터공통"/>
    <s v="Online"/>
    <s v="개선/변경"/>
    <s v="기능"/>
    <s v="확인요청"/>
    <s v="3자테스터공통"/>
    <s v="Minor"/>
    <s v="확인대기"/>
    <d v="2026-04-27T16:38:00"/>
    <d v="2026-05-07T19:00:20"/>
    <s v=""/>
    <x v="4"/>
    <s v="조회 조건 처리"/>
    <s v="단위테스트 7. 모든 검색버트, 입력창 활성화 안되어 있음(11~12번 테스트 안됨)"/>
    <s v="단위테스트 7. 모든 검색버트, 입력창 활성화 안되어 있음(11~12번 테스트 안됨)"/>
    <m/>
    <m/>
    <s v="조회 SQL/조건 매핑 재검토, 정렬·필터 기본값 정의서와 일치화"/>
  </r>
  <r>
    <s v="UT-CASY038S(A)"/>
    <s v="2-3차"/>
    <n v="1"/>
    <s v="공통관리(AOMS-CA)"/>
    <s v="DEF-00290"/>
    <s v="1. Date 정보를 입력하지 않았는데, 오류 메시지가 바로 뜨지 않고, 실행(Loading)되고, 결과물이 출력됨_x000a_"/>
    <s v="개발자테스트"/>
    <s v="김명준"/>
    <s v="김태훈"/>
    <s v="3자테스터공통"/>
    <s v="Online"/>
    <s v="결함"/>
    <s v="UI"/>
    <s v="확인요청"/>
    <s v="3자테스터공통"/>
    <s v="Minor"/>
    <s v="확인대기"/>
    <d v="2026-04-28T11:00:28"/>
    <d v="2026-04-30T10:30:17"/>
    <s v=""/>
    <x v="1"/>
    <s v="파일 출력/다운로드"/>
    <s v="1. Date 정보를 입력하지 않았는데, 오류 메시지가 바로 뜨지 않고, 실행(Loading)되고, 결과…"/>
    <s v="1. Date 정보를 입력하지 않았는데, 오류 메시지가 바로 뜨지 않고, 실행(Loading)되고, 결과물이 출력됨"/>
    <m/>
    <m/>
    <s v="엑셀/PDF 공통 출력 모듈 점검, 컬럼 매핑·서식 검증 및 예외 처리"/>
  </r>
  <r>
    <s v="UT-FSEX090S"/>
    <s v="2-3차"/>
    <n v="1"/>
    <s v="항공보안(FS)"/>
    <s v="DEF-00717"/>
    <s v="아래 화면 우측 하단의 신규, 저장, 삭제 버튼이 클릭되지 않음."/>
    <s v="개발자테스트"/>
    <s v="임소정"/>
    <s v="임소정"/>
    <s v="3자테스터공통"/>
    <s v="Online"/>
    <s v="결함"/>
    <s v="기능"/>
    <s v="확인요청"/>
    <s v="3자테스터공통"/>
    <s v="Major"/>
    <s v="확인대기"/>
    <d v="2026-05-06T14:49:36"/>
    <d v="2026-05-06T16:43:28"/>
    <s v=""/>
    <x v="8"/>
    <s v="레이아웃/UI"/>
    <s v="아래 화면 우측 하단의 신규, 저장, 삭제 버튼이 클릭되지 않음."/>
    <s v="아래 화면 우측 하단의 신규, 저장, 삭제 버튼이 클릭되지 않음."/>
    <m/>
    <m/>
    <s v="디자인 시스템(GNB/그리드/타이포) 준수 점검, 잘림·정렬 보정"/>
  </r>
  <r>
    <s v="UT-CARF008S(A)"/>
    <s v="2-2차"/>
    <n v="1"/>
    <s v="공통관리(AOMS-CA)"/>
    <s v="DEF-00719"/>
    <s v="Gate No 은 숫자만 가능한 것 같은데... 정렬 시 문자열로 정렬이 됨._x000a_"/>
    <s v="개발자테스트"/>
    <s v="김명준"/>
    <s v="최민지"/>
    <s v="3자테스터공통"/>
    <s v="Online"/>
    <s v="개선/변경"/>
    <s v="UI"/>
    <s v="확인요청"/>
    <s v="3자테스터공통"/>
    <s v="Minor"/>
    <s v="확인대기"/>
    <d v="2026-05-06T15:07:08"/>
    <d v="2026-05-07T10:52:29"/>
    <s v=""/>
    <x v="6"/>
    <s v="입력값 유효성"/>
    <s v="Gate No 은 숫자만 가능한 것 같은데... 정렬 시 문자열로 정렬이 됨."/>
    <s v="Gate No 은 숫자만 가능한 것 같은데... 정렬 시 문자열로 정렬이 됨."/>
    <m/>
    <m/>
    <s v="프론트/백엔드 양측에 입력 유효성 검증 추가 및 공통 validator 적용"/>
  </r>
  <r>
    <s v="UT-CASY070M(A)"/>
    <s v="2-3차"/>
    <n v="1"/>
    <s v="공통관리(AOMS-CA)"/>
    <s v="DEF-00071"/>
    <s v="우측 상단 프린터 아이콘 클릭 후 제공되는 출력화면에는 소스화면에서 제공되는 테이블의 일부(TYPE)까지만 출력되고, NULL 이후로는 출력되지 않음."/>
    <s v="개발자테스트"/>
    <s v="김명준"/>
    <s v="정연준"/>
    <s v="3자테스터공통"/>
    <s v="Online"/>
    <s v="개선/변경"/>
    <s v="UI"/>
    <s v="확인요청"/>
    <s v="3자테스터공통"/>
    <s v="Major"/>
    <s v="확인대기"/>
    <d v="2026-04-23T10:38:48"/>
    <d v="2026-04-30T10:52:59"/>
    <s v=""/>
    <x v="1"/>
    <s v="파일 출력/다운로드"/>
    <s v="우측 상단 프린터 아이콘 클릭 후 제공되는 출력화면에는 소스화면에서 제공되는 테이블의 일부(TYPE)까지…"/>
    <s v="우측 상단 프린터 아이콘 클릭 후 제공되는 출력화면에는 소스화면에서 제공되는 테이블의 일부(TYPE)까지만 출력되고, NULL 이후로는 출력되지 않음."/>
    <m/>
    <m/>
    <s v="엑셀/PDF 공통 출력 모듈 점검, 컬럼 매핑·서식 검증 및 예외 처리"/>
  </r>
  <r>
    <s v="UT-CASY038S(A)"/>
    <s v="2-3차"/>
    <n v="1"/>
    <s v="공통관리(AOMS-CA)"/>
    <s v="DEF-00075"/>
    <s v="시나리오명 상이(TSM-엑셀-AOMS)"/>
    <s v="개발자테스트"/>
    <s v="김명준"/>
    <s v="김태훈"/>
    <s v="3자테스터공통"/>
    <s v="Online"/>
    <s v="개선/변경"/>
    <s v="UI"/>
    <s v="확인요청"/>
    <s v="3자테스터공통"/>
    <s v="Minor"/>
    <s v="확인대기"/>
    <d v="2026-04-23T10:54:22"/>
    <d v="2026-04-23T16:59:03"/>
    <s v=""/>
    <x v="1"/>
    <s v="엑셀 다운로드 오류"/>
    <s v="시나리오명 상이(TSM-엑셀-AOMS)"/>
    <s v="시나리오명 상이(TSM-엑셀-AOMS)"/>
    <m/>
    <m/>
    <s v="엑셀/PDF 공통 출력 모듈 점검, 컬럼 매핑·서식 검증 및 예외 처리"/>
  </r>
  <r>
    <s v="UT-CASY038S(A)"/>
    <s v="2-3차"/>
    <n v="1"/>
    <s v="공통관리(AOMS-CA)"/>
    <s v="DEF-00081"/>
    <s v="시나리오(엑셀파일) 순번 5번 에러로그 조회 기능을 위한 UI없음._x000a_시나리오(엑셀파일) 순번 6번 확인을 위해서는 &quot;TRACE LOG&quot; 버튼을 눌러야하지만 비활성화되어 있음."/>
    <s v="개발자테스트"/>
    <s v="김명준"/>
    <s v="김태훈"/>
    <s v="3자테스터공통"/>
    <s v="Online"/>
    <s v="결함"/>
    <s v="UI"/>
    <s v="확인요청"/>
    <s v="3자테스터공통"/>
    <s v="Critical"/>
    <s v="확인대기"/>
    <d v="2026-04-23T11:14:09"/>
    <d v="2026-04-23T17:16:38"/>
    <s v=""/>
    <x v="1"/>
    <s v="엑셀 다운로드 오류"/>
    <s v="시나리오(엑셀파일) 순번 5번 에러로그 조회 기능을 위한 UI없음."/>
    <s v="시나리오(엑셀파일) 순번 5번 에러로그 조회 기능을 위한 UI없음. 시나리오(엑셀파일) 순번 6번 확인을 위해서는 &quot;TRACE LOG&quot; 버튼을 눌러야하지만 비활성화되어 있음."/>
    <m/>
    <m/>
    <s v="엑셀/PDF 공통 출력 모듈 점검, 컬럼 매핑·서식 검증 및 예외 처리"/>
  </r>
  <r>
    <s v="UT-CASY052S(A)"/>
    <s v="2-2차"/>
    <n v="1"/>
    <s v="공통관리(AOMS-CA)"/>
    <s v="DEF-00102"/>
    <s v="조회시 서버오류가 뜸."/>
    <s v="개발자테스트"/>
    <s v="김명준"/>
    <s v="최민지"/>
    <s v="3자테스터공통"/>
    <s v="Online"/>
    <s v="결함"/>
    <s v="기능"/>
    <s v="확인요청"/>
    <s v="3자테스터공통"/>
    <s v="Major"/>
    <s v="확인대기"/>
    <d v="2026-04-23T15:57:08"/>
    <d v="2026-04-23T16:25:53"/>
    <s v=""/>
    <x v="4"/>
    <s v="조회 조건 처리"/>
    <s v="조회시 서버오류가 뜸."/>
    <s v="조회시 서버오류가 뜸."/>
    <m/>
    <m/>
    <s v="조회 SQL/조건 매핑 재검토, 정렬·필터 기본값 정의서와 일치화"/>
  </r>
  <r>
    <s v="UT-FSEX017S"/>
    <s v="2-2차"/>
    <n v="1"/>
    <s v="항공보안(FS)"/>
    <s v="DEF-00110"/>
    <s v="엑셀파일 및 출력화면 하단 페이지번호 누락"/>
    <s v="개발자테스트"/>
    <s v="임소정"/>
    <s v="임소정"/>
    <s v="3자테스터공통"/>
    <s v="Online"/>
    <s v="개선/변경"/>
    <s v="UI"/>
    <s v="확인요청"/>
    <s v="3자테스터공통"/>
    <s v="Minor"/>
    <s v="확인대기"/>
    <d v="2026-04-24T09:16:56"/>
    <d v="2026-05-06T16:53:13"/>
    <s v=""/>
    <x v="1"/>
    <s v="엑셀 다운로드 오류"/>
    <s v="엑셀파일 및 출력화면 하단 페이지번호 누락"/>
    <s v="엑셀파일 및 출력화면 하단 페이지번호 누락"/>
    <m/>
    <m/>
    <s v="엑셀/PDF 공통 출력 모듈 점검, 컬럼 매핑·서식 검증 및 예외 처리"/>
  </r>
  <r>
    <s v="UT-CARF018S(A)"/>
    <s v="2-1차"/>
    <n v="1"/>
    <s v="공통관리(AOMS-CA)"/>
    <s v="DEF-00114"/>
    <s v="최초 접속 시 USE Y/N에 기본선택이 전체가 아닙니다._x000a_아래 3개는 전체로 나옵니다."/>
    <s v="개발자테스트"/>
    <s v="김명준"/>
    <s v="정연준"/>
    <s v="3자테스터공통"/>
    <s v="Online"/>
    <s v="결함"/>
    <s v="UI"/>
    <s v="확인요청"/>
    <s v="3자테스터공통"/>
    <s v="Major"/>
    <s v="확인대기"/>
    <d v="2026-04-24T09:39:25"/>
    <d v="2026-04-27T10:32:41"/>
    <s v=""/>
    <x v="11"/>
    <s v="선택/체크 동작"/>
    <s v="최초 접속 시 USE Y/N에 기본선택이 전체가 아닙니다."/>
    <s v="최초 접속 시 USE Y/N에 기본선택이 전체가 아닙니다. 아래 3개는 전체로 나옵니다."/>
    <m/>
    <m/>
    <s v="버튼/상태 컴포넌트 표준 적용, 활성·비활성 조건 명세화"/>
  </r>
  <r>
    <s v="UT-CARF010S(A)"/>
    <s v="2-2차"/>
    <n v="1"/>
    <s v="공통관리(AOMS-CA)"/>
    <s v="DEF-00115"/>
    <s v="수정후 저장시 수정된 칼럼이 비활성화  됨"/>
    <s v="개발자테스트"/>
    <s v="김명준"/>
    <s v="최민지"/>
    <s v="3자테스터공통"/>
    <s v="Online"/>
    <s v="개선/변경"/>
    <s v="기능"/>
    <s v="확인요청"/>
    <s v="3자테스터공통"/>
    <s v="Major"/>
    <s v="확인대기"/>
    <d v="2026-04-24T09:42:07"/>
    <d v="2026-04-27T10:35:26"/>
    <s v=""/>
    <x v="11"/>
    <s v="활성/비활성 처리"/>
    <s v="수정후 저장시 수정된 칼럼이 비활성화  됨"/>
    <s v="수정후 저장시 수정된 칼럼이 비활성화  됨"/>
    <m/>
    <m/>
    <s v="버튼/상태 컴포넌트 표준 적용, 활성·비활성 조건 명세화"/>
  </r>
  <r>
    <s v="UT-CASY025S(A)"/>
    <s v="2-1차"/>
    <n v="1"/>
    <s v="공통관리(AOMS-CA)"/>
    <s v="DEF-00095"/>
    <s v="Register Date 범위랑은 상관없이 전부 불러옵니다._x000a_날짜를 선택하여 검색하여도 아래 데이터는 변하지 않습니다."/>
    <s v="개발자테스트"/>
    <s v="김명준"/>
    <s v="정연준"/>
    <s v="3자테스터공통"/>
    <s v="Online"/>
    <s v="결함"/>
    <s v="기능"/>
    <s v="확인요청"/>
    <s v="3자테스터공통"/>
    <s v="Major"/>
    <s v="확인대기"/>
    <d v="2026-04-23T15:18:09"/>
    <d v="2026-04-24T10:53:29"/>
    <s v=""/>
    <x v="0"/>
    <s v="날짜 표시/포맷"/>
    <s v="Register Date 범위랑은 상관없이 전부 불러옵니다."/>
    <s v="Register Date 범위랑은 상관없이 전부 불러옵니다. 날짜를 선택하여 검색하여도 아래 데이터는 변하지 않습니다."/>
    <m/>
    <m/>
    <s v="날짜 컴포넌트 표준화, 기준일자-운항일자 등 필드 매핑 점검 및 기간 가드 추가"/>
  </r>
  <r>
    <s v="UT-CASY026S(A)"/>
    <s v="2-1차"/>
    <n v="1"/>
    <s v="공통관리(AOMS-CA)"/>
    <s v="DEF-00097"/>
    <s v="검색 기능이 작동하지 않습니다._x000a_날짜와 제목을 설정해도 변함이 없습니다._x000a_(Notice Dept는 검색가능)"/>
    <s v="개발자테스트"/>
    <s v="김명준"/>
    <s v="정연준"/>
    <s v="3자테스터공통"/>
    <s v="Online"/>
    <s v="결함"/>
    <s v="기능"/>
    <s v="확인요청"/>
    <s v="3자테스터공통"/>
    <s v="Major"/>
    <s v="확인대기"/>
    <d v="2026-04-23T15:23:50"/>
    <d v="2026-04-24T10:55:40"/>
    <s v=""/>
    <x v="0"/>
    <s v="날짜 표시/포맷"/>
    <s v="검색 기능이 작동하지 않습니다."/>
    <s v="검색 기능이 작동하지 않습니다. 날짜와 제목을 설정해도 변함이 없습니다. (Notice Dept는 검색가능)"/>
    <m/>
    <m/>
    <s v="날짜 컴포넌트 표준화, 기준일자-운항일자 등 필드 매핑 점검 및 기간 가드 추가"/>
  </r>
  <r>
    <s v="UT-CASY006S(A)"/>
    <s v="1-2차"/>
    <n v="1"/>
    <s v="공통관리(AOMS-CA)"/>
    <s v="DEF-00123"/>
    <s v="추가 시 이전에 조회했던 모듈, 테이블, 서브타입 정보가 남아있습니다._x000a_저장 시 같이 저장됩니다. _x000a_오른쪽 하단 SAVE버튼 위치가 이상하게 나옵니다."/>
    <s v="개발자테스트"/>
    <s v="김명준"/>
    <s v="정연준"/>
    <s v="3자테스터공통"/>
    <s v="Online"/>
    <s v="결함"/>
    <s v="기능"/>
    <s v="재조치요청"/>
    <s v="3자테스터공통"/>
    <s v="Major"/>
    <s v="확인대기"/>
    <d v="2026-04-24T10:58:42"/>
    <d v="2026-04-29T13:19:43"/>
    <s v=""/>
    <x v="4"/>
    <s v="조회 조건 처리"/>
    <s v="추가 시 이전에 조회했던 모듈, 테이블, 서브타입 정보가 남아있습니다."/>
    <s v="추가 시 이전에 조회했던 모듈, 테이블, 서브타입 정보가 남아있습니다. 저장 시 같이 저장됩니다.  오른쪽 하단 SAVE버튼 위치가 이상하게 나옵니다."/>
    <m/>
    <m/>
    <s v="조회 SQL/조건 매핑 재검토, 정렬·필터 기본값 정의서와 일치화"/>
  </r>
  <r>
    <s v="UT-CARF002S(A)"/>
    <s v="2-2차"/>
    <n v="1"/>
    <s v="공통관리(AOMS-CA)"/>
    <s v="DEF-00133"/>
    <s v="SAVE 버튼이 비활성화 되어 있다."/>
    <s v="개발자테스트"/>
    <s v="김명준"/>
    <s v="최민지"/>
    <s v="3자테스터공통"/>
    <s v="Online"/>
    <s v="결함"/>
    <s v="기능"/>
    <s v="재조치요청"/>
    <s v="3자테스터공통"/>
    <s v="Major"/>
    <s v="확인대기"/>
    <d v="2026-04-24T14:35:55"/>
    <d v="2026-04-29T14:17:04"/>
    <s v=""/>
    <x v="11"/>
    <s v="활성/비활성 처리"/>
    <s v="SAVE 버튼이 비활성화 되어 있다."/>
    <s v="SAVE 버튼이 비활성화 되어 있다."/>
    <m/>
    <m/>
    <s v="버튼/상태 컴포넌트 표준 적용, 활성·비활성 조건 명세화"/>
  </r>
  <r>
    <s v="UT-CASY002S(A)"/>
    <s v="1-1차"/>
    <n v="1"/>
    <s v="공통관리(AOMS-CA)"/>
    <s v="DEF-00145"/>
    <s v="보여지는 List에는 없지만 데이터는 있을 경우 중복데이터 오류메시지가 아닌 서버오류 메시지가 나옵니다. "/>
    <s v="개발자테스트"/>
    <s v="김명준"/>
    <s v="정연준"/>
    <s v="3자테스터공통"/>
    <s v="Online"/>
    <s v="결함"/>
    <s v="데이터"/>
    <s v="확인요청"/>
    <s v="3자테스터공통"/>
    <s v="Minor"/>
    <s v="확인대기"/>
    <d v="2026-04-24T16:04:52"/>
    <d v="2026-04-28T12:36:13"/>
    <s v=""/>
    <x v="7"/>
    <s v="안내 메시지 부재"/>
    <s v="보여지는 List에는 없지만 데이터는 있을 경우 중복데이터 오류메시지가 아닌 서버오류 메시지가 나옵니다."/>
    <s v="보여지는 List에는 없지만 데이터는 있을 경우 중복데이터 오류메시지가 아닌 서버오류 메시지가 나옵니다."/>
    <m/>
    <m/>
    <s v="UX 가이드라인에 따라 표준 안내·툴팁 문구 적용, 무데이터/오류 메시지 정비"/>
  </r>
  <r>
    <s v="UT-PM10101S"/>
    <s v="2-1차"/>
    <n v="1"/>
    <s v="예측관리(PM)"/>
    <s v="DEF-00154"/>
    <s v="운항 데이터 0건일 때 no data 뜨지 않음"/>
    <s v="개발자테스트"/>
    <s v="임소정"/>
    <s v="신문호"/>
    <s v="3자테스터공통"/>
    <s v="Online"/>
    <s v="개선/변경"/>
    <s v="UI"/>
    <s v="확인요청"/>
    <s v="3자테스터공통"/>
    <s v="Minor"/>
    <s v="확인대기"/>
    <d v="2026-04-27T10:12:14"/>
    <d v="2026-04-29T08:04:15"/>
    <s v=""/>
    <x v="3"/>
    <s v="데이터 정합성"/>
    <s v="운항 데이터 0건일 때 no data 뜨지 않음"/>
    <s v="운항 데이터 0건일 때 no data 뜨지 않음"/>
    <m/>
    <m/>
    <s v="원천 데이터-화면 매핑 재검증, 집계 로직 단위 테스트 보강"/>
  </r>
  <r>
    <s v="UT-GO12301S"/>
    <s v="1-1차"/>
    <n v="1"/>
    <s v="공항운영(GO)"/>
    <s v="DEF-00202"/>
    <s v="조회 시작 월 데이터가 결과에서 제외 됨._x000a_테스트 케이스 예상 : 2025-04 ~ 2025-11 조회 -&gt; 4월 ~ 11월 조회_x000a_실제 테스트 : 2025-04 ~ 2025-11 조회 -&gt; 5월 ~ 11월 조회"/>
    <s v="개발자테스트"/>
    <s v="신문호"/>
    <s v="김경준"/>
    <s v="3자테스터공통"/>
    <s v="Online"/>
    <s v="결함"/>
    <s v="데이터"/>
    <s v="확인요청"/>
    <s v="3자테스터공통"/>
    <s v="Major"/>
    <s v="확인대기"/>
    <d v="2026-04-27T14:43:01"/>
    <d v="2026-05-06T11:24:56"/>
    <s v=""/>
    <x v="4"/>
    <s v="조회 조건 처리"/>
    <s v="조회 시작 월 데이터가 결과에서 제외 됨."/>
    <s v="조회 시작 월 데이터가 결과에서 제외 됨. 테스트 케이스 예상 : 2025-04 ~ 2025-11 조회 -&gt; 4월 ~ 11월 조회 실제 테스트 : 2025-04 ~ 2025-11 조회 -&gt; 5월 ~ 11월 조회"/>
    <m/>
    <m/>
    <s v="조회 SQL/조건 매핑 재검토, 정렬·필터 기본값 정의서와 일치화"/>
  </r>
  <r>
    <s v="UT-PM30101S"/>
    <s v="1-2차"/>
    <n v="1"/>
    <s v="예측관리(PM)"/>
    <s v="DEF-00206"/>
    <s v="실행버튼 클릭시 서버오류 발생"/>
    <s v="개발자테스트"/>
    <s v="임소정"/>
    <s v="pmtbd1"/>
    <s v="3자테스터공통"/>
    <s v="Online"/>
    <s v="결함"/>
    <s v="기능"/>
    <s v="확인요청"/>
    <s v="3자테스터공통"/>
    <s v="Major"/>
    <s v="확인대기"/>
    <d v="2026-04-27T15:04:30"/>
    <d v="2026-04-29T09:10:00"/>
    <s v=""/>
    <x v="11"/>
    <s v="버튼 동작 오류"/>
    <s v="실행버튼 클릭시 서버오류 발생"/>
    <s v="실행버튼 클릭시 서버오류 발생"/>
    <m/>
    <m/>
    <s v="버튼/상태 컴포넌트 표준 적용, 활성·비활성 조건 명세화"/>
  </r>
  <r>
    <s v="UT-FSQA040S"/>
    <s v="1-2차"/>
    <n v="1"/>
    <s v="항공보안(FS)"/>
    <s v="DEF-00219"/>
    <s v="단위테스트 19. 승인버튼 클리시 데이터 저장  ---&gt; 승인버튼 없음(19~24번 까지 테크트 불가함)"/>
    <s v="개발자테스트"/>
    <s v="임소정"/>
    <s v="임소정"/>
    <s v="3자테스터공통"/>
    <s v="Online"/>
    <s v="개선/변경"/>
    <s v="기능"/>
    <s v="확인요청"/>
    <s v="3자테스터공통"/>
    <s v="Minor"/>
    <s v="확인대기"/>
    <d v="2026-04-27T16:35:59"/>
    <d v="2026-05-07T18:59:02"/>
    <s v=""/>
    <x v="11"/>
    <s v="상태값 처리"/>
    <s v="단위테스트 19. 승인버튼 클리시 데이터 저장  ---&gt; 승인버튼 없음(19~24번 까지 테크트 불가함)"/>
    <s v="단위테스트 19. 승인버튼 클리시 데이터 저장  ---&gt; 승인버튼 없음(19~24번 까지 테크트 불가함)"/>
    <m/>
    <m/>
    <s v="버튼/상태 컴포넌트 표준 적용, 활성·비활성 조건 명세화"/>
  </r>
  <r>
    <s v="UT-CASY029S(A)"/>
    <s v="1-1차"/>
    <n v="1"/>
    <s v="공통관리(AOMS-CA)"/>
    <s v="DEF-00254"/>
    <s v="역할메뉴 매핑정보관리 메뉴를 찾을 수 없음._x000a_경로 정보 필요. "/>
    <s v="개발자테스트"/>
    <s v="김명준"/>
    <s v="최민지"/>
    <s v="3자테스터공통"/>
    <s v="Online"/>
    <s v="결함"/>
    <s v="기능"/>
    <s v="확인요청"/>
    <s v="3자테스터공통"/>
    <s v="Major"/>
    <s v="확인대기"/>
    <d v="2026-04-27T17:22:52"/>
    <d v="2026-04-28T12:54:09"/>
    <s v=""/>
    <x v="3"/>
    <s v="데이터 매핑 오류"/>
    <s v="역할메뉴 매핑정보관리 메뉴를 찾을 수 없음."/>
    <s v="역할메뉴 매핑정보관리 메뉴를 찾을 수 없음. 경로 정보 필요."/>
    <m/>
    <m/>
    <s v="원천 데이터-화면 매핑 재검증, 집계 로직 단위 테스트 보강"/>
  </r>
  <r>
    <s v="UT-CASY070M(A)"/>
    <s v="2-3차"/>
    <n v="1"/>
    <s v="공통관리(AOMS-CA)"/>
    <s v="DEF-00282"/>
    <s v="-화면 첫번째 필드에 커서가 Set Focus가 되어 있지 않음._x000a_-오타로 추정됨 -&gt; “M: 모달 팝엄”_x000a_"/>
    <s v="개발자테스트"/>
    <s v="김명준"/>
    <s v="정연준"/>
    <s v="3자테스터공통"/>
    <s v="Online"/>
    <s v="개선/변경"/>
    <s v="UI"/>
    <s v="확인요청"/>
    <s v="3자테스터공통"/>
    <s v="Minor"/>
    <s v="확인대기"/>
    <d v="2026-04-28T10:25:42"/>
    <d v="2026-04-29T13:43:40"/>
    <s v=""/>
    <x v="12"/>
    <s v="오타"/>
    <s v="-화면 첫번째 필드에 커서가 Set Focus가 되어 있지 않음."/>
    <s v="-화면 첫번째 필드에 커서가 Set Focus가 되어 있지 않음. -오타로 추정됨 -&gt; “M: 모달 팝엄”"/>
    <m/>
    <m/>
    <s v="용어집 기준으로 라벨 일괄 정비, 오타/표기 표준 적용"/>
  </r>
  <r>
    <s v="UT-GO11101S"/>
    <s v="1-2차"/>
    <n v="1"/>
    <s v="공항운영(GO)"/>
    <s v="DEF-00324"/>
    <s v="활성화된 코드 목록에 숫자 0 이 있는데, input 에는 숫자 입력이 불가합니다. "/>
    <s v="개발자테스트"/>
    <s v="신문호"/>
    <s v="김경준"/>
    <s v="3자테스터공통"/>
    <s v="Online"/>
    <s v="개선/변경"/>
    <s v="기타"/>
    <s v="확인요청"/>
    <s v="3자테스터공통"/>
    <s v="Minor"/>
    <s v="확인대기"/>
    <d v="2026-04-28T13:45:19"/>
    <d v="2026-04-30T15:18:55"/>
    <s v=""/>
    <x v="11"/>
    <s v="활성/비활성 처리"/>
    <s v="활성화된 코드 목록에 숫자 0 이 있는데, input 에는 숫자 입력이 불가합니다."/>
    <s v="활성화된 코드 목록에 숫자 0 이 있는데, input 에는 숫자 입력이 불가합니다."/>
    <m/>
    <m/>
    <s v="버튼/상태 컴포넌트 표준 적용, 활성·비활성 조건 명세화"/>
  </r>
  <r>
    <s v="UT-PM10106S"/>
    <s v="2-2차"/>
    <n v="1"/>
    <s v="예측관리(PM)"/>
    <s v="DEF-00410"/>
    <s v="테스트 결과서 없음"/>
    <s v="개발자테스트"/>
    <s v="임소정"/>
    <s v="신문호"/>
    <s v="3자테스터공통"/>
    <s v="Online"/>
    <s v="개선/변경"/>
    <s v="기타"/>
    <s v="결함등록기각"/>
    <s v="3자테스터공통"/>
    <s v="Minor"/>
    <s v="확인대기"/>
    <d v="2026-04-28T17:38:35"/>
    <d v="2026-04-29T07:34:47"/>
    <s v="해당 메뉴는 공사담당자와 협의하여 제거했습니다."/>
    <x v="9"/>
    <s v="개선/변경 요청"/>
    <s v="테스트 결과서 없음"/>
    <s v="테스트 결과서 없음"/>
    <s v="기각사유: 해당 메뉴는 공사담당자와 협의하여 제거했습니다. → 협의/보류 성격으로 판단"/>
    <s v="협의/보류"/>
    <s v="차기 반영 일감으로 등록 후 우선순위 협의, 정책 가이드 반영"/>
  </r>
  <r>
    <s v="UT-CARF037S(A)"/>
    <s v="1-1차"/>
    <n v="1"/>
    <s v="공통관리(AOMS-CA)"/>
    <s v="DEF-00490"/>
    <s v="Common Code detail의 내용을 수정 후 List에서 다른 행을 선택하면_x000a_변경된 데이터가 있습니다. 계속하시겠습니까? 가 뜨는데 취소버튼을 누르면 창이 닫히지 않음"/>
    <s v="개발자테스트"/>
    <s v="김명준"/>
    <s v="김태훈"/>
    <s v="3자테스터공통"/>
    <s v="Online"/>
    <s v="결함"/>
    <s v="기능"/>
    <s v="확인요청"/>
    <s v="3자테스터공통"/>
    <s v="Minor"/>
    <s v="확인대기"/>
    <d v="2026-04-29T15:01:53"/>
    <d v="2026-05-06T09:28:37"/>
    <s v=""/>
    <x v="11"/>
    <s v="선택/체크 동작"/>
    <s v="Common Code detail의 내용을 수정 후 List에서 다른 행을 선택하면"/>
    <s v="Common Code detail의 내용을 수정 후 List에서 다른 행을 선택하면 변경된 데이터가 있습니다. 계속하시겠습니까? 가 뜨는데 취소버튼을 누르면 창이 닫히지 않음"/>
    <m/>
    <m/>
    <s v="버튼/상태 컴포넌트 표준 적용, 활성·비활성 조건 명세화"/>
  </r>
  <r>
    <s v="UT-CARF037S(A)"/>
    <s v="1-1차"/>
    <n v="1"/>
    <s v="공통관리(AOMS-CA)"/>
    <s v="DEF-00492"/>
    <s v="Type Name을 빈값으로 두고 저장했을때 Type Name은 필수입니다 가 아니라 Code Name은 필수입니다로 표시"/>
    <s v="개발자테스트"/>
    <s v="김명준"/>
    <s v="김태훈"/>
    <s v="3자테스터공통"/>
    <s v="Online"/>
    <s v="개선/변경"/>
    <s v="UI"/>
    <s v="확인요청"/>
    <s v="3자테스터공통"/>
    <s v="Minor"/>
    <s v="확인대기"/>
    <d v="2026-04-29T15:05:09"/>
    <d v="2026-05-06T09:29:18"/>
    <s v=""/>
    <x v="6"/>
    <s v="필수 입력 누락"/>
    <s v="Type Name을 빈값으로 두고 저장했을때 Type Name은 필수입니다 가 아니라 Code Name은…"/>
    <s v="Type Name을 빈값으로 두고 저장했을때 Type Name은 필수입니다 가 아니라 Code Name은 필수입니다로 표시"/>
    <m/>
    <m/>
    <s v="프론트/백엔드 양측에 입력 유효성 검증 추가 및 공통 validator 적용"/>
  </r>
  <r>
    <s v="UT-FSSG170S"/>
    <s v="2-2차"/>
    <n v="1"/>
    <s v="항공보안(FS)"/>
    <s v="DEF-00497"/>
    <s v="첫 진입 시 첫 필드에 (조회일자) 포커스 필요"/>
    <s v="개발자테스트"/>
    <s v="임소정"/>
    <s v="임소정"/>
    <s v="3자테스터공통"/>
    <s v="Online"/>
    <s v="개선/변경"/>
    <s v="UI"/>
    <s v="확인요청"/>
    <s v="3자테스터공통"/>
    <s v="Minor"/>
    <s v="확인대기"/>
    <d v="2026-04-29T15:25:05"/>
    <d v="2026-05-07T19:33:53"/>
    <s v=""/>
    <x v="0"/>
    <s v="날짜 표시/포맷"/>
    <s v="첫 진입 시 첫 필드에 (조회일자) 포커스 필요"/>
    <s v="첫 진입 시 첫 필드에 (조회일자) 포커스 필요"/>
    <m/>
    <m/>
    <s v="날짜 컴포넌트 표준화, 기준일자-운항일자 등 필드 매핑 점검 및 기간 가드 추가"/>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525CEB-B8C6-4207-A6B2-B8B10030D9C1}" name="피벗 테이블151" cacheId="266" applyNumberFormats="0" applyBorderFormats="0" applyFontFormats="0" applyPatternFormats="0" applyAlignmentFormats="0" applyWidthHeightFormats="1" dataCaption="값" updatedVersion="7" minRefreshableVersion="3" useAutoFormatting="1" itemPrintTitles="1" createdVersion="7" indent="0" outline="1" outlineData="1" multipleFieldFilters="0">
  <location ref="A3:G9" firstHeaderRow="1" firstDataRow="2" firstDataCol="1"/>
  <pivotFields count="2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x="1"/>
        <item x="2"/>
        <item x="3"/>
        <item x="4"/>
        <item t="default"/>
      </items>
    </pivotField>
    <pivotField numFmtId="22" showAll="0"/>
    <pivotField numFmtId="22" showAll="0"/>
    <pivotField showAll="0"/>
  </pivotFields>
  <rowFields count="1">
    <field x="3"/>
  </rowFields>
  <rowItems count="5">
    <i>
      <x/>
    </i>
    <i>
      <x v="1"/>
    </i>
    <i>
      <x v="2"/>
    </i>
    <i>
      <x v="3"/>
    </i>
    <i t="grand">
      <x/>
    </i>
  </rowItems>
  <colFields count="1">
    <field x="16"/>
  </colFields>
  <colItems count="6">
    <i>
      <x/>
    </i>
    <i>
      <x v="1"/>
    </i>
    <i>
      <x v="2"/>
    </i>
    <i>
      <x v="3"/>
    </i>
    <i>
      <x v="4"/>
    </i>
    <i t="grand">
      <x/>
    </i>
  </colItems>
  <dataFields count="1">
    <dataField name="개수 : 결함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9C9A5D-1F6A-4D29-AD01-2FF58A7A25E2}" name="피벗 테이블152" cacheId="268" applyNumberFormats="0" applyBorderFormats="0" applyFontFormats="0" applyPatternFormats="0" applyAlignmentFormats="0" applyWidthHeightFormats="1" dataCaption="값" updatedVersion="7" minRefreshableVersion="3" useAutoFormatting="1" itemPrintTitles="1" createdVersion="7" indent="0" outline="1" outlineData="1" multipleFieldFilters="0">
  <location ref="A3:B19" firstHeaderRow="1" firstDataRow="1" firstDataCol="1"/>
  <pivotFields count="27">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axis="axisRow" showAll="0">
      <items count="16">
        <item x="9"/>
        <item x="13"/>
        <item x="5"/>
        <item x="0"/>
        <item x="1"/>
        <item x="3"/>
        <item x="7"/>
        <item x="14"/>
        <item x="11"/>
        <item x="2"/>
        <item x="10"/>
        <item x="12"/>
        <item x="6"/>
        <item x="4"/>
        <item x="8"/>
        <item t="default"/>
      </items>
    </pivotField>
    <pivotField showAll="0"/>
    <pivotField showAll="0"/>
    <pivotField showAll="0"/>
    <pivotField showAll="0"/>
    <pivotField showAll="0"/>
    <pivotField showAll="0"/>
  </pivotFields>
  <rowFields count="1">
    <field x="20"/>
  </rowFields>
  <rowItems count="16">
    <i>
      <x/>
    </i>
    <i>
      <x v="1"/>
    </i>
    <i>
      <x v="2"/>
    </i>
    <i>
      <x v="3"/>
    </i>
    <i>
      <x v="4"/>
    </i>
    <i>
      <x v="5"/>
    </i>
    <i>
      <x v="6"/>
    </i>
    <i>
      <x v="7"/>
    </i>
    <i>
      <x v="8"/>
    </i>
    <i>
      <x v="9"/>
    </i>
    <i>
      <x v="10"/>
    </i>
    <i>
      <x v="11"/>
    </i>
    <i>
      <x v="12"/>
    </i>
    <i>
      <x v="13"/>
    </i>
    <i>
      <x v="14"/>
    </i>
    <i t="grand">
      <x/>
    </i>
  </rowItems>
  <colItems count="1">
    <i/>
  </colItems>
  <dataFields count="1">
    <dataField name="개수 : 결함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iuxIteration1_1_테스트_결함_202605081101" displayName="uiuxIteration1_1_테스트_결함_202605081101" ref="A1:T655" headerRowDxfId="2">
  <autoFilter ref="A1:T655" xr:uid="{00000000-0009-0000-0100-000001000000}"/>
  <tableColumns count="20">
    <tableColumn id="1" xr3:uid="{00000000-0010-0000-0000-000001000000}" name="시나리오ID"/>
    <tableColumn id="2" xr3:uid="{00000000-0010-0000-0000-000002000000}" name="테스트차수"/>
    <tableColumn id="3" xr3:uid="{00000000-0010-0000-0000-000003000000}" name="단계"/>
    <tableColumn id="4" xr3:uid="{00000000-0010-0000-0000-000004000000}" name="업무모듈명"/>
    <tableColumn id="5" xr3:uid="{00000000-0010-0000-0000-000005000000}" name="결함ID"/>
    <tableColumn id="6" xr3:uid="{00000000-0010-0000-0000-000006000000}" name="결함내용"/>
    <tableColumn id="7" xr3:uid="{00000000-0010-0000-0000-000007000000}" name="테스트단계"/>
    <tableColumn id="8" xr3:uid="{00000000-0010-0000-0000-000008000000}" name="PL"/>
    <tableColumn id="9" xr3:uid="{00000000-0010-0000-0000-000009000000}" name="개발자"/>
    <tableColumn id="10" xr3:uid="{00000000-0010-0000-0000-00000A000000}" name="테스터"/>
    <tableColumn id="11" xr3:uid="{00000000-0010-0000-0000-00000B000000}" name="기능유형"/>
    <tableColumn id="12" xr3:uid="{00000000-0010-0000-0000-00000C000000}" name="결함구분"/>
    <tableColumn id="13" xr3:uid="{00000000-0010-0000-0000-00000D000000}" name="결함유형"/>
    <tableColumn id="14" xr3:uid="{00000000-0010-0000-0000-00000E000000}" name="결함상태"/>
    <tableColumn id="15" xr3:uid="{00000000-0010-0000-0000-00000F000000}" name="담당자"/>
    <tableColumn id="16" xr3:uid="{00000000-0010-0000-0000-000010000000}" name="심각도"/>
    <tableColumn id="17" xr3:uid="{00000000-0010-0000-0000-000011000000}" name="조치상태"/>
    <tableColumn id="18" xr3:uid="{00000000-0010-0000-0000-000012000000}" name="결함등록일" dataDxfId="1"/>
    <tableColumn id="19" xr3:uid="{00000000-0010-0000-0000-000013000000}" name="결함수정일시" dataDxfId="0"/>
    <tableColumn id="20" xr3:uid="{00000000-0010-0000-0000-000014000000}" name="기각사유"/>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0B071-3966-48E0-A7B3-5063C5DDF7B0}">
  <dimension ref="A3:G9"/>
  <sheetViews>
    <sheetView workbookViewId="0">
      <selection activeCell="D9" activeCellId="1" sqref="B9 D9:F9"/>
    </sheetView>
  </sheetViews>
  <sheetFormatPr defaultRowHeight="16.5"/>
  <cols>
    <col min="1" max="1" width="20" bestFit="1" customWidth="1"/>
    <col min="2" max="3" width="13.25" bestFit="1" customWidth="1"/>
    <col min="4" max="4" width="9.25" bestFit="1" customWidth="1"/>
    <col min="5" max="5" width="11.875" bestFit="1" customWidth="1"/>
    <col min="6" max="6" width="9.25" bestFit="1" customWidth="1"/>
    <col min="7" max="7" width="7.375" bestFit="1" customWidth="1"/>
  </cols>
  <sheetData>
    <row r="3" spans="1:7">
      <c r="A3" s="30" t="s">
        <v>2500</v>
      </c>
      <c r="B3" s="30" t="s">
        <v>2501</v>
      </c>
    </row>
    <row r="4" spans="1:7">
      <c r="A4" s="30" t="s">
        <v>2499</v>
      </c>
      <c r="B4" s="8" t="s">
        <v>39</v>
      </c>
      <c r="C4" s="8" t="s">
        <v>1248</v>
      </c>
      <c r="D4" s="8" t="s">
        <v>2217</v>
      </c>
      <c r="E4" s="8" t="s">
        <v>2230</v>
      </c>
      <c r="F4" s="8" t="s">
        <v>2259</v>
      </c>
      <c r="G4" s="8" t="s">
        <v>2489</v>
      </c>
    </row>
    <row r="5" spans="1:7">
      <c r="A5" s="31" t="s">
        <v>1273</v>
      </c>
      <c r="B5" s="32"/>
      <c r="C5" s="32">
        <v>85</v>
      </c>
      <c r="D5" s="32"/>
      <c r="E5" s="32">
        <v>7</v>
      </c>
      <c r="F5" s="32">
        <v>36</v>
      </c>
      <c r="G5" s="32">
        <v>128</v>
      </c>
    </row>
    <row r="6" spans="1:7">
      <c r="A6" s="31" t="s">
        <v>29</v>
      </c>
      <c r="B6" s="32">
        <v>212</v>
      </c>
      <c r="C6" s="32">
        <v>15</v>
      </c>
      <c r="D6" s="32"/>
      <c r="E6" s="32"/>
      <c r="F6" s="32">
        <v>7</v>
      </c>
      <c r="G6" s="32">
        <v>234</v>
      </c>
    </row>
    <row r="7" spans="1:7">
      <c r="A7" s="31" t="s">
        <v>121</v>
      </c>
      <c r="B7" s="32">
        <v>102</v>
      </c>
      <c r="C7" s="32">
        <v>63</v>
      </c>
      <c r="D7" s="32"/>
      <c r="E7" s="32">
        <v>1</v>
      </c>
      <c r="F7" s="32">
        <v>7</v>
      </c>
      <c r="G7" s="32">
        <v>173</v>
      </c>
    </row>
    <row r="8" spans="1:7">
      <c r="A8" s="31" t="s">
        <v>228</v>
      </c>
      <c r="B8" s="32">
        <v>39</v>
      </c>
      <c r="C8" s="32">
        <v>54</v>
      </c>
      <c r="D8" s="32">
        <v>3</v>
      </c>
      <c r="E8" s="32"/>
      <c r="F8" s="32">
        <v>23</v>
      </c>
      <c r="G8" s="32">
        <v>119</v>
      </c>
    </row>
    <row r="9" spans="1:7">
      <c r="A9" s="31" t="s">
        <v>2489</v>
      </c>
      <c r="B9" s="32">
        <v>353</v>
      </c>
      <c r="C9" s="32">
        <v>217</v>
      </c>
      <c r="D9" s="32">
        <v>3</v>
      </c>
      <c r="E9" s="32">
        <v>8</v>
      </c>
      <c r="F9" s="32">
        <v>73</v>
      </c>
      <c r="G9" s="32">
        <v>654</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89D93-059A-41BE-9EEC-97617C9B8AEE}">
  <dimension ref="A3:B19"/>
  <sheetViews>
    <sheetView workbookViewId="0">
      <selection activeCell="A4" sqref="A4:B18"/>
    </sheetView>
  </sheetViews>
  <sheetFormatPr defaultRowHeight="16.5"/>
  <cols>
    <col min="1" max="1" width="26.375" bestFit="1" customWidth="1"/>
    <col min="2" max="2" width="13.25" bestFit="1" customWidth="1"/>
  </cols>
  <sheetData>
    <row r="3" spans="1:2">
      <c r="A3" s="30" t="s">
        <v>2499</v>
      </c>
      <c r="B3" t="s">
        <v>2500</v>
      </c>
    </row>
    <row r="4" spans="1:2">
      <c r="A4" s="31" t="s">
        <v>263</v>
      </c>
      <c r="B4" s="32">
        <v>54</v>
      </c>
    </row>
    <row r="5" spans="1:2">
      <c r="A5" s="31" t="s">
        <v>788</v>
      </c>
      <c r="B5" s="32">
        <v>7</v>
      </c>
    </row>
    <row r="6" spans="1:2">
      <c r="A6" s="31" t="s">
        <v>115</v>
      </c>
      <c r="B6" s="32">
        <v>42</v>
      </c>
    </row>
    <row r="7" spans="1:2">
      <c r="A7" s="31" t="s">
        <v>42</v>
      </c>
      <c r="B7" s="32">
        <v>93</v>
      </c>
    </row>
    <row r="8" spans="1:2">
      <c r="A8" s="31" t="s">
        <v>59</v>
      </c>
      <c r="B8" s="32">
        <v>97</v>
      </c>
    </row>
    <row r="9" spans="1:2">
      <c r="A9" s="31" t="s">
        <v>83</v>
      </c>
      <c r="B9" s="32">
        <v>57</v>
      </c>
    </row>
    <row r="10" spans="1:2">
      <c r="A10" s="31" t="s">
        <v>177</v>
      </c>
      <c r="B10" s="32">
        <v>24</v>
      </c>
    </row>
    <row r="11" spans="1:2">
      <c r="A11" s="31" t="s">
        <v>952</v>
      </c>
      <c r="B11" s="32">
        <v>1</v>
      </c>
    </row>
    <row r="12" spans="1:2">
      <c r="A12" s="31" t="s">
        <v>283</v>
      </c>
      <c r="B12" s="32">
        <v>45</v>
      </c>
    </row>
    <row r="13" spans="1:2">
      <c r="A13" s="31" t="s">
        <v>65</v>
      </c>
      <c r="B13" s="32">
        <v>38</v>
      </c>
    </row>
    <row r="14" spans="1:2">
      <c r="A14" s="31" t="s">
        <v>272</v>
      </c>
      <c r="B14" s="32">
        <v>11</v>
      </c>
    </row>
    <row r="15" spans="1:2">
      <c r="A15" s="31" t="s">
        <v>569</v>
      </c>
      <c r="B15" s="32">
        <v>11</v>
      </c>
    </row>
    <row r="16" spans="1:2">
      <c r="A16" s="31" t="s">
        <v>165</v>
      </c>
      <c r="B16" s="32">
        <v>34</v>
      </c>
    </row>
    <row r="17" spans="1:2">
      <c r="A17" s="31" t="s">
        <v>95</v>
      </c>
      <c r="B17" s="32">
        <v>110</v>
      </c>
    </row>
    <row r="18" spans="1:2">
      <c r="A18" s="31" t="s">
        <v>243</v>
      </c>
      <c r="B18" s="32">
        <v>30</v>
      </c>
    </row>
    <row r="19" spans="1:2">
      <c r="A19" s="31" t="s">
        <v>2489</v>
      </c>
      <c r="B19" s="32">
        <v>654</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62C58-7CE8-7A38-73A8-201F3D65FC62}">
  <dimension ref="A1:AA655"/>
  <sheetViews>
    <sheetView topLeftCell="V1" workbookViewId="0">
      <pane ySplit="1" topLeftCell="A625" activePane="bottomLeft" state="frozen"/>
      <selection pane="bottomLeft" activeCell="F15" sqref="F15"/>
    </sheetView>
  </sheetViews>
  <sheetFormatPr defaultColWidth="9.125" defaultRowHeight="17.45" customHeight="1"/>
  <cols>
    <col min="1" max="1" width="17.25" customWidth="1"/>
    <col min="2" max="2" width="12.375" customWidth="1"/>
    <col min="3" max="3" width="7" customWidth="1"/>
    <col min="4" max="4" width="18.625" customWidth="1"/>
    <col min="5" max="5" width="10.125" customWidth="1"/>
    <col min="6" max="6" width="80.75" customWidth="1"/>
    <col min="7" max="7" width="12.375" customWidth="1"/>
    <col min="8" max="8" width="6.75" customWidth="1"/>
    <col min="10" max="10" width="13.625" customWidth="1"/>
    <col min="11" max="13" width="10.625" customWidth="1"/>
    <col min="14" max="14" width="12.375" customWidth="1"/>
    <col min="15" max="15" width="13.625" customWidth="1"/>
    <col min="17" max="17" width="12.375" customWidth="1"/>
    <col min="18" max="19" width="16.25" customWidth="1"/>
    <col min="20" max="20" width="80.75" customWidth="1"/>
    <col min="21" max="21" width="18.625" customWidth="1"/>
    <col min="22" max="22" width="21.375" customWidth="1"/>
    <col min="23" max="23" width="37.125" customWidth="1"/>
    <col min="24" max="24" width="51.375" customWidth="1"/>
    <col min="25" max="25" width="42.75" customWidth="1"/>
    <col min="26" max="26" width="20" customWidth="1"/>
    <col min="27" max="27" width="42.75" customWidth="1"/>
  </cols>
  <sheetData>
    <row r="1" spans="1:27" s="9" customFormat="1" ht="17.45" customHeigh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10" t="s">
        <v>20</v>
      </c>
      <c r="V1" s="10" t="s">
        <v>21</v>
      </c>
      <c r="W1" s="10" t="s">
        <v>22</v>
      </c>
      <c r="X1" s="10" t="s">
        <v>23</v>
      </c>
      <c r="Y1" s="10" t="s">
        <v>24</v>
      </c>
      <c r="Z1" s="10" t="s">
        <v>25</v>
      </c>
      <c r="AA1" s="10" t="s">
        <v>26</v>
      </c>
    </row>
    <row r="2" spans="1:27" ht="17.45" customHeight="1">
      <c r="A2" s="2" t="s">
        <v>27</v>
      </c>
      <c r="B2" s="2" t="s">
        <v>28</v>
      </c>
      <c r="C2">
        <v>1</v>
      </c>
      <c r="D2" s="2" t="s">
        <v>29</v>
      </c>
      <c r="E2" s="2" t="s">
        <v>30</v>
      </c>
      <c r="F2" s="2" t="s">
        <v>31</v>
      </c>
      <c r="G2" s="2" t="s">
        <v>32</v>
      </c>
      <c r="H2" s="2" t="s">
        <v>33</v>
      </c>
      <c r="I2" s="2" t="s">
        <v>34</v>
      </c>
      <c r="J2" s="2" t="s">
        <v>35</v>
      </c>
      <c r="K2" s="2" t="s">
        <v>36</v>
      </c>
      <c r="L2" s="2" t="s">
        <v>37</v>
      </c>
      <c r="M2" s="2" t="s">
        <v>38</v>
      </c>
      <c r="N2" s="2" t="s">
        <v>39</v>
      </c>
      <c r="O2" s="2" t="s">
        <v>33</v>
      </c>
      <c r="P2" s="2" t="s">
        <v>40</v>
      </c>
      <c r="Q2" s="2" t="s">
        <v>39</v>
      </c>
      <c r="R2" s="4">
        <v>46139.619317129633</v>
      </c>
      <c r="S2" s="4">
        <v>46139.619317129633</v>
      </c>
      <c r="T2" s="2" t="s">
        <v>41</v>
      </c>
      <c r="U2" s="1" t="s">
        <v>42</v>
      </c>
      <c r="V2" s="1" t="s">
        <v>43</v>
      </c>
      <c r="W2" s="1" t="s">
        <v>44</v>
      </c>
      <c r="X2" s="1" t="s">
        <v>45</v>
      </c>
      <c r="Y2" s="1"/>
      <c r="Z2" s="1"/>
      <c r="AA2" s="1" t="s">
        <v>46</v>
      </c>
    </row>
    <row r="3" spans="1:27" ht="17.45" customHeight="1">
      <c r="A3" s="3" t="s">
        <v>47</v>
      </c>
      <c r="B3" s="3" t="s">
        <v>48</v>
      </c>
      <c r="C3">
        <v>1</v>
      </c>
      <c r="D3" s="3" t="s">
        <v>29</v>
      </c>
      <c r="E3" s="3" t="s">
        <v>49</v>
      </c>
      <c r="F3" s="3" t="s">
        <v>50</v>
      </c>
      <c r="G3" s="3" t="s">
        <v>32</v>
      </c>
      <c r="H3" s="3" t="s">
        <v>33</v>
      </c>
      <c r="I3" s="3" t="s">
        <v>33</v>
      </c>
      <c r="J3" s="3" t="s">
        <v>35</v>
      </c>
      <c r="K3" s="3" t="s">
        <v>36</v>
      </c>
      <c r="L3" s="3" t="s">
        <v>51</v>
      </c>
      <c r="M3" s="3" t="s">
        <v>52</v>
      </c>
      <c r="N3" s="3" t="s">
        <v>39</v>
      </c>
      <c r="O3" s="3" t="s">
        <v>33</v>
      </c>
      <c r="P3" s="3" t="s">
        <v>53</v>
      </c>
      <c r="Q3" s="3" t="s">
        <v>39</v>
      </c>
      <c r="R3" s="5">
        <v>46139.700810185182</v>
      </c>
      <c r="S3" s="5">
        <v>46139.700810185182</v>
      </c>
      <c r="T3" s="3" t="s">
        <v>41</v>
      </c>
      <c r="U3" s="1" t="s">
        <v>42</v>
      </c>
      <c r="V3" s="1" t="s">
        <v>54</v>
      </c>
      <c r="W3" s="1" t="s">
        <v>50</v>
      </c>
      <c r="X3" s="1" t="s">
        <v>50</v>
      </c>
      <c r="Y3" s="1"/>
      <c r="Z3" s="1"/>
      <c r="AA3" s="1" t="s">
        <v>46</v>
      </c>
    </row>
    <row r="4" spans="1:27" ht="17.45" customHeight="1">
      <c r="A4" s="2" t="s">
        <v>55</v>
      </c>
      <c r="B4" s="2" t="s">
        <v>48</v>
      </c>
      <c r="C4">
        <v>1</v>
      </c>
      <c r="D4" s="2" t="s">
        <v>29</v>
      </c>
      <c r="E4" s="2" t="s">
        <v>56</v>
      </c>
      <c r="F4" s="2" t="s">
        <v>57</v>
      </c>
      <c r="G4" s="2" t="s">
        <v>32</v>
      </c>
      <c r="H4" s="2" t="s">
        <v>33</v>
      </c>
      <c r="I4" s="2" t="s">
        <v>33</v>
      </c>
      <c r="J4" s="2" t="s">
        <v>35</v>
      </c>
      <c r="K4" s="2" t="s">
        <v>36</v>
      </c>
      <c r="L4" s="2" t="s">
        <v>37</v>
      </c>
      <c r="M4" s="2" t="s">
        <v>52</v>
      </c>
      <c r="N4" s="2" t="s">
        <v>39</v>
      </c>
      <c r="O4" s="2" t="s">
        <v>33</v>
      </c>
      <c r="P4" s="2" t="s">
        <v>58</v>
      </c>
      <c r="Q4" s="2" t="s">
        <v>39</v>
      </c>
      <c r="R4" s="4">
        <v>46139.704560185186</v>
      </c>
      <c r="S4" s="4">
        <v>46139.714583333334</v>
      </c>
      <c r="T4" s="2" t="s">
        <v>41</v>
      </c>
      <c r="U4" s="1" t="s">
        <v>59</v>
      </c>
      <c r="V4" s="1" t="s">
        <v>60</v>
      </c>
      <c r="W4" s="1" t="s">
        <v>57</v>
      </c>
      <c r="X4" s="1" t="s">
        <v>57</v>
      </c>
      <c r="Y4" s="1"/>
      <c r="Z4" s="1"/>
      <c r="AA4" s="1" t="s">
        <v>61</v>
      </c>
    </row>
    <row r="5" spans="1:27" ht="17.45" customHeight="1">
      <c r="A5" s="3" t="s">
        <v>55</v>
      </c>
      <c r="B5" s="3" t="s">
        <v>48</v>
      </c>
      <c r="C5">
        <v>1</v>
      </c>
      <c r="D5" s="3" t="s">
        <v>29</v>
      </c>
      <c r="E5" s="3" t="s">
        <v>62</v>
      </c>
      <c r="F5" s="3" t="s">
        <v>63</v>
      </c>
      <c r="G5" s="3" t="s">
        <v>32</v>
      </c>
      <c r="H5" s="3" t="s">
        <v>33</v>
      </c>
      <c r="I5" s="3" t="s">
        <v>33</v>
      </c>
      <c r="J5" s="3" t="s">
        <v>35</v>
      </c>
      <c r="K5" s="3" t="s">
        <v>36</v>
      </c>
      <c r="L5" s="3" t="s">
        <v>51</v>
      </c>
      <c r="M5" s="3" t="s">
        <v>64</v>
      </c>
      <c r="N5" s="3" t="s">
        <v>39</v>
      </c>
      <c r="O5" s="3" t="s">
        <v>33</v>
      </c>
      <c r="P5" s="3" t="s">
        <v>53</v>
      </c>
      <c r="Q5" s="3" t="s">
        <v>39</v>
      </c>
      <c r="R5" s="5">
        <v>46139.706967592596</v>
      </c>
      <c r="S5" s="5">
        <v>46139.706967592596</v>
      </c>
      <c r="T5" s="3" t="s">
        <v>41</v>
      </c>
      <c r="U5" s="1" t="s">
        <v>65</v>
      </c>
      <c r="V5" s="1" t="s">
        <v>66</v>
      </c>
      <c r="W5" s="1" t="s">
        <v>63</v>
      </c>
      <c r="X5" s="1" t="s">
        <v>63</v>
      </c>
      <c r="Y5" s="1"/>
      <c r="Z5" s="1"/>
      <c r="AA5" s="1" t="s">
        <v>67</v>
      </c>
    </row>
    <row r="6" spans="1:27" ht="17.45" customHeight="1">
      <c r="A6" s="2" t="s">
        <v>55</v>
      </c>
      <c r="B6" s="2" t="s">
        <v>48</v>
      </c>
      <c r="C6">
        <v>1</v>
      </c>
      <c r="D6" s="2" t="s">
        <v>29</v>
      </c>
      <c r="E6" s="2" t="s">
        <v>68</v>
      </c>
      <c r="F6" s="2" t="s">
        <v>69</v>
      </c>
      <c r="G6" s="2" t="s">
        <v>32</v>
      </c>
      <c r="H6" s="2" t="s">
        <v>33</v>
      </c>
      <c r="I6" s="2" t="s">
        <v>33</v>
      </c>
      <c r="J6" s="2" t="s">
        <v>35</v>
      </c>
      <c r="K6" s="2" t="s">
        <v>36</v>
      </c>
      <c r="L6" s="2" t="s">
        <v>37</v>
      </c>
      <c r="M6" s="2" t="s">
        <v>52</v>
      </c>
      <c r="N6" s="2" t="s">
        <v>39</v>
      </c>
      <c r="O6" s="2" t="s">
        <v>33</v>
      </c>
      <c r="P6" s="2" t="s">
        <v>53</v>
      </c>
      <c r="Q6" s="2" t="s">
        <v>39</v>
      </c>
      <c r="R6" s="4">
        <v>46139.707499999997</v>
      </c>
      <c r="S6" s="4">
        <v>46139.707499999997</v>
      </c>
      <c r="T6" s="2" t="s">
        <v>41</v>
      </c>
      <c r="U6" s="1" t="s">
        <v>65</v>
      </c>
      <c r="V6" s="1" t="s">
        <v>70</v>
      </c>
      <c r="W6" s="1" t="s">
        <v>69</v>
      </c>
      <c r="X6" s="1" t="s">
        <v>69</v>
      </c>
      <c r="Y6" s="1"/>
      <c r="Z6" s="1"/>
      <c r="AA6" s="1" t="s">
        <v>67</v>
      </c>
    </row>
    <row r="7" spans="1:27" ht="17.45" customHeight="1">
      <c r="A7" s="3" t="s">
        <v>71</v>
      </c>
      <c r="B7" s="3" t="s">
        <v>48</v>
      </c>
      <c r="C7">
        <v>1</v>
      </c>
      <c r="D7" s="3" t="s">
        <v>29</v>
      </c>
      <c r="E7" s="3" t="s">
        <v>72</v>
      </c>
      <c r="F7" s="3" t="s">
        <v>73</v>
      </c>
      <c r="G7" s="3" t="s">
        <v>32</v>
      </c>
      <c r="H7" s="3" t="s">
        <v>33</v>
      </c>
      <c r="I7" s="3" t="s">
        <v>33</v>
      </c>
      <c r="J7" s="3" t="s">
        <v>35</v>
      </c>
      <c r="K7" s="3" t="s">
        <v>36</v>
      </c>
      <c r="L7" s="3" t="s">
        <v>51</v>
      </c>
      <c r="M7" s="3" t="s">
        <v>64</v>
      </c>
      <c r="N7" s="3" t="s">
        <v>39</v>
      </c>
      <c r="O7" s="3" t="s">
        <v>33</v>
      </c>
      <c r="P7" s="3" t="s">
        <v>53</v>
      </c>
      <c r="Q7" s="3" t="s">
        <v>39</v>
      </c>
      <c r="R7" s="5">
        <v>46139.717233796298</v>
      </c>
      <c r="S7" s="5">
        <v>46140.592812499999</v>
      </c>
      <c r="T7" s="3" t="s">
        <v>41</v>
      </c>
      <c r="U7" s="1" t="s">
        <v>42</v>
      </c>
      <c r="V7" s="1" t="s">
        <v>74</v>
      </c>
      <c r="W7" s="1" t="s">
        <v>73</v>
      </c>
      <c r="X7" s="1" t="s">
        <v>73</v>
      </c>
      <c r="Y7" s="1"/>
      <c r="Z7" s="1"/>
      <c r="AA7" s="1" t="s">
        <v>46</v>
      </c>
    </row>
    <row r="8" spans="1:27" ht="17.45" customHeight="1">
      <c r="A8" s="2" t="s">
        <v>75</v>
      </c>
      <c r="B8" s="2" t="s">
        <v>28</v>
      </c>
      <c r="C8">
        <v>1</v>
      </c>
      <c r="D8" s="2" t="s">
        <v>29</v>
      </c>
      <c r="E8" s="2" t="s">
        <v>76</v>
      </c>
      <c r="F8" s="2" t="s">
        <v>77</v>
      </c>
      <c r="G8" s="2" t="s">
        <v>32</v>
      </c>
      <c r="H8" s="2" t="s">
        <v>33</v>
      </c>
      <c r="I8" s="2" t="s">
        <v>78</v>
      </c>
      <c r="J8" s="2" t="s">
        <v>35</v>
      </c>
      <c r="K8" s="2" t="s">
        <v>36</v>
      </c>
      <c r="L8" s="2" t="s">
        <v>37</v>
      </c>
      <c r="M8" s="2" t="s">
        <v>52</v>
      </c>
      <c r="N8" s="2" t="s">
        <v>39</v>
      </c>
      <c r="O8" s="2" t="s">
        <v>33</v>
      </c>
      <c r="P8" s="2" t="s">
        <v>40</v>
      </c>
      <c r="Q8" s="2" t="s">
        <v>39</v>
      </c>
      <c r="R8" s="4">
        <v>46139.598263888889</v>
      </c>
      <c r="S8" s="4">
        <v>46139.598263888889</v>
      </c>
      <c r="T8" s="2" t="s">
        <v>41</v>
      </c>
      <c r="U8" s="1" t="s">
        <v>59</v>
      </c>
      <c r="V8" s="1" t="s">
        <v>60</v>
      </c>
      <c r="W8" s="1" t="s">
        <v>77</v>
      </c>
      <c r="X8" s="1" t="s">
        <v>77</v>
      </c>
      <c r="Y8" s="1"/>
      <c r="Z8" s="1"/>
      <c r="AA8" s="1" t="s">
        <v>61</v>
      </c>
    </row>
    <row r="9" spans="1:27" ht="17.45" customHeight="1">
      <c r="A9" s="3" t="s">
        <v>79</v>
      </c>
      <c r="B9" s="3" t="s">
        <v>28</v>
      </c>
      <c r="C9">
        <v>1</v>
      </c>
      <c r="D9" s="3" t="s">
        <v>29</v>
      </c>
      <c r="E9" s="3" t="s">
        <v>80</v>
      </c>
      <c r="F9" s="3" t="s">
        <v>81</v>
      </c>
      <c r="G9" s="3" t="s">
        <v>32</v>
      </c>
      <c r="H9" s="3" t="s">
        <v>33</v>
      </c>
      <c r="I9" s="3" t="s">
        <v>78</v>
      </c>
      <c r="J9" s="3" t="s">
        <v>35</v>
      </c>
      <c r="K9" s="3" t="s">
        <v>36</v>
      </c>
      <c r="L9" s="3" t="s">
        <v>37</v>
      </c>
      <c r="M9" s="3" t="s">
        <v>82</v>
      </c>
      <c r="N9" s="3" t="s">
        <v>39</v>
      </c>
      <c r="O9" s="3" t="s">
        <v>33</v>
      </c>
      <c r="P9" s="3" t="s">
        <v>53</v>
      </c>
      <c r="Q9" s="3" t="s">
        <v>39</v>
      </c>
      <c r="R9" s="5">
        <v>46139.599305555559</v>
      </c>
      <c r="S9" s="5">
        <v>46139.599305555559</v>
      </c>
      <c r="T9" s="3" t="s">
        <v>41</v>
      </c>
      <c r="U9" s="1" t="s">
        <v>83</v>
      </c>
      <c r="V9" s="1" t="s">
        <v>84</v>
      </c>
      <c r="W9" s="1" t="s">
        <v>81</v>
      </c>
      <c r="X9" s="1" t="s">
        <v>81</v>
      </c>
      <c r="Y9" s="1"/>
      <c r="Z9" s="1"/>
      <c r="AA9" s="1" t="s">
        <v>85</v>
      </c>
    </row>
    <row r="10" spans="1:27" ht="17.45" customHeight="1">
      <c r="A10" s="2" t="s">
        <v>86</v>
      </c>
      <c r="B10" s="2" t="s">
        <v>28</v>
      </c>
      <c r="C10">
        <v>1</v>
      </c>
      <c r="D10" s="2" t="s">
        <v>29</v>
      </c>
      <c r="E10" s="2" t="s">
        <v>87</v>
      </c>
      <c r="F10" s="2" t="s">
        <v>88</v>
      </c>
      <c r="G10" s="2" t="s">
        <v>32</v>
      </c>
      <c r="H10" s="2" t="s">
        <v>33</v>
      </c>
      <c r="I10" s="2" t="s">
        <v>34</v>
      </c>
      <c r="J10" s="2" t="s">
        <v>35</v>
      </c>
      <c r="K10" s="2" t="s">
        <v>36</v>
      </c>
      <c r="L10" s="2" t="s">
        <v>37</v>
      </c>
      <c r="M10" s="2" t="s">
        <v>64</v>
      </c>
      <c r="N10" s="2" t="s">
        <v>39</v>
      </c>
      <c r="O10" s="2" t="s">
        <v>33</v>
      </c>
      <c r="P10" s="2" t="s">
        <v>53</v>
      </c>
      <c r="Q10" s="2" t="s">
        <v>39</v>
      </c>
      <c r="R10" s="4">
        <v>46139.605462962965</v>
      </c>
      <c r="S10" s="4">
        <v>46139.605462962965</v>
      </c>
      <c r="T10" s="2" t="s">
        <v>41</v>
      </c>
      <c r="U10" s="1" t="s">
        <v>65</v>
      </c>
      <c r="V10" s="1" t="s">
        <v>89</v>
      </c>
      <c r="W10" s="1" t="s">
        <v>90</v>
      </c>
      <c r="X10" s="1" t="s">
        <v>91</v>
      </c>
      <c r="Y10" s="1"/>
      <c r="Z10" s="1"/>
      <c r="AA10" s="1" t="s">
        <v>67</v>
      </c>
    </row>
    <row r="11" spans="1:27" ht="17.45" customHeight="1">
      <c r="A11" s="3" t="s">
        <v>92</v>
      </c>
      <c r="B11" s="3" t="s">
        <v>28</v>
      </c>
      <c r="C11">
        <v>1</v>
      </c>
      <c r="D11" s="3" t="s">
        <v>29</v>
      </c>
      <c r="E11" s="3" t="s">
        <v>93</v>
      </c>
      <c r="F11" s="3" t="s">
        <v>94</v>
      </c>
      <c r="G11" s="3" t="s">
        <v>32</v>
      </c>
      <c r="H11" s="3" t="s">
        <v>33</v>
      </c>
      <c r="I11" s="3" t="s">
        <v>34</v>
      </c>
      <c r="J11" s="3" t="s">
        <v>35</v>
      </c>
      <c r="K11" s="3" t="s">
        <v>36</v>
      </c>
      <c r="L11" s="3" t="s">
        <v>37</v>
      </c>
      <c r="M11" s="3" t="s">
        <v>52</v>
      </c>
      <c r="N11" s="3" t="s">
        <v>39</v>
      </c>
      <c r="O11" s="3" t="s">
        <v>33</v>
      </c>
      <c r="P11" s="3" t="s">
        <v>53</v>
      </c>
      <c r="Q11" s="3" t="s">
        <v>39</v>
      </c>
      <c r="R11" s="5">
        <v>46139.60565972222</v>
      </c>
      <c r="S11" s="5">
        <v>46139.60565972222</v>
      </c>
      <c r="T11" s="3" t="s">
        <v>41</v>
      </c>
      <c r="U11" s="1" t="s">
        <v>95</v>
      </c>
      <c r="V11" s="1" t="s">
        <v>96</v>
      </c>
      <c r="W11" s="1" t="s">
        <v>97</v>
      </c>
      <c r="X11" s="1" t="s">
        <v>97</v>
      </c>
      <c r="Y11" s="1"/>
      <c r="Z11" s="1"/>
      <c r="AA11" s="1" t="s">
        <v>98</v>
      </c>
    </row>
    <row r="12" spans="1:27" ht="17.45" customHeight="1">
      <c r="A12" s="2" t="s">
        <v>99</v>
      </c>
      <c r="B12" s="2" t="s">
        <v>48</v>
      </c>
      <c r="C12">
        <v>1</v>
      </c>
      <c r="D12" s="2" t="s">
        <v>29</v>
      </c>
      <c r="E12" s="2" t="s">
        <v>100</v>
      </c>
      <c r="F12" s="2" t="s">
        <v>101</v>
      </c>
      <c r="G12" s="2" t="s">
        <v>32</v>
      </c>
      <c r="H12" s="2" t="s">
        <v>33</v>
      </c>
      <c r="I12" s="2" t="s">
        <v>33</v>
      </c>
      <c r="J12" s="2" t="s">
        <v>35</v>
      </c>
      <c r="K12" s="2" t="s">
        <v>36</v>
      </c>
      <c r="L12" s="2" t="s">
        <v>37</v>
      </c>
      <c r="M12" s="2" t="s">
        <v>38</v>
      </c>
      <c r="N12" s="2" t="s">
        <v>39</v>
      </c>
      <c r="O12" s="2" t="s">
        <v>33</v>
      </c>
      <c r="P12" s="2" t="s">
        <v>58</v>
      </c>
      <c r="Q12" s="2" t="s">
        <v>39</v>
      </c>
      <c r="R12" s="4">
        <v>46139.724108796298</v>
      </c>
      <c r="S12" s="4">
        <v>46139.746516203704</v>
      </c>
      <c r="T12" s="2" t="s">
        <v>41</v>
      </c>
      <c r="U12" s="1" t="s">
        <v>42</v>
      </c>
      <c r="V12" s="1" t="s">
        <v>54</v>
      </c>
      <c r="W12" s="1" t="s">
        <v>101</v>
      </c>
      <c r="X12" s="1" t="s">
        <v>101</v>
      </c>
      <c r="Y12" s="1"/>
      <c r="Z12" s="1"/>
      <c r="AA12" s="1" t="s">
        <v>46</v>
      </c>
    </row>
    <row r="13" spans="1:27" ht="17.45" customHeight="1">
      <c r="A13" s="3" t="s">
        <v>102</v>
      </c>
      <c r="B13" s="3" t="s">
        <v>48</v>
      </c>
      <c r="C13">
        <v>1</v>
      </c>
      <c r="D13" s="3" t="s">
        <v>29</v>
      </c>
      <c r="E13" s="3" t="s">
        <v>103</v>
      </c>
      <c r="F13" s="3" t="s">
        <v>104</v>
      </c>
      <c r="G13" s="3" t="s">
        <v>32</v>
      </c>
      <c r="H13" s="3" t="s">
        <v>33</v>
      </c>
      <c r="I13" s="3" t="s">
        <v>33</v>
      </c>
      <c r="J13" s="3" t="s">
        <v>35</v>
      </c>
      <c r="K13" s="3" t="s">
        <v>36</v>
      </c>
      <c r="L13" s="3" t="s">
        <v>37</v>
      </c>
      <c r="M13" s="3" t="s">
        <v>52</v>
      </c>
      <c r="N13" s="3" t="s">
        <v>39</v>
      </c>
      <c r="O13" s="3" t="s">
        <v>33</v>
      </c>
      <c r="P13" s="3" t="s">
        <v>58</v>
      </c>
      <c r="Q13" s="3" t="s">
        <v>39</v>
      </c>
      <c r="R13" s="5">
        <v>46139.727696759262</v>
      </c>
      <c r="S13" s="5">
        <v>46139.727696759262</v>
      </c>
      <c r="T13" s="3" t="s">
        <v>41</v>
      </c>
      <c r="U13" s="1" t="s">
        <v>42</v>
      </c>
      <c r="V13" s="1" t="s">
        <v>105</v>
      </c>
      <c r="W13" s="1" t="s">
        <v>104</v>
      </c>
      <c r="X13" s="1" t="s">
        <v>104</v>
      </c>
      <c r="Y13" s="1"/>
      <c r="Z13" s="1"/>
      <c r="AA13" s="1" t="s">
        <v>46</v>
      </c>
    </row>
    <row r="14" spans="1:27" ht="17.45" customHeight="1">
      <c r="A14" s="2" t="s">
        <v>92</v>
      </c>
      <c r="B14" s="2" t="s">
        <v>28</v>
      </c>
      <c r="C14">
        <v>1</v>
      </c>
      <c r="D14" s="2" t="s">
        <v>29</v>
      </c>
      <c r="E14" s="2" t="s">
        <v>106</v>
      </c>
      <c r="F14" s="2" t="s">
        <v>107</v>
      </c>
      <c r="G14" s="2" t="s">
        <v>32</v>
      </c>
      <c r="H14" s="2" t="s">
        <v>33</v>
      </c>
      <c r="I14" s="2" t="s">
        <v>34</v>
      </c>
      <c r="J14" s="2" t="s">
        <v>35</v>
      </c>
      <c r="K14" s="2" t="s">
        <v>36</v>
      </c>
      <c r="L14" s="2" t="s">
        <v>37</v>
      </c>
      <c r="M14" s="2" t="s">
        <v>38</v>
      </c>
      <c r="N14" s="2" t="s">
        <v>39</v>
      </c>
      <c r="O14" s="2" t="s">
        <v>33</v>
      </c>
      <c r="P14" s="2" t="s">
        <v>53</v>
      </c>
      <c r="Q14" s="2" t="s">
        <v>39</v>
      </c>
      <c r="R14" s="4">
        <v>46140.414282407408</v>
      </c>
      <c r="S14" s="4">
        <v>46140.414282407408</v>
      </c>
      <c r="T14" s="2" t="s">
        <v>41</v>
      </c>
      <c r="U14" s="1" t="s">
        <v>95</v>
      </c>
      <c r="V14" s="1" t="s">
        <v>96</v>
      </c>
      <c r="W14" s="1" t="s">
        <v>107</v>
      </c>
      <c r="X14" s="1" t="s">
        <v>107</v>
      </c>
      <c r="Y14" s="1"/>
      <c r="Z14" s="1"/>
      <c r="AA14" s="1" t="s">
        <v>98</v>
      </c>
    </row>
    <row r="15" spans="1:27" ht="17.45" customHeight="1">
      <c r="A15" s="3" t="s">
        <v>86</v>
      </c>
      <c r="B15" s="3" t="s">
        <v>28</v>
      </c>
      <c r="C15">
        <v>1</v>
      </c>
      <c r="D15" s="3" t="s">
        <v>29</v>
      </c>
      <c r="E15" s="3" t="s">
        <v>108</v>
      </c>
      <c r="F15" s="3" t="s">
        <v>109</v>
      </c>
      <c r="G15" s="3" t="s">
        <v>32</v>
      </c>
      <c r="H15" s="3" t="s">
        <v>33</v>
      </c>
      <c r="I15" s="3" t="s">
        <v>34</v>
      </c>
      <c r="J15" s="3" t="s">
        <v>35</v>
      </c>
      <c r="K15" s="3" t="s">
        <v>36</v>
      </c>
      <c r="L15" s="3" t="s">
        <v>37</v>
      </c>
      <c r="M15" s="3" t="s">
        <v>64</v>
      </c>
      <c r="N15" s="3" t="s">
        <v>39</v>
      </c>
      <c r="O15" s="3" t="s">
        <v>33</v>
      </c>
      <c r="P15" s="3" t="s">
        <v>53</v>
      </c>
      <c r="Q15" s="3" t="s">
        <v>39</v>
      </c>
      <c r="R15" s="5">
        <v>46140.428101851852</v>
      </c>
      <c r="S15" s="5">
        <v>46140.428113425929</v>
      </c>
      <c r="T15" s="3" t="s">
        <v>41</v>
      </c>
      <c r="U15" s="1" t="s">
        <v>65</v>
      </c>
      <c r="V15" s="1" t="s">
        <v>89</v>
      </c>
      <c r="W15" s="1" t="s">
        <v>109</v>
      </c>
      <c r="X15" s="1" t="s">
        <v>109</v>
      </c>
      <c r="Y15" s="1"/>
      <c r="Z15" s="1"/>
      <c r="AA15" s="1" t="s">
        <v>67</v>
      </c>
    </row>
    <row r="16" spans="1:27" ht="17.45" customHeight="1">
      <c r="A16" s="2" t="s">
        <v>27</v>
      </c>
      <c r="B16" s="2" t="s">
        <v>28</v>
      </c>
      <c r="C16">
        <v>1</v>
      </c>
      <c r="D16" s="2" t="s">
        <v>29</v>
      </c>
      <c r="E16" s="2" t="s">
        <v>110</v>
      </c>
      <c r="F16" s="2" t="s">
        <v>111</v>
      </c>
      <c r="G16" s="2" t="s">
        <v>32</v>
      </c>
      <c r="H16" s="2" t="s">
        <v>33</v>
      </c>
      <c r="I16" s="2" t="s">
        <v>34</v>
      </c>
      <c r="J16" s="2" t="s">
        <v>35</v>
      </c>
      <c r="K16" s="2" t="s">
        <v>36</v>
      </c>
      <c r="L16" s="2" t="s">
        <v>37</v>
      </c>
      <c r="M16" s="2" t="s">
        <v>38</v>
      </c>
      <c r="N16" s="2" t="s">
        <v>39</v>
      </c>
      <c r="O16" s="2" t="s">
        <v>33</v>
      </c>
      <c r="P16" s="2" t="s">
        <v>40</v>
      </c>
      <c r="Q16" s="2" t="s">
        <v>39</v>
      </c>
      <c r="R16" s="4">
        <v>46140.439398148148</v>
      </c>
      <c r="S16" s="4">
        <v>46140.439398148148</v>
      </c>
      <c r="T16" s="2" t="s">
        <v>41</v>
      </c>
      <c r="U16" s="1" t="s">
        <v>95</v>
      </c>
      <c r="V16" s="1" t="s">
        <v>96</v>
      </c>
      <c r="W16" s="1" t="s">
        <v>111</v>
      </c>
      <c r="X16" s="1" t="s">
        <v>111</v>
      </c>
      <c r="Y16" s="1"/>
      <c r="Z16" s="1"/>
      <c r="AA16" s="1" t="s">
        <v>98</v>
      </c>
    </row>
    <row r="17" spans="1:27" ht="17.45" customHeight="1">
      <c r="A17" s="3" t="s">
        <v>112</v>
      </c>
      <c r="B17" s="3" t="s">
        <v>48</v>
      </c>
      <c r="C17">
        <v>1</v>
      </c>
      <c r="D17" s="3" t="s">
        <v>29</v>
      </c>
      <c r="E17" s="3" t="s">
        <v>113</v>
      </c>
      <c r="F17" s="3" t="s">
        <v>114</v>
      </c>
      <c r="G17" s="3" t="s">
        <v>32</v>
      </c>
      <c r="H17" s="3" t="s">
        <v>33</v>
      </c>
      <c r="I17" s="3" t="s">
        <v>33</v>
      </c>
      <c r="J17" s="3" t="s">
        <v>35</v>
      </c>
      <c r="K17" s="3" t="s">
        <v>36</v>
      </c>
      <c r="L17" s="3" t="s">
        <v>37</v>
      </c>
      <c r="M17" s="3" t="s">
        <v>52</v>
      </c>
      <c r="N17" s="3" t="s">
        <v>39</v>
      </c>
      <c r="O17" s="3" t="s">
        <v>33</v>
      </c>
      <c r="P17" s="3" t="s">
        <v>53</v>
      </c>
      <c r="Q17" s="3" t="s">
        <v>39</v>
      </c>
      <c r="R17" s="5">
        <v>46140.439432870371</v>
      </c>
      <c r="S17" s="5">
        <v>46140.585972222223</v>
      </c>
      <c r="T17" s="3" t="s">
        <v>41</v>
      </c>
      <c r="U17" s="1" t="s">
        <v>115</v>
      </c>
      <c r="V17" s="1" t="s">
        <v>116</v>
      </c>
      <c r="W17" s="1" t="s">
        <v>117</v>
      </c>
      <c r="X17" s="1" t="s">
        <v>114</v>
      </c>
      <c r="Y17" s="1"/>
      <c r="Z17" s="1"/>
      <c r="AA17" s="1" t="s">
        <v>118</v>
      </c>
    </row>
    <row r="18" spans="1:27" ht="17.45" customHeight="1">
      <c r="A18" s="2" t="s">
        <v>119</v>
      </c>
      <c r="B18" s="2" t="s">
        <v>120</v>
      </c>
      <c r="C18">
        <v>1</v>
      </c>
      <c r="D18" s="2" t="s">
        <v>121</v>
      </c>
      <c r="E18" s="2" t="s">
        <v>122</v>
      </c>
      <c r="F18" s="2" t="s">
        <v>123</v>
      </c>
      <c r="G18" s="2" t="s">
        <v>32</v>
      </c>
      <c r="H18" s="2" t="s">
        <v>124</v>
      </c>
      <c r="I18" s="2" t="s">
        <v>33</v>
      </c>
      <c r="J18" s="2" t="s">
        <v>35</v>
      </c>
      <c r="K18" s="2" t="s">
        <v>36</v>
      </c>
      <c r="L18" s="2" t="s">
        <v>51</v>
      </c>
      <c r="M18" s="2" t="s">
        <v>64</v>
      </c>
      <c r="N18" s="2" t="s">
        <v>39</v>
      </c>
      <c r="O18" s="2" t="s">
        <v>125</v>
      </c>
      <c r="P18" s="2" t="s">
        <v>53</v>
      </c>
      <c r="Q18" s="2" t="s">
        <v>39</v>
      </c>
      <c r="R18" s="4">
        <v>46140.441712962966</v>
      </c>
      <c r="S18" s="4">
        <v>46140.441712962966</v>
      </c>
      <c r="T18" s="2" t="s">
        <v>41</v>
      </c>
      <c r="U18" s="1" t="s">
        <v>42</v>
      </c>
      <c r="V18" s="1" t="s">
        <v>74</v>
      </c>
      <c r="W18" s="1" t="s">
        <v>123</v>
      </c>
      <c r="X18" s="1" t="s">
        <v>123</v>
      </c>
      <c r="Y18" s="1"/>
      <c r="Z18" s="1"/>
      <c r="AA18" s="1" t="s">
        <v>46</v>
      </c>
    </row>
    <row r="19" spans="1:27" ht="17.45" customHeight="1">
      <c r="A19" s="3" t="s">
        <v>79</v>
      </c>
      <c r="B19" s="3" t="s">
        <v>28</v>
      </c>
      <c r="C19">
        <v>1</v>
      </c>
      <c r="D19" s="3" t="s">
        <v>29</v>
      </c>
      <c r="E19" s="3" t="s">
        <v>126</v>
      </c>
      <c r="F19" s="3" t="s">
        <v>127</v>
      </c>
      <c r="G19" s="3" t="s">
        <v>32</v>
      </c>
      <c r="H19" s="3" t="s">
        <v>33</v>
      </c>
      <c r="I19" s="3" t="s">
        <v>78</v>
      </c>
      <c r="J19" s="3" t="s">
        <v>35</v>
      </c>
      <c r="K19" s="3" t="s">
        <v>36</v>
      </c>
      <c r="L19" s="3" t="s">
        <v>37</v>
      </c>
      <c r="M19" s="3" t="s">
        <v>128</v>
      </c>
      <c r="N19" s="3" t="s">
        <v>39</v>
      </c>
      <c r="O19" s="3" t="s">
        <v>33</v>
      </c>
      <c r="P19" s="3" t="s">
        <v>53</v>
      </c>
      <c r="Q19" s="3" t="s">
        <v>39</v>
      </c>
      <c r="R19" s="5">
        <v>46140.445462962962</v>
      </c>
      <c r="S19" s="5">
        <v>46140.445474537039</v>
      </c>
      <c r="T19" s="3" t="s">
        <v>41</v>
      </c>
      <c r="U19" s="1" t="s">
        <v>95</v>
      </c>
      <c r="V19" s="1" t="s">
        <v>96</v>
      </c>
      <c r="W19" s="1" t="s">
        <v>129</v>
      </c>
      <c r="X19" s="1" t="s">
        <v>130</v>
      </c>
      <c r="Y19" s="1"/>
      <c r="Z19" s="1"/>
      <c r="AA19" s="1" t="s">
        <v>98</v>
      </c>
    </row>
    <row r="20" spans="1:27" ht="17.45" customHeight="1">
      <c r="A20" s="2" t="s">
        <v>119</v>
      </c>
      <c r="B20" s="2" t="s">
        <v>120</v>
      </c>
      <c r="C20">
        <v>1</v>
      </c>
      <c r="D20" s="2" t="s">
        <v>121</v>
      </c>
      <c r="E20" s="2" t="s">
        <v>131</v>
      </c>
      <c r="F20" s="2" t="s">
        <v>132</v>
      </c>
      <c r="G20" s="2" t="s">
        <v>32</v>
      </c>
      <c r="H20" s="2" t="s">
        <v>124</v>
      </c>
      <c r="I20" s="2" t="s">
        <v>33</v>
      </c>
      <c r="J20" s="2" t="s">
        <v>35</v>
      </c>
      <c r="K20" s="2" t="s">
        <v>36</v>
      </c>
      <c r="L20" s="2" t="s">
        <v>51</v>
      </c>
      <c r="M20" s="2" t="s">
        <v>52</v>
      </c>
      <c r="N20" s="2" t="s">
        <v>39</v>
      </c>
      <c r="O20" s="2" t="s">
        <v>125</v>
      </c>
      <c r="P20" s="2" t="s">
        <v>40</v>
      </c>
      <c r="Q20" s="2" t="s">
        <v>39</v>
      </c>
      <c r="R20" s="4">
        <v>46140.453310185185</v>
      </c>
      <c r="S20" s="4">
        <v>46140.453310185185</v>
      </c>
      <c r="T20" s="2" t="s">
        <v>41</v>
      </c>
      <c r="U20" s="1" t="s">
        <v>65</v>
      </c>
      <c r="V20" s="1" t="s">
        <v>66</v>
      </c>
      <c r="W20" s="1" t="s">
        <v>133</v>
      </c>
      <c r="X20" s="1" t="s">
        <v>134</v>
      </c>
      <c r="Y20" s="1"/>
      <c r="Z20" s="1"/>
      <c r="AA20" s="1" t="s">
        <v>67</v>
      </c>
    </row>
    <row r="21" spans="1:27" ht="17.45" customHeight="1">
      <c r="A21" s="3" t="s">
        <v>135</v>
      </c>
      <c r="B21" s="3" t="s">
        <v>48</v>
      </c>
      <c r="C21">
        <v>1</v>
      </c>
      <c r="D21" s="3" t="s">
        <v>29</v>
      </c>
      <c r="E21" s="3" t="s">
        <v>136</v>
      </c>
      <c r="F21" s="3" t="s">
        <v>137</v>
      </c>
      <c r="G21" s="3" t="s">
        <v>32</v>
      </c>
      <c r="H21" s="3" t="s">
        <v>33</v>
      </c>
      <c r="I21" s="3" t="s">
        <v>34</v>
      </c>
      <c r="J21" s="3" t="s">
        <v>35</v>
      </c>
      <c r="K21" s="3" t="s">
        <v>36</v>
      </c>
      <c r="L21" s="3" t="s">
        <v>51</v>
      </c>
      <c r="M21" s="3" t="s">
        <v>52</v>
      </c>
      <c r="N21" s="3" t="s">
        <v>39</v>
      </c>
      <c r="O21" s="3" t="s">
        <v>33</v>
      </c>
      <c r="P21" s="3" t="s">
        <v>53</v>
      </c>
      <c r="Q21" s="3" t="s">
        <v>39</v>
      </c>
      <c r="R21" s="5">
        <v>46140.461157407408</v>
      </c>
      <c r="S21" s="5">
        <v>46140.461157407408</v>
      </c>
      <c r="T21" s="3" t="s">
        <v>41</v>
      </c>
      <c r="U21" s="1" t="s">
        <v>95</v>
      </c>
      <c r="V21" s="1" t="s">
        <v>96</v>
      </c>
      <c r="W21" s="1" t="s">
        <v>138</v>
      </c>
      <c r="X21" s="1" t="s">
        <v>137</v>
      </c>
      <c r="Y21" s="1"/>
      <c r="Z21" s="1"/>
      <c r="AA21" s="1" t="s">
        <v>98</v>
      </c>
    </row>
    <row r="22" spans="1:27" ht="17.45" customHeight="1">
      <c r="A22" s="2" t="s">
        <v>75</v>
      </c>
      <c r="B22" s="2" t="s">
        <v>28</v>
      </c>
      <c r="C22">
        <v>1</v>
      </c>
      <c r="D22" s="2" t="s">
        <v>29</v>
      </c>
      <c r="E22" s="2" t="s">
        <v>139</v>
      </c>
      <c r="F22" s="2" t="s">
        <v>140</v>
      </c>
      <c r="G22" s="2" t="s">
        <v>32</v>
      </c>
      <c r="H22" s="2" t="s">
        <v>33</v>
      </c>
      <c r="I22" s="2" t="s">
        <v>78</v>
      </c>
      <c r="J22" s="2" t="s">
        <v>35</v>
      </c>
      <c r="K22" s="2" t="s">
        <v>36</v>
      </c>
      <c r="L22" s="2" t="s">
        <v>51</v>
      </c>
      <c r="M22" s="2" t="s">
        <v>141</v>
      </c>
      <c r="N22" s="2" t="s">
        <v>39</v>
      </c>
      <c r="O22" s="2" t="s">
        <v>33</v>
      </c>
      <c r="P22" s="2" t="s">
        <v>53</v>
      </c>
      <c r="Q22" s="2" t="s">
        <v>39</v>
      </c>
      <c r="R22" s="4">
        <v>46140.465752314813</v>
      </c>
      <c r="S22" s="4">
        <v>46140.465763888889</v>
      </c>
      <c r="T22" s="2" t="s">
        <v>41</v>
      </c>
      <c r="U22" s="1" t="s">
        <v>59</v>
      </c>
      <c r="V22" s="1" t="s">
        <v>142</v>
      </c>
      <c r="W22" s="1" t="s">
        <v>143</v>
      </c>
      <c r="X22" s="1" t="s">
        <v>143</v>
      </c>
      <c r="Y22" s="1"/>
      <c r="Z22" s="1"/>
      <c r="AA22" s="1" t="s">
        <v>61</v>
      </c>
    </row>
    <row r="23" spans="1:27" ht="17.45" customHeight="1">
      <c r="A23" s="3" t="s">
        <v>144</v>
      </c>
      <c r="B23" s="3" t="s">
        <v>120</v>
      </c>
      <c r="C23">
        <v>1</v>
      </c>
      <c r="D23" s="3" t="s">
        <v>121</v>
      </c>
      <c r="E23" s="3" t="s">
        <v>145</v>
      </c>
      <c r="F23" s="3" t="s">
        <v>146</v>
      </c>
      <c r="G23" s="3" t="s">
        <v>32</v>
      </c>
      <c r="H23" s="3" t="s">
        <v>124</v>
      </c>
      <c r="I23" s="3" t="s">
        <v>147</v>
      </c>
      <c r="J23" s="3" t="s">
        <v>35</v>
      </c>
      <c r="K23" s="3" t="s">
        <v>36</v>
      </c>
      <c r="L23" s="3" t="s">
        <v>37</v>
      </c>
      <c r="M23" s="3" t="s">
        <v>52</v>
      </c>
      <c r="N23" s="3" t="s">
        <v>39</v>
      </c>
      <c r="O23" s="3" t="s">
        <v>125</v>
      </c>
      <c r="P23" s="3" t="s">
        <v>58</v>
      </c>
      <c r="Q23" s="3" t="s">
        <v>39</v>
      </c>
      <c r="R23" s="5">
        <v>46140.465821759259</v>
      </c>
      <c r="S23" s="5">
        <v>46140.465821759259</v>
      </c>
      <c r="T23" s="3" t="s">
        <v>41</v>
      </c>
      <c r="U23" s="1" t="s">
        <v>42</v>
      </c>
      <c r="V23" s="1" t="s">
        <v>43</v>
      </c>
      <c r="W23" s="1" t="s">
        <v>148</v>
      </c>
      <c r="X23" s="1" t="s">
        <v>149</v>
      </c>
      <c r="Y23" s="1"/>
      <c r="Z23" s="1"/>
      <c r="AA23" s="1" t="s">
        <v>46</v>
      </c>
    </row>
    <row r="24" spans="1:27" ht="17.45" customHeight="1">
      <c r="A24" s="2" t="s">
        <v>150</v>
      </c>
      <c r="B24" s="2" t="s">
        <v>28</v>
      </c>
      <c r="C24">
        <v>1</v>
      </c>
      <c r="D24" s="2" t="s">
        <v>29</v>
      </c>
      <c r="E24" s="2" t="s">
        <v>151</v>
      </c>
      <c r="F24" s="2" t="s">
        <v>152</v>
      </c>
      <c r="G24" s="2" t="s">
        <v>32</v>
      </c>
      <c r="H24" s="2" t="s">
        <v>33</v>
      </c>
      <c r="I24" s="2" t="s">
        <v>78</v>
      </c>
      <c r="J24" s="2" t="s">
        <v>35</v>
      </c>
      <c r="K24" s="2" t="s">
        <v>36</v>
      </c>
      <c r="L24" s="2" t="s">
        <v>51</v>
      </c>
      <c r="M24" s="2" t="s">
        <v>64</v>
      </c>
      <c r="N24" s="2" t="s">
        <v>39</v>
      </c>
      <c r="O24" s="2" t="s">
        <v>33</v>
      </c>
      <c r="P24" s="2" t="s">
        <v>53</v>
      </c>
      <c r="Q24" s="2" t="s">
        <v>39</v>
      </c>
      <c r="R24" s="4">
        <v>46140.541076388887</v>
      </c>
      <c r="S24" s="4">
        <v>46140.541076388887</v>
      </c>
      <c r="T24" s="2" t="s">
        <v>41</v>
      </c>
      <c r="U24" s="1" t="s">
        <v>95</v>
      </c>
      <c r="V24" s="1" t="s">
        <v>96</v>
      </c>
      <c r="W24" s="1" t="s">
        <v>153</v>
      </c>
      <c r="X24" s="1" t="s">
        <v>152</v>
      </c>
      <c r="Y24" s="1"/>
      <c r="Z24" s="1"/>
      <c r="AA24" s="1" t="s">
        <v>98</v>
      </c>
    </row>
    <row r="25" spans="1:27" ht="17.45" customHeight="1">
      <c r="A25" s="3" t="s">
        <v>154</v>
      </c>
      <c r="B25" s="3" t="s">
        <v>120</v>
      </c>
      <c r="C25">
        <v>1</v>
      </c>
      <c r="D25" s="3" t="s">
        <v>121</v>
      </c>
      <c r="E25" s="3" t="s">
        <v>155</v>
      </c>
      <c r="F25" s="3" t="s">
        <v>156</v>
      </c>
      <c r="G25" s="3" t="s">
        <v>32</v>
      </c>
      <c r="H25" s="3" t="s">
        <v>124</v>
      </c>
      <c r="I25" s="3" t="s">
        <v>157</v>
      </c>
      <c r="J25" s="3" t="s">
        <v>35</v>
      </c>
      <c r="K25" s="3" t="s">
        <v>36</v>
      </c>
      <c r="L25" s="3" t="s">
        <v>37</v>
      </c>
      <c r="M25" s="3" t="s">
        <v>38</v>
      </c>
      <c r="N25" s="3" t="s">
        <v>39</v>
      </c>
      <c r="O25" s="3" t="s">
        <v>125</v>
      </c>
      <c r="P25" s="3" t="s">
        <v>40</v>
      </c>
      <c r="Q25" s="3" t="s">
        <v>39</v>
      </c>
      <c r="R25" s="5">
        <v>46140.556180555555</v>
      </c>
      <c r="S25" s="5">
        <v>46140.556180555555</v>
      </c>
      <c r="T25" s="3" t="s">
        <v>41</v>
      </c>
      <c r="U25" s="1" t="s">
        <v>83</v>
      </c>
      <c r="V25" s="1" t="s">
        <v>84</v>
      </c>
      <c r="W25" s="1" t="s">
        <v>158</v>
      </c>
      <c r="X25" s="1" t="s">
        <v>158</v>
      </c>
      <c r="Y25" s="1"/>
      <c r="Z25" s="1"/>
      <c r="AA25" s="1" t="s">
        <v>85</v>
      </c>
    </row>
    <row r="26" spans="1:27" ht="17.45" customHeight="1">
      <c r="A26" s="2" t="s">
        <v>159</v>
      </c>
      <c r="B26" s="2" t="s">
        <v>28</v>
      </c>
      <c r="C26">
        <v>1</v>
      </c>
      <c r="D26" s="2" t="s">
        <v>29</v>
      </c>
      <c r="E26" s="2" t="s">
        <v>160</v>
      </c>
      <c r="F26" s="2" t="s">
        <v>161</v>
      </c>
      <c r="G26" s="2" t="s">
        <v>32</v>
      </c>
      <c r="H26" s="2" t="s">
        <v>33</v>
      </c>
      <c r="I26" s="2" t="s">
        <v>34</v>
      </c>
      <c r="J26" s="2" t="s">
        <v>35</v>
      </c>
      <c r="K26" s="2" t="s">
        <v>36</v>
      </c>
      <c r="L26" s="2" t="s">
        <v>37</v>
      </c>
      <c r="M26" s="2" t="s">
        <v>38</v>
      </c>
      <c r="N26" s="2" t="s">
        <v>39</v>
      </c>
      <c r="O26" s="2" t="s">
        <v>33</v>
      </c>
      <c r="P26" s="2" t="s">
        <v>53</v>
      </c>
      <c r="Q26" s="2" t="s">
        <v>39</v>
      </c>
      <c r="R26" s="4">
        <v>46139.580405092594</v>
      </c>
      <c r="S26" s="4">
        <v>46139.580405092594</v>
      </c>
      <c r="T26" s="2" t="s">
        <v>41</v>
      </c>
      <c r="U26" s="1" t="s">
        <v>95</v>
      </c>
      <c r="V26" s="1" t="s">
        <v>96</v>
      </c>
      <c r="W26" s="1" t="s">
        <v>161</v>
      </c>
      <c r="X26" s="1" t="s">
        <v>161</v>
      </c>
      <c r="Y26" s="1"/>
      <c r="Z26" s="1"/>
      <c r="AA26" s="1" t="s">
        <v>98</v>
      </c>
    </row>
    <row r="27" spans="1:27" ht="17.45" customHeight="1">
      <c r="A27" s="3" t="s">
        <v>162</v>
      </c>
      <c r="B27" s="3" t="s">
        <v>28</v>
      </c>
      <c r="C27">
        <v>1</v>
      </c>
      <c r="D27" s="3" t="s">
        <v>29</v>
      </c>
      <c r="E27" s="3" t="s">
        <v>163</v>
      </c>
      <c r="F27" s="3" t="s">
        <v>164</v>
      </c>
      <c r="G27" s="3" t="s">
        <v>32</v>
      </c>
      <c r="H27" s="3" t="s">
        <v>33</v>
      </c>
      <c r="I27" s="3" t="s">
        <v>34</v>
      </c>
      <c r="J27" s="3" t="s">
        <v>35</v>
      </c>
      <c r="K27" s="3" t="s">
        <v>36</v>
      </c>
      <c r="L27" s="3" t="s">
        <v>51</v>
      </c>
      <c r="M27" s="3" t="s">
        <v>141</v>
      </c>
      <c r="N27" s="3" t="s">
        <v>39</v>
      </c>
      <c r="O27" s="3" t="s">
        <v>33</v>
      </c>
      <c r="P27" s="3" t="s">
        <v>53</v>
      </c>
      <c r="Q27" s="3" t="s">
        <v>39</v>
      </c>
      <c r="R27" s="5">
        <v>46139.58803240741</v>
      </c>
      <c r="S27" s="5">
        <v>46139.58803240741</v>
      </c>
      <c r="T27" s="3" t="s">
        <v>41</v>
      </c>
      <c r="U27" s="1" t="s">
        <v>165</v>
      </c>
      <c r="V27" s="1" t="s">
        <v>166</v>
      </c>
      <c r="W27" s="1" t="s">
        <v>167</v>
      </c>
      <c r="X27" s="1" t="s">
        <v>168</v>
      </c>
      <c r="Y27" s="1"/>
      <c r="Z27" s="1"/>
      <c r="AA27" s="1" t="s">
        <v>169</v>
      </c>
    </row>
    <row r="28" spans="1:27" ht="17.45" customHeight="1">
      <c r="A28" s="2" t="s">
        <v>170</v>
      </c>
      <c r="B28" s="2" t="s">
        <v>171</v>
      </c>
      <c r="C28">
        <v>1</v>
      </c>
      <c r="D28" s="2" t="s">
        <v>29</v>
      </c>
      <c r="E28" s="2" t="s">
        <v>172</v>
      </c>
      <c r="F28" s="2" t="s">
        <v>173</v>
      </c>
      <c r="G28" s="2" t="s">
        <v>32</v>
      </c>
      <c r="H28" s="2" t="s">
        <v>33</v>
      </c>
      <c r="I28" s="2" t="s">
        <v>34</v>
      </c>
      <c r="J28" s="2" t="s">
        <v>35</v>
      </c>
      <c r="K28" s="2" t="s">
        <v>36</v>
      </c>
      <c r="L28" s="2" t="s">
        <v>51</v>
      </c>
      <c r="M28" s="2" t="s">
        <v>64</v>
      </c>
      <c r="N28" s="2" t="s">
        <v>39</v>
      </c>
      <c r="O28" s="2" t="s">
        <v>33</v>
      </c>
      <c r="P28" s="2" t="s">
        <v>53</v>
      </c>
      <c r="Q28" s="2" t="s">
        <v>39</v>
      </c>
      <c r="R28" s="4">
        <v>46139.628854166665</v>
      </c>
      <c r="S28" s="4">
        <v>46139.628854166665</v>
      </c>
      <c r="T28" s="2" t="s">
        <v>41</v>
      </c>
      <c r="U28" s="1" t="s">
        <v>59</v>
      </c>
      <c r="V28" s="1" t="s">
        <v>142</v>
      </c>
      <c r="W28" s="1" t="s">
        <v>174</v>
      </c>
      <c r="X28" s="1" t="s">
        <v>174</v>
      </c>
      <c r="Y28" s="1"/>
      <c r="Z28" s="1"/>
      <c r="AA28" s="1" t="s">
        <v>61</v>
      </c>
    </row>
    <row r="29" spans="1:27" ht="17.45" customHeight="1">
      <c r="A29" s="3" t="s">
        <v>112</v>
      </c>
      <c r="B29" s="3" t="s">
        <v>48</v>
      </c>
      <c r="C29">
        <v>1</v>
      </c>
      <c r="D29" s="3" t="s">
        <v>29</v>
      </c>
      <c r="E29" s="3" t="s">
        <v>175</v>
      </c>
      <c r="F29" s="3" t="s">
        <v>176</v>
      </c>
      <c r="G29" s="3" t="s">
        <v>32</v>
      </c>
      <c r="H29" s="3" t="s">
        <v>33</v>
      </c>
      <c r="I29" s="3" t="s">
        <v>33</v>
      </c>
      <c r="J29" s="3" t="s">
        <v>35</v>
      </c>
      <c r="K29" s="3" t="s">
        <v>36</v>
      </c>
      <c r="L29" s="3" t="s">
        <v>37</v>
      </c>
      <c r="M29" s="3" t="s">
        <v>52</v>
      </c>
      <c r="N29" s="3" t="s">
        <v>39</v>
      </c>
      <c r="O29" s="3" t="s">
        <v>33</v>
      </c>
      <c r="P29" s="3" t="s">
        <v>53</v>
      </c>
      <c r="Q29" s="3" t="s">
        <v>39</v>
      </c>
      <c r="R29" s="5">
        <v>46140.437013888892</v>
      </c>
      <c r="S29" s="5">
        <v>46140.437013888892</v>
      </c>
      <c r="T29" s="3" t="s">
        <v>41</v>
      </c>
      <c r="U29" s="1" t="s">
        <v>177</v>
      </c>
      <c r="V29" s="1" t="s">
        <v>178</v>
      </c>
      <c r="W29" s="1" t="s">
        <v>176</v>
      </c>
      <c r="X29" s="1" t="s">
        <v>176</v>
      </c>
      <c r="Y29" s="1"/>
      <c r="Z29" s="1"/>
      <c r="AA29" s="1" t="s">
        <v>179</v>
      </c>
    </row>
    <row r="30" spans="1:27" ht="17.45" customHeight="1">
      <c r="A30" s="2" t="s">
        <v>180</v>
      </c>
      <c r="B30" s="2" t="s">
        <v>181</v>
      </c>
      <c r="C30">
        <v>1</v>
      </c>
      <c r="D30" s="2" t="s">
        <v>29</v>
      </c>
      <c r="E30" s="2" t="s">
        <v>182</v>
      </c>
      <c r="F30" s="2" t="s">
        <v>183</v>
      </c>
      <c r="G30" s="2" t="s">
        <v>32</v>
      </c>
      <c r="H30" s="2" t="s">
        <v>33</v>
      </c>
      <c r="I30" s="2" t="s">
        <v>34</v>
      </c>
      <c r="J30" s="2" t="s">
        <v>35</v>
      </c>
      <c r="K30" s="2" t="s">
        <v>36</v>
      </c>
      <c r="L30" s="2" t="s">
        <v>51</v>
      </c>
      <c r="M30" s="2" t="s">
        <v>115</v>
      </c>
      <c r="N30" s="2" t="s">
        <v>39</v>
      </c>
      <c r="O30" s="2" t="s">
        <v>33</v>
      </c>
      <c r="P30" s="2" t="s">
        <v>40</v>
      </c>
      <c r="Q30" s="2" t="s">
        <v>39</v>
      </c>
      <c r="R30" s="4">
        <v>46140.567303240743</v>
      </c>
      <c r="S30" s="4">
        <v>46140.567303240743</v>
      </c>
      <c r="T30" s="2" t="s">
        <v>41</v>
      </c>
      <c r="U30" s="1" t="s">
        <v>177</v>
      </c>
      <c r="V30" s="1" t="s">
        <v>184</v>
      </c>
      <c r="W30" s="1" t="s">
        <v>185</v>
      </c>
      <c r="X30" s="1" t="s">
        <v>186</v>
      </c>
      <c r="Y30" s="1"/>
      <c r="Z30" s="1"/>
      <c r="AA30" s="1" t="s">
        <v>179</v>
      </c>
    </row>
    <row r="31" spans="1:27" ht="17.45" customHeight="1">
      <c r="A31" s="3" t="s">
        <v>71</v>
      </c>
      <c r="B31" s="3" t="s">
        <v>48</v>
      </c>
      <c r="C31">
        <v>1</v>
      </c>
      <c r="D31" s="3" t="s">
        <v>29</v>
      </c>
      <c r="E31" s="3" t="s">
        <v>187</v>
      </c>
      <c r="F31" s="3" t="s">
        <v>188</v>
      </c>
      <c r="G31" s="3" t="s">
        <v>32</v>
      </c>
      <c r="H31" s="3" t="s">
        <v>33</v>
      </c>
      <c r="I31" s="3" t="s">
        <v>33</v>
      </c>
      <c r="J31" s="3" t="s">
        <v>35</v>
      </c>
      <c r="K31" s="3" t="s">
        <v>36</v>
      </c>
      <c r="L31" s="3" t="s">
        <v>51</v>
      </c>
      <c r="M31" s="3" t="s">
        <v>64</v>
      </c>
      <c r="N31" s="3" t="s">
        <v>39</v>
      </c>
      <c r="O31" s="3" t="s">
        <v>33</v>
      </c>
      <c r="P31" s="3" t="s">
        <v>53</v>
      </c>
      <c r="Q31" s="3" t="s">
        <v>39</v>
      </c>
      <c r="R31" s="5">
        <v>46140.569097222222</v>
      </c>
      <c r="S31" s="5">
        <v>46140.569097222222</v>
      </c>
      <c r="T31" s="3" t="s">
        <v>41</v>
      </c>
      <c r="U31" s="1" t="s">
        <v>83</v>
      </c>
      <c r="V31" s="1" t="s">
        <v>84</v>
      </c>
      <c r="W31" s="1" t="s">
        <v>188</v>
      </c>
      <c r="X31" s="1" t="s">
        <v>188</v>
      </c>
      <c r="Y31" s="1"/>
      <c r="Z31" s="1"/>
      <c r="AA31" s="1" t="s">
        <v>85</v>
      </c>
    </row>
    <row r="32" spans="1:27" ht="17.45" customHeight="1">
      <c r="A32" s="2" t="s">
        <v>189</v>
      </c>
      <c r="B32" s="2" t="s">
        <v>120</v>
      </c>
      <c r="C32">
        <v>1</v>
      </c>
      <c r="D32" s="2" t="s">
        <v>121</v>
      </c>
      <c r="E32" s="2" t="s">
        <v>190</v>
      </c>
      <c r="F32" s="2" t="s">
        <v>191</v>
      </c>
      <c r="G32" s="2" t="s">
        <v>32</v>
      </c>
      <c r="H32" s="2" t="s">
        <v>124</v>
      </c>
      <c r="I32" s="2" t="s">
        <v>192</v>
      </c>
      <c r="J32" s="2" t="s">
        <v>35</v>
      </c>
      <c r="K32" s="2" t="s">
        <v>36</v>
      </c>
      <c r="L32" s="2" t="s">
        <v>37</v>
      </c>
      <c r="M32" s="2" t="s">
        <v>52</v>
      </c>
      <c r="N32" s="2" t="s">
        <v>39</v>
      </c>
      <c r="O32" s="2" t="s">
        <v>125</v>
      </c>
      <c r="P32" s="2" t="s">
        <v>58</v>
      </c>
      <c r="Q32" s="2" t="s">
        <v>39</v>
      </c>
      <c r="R32" s="4">
        <v>46140.575856481482</v>
      </c>
      <c r="S32" s="4">
        <v>46140.57739583333</v>
      </c>
      <c r="T32" s="2" t="s">
        <v>41</v>
      </c>
      <c r="U32" s="1" t="s">
        <v>65</v>
      </c>
      <c r="V32" s="1" t="s">
        <v>66</v>
      </c>
      <c r="W32" s="1" t="s">
        <v>193</v>
      </c>
      <c r="X32" s="1" t="s">
        <v>194</v>
      </c>
      <c r="Y32" s="1"/>
      <c r="Z32" s="1"/>
      <c r="AA32" s="1" t="s">
        <v>67</v>
      </c>
    </row>
    <row r="33" spans="1:27" ht="17.45" customHeight="1">
      <c r="A33" s="3" t="s">
        <v>195</v>
      </c>
      <c r="B33" s="3" t="s">
        <v>28</v>
      </c>
      <c r="C33">
        <v>1</v>
      </c>
      <c r="D33" s="3" t="s">
        <v>29</v>
      </c>
      <c r="E33" s="3" t="s">
        <v>196</v>
      </c>
      <c r="F33" s="3" t="s">
        <v>161</v>
      </c>
      <c r="G33" s="3" t="s">
        <v>32</v>
      </c>
      <c r="H33" s="3" t="s">
        <v>33</v>
      </c>
      <c r="I33" s="3" t="s">
        <v>34</v>
      </c>
      <c r="J33" s="3" t="s">
        <v>35</v>
      </c>
      <c r="K33" s="3" t="s">
        <v>36</v>
      </c>
      <c r="L33" s="3" t="s">
        <v>37</v>
      </c>
      <c r="M33" s="3" t="s">
        <v>38</v>
      </c>
      <c r="N33" s="3" t="s">
        <v>39</v>
      </c>
      <c r="O33" s="3" t="s">
        <v>33</v>
      </c>
      <c r="P33" s="3" t="s">
        <v>53</v>
      </c>
      <c r="Q33" s="3" t="s">
        <v>39</v>
      </c>
      <c r="R33" s="5">
        <v>46139.57880787037</v>
      </c>
      <c r="S33" s="5">
        <v>46139.57880787037</v>
      </c>
      <c r="T33" s="3" t="s">
        <v>41</v>
      </c>
      <c r="U33" s="1" t="s">
        <v>95</v>
      </c>
      <c r="V33" s="1" t="s">
        <v>96</v>
      </c>
      <c r="W33" s="1" t="s">
        <v>161</v>
      </c>
      <c r="X33" s="1" t="s">
        <v>161</v>
      </c>
      <c r="Y33" s="1"/>
      <c r="Z33" s="1"/>
      <c r="AA33" s="1" t="s">
        <v>98</v>
      </c>
    </row>
    <row r="34" spans="1:27" ht="17.45" customHeight="1">
      <c r="A34" s="2" t="s">
        <v>197</v>
      </c>
      <c r="B34" s="2" t="s">
        <v>181</v>
      </c>
      <c r="C34">
        <v>1</v>
      </c>
      <c r="D34" s="2" t="s">
        <v>29</v>
      </c>
      <c r="E34" s="2" t="s">
        <v>198</v>
      </c>
      <c r="F34" s="2" t="s">
        <v>199</v>
      </c>
      <c r="G34" s="2" t="s">
        <v>32</v>
      </c>
      <c r="H34" s="2" t="s">
        <v>33</v>
      </c>
      <c r="I34" s="2" t="s">
        <v>34</v>
      </c>
      <c r="J34" s="2" t="s">
        <v>35</v>
      </c>
      <c r="K34" s="2" t="s">
        <v>36</v>
      </c>
      <c r="L34" s="2" t="s">
        <v>51</v>
      </c>
      <c r="M34" s="2" t="s">
        <v>115</v>
      </c>
      <c r="N34" s="2" t="s">
        <v>39</v>
      </c>
      <c r="O34" s="2" t="s">
        <v>33</v>
      </c>
      <c r="P34" s="2" t="s">
        <v>53</v>
      </c>
      <c r="Q34" s="2" t="s">
        <v>39</v>
      </c>
      <c r="R34" s="4">
        <v>46140.633622685185</v>
      </c>
      <c r="S34" s="4">
        <v>46140.633622685185</v>
      </c>
      <c r="T34" s="2" t="s">
        <v>41</v>
      </c>
      <c r="U34" s="1" t="s">
        <v>59</v>
      </c>
      <c r="V34" s="1" t="s">
        <v>60</v>
      </c>
      <c r="W34" s="1" t="s">
        <v>199</v>
      </c>
      <c r="X34" s="1" t="s">
        <v>199</v>
      </c>
      <c r="Y34" s="1"/>
      <c r="Z34" s="1"/>
      <c r="AA34" s="1" t="s">
        <v>61</v>
      </c>
    </row>
    <row r="35" spans="1:27" ht="17.45" customHeight="1">
      <c r="A35" s="3" t="s">
        <v>112</v>
      </c>
      <c r="B35" s="3" t="s">
        <v>48</v>
      </c>
      <c r="C35">
        <v>1</v>
      </c>
      <c r="D35" s="3" t="s">
        <v>29</v>
      </c>
      <c r="E35" s="3" t="s">
        <v>200</v>
      </c>
      <c r="F35" s="3" t="s">
        <v>201</v>
      </c>
      <c r="G35" s="3" t="s">
        <v>32</v>
      </c>
      <c r="H35" s="3" t="s">
        <v>33</v>
      </c>
      <c r="I35" s="3" t="s">
        <v>33</v>
      </c>
      <c r="J35" s="3" t="s">
        <v>35</v>
      </c>
      <c r="K35" s="3" t="s">
        <v>36</v>
      </c>
      <c r="L35" s="3" t="s">
        <v>37</v>
      </c>
      <c r="M35" s="3" t="s">
        <v>52</v>
      </c>
      <c r="N35" s="3" t="s">
        <v>39</v>
      </c>
      <c r="O35" s="3" t="s">
        <v>33</v>
      </c>
      <c r="P35" s="3" t="s">
        <v>40</v>
      </c>
      <c r="Q35" s="3" t="s">
        <v>39</v>
      </c>
      <c r="R35" s="5">
        <v>46140.644895833335</v>
      </c>
      <c r="S35" s="5">
        <v>46140.644895833335</v>
      </c>
      <c r="T35" s="3" t="s">
        <v>41</v>
      </c>
      <c r="U35" s="1" t="s">
        <v>95</v>
      </c>
      <c r="V35" s="1" t="s">
        <v>96</v>
      </c>
      <c r="W35" s="1" t="s">
        <v>202</v>
      </c>
      <c r="X35" s="1" t="s">
        <v>203</v>
      </c>
      <c r="Y35" s="1"/>
      <c r="Z35" s="1"/>
      <c r="AA35" s="1" t="s">
        <v>98</v>
      </c>
    </row>
    <row r="36" spans="1:27" ht="17.45" customHeight="1">
      <c r="A36" s="2" t="s">
        <v>204</v>
      </c>
      <c r="B36" s="2" t="s">
        <v>181</v>
      </c>
      <c r="C36">
        <v>1</v>
      </c>
      <c r="D36" s="2" t="s">
        <v>121</v>
      </c>
      <c r="E36" s="2" t="s">
        <v>205</v>
      </c>
      <c r="F36" s="2" t="s">
        <v>206</v>
      </c>
      <c r="G36" s="2" t="s">
        <v>32</v>
      </c>
      <c r="H36" s="2" t="s">
        <v>124</v>
      </c>
      <c r="I36" s="2" t="s">
        <v>33</v>
      </c>
      <c r="J36" s="2" t="s">
        <v>35</v>
      </c>
      <c r="K36" s="2" t="s">
        <v>36</v>
      </c>
      <c r="L36" s="2" t="s">
        <v>51</v>
      </c>
      <c r="M36" s="2" t="s">
        <v>64</v>
      </c>
      <c r="N36" s="2" t="s">
        <v>39</v>
      </c>
      <c r="O36" s="2" t="s">
        <v>124</v>
      </c>
      <c r="P36" s="2" t="s">
        <v>53</v>
      </c>
      <c r="Q36" s="2" t="s">
        <v>39</v>
      </c>
      <c r="R36" s="4">
        <v>46141.425543981481</v>
      </c>
      <c r="S36" s="4">
        <v>46141.425543981481</v>
      </c>
      <c r="T36" s="2" t="s">
        <v>41</v>
      </c>
      <c r="U36" s="1" t="s">
        <v>65</v>
      </c>
      <c r="V36" s="1" t="s">
        <v>70</v>
      </c>
      <c r="W36" s="1" t="s">
        <v>207</v>
      </c>
      <c r="X36" s="1" t="s">
        <v>208</v>
      </c>
      <c r="Y36" s="1"/>
      <c r="Z36" s="1"/>
      <c r="AA36" s="1" t="s">
        <v>67</v>
      </c>
    </row>
    <row r="37" spans="1:27" ht="17.45" customHeight="1">
      <c r="A37" s="3" t="s">
        <v>209</v>
      </c>
      <c r="B37" s="3" t="s">
        <v>48</v>
      </c>
      <c r="C37">
        <v>1</v>
      </c>
      <c r="D37" s="3" t="s">
        <v>121</v>
      </c>
      <c r="E37" s="3" t="s">
        <v>210</v>
      </c>
      <c r="F37" s="3" t="s">
        <v>211</v>
      </c>
      <c r="G37" s="3" t="s">
        <v>32</v>
      </c>
      <c r="H37" s="3" t="s">
        <v>124</v>
      </c>
      <c r="I37" s="3" t="s">
        <v>212</v>
      </c>
      <c r="J37" s="3" t="s">
        <v>35</v>
      </c>
      <c r="K37" s="3" t="s">
        <v>36</v>
      </c>
      <c r="L37" s="3" t="s">
        <v>37</v>
      </c>
      <c r="M37" s="3" t="s">
        <v>64</v>
      </c>
      <c r="N37" s="3" t="s">
        <v>39</v>
      </c>
      <c r="O37" s="3" t="s">
        <v>124</v>
      </c>
      <c r="P37" s="3" t="s">
        <v>53</v>
      </c>
      <c r="Q37" s="3" t="s">
        <v>39</v>
      </c>
      <c r="R37" s="5">
        <v>46141.433136574073</v>
      </c>
      <c r="S37" s="5">
        <v>46141.433136574073</v>
      </c>
      <c r="T37" s="3" t="s">
        <v>41</v>
      </c>
      <c r="U37" s="1" t="s">
        <v>65</v>
      </c>
      <c r="V37" s="1" t="s">
        <v>70</v>
      </c>
      <c r="W37" s="1" t="s">
        <v>211</v>
      </c>
      <c r="X37" s="1" t="s">
        <v>211</v>
      </c>
      <c r="Y37" s="1"/>
      <c r="Z37" s="1"/>
      <c r="AA37" s="1" t="s">
        <v>67</v>
      </c>
    </row>
    <row r="38" spans="1:27" ht="17.45" customHeight="1">
      <c r="A38" s="2" t="s">
        <v>204</v>
      </c>
      <c r="B38" s="2" t="s">
        <v>181</v>
      </c>
      <c r="C38">
        <v>1</v>
      </c>
      <c r="D38" s="2" t="s">
        <v>121</v>
      </c>
      <c r="E38" s="2" t="s">
        <v>213</v>
      </c>
      <c r="F38" s="2" t="s">
        <v>214</v>
      </c>
      <c r="G38" s="2" t="s">
        <v>32</v>
      </c>
      <c r="H38" s="2" t="s">
        <v>124</v>
      </c>
      <c r="I38" s="2" t="s">
        <v>33</v>
      </c>
      <c r="J38" s="2" t="s">
        <v>35</v>
      </c>
      <c r="K38" s="2" t="s">
        <v>36</v>
      </c>
      <c r="L38" s="2" t="s">
        <v>51</v>
      </c>
      <c r="M38" s="2" t="s">
        <v>64</v>
      </c>
      <c r="N38" s="2" t="s">
        <v>39</v>
      </c>
      <c r="O38" s="2" t="s">
        <v>124</v>
      </c>
      <c r="P38" s="2" t="s">
        <v>53</v>
      </c>
      <c r="Q38" s="2" t="s">
        <v>39</v>
      </c>
      <c r="R38" s="4">
        <v>46141.436018518521</v>
      </c>
      <c r="S38" s="4">
        <v>46141.436018518521</v>
      </c>
      <c r="T38" s="2" t="s">
        <v>41</v>
      </c>
      <c r="U38" s="1" t="s">
        <v>177</v>
      </c>
      <c r="V38" s="1" t="s">
        <v>215</v>
      </c>
      <c r="W38" s="1" t="s">
        <v>216</v>
      </c>
      <c r="X38" s="1" t="s">
        <v>217</v>
      </c>
      <c r="Y38" s="1"/>
      <c r="Z38" s="1"/>
      <c r="AA38" s="1" t="s">
        <v>179</v>
      </c>
    </row>
    <row r="39" spans="1:27" ht="17.45" customHeight="1">
      <c r="A39" s="3" t="s">
        <v>218</v>
      </c>
      <c r="B39" s="3" t="s">
        <v>48</v>
      </c>
      <c r="C39">
        <v>1</v>
      </c>
      <c r="D39" s="3" t="s">
        <v>121</v>
      </c>
      <c r="E39" s="3" t="s">
        <v>219</v>
      </c>
      <c r="F39" s="3" t="s">
        <v>220</v>
      </c>
      <c r="G39" s="3" t="s">
        <v>32</v>
      </c>
      <c r="H39" s="3" t="s">
        <v>124</v>
      </c>
      <c r="I39" s="3" t="s">
        <v>212</v>
      </c>
      <c r="J39" s="3" t="s">
        <v>35</v>
      </c>
      <c r="K39" s="3" t="s">
        <v>36</v>
      </c>
      <c r="L39" s="3" t="s">
        <v>37</v>
      </c>
      <c r="M39" s="3" t="s">
        <v>64</v>
      </c>
      <c r="N39" s="3" t="s">
        <v>39</v>
      </c>
      <c r="O39" s="3" t="s">
        <v>124</v>
      </c>
      <c r="P39" s="3" t="s">
        <v>53</v>
      </c>
      <c r="Q39" s="3" t="s">
        <v>39</v>
      </c>
      <c r="R39" s="5">
        <v>46141.436053240737</v>
      </c>
      <c r="S39" s="5">
        <v>46141.436053240737</v>
      </c>
      <c r="T39" s="3" t="s">
        <v>41</v>
      </c>
      <c r="U39" s="1" t="s">
        <v>65</v>
      </c>
      <c r="V39" s="1" t="s">
        <v>70</v>
      </c>
      <c r="W39" s="1" t="s">
        <v>221</v>
      </c>
      <c r="X39" s="1" t="s">
        <v>220</v>
      </c>
      <c r="Y39" s="1"/>
      <c r="Z39" s="1"/>
      <c r="AA39" s="1" t="s">
        <v>67</v>
      </c>
    </row>
    <row r="40" spans="1:27" ht="17.45" customHeight="1">
      <c r="A40" s="2" t="s">
        <v>222</v>
      </c>
      <c r="B40" s="2" t="s">
        <v>28</v>
      </c>
      <c r="C40">
        <v>1</v>
      </c>
      <c r="D40" s="2" t="s">
        <v>121</v>
      </c>
      <c r="E40" s="2" t="s">
        <v>223</v>
      </c>
      <c r="F40" s="2" t="s">
        <v>224</v>
      </c>
      <c r="G40" s="2" t="s">
        <v>32</v>
      </c>
      <c r="H40" s="2" t="s">
        <v>124</v>
      </c>
      <c r="I40" s="2" t="s">
        <v>192</v>
      </c>
      <c r="J40" s="2" t="s">
        <v>35</v>
      </c>
      <c r="K40" s="2" t="s">
        <v>36</v>
      </c>
      <c r="L40" s="2" t="s">
        <v>37</v>
      </c>
      <c r="M40" s="2" t="s">
        <v>64</v>
      </c>
      <c r="N40" s="2" t="s">
        <v>39</v>
      </c>
      <c r="O40" s="2" t="s">
        <v>124</v>
      </c>
      <c r="P40" s="2" t="s">
        <v>53</v>
      </c>
      <c r="Q40" s="2" t="s">
        <v>39</v>
      </c>
      <c r="R40" s="4">
        <v>46141.605451388888</v>
      </c>
      <c r="S40" s="4">
        <v>46141.605451388888</v>
      </c>
      <c r="T40" s="2" t="s">
        <v>41</v>
      </c>
      <c r="U40" s="1" t="s">
        <v>59</v>
      </c>
      <c r="V40" s="1" t="s">
        <v>60</v>
      </c>
      <c r="W40" s="1" t="s">
        <v>225</v>
      </c>
      <c r="X40" s="1" t="s">
        <v>226</v>
      </c>
      <c r="Y40" s="1"/>
      <c r="Z40" s="1"/>
      <c r="AA40" s="1" t="s">
        <v>61</v>
      </c>
    </row>
    <row r="41" spans="1:27" ht="17.45" customHeight="1">
      <c r="A41" s="3" t="s">
        <v>227</v>
      </c>
      <c r="B41" s="3" t="s">
        <v>48</v>
      </c>
      <c r="C41">
        <v>1</v>
      </c>
      <c r="D41" s="3" t="s">
        <v>228</v>
      </c>
      <c r="E41" s="3" t="s">
        <v>229</v>
      </c>
      <c r="F41" s="3" t="s">
        <v>230</v>
      </c>
      <c r="G41" s="3" t="s">
        <v>32</v>
      </c>
      <c r="H41" s="3" t="s">
        <v>124</v>
      </c>
      <c r="I41" s="3" t="s">
        <v>124</v>
      </c>
      <c r="J41" s="3" t="s">
        <v>35</v>
      </c>
      <c r="K41" s="3" t="s">
        <v>36</v>
      </c>
      <c r="L41" s="3" t="s">
        <v>51</v>
      </c>
      <c r="M41" s="3" t="s">
        <v>115</v>
      </c>
      <c r="N41" s="3" t="s">
        <v>39</v>
      </c>
      <c r="O41" s="3" t="s">
        <v>124</v>
      </c>
      <c r="P41" s="3" t="s">
        <v>53</v>
      </c>
      <c r="Q41" s="3" t="s">
        <v>39</v>
      </c>
      <c r="R41" s="5">
        <v>46141.65357638889</v>
      </c>
      <c r="S41" s="5">
        <v>46141.65357638889</v>
      </c>
      <c r="T41" s="3" t="s">
        <v>41</v>
      </c>
      <c r="U41" s="1" t="s">
        <v>59</v>
      </c>
      <c r="V41" s="1" t="s">
        <v>60</v>
      </c>
      <c r="W41" s="1" t="s">
        <v>231</v>
      </c>
      <c r="X41" s="1" t="s">
        <v>232</v>
      </c>
      <c r="Y41" s="1"/>
      <c r="Z41" s="1"/>
      <c r="AA41" s="1" t="s">
        <v>61</v>
      </c>
    </row>
    <row r="42" spans="1:27" ht="17.45" customHeight="1">
      <c r="A42" s="2" t="s">
        <v>233</v>
      </c>
      <c r="B42" s="2" t="s">
        <v>28</v>
      </c>
      <c r="C42">
        <v>1</v>
      </c>
      <c r="D42" s="2" t="s">
        <v>228</v>
      </c>
      <c r="E42" s="2" t="s">
        <v>234</v>
      </c>
      <c r="F42" s="2" t="s">
        <v>235</v>
      </c>
      <c r="G42" s="2" t="s">
        <v>32</v>
      </c>
      <c r="H42" s="2" t="s">
        <v>124</v>
      </c>
      <c r="I42" s="2" t="s">
        <v>124</v>
      </c>
      <c r="J42" s="2" t="s">
        <v>35</v>
      </c>
      <c r="K42" s="2" t="s">
        <v>36</v>
      </c>
      <c r="L42" s="2" t="s">
        <v>37</v>
      </c>
      <c r="M42" s="2" t="s">
        <v>52</v>
      </c>
      <c r="N42" s="2" t="s">
        <v>39</v>
      </c>
      <c r="O42" s="2" t="s">
        <v>124</v>
      </c>
      <c r="P42" s="2" t="s">
        <v>58</v>
      </c>
      <c r="Q42" s="2" t="s">
        <v>39</v>
      </c>
      <c r="R42" s="4">
        <v>46141.656261574077</v>
      </c>
      <c r="S42" s="4">
        <v>46141.656261574077</v>
      </c>
      <c r="T42" s="2" t="s">
        <v>41</v>
      </c>
      <c r="U42" s="1" t="s">
        <v>115</v>
      </c>
      <c r="V42" s="1" t="s">
        <v>116</v>
      </c>
      <c r="W42" s="1" t="s">
        <v>235</v>
      </c>
      <c r="X42" s="1" t="s">
        <v>235</v>
      </c>
      <c r="Y42" s="1"/>
      <c r="Z42" s="1"/>
      <c r="AA42" s="1" t="s">
        <v>118</v>
      </c>
    </row>
    <row r="43" spans="1:27" ht="17.45" customHeight="1">
      <c r="A43" s="3" t="s">
        <v>227</v>
      </c>
      <c r="B43" s="3" t="s">
        <v>48</v>
      </c>
      <c r="C43">
        <v>1</v>
      </c>
      <c r="D43" s="3" t="s">
        <v>228</v>
      </c>
      <c r="E43" s="3" t="s">
        <v>236</v>
      </c>
      <c r="F43" s="3" t="s">
        <v>237</v>
      </c>
      <c r="G43" s="3" t="s">
        <v>32</v>
      </c>
      <c r="H43" s="3" t="s">
        <v>124</v>
      </c>
      <c r="I43" s="3" t="s">
        <v>124</v>
      </c>
      <c r="J43" s="3" t="s">
        <v>35</v>
      </c>
      <c r="K43" s="3" t="s">
        <v>36</v>
      </c>
      <c r="L43" s="3" t="s">
        <v>51</v>
      </c>
      <c r="M43" s="3" t="s">
        <v>64</v>
      </c>
      <c r="N43" s="3" t="s">
        <v>39</v>
      </c>
      <c r="O43" s="3" t="s">
        <v>124</v>
      </c>
      <c r="P43" s="3" t="s">
        <v>53</v>
      </c>
      <c r="Q43" s="3" t="s">
        <v>39</v>
      </c>
      <c r="R43" s="5">
        <v>46141.662870370368</v>
      </c>
      <c r="S43" s="5">
        <v>46141.662870370368</v>
      </c>
      <c r="T43" s="3" t="s">
        <v>41</v>
      </c>
      <c r="U43" s="1" t="s">
        <v>165</v>
      </c>
      <c r="V43" s="1" t="s">
        <v>238</v>
      </c>
      <c r="W43" s="1" t="s">
        <v>239</v>
      </c>
      <c r="X43" s="1" t="s">
        <v>240</v>
      </c>
      <c r="Y43" s="1"/>
      <c r="Z43" s="1"/>
      <c r="AA43" s="1" t="s">
        <v>169</v>
      </c>
    </row>
    <row r="44" spans="1:27" ht="17.45" customHeight="1">
      <c r="A44" s="2" t="s">
        <v>227</v>
      </c>
      <c r="B44" s="2" t="s">
        <v>48</v>
      </c>
      <c r="C44">
        <v>1</v>
      </c>
      <c r="D44" s="2" t="s">
        <v>228</v>
      </c>
      <c r="E44" s="2" t="s">
        <v>241</v>
      </c>
      <c r="F44" s="2" t="s">
        <v>242</v>
      </c>
      <c r="G44" s="2" t="s">
        <v>32</v>
      </c>
      <c r="H44" s="2" t="s">
        <v>124</v>
      </c>
      <c r="I44" s="2" t="s">
        <v>124</v>
      </c>
      <c r="J44" s="2" t="s">
        <v>35</v>
      </c>
      <c r="K44" s="2" t="s">
        <v>36</v>
      </c>
      <c r="L44" s="2" t="s">
        <v>51</v>
      </c>
      <c r="M44" s="2" t="s">
        <v>64</v>
      </c>
      <c r="N44" s="2" t="s">
        <v>39</v>
      </c>
      <c r="O44" s="2" t="s">
        <v>124</v>
      </c>
      <c r="P44" s="2" t="s">
        <v>53</v>
      </c>
      <c r="Q44" s="2" t="s">
        <v>39</v>
      </c>
      <c r="R44" s="4">
        <v>46141.66946759259</v>
      </c>
      <c r="S44" s="4">
        <v>46141.66946759259</v>
      </c>
      <c r="T44" s="2" t="s">
        <v>41</v>
      </c>
      <c r="U44" s="1" t="s">
        <v>243</v>
      </c>
      <c r="V44" s="1" t="s">
        <v>244</v>
      </c>
      <c r="W44" s="1" t="s">
        <v>245</v>
      </c>
      <c r="X44" s="1" t="s">
        <v>245</v>
      </c>
      <c r="Y44" s="1"/>
      <c r="Z44" s="1"/>
      <c r="AA44" s="1" t="s">
        <v>246</v>
      </c>
    </row>
    <row r="45" spans="1:27" ht="17.45" customHeight="1">
      <c r="A45" s="3" t="s">
        <v>247</v>
      </c>
      <c r="B45" s="3" t="s">
        <v>48</v>
      </c>
      <c r="C45">
        <v>1</v>
      </c>
      <c r="D45" s="3" t="s">
        <v>228</v>
      </c>
      <c r="E45" s="3" t="s">
        <v>248</v>
      </c>
      <c r="F45" s="3" t="s">
        <v>249</v>
      </c>
      <c r="G45" s="3" t="s">
        <v>32</v>
      </c>
      <c r="H45" s="3" t="s">
        <v>124</v>
      </c>
      <c r="I45" s="3" t="s">
        <v>124</v>
      </c>
      <c r="J45" s="3" t="s">
        <v>35</v>
      </c>
      <c r="K45" s="3" t="s">
        <v>36</v>
      </c>
      <c r="L45" s="3" t="s">
        <v>37</v>
      </c>
      <c r="M45" s="3" t="s">
        <v>38</v>
      </c>
      <c r="N45" s="3" t="s">
        <v>39</v>
      </c>
      <c r="O45" s="3" t="s">
        <v>124</v>
      </c>
      <c r="P45" s="3" t="s">
        <v>58</v>
      </c>
      <c r="Q45" s="3" t="s">
        <v>39</v>
      </c>
      <c r="R45" s="5">
        <v>46142.415347222224</v>
      </c>
      <c r="S45" s="5">
        <v>46142.417164351849</v>
      </c>
      <c r="T45" s="3" t="s">
        <v>41</v>
      </c>
      <c r="U45" s="1" t="s">
        <v>95</v>
      </c>
      <c r="V45" s="1" t="s">
        <v>96</v>
      </c>
      <c r="W45" s="1" t="s">
        <v>250</v>
      </c>
      <c r="X45" s="1" t="s">
        <v>251</v>
      </c>
      <c r="Y45" s="1"/>
      <c r="Z45" s="1"/>
      <c r="AA45" s="1" t="s">
        <v>98</v>
      </c>
    </row>
    <row r="46" spans="1:27" ht="17.45" customHeight="1">
      <c r="A46" s="2" t="s">
        <v>252</v>
      </c>
      <c r="B46" s="2" t="s">
        <v>28</v>
      </c>
      <c r="C46">
        <v>1</v>
      </c>
      <c r="D46" s="2" t="s">
        <v>228</v>
      </c>
      <c r="E46" s="2" t="s">
        <v>253</v>
      </c>
      <c r="F46" s="2" t="s">
        <v>254</v>
      </c>
      <c r="G46" s="2" t="s">
        <v>32</v>
      </c>
      <c r="H46" s="2" t="s">
        <v>124</v>
      </c>
      <c r="I46" s="2" t="s">
        <v>124</v>
      </c>
      <c r="J46" s="2" t="s">
        <v>35</v>
      </c>
      <c r="K46" s="2" t="s">
        <v>36</v>
      </c>
      <c r="L46" s="2" t="s">
        <v>37</v>
      </c>
      <c r="M46" s="2" t="s">
        <v>141</v>
      </c>
      <c r="N46" s="2" t="s">
        <v>39</v>
      </c>
      <c r="O46" s="2" t="s">
        <v>124</v>
      </c>
      <c r="P46" s="2" t="s">
        <v>40</v>
      </c>
      <c r="Q46" s="2" t="s">
        <v>39</v>
      </c>
      <c r="R46" s="4">
        <v>46142.442743055559</v>
      </c>
      <c r="S46" s="4">
        <v>46142.442743055559</v>
      </c>
      <c r="T46" s="2" t="s">
        <v>41</v>
      </c>
      <c r="U46" s="1" t="s">
        <v>177</v>
      </c>
      <c r="V46" s="1" t="s">
        <v>184</v>
      </c>
      <c r="W46" s="1" t="s">
        <v>255</v>
      </c>
      <c r="X46" s="1" t="s">
        <v>256</v>
      </c>
      <c r="Y46" s="1"/>
      <c r="Z46" s="1"/>
      <c r="AA46" s="1" t="s">
        <v>179</v>
      </c>
    </row>
    <row r="47" spans="1:27" ht="17.45" customHeight="1">
      <c r="A47" s="3" t="s">
        <v>257</v>
      </c>
      <c r="B47" s="3" t="s">
        <v>28</v>
      </c>
      <c r="C47">
        <v>1</v>
      </c>
      <c r="D47" s="3" t="s">
        <v>228</v>
      </c>
      <c r="E47" s="3" t="s">
        <v>258</v>
      </c>
      <c r="F47" s="3" t="s">
        <v>259</v>
      </c>
      <c r="G47" s="3" t="s">
        <v>32</v>
      </c>
      <c r="H47" s="3" t="s">
        <v>124</v>
      </c>
      <c r="I47" s="3" t="s">
        <v>124</v>
      </c>
      <c r="J47" s="3" t="s">
        <v>35</v>
      </c>
      <c r="K47" s="3" t="s">
        <v>36</v>
      </c>
      <c r="L47" s="3" t="s">
        <v>37</v>
      </c>
      <c r="M47" s="3" t="s">
        <v>52</v>
      </c>
      <c r="N47" s="3" t="s">
        <v>39</v>
      </c>
      <c r="O47" s="3" t="s">
        <v>124</v>
      </c>
      <c r="P47" s="3" t="s">
        <v>58</v>
      </c>
      <c r="Q47" s="3" t="s">
        <v>39</v>
      </c>
      <c r="R47" s="5">
        <v>46142.455625000002</v>
      </c>
      <c r="S47" s="5">
        <v>46142.455625000002</v>
      </c>
      <c r="T47" s="3" t="s">
        <v>41</v>
      </c>
      <c r="U47" s="1" t="s">
        <v>83</v>
      </c>
      <c r="V47" s="1" t="s">
        <v>84</v>
      </c>
      <c r="W47" s="1" t="s">
        <v>259</v>
      </c>
      <c r="X47" s="1" t="s">
        <v>259</v>
      </c>
      <c r="Y47" s="1"/>
      <c r="Z47" s="1"/>
      <c r="AA47" s="1" t="s">
        <v>85</v>
      </c>
    </row>
    <row r="48" spans="1:27" ht="17.45" customHeight="1">
      <c r="A48" s="2" t="s">
        <v>260</v>
      </c>
      <c r="B48" s="2" t="s">
        <v>120</v>
      </c>
      <c r="C48">
        <v>1</v>
      </c>
      <c r="D48" s="2" t="s">
        <v>121</v>
      </c>
      <c r="E48" s="2" t="s">
        <v>261</v>
      </c>
      <c r="F48" s="2" t="s">
        <v>262</v>
      </c>
      <c r="G48" s="2" t="s">
        <v>32</v>
      </c>
      <c r="H48" s="2" t="s">
        <v>124</v>
      </c>
      <c r="I48" s="2" t="s">
        <v>192</v>
      </c>
      <c r="J48" s="2" t="s">
        <v>35</v>
      </c>
      <c r="K48" s="2" t="s">
        <v>36</v>
      </c>
      <c r="L48" s="2" t="s">
        <v>51</v>
      </c>
      <c r="M48" s="2" t="s">
        <v>52</v>
      </c>
      <c r="N48" s="2" t="s">
        <v>39</v>
      </c>
      <c r="O48" s="2" t="s">
        <v>124</v>
      </c>
      <c r="P48" s="2" t="s">
        <v>40</v>
      </c>
      <c r="Q48" s="2" t="s">
        <v>39</v>
      </c>
      <c r="R48" s="4">
        <v>46142.618564814817</v>
      </c>
      <c r="S48" s="4">
        <v>46142.618564814817</v>
      </c>
      <c r="T48" s="2" t="s">
        <v>41</v>
      </c>
      <c r="U48" s="1" t="s">
        <v>263</v>
      </c>
      <c r="V48" s="1" t="s">
        <v>264</v>
      </c>
      <c r="W48" s="1" t="s">
        <v>262</v>
      </c>
      <c r="X48" s="1" t="s">
        <v>262</v>
      </c>
      <c r="Y48" s="1"/>
      <c r="Z48" s="1"/>
      <c r="AA48" s="1" t="s">
        <v>265</v>
      </c>
    </row>
    <row r="49" spans="1:27" ht="17.45" customHeight="1">
      <c r="A49" s="3" t="s">
        <v>195</v>
      </c>
      <c r="B49" s="3" t="s">
        <v>28</v>
      </c>
      <c r="C49">
        <v>1</v>
      </c>
      <c r="D49" s="3" t="s">
        <v>29</v>
      </c>
      <c r="E49" s="3" t="s">
        <v>266</v>
      </c>
      <c r="F49" s="3" t="s">
        <v>267</v>
      </c>
      <c r="G49" s="3" t="s">
        <v>32</v>
      </c>
      <c r="H49" s="3" t="s">
        <v>33</v>
      </c>
      <c r="I49" s="3" t="s">
        <v>34</v>
      </c>
      <c r="J49" s="3" t="s">
        <v>35</v>
      </c>
      <c r="K49" s="3" t="s">
        <v>36</v>
      </c>
      <c r="L49" s="3" t="s">
        <v>37</v>
      </c>
      <c r="M49" s="3" t="s">
        <v>64</v>
      </c>
      <c r="N49" s="3" t="s">
        <v>39</v>
      </c>
      <c r="O49" s="3" t="s">
        <v>33</v>
      </c>
      <c r="P49" s="3" t="s">
        <v>53</v>
      </c>
      <c r="Q49" s="3" t="s">
        <v>39</v>
      </c>
      <c r="R49" s="5">
        <v>46140.579756944448</v>
      </c>
      <c r="S49" s="5">
        <v>46140.579756944448</v>
      </c>
      <c r="T49" s="3" t="s">
        <v>41</v>
      </c>
      <c r="U49" s="1" t="s">
        <v>59</v>
      </c>
      <c r="V49" s="1" t="s">
        <v>268</v>
      </c>
      <c r="W49" s="1" t="s">
        <v>267</v>
      </c>
      <c r="X49" s="1" t="s">
        <v>267</v>
      </c>
      <c r="Y49" s="1"/>
      <c r="Z49" s="1"/>
      <c r="AA49" s="1" t="s">
        <v>61</v>
      </c>
    </row>
    <row r="50" spans="1:27" ht="17.45" customHeight="1">
      <c r="A50" s="2" t="s">
        <v>269</v>
      </c>
      <c r="B50" s="2" t="s">
        <v>181</v>
      </c>
      <c r="C50">
        <v>1</v>
      </c>
      <c r="D50" s="2" t="s">
        <v>29</v>
      </c>
      <c r="E50" s="2" t="s">
        <v>270</v>
      </c>
      <c r="F50" s="2" t="s">
        <v>271</v>
      </c>
      <c r="G50" s="2" t="s">
        <v>32</v>
      </c>
      <c r="H50" s="2" t="s">
        <v>33</v>
      </c>
      <c r="I50" s="2" t="s">
        <v>34</v>
      </c>
      <c r="J50" s="2" t="s">
        <v>35</v>
      </c>
      <c r="K50" s="2" t="s">
        <v>36</v>
      </c>
      <c r="L50" s="2" t="s">
        <v>37</v>
      </c>
      <c r="M50" s="2" t="s">
        <v>52</v>
      </c>
      <c r="N50" s="2" t="s">
        <v>39</v>
      </c>
      <c r="O50" s="2" t="s">
        <v>33</v>
      </c>
      <c r="P50" s="2" t="s">
        <v>40</v>
      </c>
      <c r="Q50" s="2" t="s">
        <v>39</v>
      </c>
      <c r="R50" s="4">
        <v>46140.617650462962</v>
      </c>
      <c r="S50" s="4">
        <v>46140.626921296294</v>
      </c>
      <c r="T50" s="2" t="s">
        <v>41</v>
      </c>
      <c r="U50" s="1" t="s">
        <v>272</v>
      </c>
      <c r="V50" s="1" t="s">
        <v>273</v>
      </c>
      <c r="W50" s="1" t="s">
        <v>271</v>
      </c>
      <c r="X50" s="1" t="s">
        <v>271</v>
      </c>
      <c r="Y50" s="1"/>
      <c r="Z50" s="1"/>
      <c r="AA50" s="1" t="s">
        <v>274</v>
      </c>
    </row>
    <row r="51" spans="1:27" ht="17.45" customHeight="1">
      <c r="A51" s="3" t="s">
        <v>275</v>
      </c>
      <c r="B51" s="3" t="s">
        <v>181</v>
      </c>
      <c r="C51">
        <v>1</v>
      </c>
      <c r="D51" s="3" t="s">
        <v>29</v>
      </c>
      <c r="E51" s="3" t="s">
        <v>276</v>
      </c>
      <c r="F51" s="3" t="s">
        <v>277</v>
      </c>
      <c r="G51" s="3" t="s">
        <v>32</v>
      </c>
      <c r="H51" s="3" t="s">
        <v>33</v>
      </c>
      <c r="I51" s="3" t="s">
        <v>34</v>
      </c>
      <c r="J51" s="3" t="s">
        <v>35</v>
      </c>
      <c r="K51" s="3" t="s">
        <v>36</v>
      </c>
      <c r="L51" s="3" t="s">
        <v>51</v>
      </c>
      <c r="M51" s="3" t="s">
        <v>64</v>
      </c>
      <c r="N51" s="3" t="s">
        <v>39</v>
      </c>
      <c r="O51" s="3" t="s">
        <v>33</v>
      </c>
      <c r="P51" s="3" t="s">
        <v>53</v>
      </c>
      <c r="Q51" s="3" t="s">
        <v>39</v>
      </c>
      <c r="R51" s="5">
        <v>46140.654143518521</v>
      </c>
      <c r="S51" s="5">
        <v>46140.654143518521</v>
      </c>
      <c r="T51" s="3" t="s">
        <v>41</v>
      </c>
      <c r="U51" s="1" t="s">
        <v>59</v>
      </c>
      <c r="V51" s="1" t="s">
        <v>60</v>
      </c>
      <c r="W51" s="1" t="s">
        <v>278</v>
      </c>
      <c r="X51" s="1" t="s">
        <v>279</v>
      </c>
      <c r="Y51" s="1"/>
      <c r="Z51" s="1"/>
      <c r="AA51" s="1" t="s">
        <v>61</v>
      </c>
    </row>
    <row r="52" spans="1:27" ht="17.45" customHeight="1">
      <c r="A52" s="2" t="s">
        <v>280</v>
      </c>
      <c r="B52" s="2" t="s">
        <v>120</v>
      </c>
      <c r="C52">
        <v>1</v>
      </c>
      <c r="D52" s="2" t="s">
        <v>121</v>
      </c>
      <c r="E52" s="2" t="s">
        <v>281</v>
      </c>
      <c r="F52" s="2" t="s">
        <v>282</v>
      </c>
      <c r="G52" s="2" t="s">
        <v>32</v>
      </c>
      <c r="H52" s="2" t="s">
        <v>124</v>
      </c>
      <c r="I52" s="2" t="s">
        <v>192</v>
      </c>
      <c r="J52" s="2" t="s">
        <v>35</v>
      </c>
      <c r="K52" s="2" t="s">
        <v>36</v>
      </c>
      <c r="L52" s="2" t="s">
        <v>37</v>
      </c>
      <c r="M52" s="2" t="s">
        <v>52</v>
      </c>
      <c r="N52" s="2" t="s">
        <v>39</v>
      </c>
      <c r="O52" s="2" t="s">
        <v>125</v>
      </c>
      <c r="P52" s="2" t="s">
        <v>40</v>
      </c>
      <c r="Q52" s="2" t="s">
        <v>39</v>
      </c>
      <c r="R52" s="4">
        <v>46140.65483796296</v>
      </c>
      <c r="S52" s="4">
        <v>46140.65483796296</v>
      </c>
      <c r="T52" s="2" t="s">
        <v>41</v>
      </c>
      <c r="U52" s="1" t="s">
        <v>283</v>
      </c>
      <c r="V52" s="1" t="s">
        <v>284</v>
      </c>
      <c r="W52" s="1" t="s">
        <v>282</v>
      </c>
      <c r="X52" s="1" t="s">
        <v>282</v>
      </c>
      <c r="Y52" s="1"/>
      <c r="Z52" s="1"/>
      <c r="AA52" s="1" t="s">
        <v>285</v>
      </c>
    </row>
    <row r="53" spans="1:27" ht="17.45" customHeight="1">
      <c r="A53" s="3" t="s">
        <v>275</v>
      </c>
      <c r="B53" s="3" t="s">
        <v>181</v>
      </c>
      <c r="C53">
        <v>1</v>
      </c>
      <c r="D53" s="3" t="s">
        <v>29</v>
      </c>
      <c r="E53" s="3" t="s">
        <v>286</v>
      </c>
      <c r="F53" s="3" t="s">
        <v>287</v>
      </c>
      <c r="G53" s="3" t="s">
        <v>32</v>
      </c>
      <c r="H53" s="3" t="s">
        <v>33</v>
      </c>
      <c r="I53" s="3" t="s">
        <v>34</v>
      </c>
      <c r="J53" s="3" t="s">
        <v>35</v>
      </c>
      <c r="K53" s="3" t="s">
        <v>36</v>
      </c>
      <c r="L53" s="3" t="s">
        <v>37</v>
      </c>
      <c r="M53" s="3" t="s">
        <v>52</v>
      </c>
      <c r="N53" s="3" t="s">
        <v>39</v>
      </c>
      <c r="O53" s="3" t="s">
        <v>33</v>
      </c>
      <c r="P53" s="3" t="s">
        <v>40</v>
      </c>
      <c r="Q53" s="3" t="s">
        <v>39</v>
      </c>
      <c r="R53" s="5">
        <v>46140.655914351853</v>
      </c>
      <c r="S53" s="5">
        <v>46140.655914351853</v>
      </c>
      <c r="T53" s="3" t="s">
        <v>41</v>
      </c>
      <c r="U53" s="1" t="s">
        <v>95</v>
      </c>
      <c r="V53" s="1" t="s">
        <v>96</v>
      </c>
      <c r="W53" s="1" t="s">
        <v>288</v>
      </c>
      <c r="X53" s="1" t="s">
        <v>289</v>
      </c>
      <c r="Y53" s="1"/>
      <c r="Z53" s="1"/>
      <c r="AA53" s="1" t="s">
        <v>98</v>
      </c>
    </row>
    <row r="54" spans="1:27" ht="17.45" customHeight="1">
      <c r="A54" s="2" t="s">
        <v>290</v>
      </c>
      <c r="B54" s="2" t="s">
        <v>120</v>
      </c>
      <c r="C54">
        <v>1</v>
      </c>
      <c r="D54" s="2" t="s">
        <v>121</v>
      </c>
      <c r="E54" s="2" t="s">
        <v>291</v>
      </c>
      <c r="F54" s="2" t="s">
        <v>292</v>
      </c>
      <c r="G54" s="2" t="s">
        <v>32</v>
      </c>
      <c r="H54" s="2" t="s">
        <v>124</v>
      </c>
      <c r="I54" s="2" t="s">
        <v>192</v>
      </c>
      <c r="J54" s="2" t="s">
        <v>35</v>
      </c>
      <c r="K54" s="2" t="s">
        <v>36</v>
      </c>
      <c r="L54" s="2" t="s">
        <v>37</v>
      </c>
      <c r="M54" s="2" t="s">
        <v>52</v>
      </c>
      <c r="N54" s="2" t="s">
        <v>39</v>
      </c>
      <c r="O54" s="2" t="s">
        <v>125</v>
      </c>
      <c r="P54" s="2" t="s">
        <v>58</v>
      </c>
      <c r="Q54" s="2" t="s">
        <v>39</v>
      </c>
      <c r="R54" s="4">
        <v>46140.657094907408</v>
      </c>
      <c r="S54" s="4">
        <v>46140.657094907408</v>
      </c>
      <c r="T54" s="2" t="s">
        <v>41</v>
      </c>
      <c r="U54" s="1" t="s">
        <v>283</v>
      </c>
      <c r="V54" s="1" t="s">
        <v>293</v>
      </c>
      <c r="W54" s="1" t="s">
        <v>292</v>
      </c>
      <c r="X54" s="1" t="s">
        <v>292</v>
      </c>
      <c r="Y54" s="1"/>
      <c r="Z54" s="1"/>
      <c r="AA54" s="1" t="s">
        <v>285</v>
      </c>
    </row>
    <row r="55" spans="1:27" ht="17.45" customHeight="1">
      <c r="A55" s="3" t="s">
        <v>294</v>
      </c>
      <c r="B55" s="3" t="s">
        <v>48</v>
      </c>
      <c r="C55">
        <v>1</v>
      </c>
      <c r="D55" s="3" t="s">
        <v>121</v>
      </c>
      <c r="E55" s="3" t="s">
        <v>295</v>
      </c>
      <c r="F55" s="3" t="s">
        <v>296</v>
      </c>
      <c r="G55" s="3" t="s">
        <v>32</v>
      </c>
      <c r="H55" s="3" t="s">
        <v>124</v>
      </c>
      <c r="I55" s="3" t="s">
        <v>33</v>
      </c>
      <c r="J55" s="3" t="s">
        <v>35</v>
      </c>
      <c r="K55" s="3" t="s">
        <v>36</v>
      </c>
      <c r="L55" s="3" t="s">
        <v>51</v>
      </c>
      <c r="M55" s="3" t="s">
        <v>52</v>
      </c>
      <c r="N55" s="3" t="s">
        <v>39</v>
      </c>
      <c r="O55" s="3" t="s">
        <v>125</v>
      </c>
      <c r="P55" s="3" t="s">
        <v>53</v>
      </c>
      <c r="Q55" s="3" t="s">
        <v>39</v>
      </c>
      <c r="R55" s="5">
        <v>46140.731319444443</v>
      </c>
      <c r="S55" s="5">
        <v>46140.732476851852</v>
      </c>
      <c r="T55" s="3" t="s">
        <v>41</v>
      </c>
      <c r="U55" s="1" t="s">
        <v>42</v>
      </c>
      <c r="V55" s="1" t="s">
        <v>105</v>
      </c>
      <c r="W55" s="1" t="s">
        <v>297</v>
      </c>
      <c r="X55" s="1" t="s">
        <v>298</v>
      </c>
      <c r="Y55" s="1"/>
      <c r="Z55" s="1"/>
      <c r="AA55" s="1" t="s">
        <v>46</v>
      </c>
    </row>
    <row r="56" spans="1:27" ht="17.45" customHeight="1">
      <c r="A56" s="2" t="s">
        <v>299</v>
      </c>
      <c r="B56" s="2" t="s">
        <v>181</v>
      </c>
      <c r="C56">
        <v>1</v>
      </c>
      <c r="D56" s="2" t="s">
        <v>29</v>
      </c>
      <c r="E56" s="2" t="s">
        <v>300</v>
      </c>
      <c r="F56" s="2" t="s">
        <v>301</v>
      </c>
      <c r="G56" s="2" t="s">
        <v>32</v>
      </c>
      <c r="H56" s="2" t="s">
        <v>33</v>
      </c>
      <c r="I56" s="2" t="s">
        <v>78</v>
      </c>
      <c r="J56" s="2" t="s">
        <v>35</v>
      </c>
      <c r="K56" s="2" t="s">
        <v>36</v>
      </c>
      <c r="L56" s="2" t="s">
        <v>51</v>
      </c>
      <c r="M56" s="2" t="s">
        <v>64</v>
      </c>
      <c r="N56" s="2" t="s">
        <v>39</v>
      </c>
      <c r="O56" s="2" t="s">
        <v>33</v>
      </c>
      <c r="P56" s="2" t="s">
        <v>53</v>
      </c>
      <c r="Q56" s="2" t="s">
        <v>39</v>
      </c>
      <c r="R56" s="4">
        <v>46140.7344212963</v>
      </c>
      <c r="S56" s="4">
        <v>46140.7344212963</v>
      </c>
      <c r="T56" s="2" t="s">
        <v>41</v>
      </c>
      <c r="U56" s="1" t="s">
        <v>243</v>
      </c>
      <c r="V56" s="1" t="s">
        <v>302</v>
      </c>
      <c r="W56" s="1" t="s">
        <v>301</v>
      </c>
      <c r="X56" s="1" t="s">
        <v>301</v>
      </c>
      <c r="Y56" s="1"/>
      <c r="Z56" s="1"/>
      <c r="AA56" s="1" t="s">
        <v>246</v>
      </c>
    </row>
    <row r="57" spans="1:27" ht="17.45" customHeight="1">
      <c r="A57" s="3" t="s">
        <v>303</v>
      </c>
      <c r="B57" s="3" t="s">
        <v>181</v>
      </c>
      <c r="C57">
        <v>1</v>
      </c>
      <c r="D57" s="3" t="s">
        <v>29</v>
      </c>
      <c r="E57" s="3" t="s">
        <v>304</v>
      </c>
      <c r="F57" s="3" t="s">
        <v>305</v>
      </c>
      <c r="G57" s="3" t="s">
        <v>32</v>
      </c>
      <c r="H57" s="3" t="s">
        <v>33</v>
      </c>
      <c r="I57" s="3" t="s">
        <v>34</v>
      </c>
      <c r="J57" s="3" t="s">
        <v>35</v>
      </c>
      <c r="K57" s="3" t="s">
        <v>36</v>
      </c>
      <c r="L57" s="3" t="s">
        <v>306</v>
      </c>
      <c r="M57" s="3" t="s">
        <v>115</v>
      </c>
      <c r="N57" s="3" t="s">
        <v>39</v>
      </c>
      <c r="O57" s="3" t="s">
        <v>33</v>
      </c>
      <c r="P57" s="3" t="s">
        <v>53</v>
      </c>
      <c r="Q57" s="3" t="s">
        <v>39</v>
      </c>
      <c r="R57" s="5">
        <v>46141.401226851849</v>
      </c>
      <c r="S57" s="5">
        <v>46141.401226851849</v>
      </c>
      <c r="T57" s="3" t="s">
        <v>41</v>
      </c>
      <c r="U57" s="1" t="s">
        <v>59</v>
      </c>
      <c r="V57" s="1" t="s">
        <v>60</v>
      </c>
      <c r="W57" s="1" t="s">
        <v>305</v>
      </c>
      <c r="X57" s="1" t="s">
        <v>305</v>
      </c>
      <c r="Y57" s="1"/>
      <c r="Z57" s="1"/>
      <c r="AA57" s="1" t="s">
        <v>61</v>
      </c>
    </row>
    <row r="58" spans="1:27" ht="17.45" customHeight="1">
      <c r="A58" s="2" t="s">
        <v>307</v>
      </c>
      <c r="B58" s="2" t="s">
        <v>181</v>
      </c>
      <c r="C58">
        <v>1</v>
      </c>
      <c r="D58" s="2" t="s">
        <v>29</v>
      </c>
      <c r="E58" s="2" t="s">
        <v>308</v>
      </c>
      <c r="F58" s="2" t="s">
        <v>305</v>
      </c>
      <c r="G58" s="2" t="s">
        <v>32</v>
      </c>
      <c r="H58" s="2" t="s">
        <v>33</v>
      </c>
      <c r="I58" s="2" t="s">
        <v>34</v>
      </c>
      <c r="J58" s="2" t="s">
        <v>35</v>
      </c>
      <c r="K58" s="2" t="s">
        <v>36</v>
      </c>
      <c r="L58" s="2" t="s">
        <v>51</v>
      </c>
      <c r="M58" s="2" t="s">
        <v>115</v>
      </c>
      <c r="N58" s="2" t="s">
        <v>39</v>
      </c>
      <c r="O58" s="2" t="s">
        <v>33</v>
      </c>
      <c r="P58" s="2" t="s">
        <v>53</v>
      </c>
      <c r="Q58" s="2" t="s">
        <v>39</v>
      </c>
      <c r="R58" s="4">
        <v>46141.401365740741</v>
      </c>
      <c r="S58" s="4">
        <v>46141.401365740741</v>
      </c>
      <c r="T58" s="2" t="s">
        <v>41</v>
      </c>
      <c r="U58" s="1" t="s">
        <v>59</v>
      </c>
      <c r="V58" s="1" t="s">
        <v>60</v>
      </c>
      <c r="W58" s="1" t="s">
        <v>305</v>
      </c>
      <c r="X58" s="1" t="s">
        <v>305</v>
      </c>
      <c r="Y58" s="1"/>
      <c r="Z58" s="1"/>
      <c r="AA58" s="1" t="s">
        <v>61</v>
      </c>
    </row>
    <row r="59" spans="1:27" ht="17.45" customHeight="1">
      <c r="A59" s="3" t="s">
        <v>309</v>
      </c>
      <c r="B59" s="3" t="s">
        <v>48</v>
      </c>
      <c r="C59">
        <v>1</v>
      </c>
      <c r="D59" s="3" t="s">
        <v>121</v>
      </c>
      <c r="E59" s="3" t="s">
        <v>310</v>
      </c>
      <c r="F59" s="3" t="s">
        <v>311</v>
      </c>
      <c r="G59" s="3" t="s">
        <v>32</v>
      </c>
      <c r="H59" s="3" t="s">
        <v>124</v>
      </c>
      <c r="I59" s="3" t="s">
        <v>212</v>
      </c>
      <c r="J59" s="3" t="s">
        <v>35</v>
      </c>
      <c r="K59" s="3" t="s">
        <v>36</v>
      </c>
      <c r="L59" s="3" t="s">
        <v>51</v>
      </c>
      <c r="M59" s="3" t="s">
        <v>64</v>
      </c>
      <c r="N59" s="3" t="s">
        <v>39</v>
      </c>
      <c r="O59" s="3" t="s">
        <v>124</v>
      </c>
      <c r="P59" s="3" t="s">
        <v>53</v>
      </c>
      <c r="Q59" s="3" t="s">
        <v>39</v>
      </c>
      <c r="R59" s="5">
        <v>46141.415000000001</v>
      </c>
      <c r="S59" s="5">
        <v>46141.415000000001</v>
      </c>
      <c r="T59" s="3" t="s">
        <v>41</v>
      </c>
      <c r="U59" s="1" t="s">
        <v>65</v>
      </c>
      <c r="V59" s="1" t="s">
        <v>89</v>
      </c>
      <c r="W59" s="1" t="s">
        <v>312</v>
      </c>
      <c r="X59" s="1" t="s">
        <v>312</v>
      </c>
      <c r="Y59" s="1"/>
      <c r="Z59" s="1"/>
      <c r="AA59" s="1" t="s">
        <v>67</v>
      </c>
    </row>
    <row r="60" spans="1:27" ht="17.45" customHeight="1">
      <c r="A60" s="2" t="s">
        <v>313</v>
      </c>
      <c r="B60" s="2" t="s">
        <v>48</v>
      </c>
      <c r="C60">
        <v>1</v>
      </c>
      <c r="D60" s="2" t="s">
        <v>121</v>
      </c>
      <c r="E60" s="2" t="s">
        <v>314</v>
      </c>
      <c r="F60" s="2" t="s">
        <v>315</v>
      </c>
      <c r="G60" s="2" t="s">
        <v>32</v>
      </c>
      <c r="H60" s="2" t="s">
        <v>124</v>
      </c>
      <c r="I60" s="2" t="s">
        <v>212</v>
      </c>
      <c r="J60" s="2" t="s">
        <v>35</v>
      </c>
      <c r="K60" s="2" t="s">
        <v>36</v>
      </c>
      <c r="L60" s="2" t="s">
        <v>37</v>
      </c>
      <c r="M60" s="2" t="s">
        <v>64</v>
      </c>
      <c r="N60" s="2" t="s">
        <v>39</v>
      </c>
      <c r="O60" s="2" t="s">
        <v>125</v>
      </c>
      <c r="P60" s="2" t="s">
        <v>53</v>
      </c>
      <c r="Q60" s="2" t="s">
        <v>39</v>
      </c>
      <c r="R60" s="4">
        <v>46141.417210648149</v>
      </c>
      <c r="S60" s="4">
        <v>46141.417210648149</v>
      </c>
      <c r="T60" s="2" t="s">
        <v>41</v>
      </c>
      <c r="U60" s="1" t="s">
        <v>65</v>
      </c>
      <c r="V60" s="1" t="s">
        <v>70</v>
      </c>
      <c r="W60" s="1" t="s">
        <v>316</v>
      </c>
      <c r="X60" s="1" t="s">
        <v>317</v>
      </c>
      <c r="Y60" s="1"/>
      <c r="Z60" s="1"/>
      <c r="AA60" s="1" t="s">
        <v>67</v>
      </c>
    </row>
    <row r="61" spans="1:27" ht="17.45" customHeight="1">
      <c r="A61" s="3" t="s">
        <v>318</v>
      </c>
      <c r="B61" s="3" t="s">
        <v>48</v>
      </c>
      <c r="C61">
        <v>1</v>
      </c>
      <c r="D61" s="3" t="s">
        <v>121</v>
      </c>
      <c r="E61" s="3" t="s">
        <v>319</v>
      </c>
      <c r="F61" s="3" t="s">
        <v>320</v>
      </c>
      <c r="G61" s="3" t="s">
        <v>32</v>
      </c>
      <c r="H61" s="3" t="s">
        <v>124</v>
      </c>
      <c r="I61" s="3" t="s">
        <v>33</v>
      </c>
      <c r="J61" s="3" t="s">
        <v>35</v>
      </c>
      <c r="K61" s="3" t="s">
        <v>36</v>
      </c>
      <c r="L61" s="3" t="s">
        <v>37</v>
      </c>
      <c r="M61" s="3" t="s">
        <v>115</v>
      </c>
      <c r="N61" s="3" t="s">
        <v>39</v>
      </c>
      <c r="O61" s="3" t="s">
        <v>124</v>
      </c>
      <c r="P61" s="3" t="s">
        <v>53</v>
      </c>
      <c r="Q61" s="3" t="s">
        <v>39</v>
      </c>
      <c r="R61" s="5">
        <v>46141.450925925928</v>
      </c>
      <c r="S61" s="5">
        <v>46141.450925925928</v>
      </c>
      <c r="T61" s="3" t="s">
        <v>41</v>
      </c>
      <c r="U61" s="1" t="s">
        <v>283</v>
      </c>
      <c r="V61" s="1" t="s">
        <v>293</v>
      </c>
      <c r="W61" s="1" t="s">
        <v>321</v>
      </c>
      <c r="X61" s="1" t="s">
        <v>321</v>
      </c>
      <c r="Y61" s="1"/>
      <c r="Z61" s="1"/>
      <c r="AA61" s="1" t="s">
        <v>285</v>
      </c>
    </row>
    <row r="62" spans="1:27" ht="17.45" customHeight="1">
      <c r="A62" s="2" t="s">
        <v>322</v>
      </c>
      <c r="B62" s="2" t="s">
        <v>181</v>
      </c>
      <c r="C62">
        <v>1</v>
      </c>
      <c r="D62" s="2" t="s">
        <v>121</v>
      </c>
      <c r="E62" s="2" t="s">
        <v>323</v>
      </c>
      <c r="F62" s="2" t="s">
        <v>324</v>
      </c>
      <c r="G62" s="2" t="s">
        <v>32</v>
      </c>
      <c r="H62" s="2" t="s">
        <v>124</v>
      </c>
      <c r="I62" s="2" t="s">
        <v>125</v>
      </c>
      <c r="J62" s="2" t="s">
        <v>35</v>
      </c>
      <c r="K62" s="2" t="s">
        <v>36</v>
      </c>
      <c r="L62" s="2" t="s">
        <v>51</v>
      </c>
      <c r="M62" s="2" t="s">
        <v>64</v>
      </c>
      <c r="N62" s="2" t="s">
        <v>39</v>
      </c>
      <c r="O62" s="2" t="s">
        <v>124</v>
      </c>
      <c r="P62" s="2" t="s">
        <v>53</v>
      </c>
      <c r="Q62" s="2" t="s">
        <v>39</v>
      </c>
      <c r="R62" s="4">
        <v>46141.451516203706</v>
      </c>
      <c r="S62" s="4">
        <v>46141.451516203706</v>
      </c>
      <c r="T62" s="2" t="s">
        <v>41</v>
      </c>
      <c r="U62" s="1" t="s">
        <v>263</v>
      </c>
      <c r="V62" s="1" t="s">
        <v>264</v>
      </c>
      <c r="W62" s="1" t="s">
        <v>325</v>
      </c>
      <c r="X62" s="1" t="s">
        <v>325</v>
      </c>
      <c r="Y62" s="1"/>
      <c r="Z62" s="1"/>
      <c r="AA62" s="1" t="s">
        <v>265</v>
      </c>
    </row>
    <row r="63" spans="1:27" ht="17.45" customHeight="1">
      <c r="A63" s="3" t="s">
        <v>326</v>
      </c>
      <c r="B63" s="3" t="s">
        <v>120</v>
      </c>
      <c r="C63">
        <v>1</v>
      </c>
      <c r="D63" s="3" t="s">
        <v>29</v>
      </c>
      <c r="E63" s="3" t="s">
        <v>327</v>
      </c>
      <c r="F63" s="3" t="s">
        <v>328</v>
      </c>
      <c r="G63" s="3" t="s">
        <v>32</v>
      </c>
      <c r="H63" s="3" t="s">
        <v>33</v>
      </c>
      <c r="I63" s="3" t="s">
        <v>34</v>
      </c>
      <c r="J63" s="3" t="s">
        <v>35</v>
      </c>
      <c r="K63" s="3" t="s">
        <v>36</v>
      </c>
      <c r="L63" s="3" t="s">
        <v>51</v>
      </c>
      <c r="M63" s="3" t="s">
        <v>64</v>
      </c>
      <c r="N63" s="3" t="s">
        <v>39</v>
      </c>
      <c r="O63" s="3" t="s">
        <v>33</v>
      </c>
      <c r="P63" s="3" t="s">
        <v>53</v>
      </c>
      <c r="Q63" s="3" t="s">
        <v>39</v>
      </c>
      <c r="R63" s="5">
        <v>46141.457569444443</v>
      </c>
      <c r="S63" s="5">
        <v>46141.457569444443</v>
      </c>
      <c r="T63" s="3" t="s">
        <v>41</v>
      </c>
      <c r="U63" s="1" t="s">
        <v>95</v>
      </c>
      <c r="V63" s="1" t="s">
        <v>329</v>
      </c>
      <c r="W63" s="1" t="s">
        <v>328</v>
      </c>
      <c r="X63" s="1" t="s">
        <v>328</v>
      </c>
      <c r="Y63" s="1"/>
      <c r="Z63" s="1"/>
      <c r="AA63" s="1" t="s">
        <v>98</v>
      </c>
    </row>
    <row r="64" spans="1:27" ht="17.45" customHeight="1">
      <c r="A64" s="2" t="s">
        <v>204</v>
      </c>
      <c r="B64" s="2" t="s">
        <v>181</v>
      </c>
      <c r="C64">
        <v>1</v>
      </c>
      <c r="D64" s="2" t="s">
        <v>121</v>
      </c>
      <c r="E64" s="2" t="s">
        <v>330</v>
      </c>
      <c r="F64" s="2" t="s">
        <v>331</v>
      </c>
      <c r="G64" s="2" t="s">
        <v>32</v>
      </c>
      <c r="H64" s="2" t="s">
        <v>124</v>
      </c>
      <c r="I64" s="2" t="s">
        <v>33</v>
      </c>
      <c r="J64" s="2" t="s">
        <v>35</v>
      </c>
      <c r="K64" s="2" t="s">
        <v>36</v>
      </c>
      <c r="L64" s="2" t="s">
        <v>51</v>
      </c>
      <c r="M64" s="2" t="s">
        <v>64</v>
      </c>
      <c r="N64" s="2" t="s">
        <v>39</v>
      </c>
      <c r="O64" s="2" t="s">
        <v>124</v>
      </c>
      <c r="P64" s="2" t="s">
        <v>53</v>
      </c>
      <c r="Q64" s="2" t="s">
        <v>39</v>
      </c>
      <c r="R64" s="4">
        <v>46141.465196759258</v>
      </c>
      <c r="S64" s="4">
        <v>46141.465196759258</v>
      </c>
      <c r="T64" s="2" t="s">
        <v>41</v>
      </c>
      <c r="U64" s="1" t="s">
        <v>243</v>
      </c>
      <c r="V64" s="1" t="s">
        <v>244</v>
      </c>
      <c r="W64" s="1" t="s">
        <v>331</v>
      </c>
      <c r="X64" s="1" t="s">
        <v>331</v>
      </c>
      <c r="Y64" s="1"/>
      <c r="Z64" s="1"/>
      <c r="AA64" s="1" t="s">
        <v>246</v>
      </c>
    </row>
    <row r="65" spans="1:27" ht="17.45" customHeight="1">
      <c r="A65" s="3" t="s">
        <v>332</v>
      </c>
      <c r="B65" s="3" t="s">
        <v>181</v>
      </c>
      <c r="C65">
        <v>1</v>
      </c>
      <c r="D65" s="3" t="s">
        <v>228</v>
      </c>
      <c r="E65" s="3" t="s">
        <v>333</v>
      </c>
      <c r="F65" s="3" t="s">
        <v>334</v>
      </c>
      <c r="G65" s="3" t="s">
        <v>32</v>
      </c>
      <c r="H65" s="3" t="s">
        <v>124</v>
      </c>
      <c r="I65" s="3" t="s">
        <v>124</v>
      </c>
      <c r="J65" s="3" t="s">
        <v>35</v>
      </c>
      <c r="K65" s="3" t="s">
        <v>36</v>
      </c>
      <c r="L65" s="3" t="s">
        <v>51</v>
      </c>
      <c r="M65" s="3" t="s">
        <v>335</v>
      </c>
      <c r="N65" s="3" t="s">
        <v>39</v>
      </c>
      <c r="O65" s="3" t="s">
        <v>124</v>
      </c>
      <c r="P65" s="3" t="s">
        <v>40</v>
      </c>
      <c r="Q65" s="3" t="s">
        <v>39</v>
      </c>
      <c r="R65" s="5">
        <v>46141.468182870369</v>
      </c>
      <c r="S65" s="5">
        <v>46141.468182870369</v>
      </c>
      <c r="T65" s="3" t="s">
        <v>41</v>
      </c>
      <c r="U65" s="1" t="s">
        <v>42</v>
      </c>
      <c r="V65" s="1" t="s">
        <v>74</v>
      </c>
      <c r="W65" s="1" t="s">
        <v>336</v>
      </c>
      <c r="X65" s="1" t="s">
        <v>334</v>
      </c>
      <c r="Y65" s="1"/>
      <c r="Z65" s="1"/>
      <c r="AA65" s="1" t="s">
        <v>46</v>
      </c>
    </row>
    <row r="66" spans="1:27" ht="17.45" customHeight="1">
      <c r="A66" s="2" t="s">
        <v>337</v>
      </c>
      <c r="B66" s="2" t="s">
        <v>48</v>
      </c>
      <c r="C66">
        <v>1</v>
      </c>
      <c r="D66" s="2" t="s">
        <v>121</v>
      </c>
      <c r="E66" s="2" t="s">
        <v>338</v>
      </c>
      <c r="F66" s="2" t="s">
        <v>339</v>
      </c>
      <c r="G66" s="2" t="s">
        <v>32</v>
      </c>
      <c r="H66" s="2" t="s">
        <v>124</v>
      </c>
      <c r="I66" s="2" t="s">
        <v>147</v>
      </c>
      <c r="J66" s="2" t="s">
        <v>35</v>
      </c>
      <c r="K66" s="2" t="s">
        <v>36</v>
      </c>
      <c r="L66" s="2" t="s">
        <v>51</v>
      </c>
      <c r="M66" s="2" t="s">
        <v>82</v>
      </c>
      <c r="N66" s="2" t="s">
        <v>39</v>
      </c>
      <c r="O66" s="2" t="s">
        <v>124</v>
      </c>
      <c r="P66" s="2" t="s">
        <v>53</v>
      </c>
      <c r="Q66" s="2" t="s">
        <v>39</v>
      </c>
      <c r="R66" s="4">
        <v>46141.471041666664</v>
      </c>
      <c r="S66" s="4">
        <v>46141.471041666664</v>
      </c>
      <c r="T66" s="2" t="s">
        <v>41</v>
      </c>
      <c r="U66" s="1" t="s">
        <v>243</v>
      </c>
      <c r="V66" s="1" t="s">
        <v>340</v>
      </c>
      <c r="W66" s="1" t="s">
        <v>341</v>
      </c>
      <c r="X66" s="1" t="s">
        <v>341</v>
      </c>
      <c r="Y66" s="1"/>
      <c r="Z66" s="1"/>
      <c r="AA66" s="1" t="s">
        <v>246</v>
      </c>
    </row>
    <row r="67" spans="1:27" ht="17.45" customHeight="1">
      <c r="A67" s="3" t="s">
        <v>342</v>
      </c>
      <c r="B67" s="3" t="s">
        <v>48</v>
      </c>
      <c r="C67">
        <v>1</v>
      </c>
      <c r="D67" s="3" t="s">
        <v>121</v>
      </c>
      <c r="E67" s="3" t="s">
        <v>343</v>
      </c>
      <c r="F67" s="3" t="s">
        <v>344</v>
      </c>
      <c r="G67" s="3" t="s">
        <v>32</v>
      </c>
      <c r="H67" s="3" t="s">
        <v>124</v>
      </c>
      <c r="I67" s="3" t="s">
        <v>147</v>
      </c>
      <c r="J67" s="3" t="s">
        <v>35</v>
      </c>
      <c r="K67" s="3" t="s">
        <v>36</v>
      </c>
      <c r="L67" s="3" t="s">
        <v>51</v>
      </c>
      <c r="M67" s="3" t="s">
        <v>38</v>
      </c>
      <c r="N67" s="3" t="s">
        <v>39</v>
      </c>
      <c r="O67" s="3" t="s">
        <v>124</v>
      </c>
      <c r="P67" s="3" t="s">
        <v>53</v>
      </c>
      <c r="Q67" s="3" t="s">
        <v>39</v>
      </c>
      <c r="R67" s="5">
        <v>46141.471388888887</v>
      </c>
      <c r="S67" s="5">
        <v>46141.471388888887</v>
      </c>
      <c r="T67" s="3" t="s">
        <v>41</v>
      </c>
      <c r="U67" s="1" t="s">
        <v>95</v>
      </c>
      <c r="V67" s="1" t="s">
        <v>96</v>
      </c>
      <c r="W67" s="1" t="s">
        <v>344</v>
      </c>
      <c r="X67" s="1" t="s">
        <v>344</v>
      </c>
      <c r="Y67" s="1"/>
      <c r="Z67" s="1"/>
      <c r="AA67" s="1" t="s">
        <v>98</v>
      </c>
    </row>
    <row r="68" spans="1:27" ht="17.45" customHeight="1">
      <c r="A68" s="2" t="s">
        <v>345</v>
      </c>
      <c r="B68" s="2" t="s">
        <v>120</v>
      </c>
      <c r="C68">
        <v>1</v>
      </c>
      <c r="D68" s="2" t="s">
        <v>29</v>
      </c>
      <c r="E68" s="2" t="s">
        <v>346</v>
      </c>
      <c r="F68" s="2" t="s">
        <v>347</v>
      </c>
      <c r="G68" s="2" t="s">
        <v>32</v>
      </c>
      <c r="H68" s="2" t="s">
        <v>33</v>
      </c>
      <c r="I68" s="2" t="s">
        <v>33</v>
      </c>
      <c r="J68" s="2" t="s">
        <v>35</v>
      </c>
      <c r="K68" s="2" t="s">
        <v>36</v>
      </c>
      <c r="L68" s="2" t="s">
        <v>51</v>
      </c>
      <c r="M68" s="2" t="s">
        <v>52</v>
      </c>
      <c r="N68" s="2" t="s">
        <v>39</v>
      </c>
      <c r="O68" s="2" t="s">
        <v>33</v>
      </c>
      <c r="P68" s="2" t="s">
        <v>40</v>
      </c>
      <c r="Q68" s="2" t="s">
        <v>39</v>
      </c>
      <c r="R68" s="4">
        <v>46141.471539351849</v>
      </c>
      <c r="S68" s="4">
        <v>46141.471539351849</v>
      </c>
      <c r="T68" s="2" t="s">
        <v>41</v>
      </c>
      <c r="U68" s="1" t="s">
        <v>42</v>
      </c>
      <c r="V68" s="1" t="s">
        <v>74</v>
      </c>
      <c r="W68" s="1" t="s">
        <v>348</v>
      </c>
      <c r="X68" s="1" t="s">
        <v>349</v>
      </c>
      <c r="Y68" s="1"/>
      <c r="Z68" s="1"/>
      <c r="AA68" s="1" t="s">
        <v>46</v>
      </c>
    </row>
    <row r="69" spans="1:27" ht="17.45" customHeight="1">
      <c r="A69" s="3" t="s">
        <v>350</v>
      </c>
      <c r="B69" s="3" t="s">
        <v>181</v>
      </c>
      <c r="C69">
        <v>1</v>
      </c>
      <c r="D69" s="3" t="s">
        <v>121</v>
      </c>
      <c r="E69" s="3" t="s">
        <v>351</v>
      </c>
      <c r="F69" s="3" t="s">
        <v>352</v>
      </c>
      <c r="G69" s="3" t="s">
        <v>32</v>
      </c>
      <c r="H69" s="3" t="s">
        <v>124</v>
      </c>
      <c r="I69" s="3" t="s">
        <v>157</v>
      </c>
      <c r="J69" s="3" t="s">
        <v>35</v>
      </c>
      <c r="K69" s="3" t="s">
        <v>36</v>
      </c>
      <c r="L69" s="3" t="s">
        <v>51</v>
      </c>
      <c r="M69" s="3" t="s">
        <v>64</v>
      </c>
      <c r="N69" s="3" t="s">
        <v>39</v>
      </c>
      <c r="O69" s="3" t="s">
        <v>124</v>
      </c>
      <c r="P69" s="3" t="s">
        <v>53</v>
      </c>
      <c r="Q69" s="3" t="s">
        <v>39</v>
      </c>
      <c r="R69" s="5">
        <v>46141.476064814815</v>
      </c>
      <c r="S69" s="5">
        <v>46141.549016203702</v>
      </c>
      <c r="T69" s="3" t="s">
        <v>41</v>
      </c>
      <c r="U69" s="1" t="s">
        <v>95</v>
      </c>
      <c r="V69" s="1" t="s">
        <v>96</v>
      </c>
      <c r="W69" s="1" t="s">
        <v>353</v>
      </c>
      <c r="X69" s="1" t="s">
        <v>353</v>
      </c>
      <c r="Y69" s="1"/>
      <c r="Z69" s="1"/>
      <c r="AA69" s="1" t="s">
        <v>98</v>
      </c>
    </row>
    <row r="70" spans="1:27" ht="17.45" customHeight="1">
      <c r="A70" s="2" t="s">
        <v>222</v>
      </c>
      <c r="B70" s="2" t="s">
        <v>28</v>
      </c>
      <c r="C70">
        <v>1</v>
      </c>
      <c r="D70" s="2" t="s">
        <v>121</v>
      </c>
      <c r="E70" s="2" t="s">
        <v>354</v>
      </c>
      <c r="F70" s="2" t="s">
        <v>355</v>
      </c>
      <c r="G70" s="2" t="s">
        <v>32</v>
      </c>
      <c r="H70" s="2" t="s">
        <v>124</v>
      </c>
      <c r="I70" s="2" t="s">
        <v>192</v>
      </c>
      <c r="J70" s="2" t="s">
        <v>35</v>
      </c>
      <c r="K70" s="2" t="s">
        <v>36</v>
      </c>
      <c r="L70" s="2" t="s">
        <v>37</v>
      </c>
      <c r="M70" s="2" t="s">
        <v>82</v>
      </c>
      <c r="N70" s="2" t="s">
        <v>39</v>
      </c>
      <c r="O70" s="2" t="s">
        <v>124</v>
      </c>
      <c r="P70" s="2" t="s">
        <v>53</v>
      </c>
      <c r="Q70" s="2" t="s">
        <v>39</v>
      </c>
      <c r="R70" s="4">
        <v>46141.610127314816</v>
      </c>
      <c r="S70" s="4">
        <v>46141.610127314816</v>
      </c>
      <c r="T70" s="2" t="s">
        <v>41</v>
      </c>
      <c r="U70" s="1" t="s">
        <v>243</v>
      </c>
      <c r="V70" s="1" t="s">
        <v>340</v>
      </c>
      <c r="W70" s="1" t="s">
        <v>356</v>
      </c>
      <c r="X70" s="1" t="s">
        <v>356</v>
      </c>
      <c r="Y70" s="1"/>
      <c r="Z70" s="1"/>
      <c r="AA70" s="1" t="s">
        <v>246</v>
      </c>
    </row>
    <row r="71" spans="1:27" ht="17.45" customHeight="1">
      <c r="A71" s="3" t="s">
        <v>357</v>
      </c>
      <c r="B71" s="3" t="s">
        <v>120</v>
      </c>
      <c r="C71">
        <v>1</v>
      </c>
      <c r="D71" s="3" t="s">
        <v>228</v>
      </c>
      <c r="E71" s="3" t="s">
        <v>358</v>
      </c>
      <c r="F71" s="3" t="s">
        <v>359</v>
      </c>
      <c r="G71" s="3" t="s">
        <v>32</v>
      </c>
      <c r="H71" s="3" t="s">
        <v>124</v>
      </c>
      <c r="I71" s="3" t="s">
        <v>124</v>
      </c>
      <c r="J71" s="3" t="s">
        <v>35</v>
      </c>
      <c r="K71" s="3" t="s">
        <v>36</v>
      </c>
      <c r="L71" s="3" t="s">
        <v>37</v>
      </c>
      <c r="M71" s="3" t="s">
        <v>52</v>
      </c>
      <c r="N71" s="3" t="s">
        <v>39</v>
      </c>
      <c r="O71" s="3" t="s">
        <v>124</v>
      </c>
      <c r="P71" s="3" t="s">
        <v>58</v>
      </c>
      <c r="Q71" s="3" t="s">
        <v>39</v>
      </c>
      <c r="R71" s="5">
        <v>46141.615729166668</v>
      </c>
      <c r="S71" s="5">
        <v>46141.615729166668</v>
      </c>
      <c r="T71" s="3" t="s">
        <v>41</v>
      </c>
      <c r="U71" s="1" t="s">
        <v>42</v>
      </c>
      <c r="V71" s="1" t="s">
        <v>74</v>
      </c>
      <c r="W71" s="1" t="s">
        <v>360</v>
      </c>
      <c r="X71" s="1" t="s">
        <v>359</v>
      </c>
      <c r="Y71" s="1"/>
      <c r="Z71" s="1"/>
      <c r="AA71" s="1" t="s">
        <v>46</v>
      </c>
    </row>
    <row r="72" spans="1:27" ht="17.45" customHeight="1">
      <c r="A72" s="2" t="s">
        <v>361</v>
      </c>
      <c r="B72" s="2" t="s">
        <v>120</v>
      </c>
      <c r="C72">
        <v>1</v>
      </c>
      <c r="D72" s="2" t="s">
        <v>121</v>
      </c>
      <c r="E72" s="2" t="s">
        <v>362</v>
      </c>
      <c r="F72" s="2" t="s">
        <v>363</v>
      </c>
      <c r="G72" s="2" t="s">
        <v>32</v>
      </c>
      <c r="H72" s="2" t="s">
        <v>124</v>
      </c>
      <c r="I72" s="2" t="s">
        <v>157</v>
      </c>
      <c r="J72" s="2" t="s">
        <v>35</v>
      </c>
      <c r="K72" s="2" t="s">
        <v>36</v>
      </c>
      <c r="L72" s="2" t="s">
        <v>51</v>
      </c>
      <c r="M72" s="2" t="s">
        <v>64</v>
      </c>
      <c r="N72" s="2" t="s">
        <v>39</v>
      </c>
      <c r="O72" s="2" t="s">
        <v>125</v>
      </c>
      <c r="P72" s="2" t="s">
        <v>53</v>
      </c>
      <c r="Q72" s="2" t="s">
        <v>39</v>
      </c>
      <c r="R72" s="4">
        <v>46134.550069444442</v>
      </c>
      <c r="S72" s="4">
        <v>46134.550069444442</v>
      </c>
      <c r="T72" s="2" t="s">
        <v>41</v>
      </c>
      <c r="U72" s="1" t="s">
        <v>165</v>
      </c>
      <c r="V72" s="1" t="s">
        <v>364</v>
      </c>
      <c r="W72" s="1" t="s">
        <v>363</v>
      </c>
      <c r="X72" s="1" t="s">
        <v>363</v>
      </c>
      <c r="Y72" s="1"/>
      <c r="Z72" s="1"/>
      <c r="AA72" s="1" t="s">
        <v>169</v>
      </c>
    </row>
    <row r="73" spans="1:27" ht="17.45" customHeight="1">
      <c r="A73" s="3" t="s">
        <v>86</v>
      </c>
      <c r="B73" s="3" t="s">
        <v>28</v>
      </c>
      <c r="C73">
        <v>1</v>
      </c>
      <c r="D73" s="3" t="s">
        <v>29</v>
      </c>
      <c r="E73" s="3" t="s">
        <v>365</v>
      </c>
      <c r="F73" s="3" t="s">
        <v>366</v>
      </c>
      <c r="G73" s="3" t="s">
        <v>32</v>
      </c>
      <c r="H73" s="3" t="s">
        <v>33</v>
      </c>
      <c r="I73" s="3" t="s">
        <v>34</v>
      </c>
      <c r="J73" s="3" t="s">
        <v>35</v>
      </c>
      <c r="K73" s="3" t="s">
        <v>36</v>
      </c>
      <c r="L73" s="3" t="s">
        <v>37</v>
      </c>
      <c r="M73" s="3" t="s">
        <v>38</v>
      </c>
      <c r="N73" s="3" t="s">
        <v>39</v>
      </c>
      <c r="O73" s="3" t="s">
        <v>33</v>
      </c>
      <c r="P73" s="3" t="s">
        <v>53</v>
      </c>
      <c r="Q73" s="3" t="s">
        <v>39</v>
      </c>
      <c r="R73" s="5">
        <v>46139.608865740738</v>
      </c>
      <c r="S73" s="5">
        <v>46139.608865740738</v>
      </c>
      <c r="T73" s="3" t="s">
        <v>41</v>
      </c>
      <c r="U73" s="1" t="s">
        <v>95</v>
      </c>
      <c r="V73" s="1" t="s">
        <v>96</v>
      </c>
      <c r="W73" s="1" t="s">
        <v>366</v>
      </c>
      <c r="X73" s="1" t="s">
        <v>366</v>
      </c>
      <c r="Y73" s="1"/>
      <c r="Z73" s="1"/>
      <c r="AA73" s="1" t="s">
        <v>98</v>
      </c>
    </row>
    <row r="74" spans="1:27" ht="17.45" customHeight="1">
      <c r="A74" s="2" t="s">
        <v>367</v>
      </c>
      <c r="B74" s="2" t="s">
        <v>48</v>
      </c>
      <c r="C74">
        <v>1</v>
      </c>
      <c r="D74" s="2" t="s">
        <v>29</v>
      </c>
      <c r="E74" s="2" t="s">
        <v>368</v>
      </c>
      <c r="F74" s="2" t="s">
        <v>369</v>
      </c>
      <c r="G74" s="2" t="s">
        <v>32</v>
      </c>
      <c r="H74" s="2" t="s">
        <v>33</v>
      </c>
      <c r="I74" s="2" t="s">
        <v>33</v>
      </c>
      <c r="J74" s="2" t="s">
        <v>35</v>
      </c>
      <c r="K74" s="2" t="s">
        <v>36</v>
      </c>
      <c r="L74" s="2" t="s">
        <v>51</v>
      </c>
      <c r="M74" s="2" t="s">
        <v>52</v>
      </c>
      <c r="N74" s="2" t="s">
        <v>39</v>
      </c>
      <c r="O74" s="2" t="s">
        <v>33</v>
      </c>
      <c r="P74" s="2" t="s">
        <v>40</v>
      </c>
      <c r="Q74" s="2" t="s">
        <v>39</v>
      </c>
      <c r="R74" s="4">
        <v>46139.737118055556</v>
      </c>
      <c r="S74" s="4">
        <v>46139.737118055556</v>
      </c>
      <c r="T74" s="2" t="s">
        <v>41</v>
      </c>
      <c r="U74" s="1" t="s">
        <v>42</v>
      </c>
      <c r="V74" s="1" t="s">
        <v>54</v>
      </c>
      <c r="W74" s="1" t="s">
        <v>369</v>
      </c>
      <c r="X74" s="1" t="s">
        <v>369</v>
      </c>
      <c r="Y74" s="1"/>
      <c r="Z74" s="1"/>
      <c r="AA74" s="1" t="s">
        <v>46</v>
      </c>
    </row>
    <row r="75" spans="1:27" ht="17.45" customHeight="1">
      <c r="A75" s="3" t="s">
        <v>370</v>
      </c>
      <c r="B75" s="3" t="s">
        <v>48</v>
      </c>
      <c r="C75">
        <v>1</v>
      </c>
      <c r="D75" s="3" t="s">
        <v>29</v>
      </c>
      <c r="E75" s="3" t="s">
        <v>371</v>
      </c>
      <c r="F75" s="3" t="s">
        <v>372</v>
      </c>
      <c r="G75" s="3" t="s">
        <v>32</v>
      </c>
      <c r="H75" s="3" t="s">
        <v>33</v>
      </c>
      <c r="I75" s="3" t="s">
        <v>33</v>
      </c>
      <c r="J75" s="3" t="s">
        <v>35</v>
      </c>
      <c r="K75" s="3" t="s">
        <v>36</v>
      </c>
      <c r="L75" s="3" t="s">
        <v>51</v>
      </c>
      <c r="M75" s="3" t="s">
        <v>52</v>
      </c>
      <c r="N75" s="3" t="s">
        <v>39</v>
      </c>
      <c r="O75" s="3" t="s">
        <v>33</v>
      </c>
      <c r="P75" s="3" t="s">
        <v>53</v>
      </c>
      <c r="Q75" s="3" t="s">
        <v>39</v>
      </c>
      <c r="R75" s="5">
        <v>46139.740729166668</v>
      </c>
      <c r="S75" s="5">
        <v>46139.740729166668</v>
      </c>
      <c r="T75" s="3" t="s">
        <v>41</v>
      </c>
      <c r="U75" s="1" t="s">
        <v>83</v>
      </c>
      <c r="V75" s="1" t="s">
        <v>84</v>
      </c>
      <c r="W75" s="1" t="s">
        <v>372</v>
      </c>
      <c r="X75" s="1" t="s">
        <v>372</v>
      </c>
      <c r="Y75" s="1"/>
      <c r="Z75" s="1"/>
      <c r="AA75" s="1" t="s">
        <v>85</v>
      </c>
    </row>
    <row r="76" spans="1:27" ht="17.45" customHeight="1">
      <c r="A76" s="2" t="s">
        <v>144</v>
      </c>
      <c r="B76" s="2" t="s">
        <v>120</v>
      </c>
      <c r="C76">
        <v>1</v>
      </c>
      <c r="D76" s="2" t="s">
        <v>121</v>
      </c>
      <c r="E76" s="2" t="s">
        <v>373</v>
      </c>
      <c r="F76" s="2" t="s">
        <v>374</v>
      </c>
      <c r="G76" s="2" t="s">
        <v>32</v>
      </c>
      <c r="H76" s="2" t="s">
        <v>124</v>
      </c>
      <c r="I76" s="2" t="s">
        <v>147</v>
      </c>
      <c r="J76" s="2" t="s">
        <v>35</v>
      </c>
      <c r="K76" s="2" t="s">
        <v>36</v>
      </c>
      <c r="L76" s="2" t="s">
        <v>51</v>
      </c>
      <c r="M76" s="2" t="s">
        <v>52</v>
      </c>
      <c r="N76" s="2" t="s">
        <v>39</v>
      </c>
      <c r="O76" s="2" t="s">
        <v>125</v>
      </c>
      <c r="P76" s="2" t="s">
        <v>53</v>
      </c>
      <c r="Q76" s="2" t="s">
        <v>39</v>
      </c>
      <c r="R76" s="4">
        <v>46140.467615740738</v>
      </c>
      <c r="S76" s="4">
        <v>46140.467615740738</v>
      </c>
      <c r="T76" s="2" t="s">
        <v>41</v>
      </c>
      <c r="U76" s="1" t="s">
        <v>95</v>
      </c>
      <c r="V76" s="1" t="s">
        <v>96</v>
      </c>
      <c r="W76" s="1" t="s">
        <v>374</v>
      </c>
      <c r="X76" s="1" t="s">
        <v>374</v>
      </c>
      <c r="Y76" s="1"/>
      <c r="Z76" s="1"/>
      <c r="AA76" s="1" t="s">
        <v>98</v>
      </c>
    </row>
    <row r="77" spans="1:27" ht="17.45" customHeight="1">
      <c r="A77" s="3" t="s">
        <v>75</v>
      </c>
      <c r="B77" s="3" t="s">
        <v>28</v>
      </c>
      <c r="C77">
        <v>1</v>
      </c>
      <c r="D77" s="3" t="s">
        <v>29</v>
      </c>
      <c r="E77" s="3" t="s">
        <v>375</v>
      </c>
      <c r="F77" s="3" t="s">
        <v>376</v>
      </c>
      <c r="G77" s="3" t="s">
        <v>32</v>
      </c>
      <c r="H77" s="3" t="s">
        <v>33</v>
      </c>
      <c r="I77" s="3" t="s">
        <v>78</v>
      </c>
      <c r="J77" s="3" t="s">
        <v>35</v>
      </c>
      <c r="K77" s="3" t="s">
        <v>36</v>
      </c>
      <c r="L77" s="3" t="s">
        <v>37</v>
      </c>
      <c r="M77" s="3" t="s">
        <v>52</v>
      </c>
      <c r="N77" s="3" t="s">
        <v>39</v>
      </c>
      <c r="O77" s="3" t="s">
        <v>33</v>
      </c>
      <c r="P77" s="3" t="s">
        <v>40</v>
      </c>
      <c r="Q77" s="3" t="s">
        <v>39</v>
      </c>
      <c r="R77" s="5">
        <v>46140.471516203703</v>
      </c>
      <c r="S77" s="5">
        <v>46140.471516203703</v>
      </c>
      <c r="T77" s="3" t="s">
        <v>41</v>
      </c>
      <c r="U77" s="1" t="s">
        <v>95</v>
      </c>
      <c r="V77" s="1" t="s">
        <v>96</v>
      </c>
      <c r="W77" s="1" t="s">
        <v>377</v>
      </c>
      <c r="X77" s="1" t="s">
        <v>376</v>
      </c>
      <c r="Y77" s="1"/>
      <c r="Z77" s="1"/>
      <c r="AA77" s="1" t="s">
        <v>98</v>
      </c>
    </row>
    <row r="78" spans="1:27" ht="17.45" customHeight="1">
      <c r="A78" s="2" t="s">
        <v>378</v>
      </c>
      <c r="B78" s="2" t="s">
        <v>181</v>
      </c>
      <c r="C78">
        <v>1</v>
      </c>
      <c r="D78" s="2" t="s">
        <v>29</v>
      </c>
      <c r="E78" s="2" t="s">
        <v>379</v>
      </c>
      <c r="F78" s="2" t="s">
        <v>380</v>
      </c>
      <c r="G78" s="2" t="s">
        <v>32</v>
      </c>
      <c r="H78" s="2" t="s">
        <v>33</v>
      </c>
      <c r="I78" s="2" t="s">
        <v>78</v>
      </c>
      <c r="J78" s="2" t="s">
        <v>35</v>
      </c>
      <c r="K78" s="2" t="s">
        <v>36</v>
      </c>
      <c r="L78" s="2" t="s">
        <v>51</v>
      </c>
      <c r="M78" s="2" t="s">
        <v>115</v>
      </c>
      <c r="N78" s="2" t="s">
        <v>39</v>
      </c>
      <c r="O78" s="2" t="s">
        <v>33</v>
      </c>
      <c r="P78" s="2" t="s">
        <v>53</v>
      </c>
      <c r="Q78" s="2" t="s">
        <v>39</v>
      </c>
      <c r="R78" s="4">
        <v>46140.472094907411</v>
      </c>
      <c r="S78" s="4">
        <v>46140.472094907411</v>
      </c>
      <c r="T78" s="2" t="s">
        <v>41</v>
      </c>
      <c r="U78" s="1" t="s">
        <v>59</v>
      </c>
      <c r="V78" s="1" t="s">
        <v>60</v>
      </c>
      <c r="W78" s="1" t="s">
        <v>381</v>
      </c>
      <c r="X78" s="1" t="s">
        <v>381</v>
      </c>
      <c r="Y78" s="1"/>
      <c r="Z78" s="1"/>
      <c r="AA78" s="1" t="s">
        <v>61</v>
      </c>
    </row>
    <row r="79" spans="1:27" ht="17.45" customHeight="1">
      <c r="A79" s="3" t="s">
        <v>382</v>
      </c>
      <c r="B79" s="3" t="s">
        <v>120</v>
      </c>
      <c r="C79">
        <v>1</v>
      </c>
      <c r="D79" s="3" t="s">
        <v>121</v>
      </c>
      <c r="E79" s="3" t="s">
        <v>383</v>
      </c>
      <c r="F79" s="3" t="s">
        <v>384</v>
      </c>
      <c r="G79" s="3" t="s">
        <v>32</v>
      </c>
      <c r="H79" s="3" t="s">
        <v>124</v>
      </c>
      <c r="I79" s="3" t="s">
        <v>157</v>
      </c>
      <c r="J79" s="3" t="s">
        <v>35</v>
      </c>
      <c r="K79" s="3" t="s">
        <v>36</v>
      </c>
      <c r="L79" s="3" t="s">
        <v>51</v>
      </c>
      <c r="M79" s="3" t="s">
        <v>64</v>
      </c>
      <c r="N79" s="3" t="s">
        <v>39</v>
      </c>
      <c r="O79" s="3" t="s">
        <v>125</v>
      </c>
      <c r="P79" s="3" t="s">
        <v>53</v>
      </c>
      <c r="Q79" s="3" t="s">
        <v>39</v>
      </c>
      <c r="R79" s="5">
        <v>46140.472974537035</v>
      </c>
      <c r="S79" s="5">
        <v>46140.552256944444</v>
      </c>
      <c r="T79" s="3" t="s">
        <v>41</v>
      </c>
      <c r="U79" s="1" t="s">
        <v>243</v>
      </c>
      <c r="V79" s="1" t="s">
        <v>340</v>
      </c>
      <c r="W79" s="1" t="s">
        <v>385</v>
      </c>
      <c r="X79" s="1" t="s">
        <v>386</v>
      </c>
      <c r="Y79" s="1"/>
      <c r="Z79" s="1"/>
      <c r="AA79" s="1" t="s">
        <v>246</v>
      </c>
    </row>
    <row r="80" spans="1:27" ht="17.45" customHeight="1">
      <c r="A80" s="2" t="s">
        <v>378</v>
      </c>
      <c r="B80" s="2" t="s">
        <v>181</v>
      </c>
      <c r="C80">
        <v>1</v>
      </c>
      <c r="D80" s="2" t="s">
        <v>29</v>
      </c>
      <c r="E80" s="2" t="s">
        <v>387</v>
      </c>
      <c r="F80" s="2" t="s">
        <v>388</v>
      </c>
      <c r="G80" s="2" t="s">
        <v>32</v>
      </c>
      <c r="H80" s="2" t="s">
        <v>33</v>
      </c>
      <c r="I80" s="2" t="s">
        <v>78</v>
      </c>
      <c r="J80" s="2" t="s">
        <v>35</v>
      </c>
      <c r="K80" s="2" t="s">
        <v>36</v>
      </c>
      <c r="L80" s="2" t="s">
        <v>51</v>
      </c>
      <c r="M80" s="2" t="s">
        <v>115</v>
      </c>
      <c r="N80" s="2" t="s">
        <v>39</v>
      </c>
      <c r="O80" s="2" t="s">
        <v>33</v>
      </c>
      <c r="P80" s="2" t="s">
        <v>53</v>
      </c>
      <c r="Q80" s="2" t="s">
        <v>39</v>
      </c>
      <c r="R80" s="4">
        <v>46140.473333333335</v>
      </c>
      <c r="S80" s="4">
        <v>46140.473333333335</v>
      </c>
      <c r="T80" s="2" t="s">
        <v>41</v>
      </c>
      <c r="U80" s="1" t="s">
        <v>59</v>
      </c>
      <c r="V80" s="1" t="s">
        <v>60</v>
      </c>
      <c r="W80" s="1" t="s">
        <v>388</v>
      </c>
      <c r="X80" s="1" t="s">
        <v>388</v>
      </c>
      <c r="Y80" s="1"/>
      <c r="Z80" s="1"/>
      <c r="AA80" s="1" t="s">
        <v>61</v>
      </c>
    </row>
    <row r="81" spans="1:27" ht="17.45" customHeight="1">
      <c r="A81" s="3" t="s">
        <v>389</v>
      </c>
      <c r="B81" s="3" t="s">
        <v>120</v>
      </c>
      <c r="C81">
        <v>1</v>
      </c>
      <c r="D81" s="3" t="s">
        <v>121</v>
      </c>
      <c r="E81" s="3" t="s">
        <v>390</v>
      </c>
      <c r="F81" s="3" t="s">
        <v>391</v>
      </c>
      <c r="G81" s="3" t="s">
        <v>32</v>
      </c>
      <c r="H81" s="3" t="s">
        <v>124</v>
      </c>
      <c r="I81" s="3" t="s">
        <v>157</v>
      </c>
      <c r="J81" s="3" t="s">
        <v>35</v>
      </c>
      <c r="K81" s="3" t="s">
        <v>36</v>
      </c>
      <c r="L81" s="3" t="s">
        <v>37</v>
      </c>
      <c r="M81" s="3" t="s">
        <v>38</v>
      </c>
      <c r="N81" s="3" t="s">
        <v>39</v>
      </c>
      <c r="O81" s="3" t="s">
        <v>125</v>
      </c>
      <c r="P81" s="3" t="s">
        <v>40</v>
      </c>
      <c r="Q81" s="3" t="s">
        <v>39</v>
      </c>
      <c r="R81" s="5">
        <v>46134.56013888889</v>
      </c>
      <c r="S81" s="5">
        <v>46134.56013888889</v>
      </c>
      <c r="T81" s="3" t="s">
        <v>41</v>
      </c>
      <c r="U81" s="1" t="s">
        <v>65</v>
      </c>
      <c r="V81" s="1" t="s">
        <v>70</v>
      </c>
      <c r="W81" s="1" t="s">
        <v>391</v>
      </c>
      <c r="X81" s="1" t="s">
        <v>391</v>
      </c>
      <c r="Y81" s="1"/>
      <c r="Z81" s="1"/>
      <c r="AA81" s="1" t="s">
        <v>67</v>
      </c>
    </row>
    <row r="82" spans="1:27" ht="17.45" customHeight="1">
      <c r="A82" s="2" t="s">
        <v>392</v>
      </c>
      <c r="B82" s="2" t="s">
        <v>120</v>
      </c>
      <c r="C82">
        <v>1</v>
      </c>
      <c r="D82" s="2" t="s">
        <v>29</v>
      </c>
      <c r="E82" s="2" t="s">
        <v>393</v>
      </c>
      <c r="F82" s="2" t="s">
        <v>394</v>
      </c>
      <c r="G82" s="2" t="s">
        <v>32</v>
      </c>
      <c r="H82" s="2" t="s">
        <v>33</v>
      </c>
      <c r="I82" s="2" t="s">
        <v>33</v>
      </c>
      <c r="J82" s="2" t="s">
        <v>35</v>
      </c>
      <c r="K82" s="2" t="s">
        <v>36</v>
      </c>
      <c r="L82" s="2" t="s">
        <v>37</v>
      </c>
      <c r="M82" s="2" t="s">
        <v>52</v>
      </c>
      <c r="N82" s="2" t="s">
        <v>39</v>
      </c>
      <c r="O82" s="2" t="s">
        <v>33</v>
      </c>
      <c r="P82" s="2" t="s">
        <v>40</v>
      </c>
      <c r="Q82" s="2" t="s">
        <v>39</v>
      </c>
      <c r="R82" s="4">
        <v>46134.627743055556</v>
      </c>
      <c r="S82" s="4">
        <v>46134.642824074072</v>
      </c>
      <c r="T82" s="2" t="s">
        <v>41</v>
      </c>
      <c r="U82" s="1" t="s">
        <v>95</v>
      </c>
      <c r="V82" s="1" t="s">
        <v>96</v>
      </c>
      <c r="W82" s="1" t="s">
        <v>394</v>
      </c>
      <c r="X82" s="1" t="s">
        <v>394</v>
      </c>
      <c r="Y82" s="1"/>
      <c r="Z82" s="1"/>
      <c r="AA82" s="1" t="s">
        <v>98</v>
      </c>
    </row>
    <row r="83" spans="1:27" ht="17.45" customHeight="1">
      <c r="A83" s="3" t="s">
        <v>395</v>
      </c>
      <c r="B83" s="3" t="s">
        <v>120</v>
      </c>
      <c r="C83">
        <v>1</v>
      </c>
      <c r="D83" s="3" t="s">
        <v>29</v>
      </c>
      <c r="E83" s="3" t="s">
        <v>396</v>
      </c>
      <c r="F83" s="3" t="s">
        <v>397</v>
      </c>
      <c r="G83" s="3" t="s">
        <v>32</v>
      </c>
      <c r="H83" s="3" t="s">
        <v>33</v>
      </c>
      <c r="I83" s="3" t="s">
        <v>34</v>
      </c>
      <c r="J83" s="3" t="s">
        <v>35</v>
      </c>
      <c r="K83" s="3" t="s">
        <v>36</v>
      </c>
      <c r="L83" s="3" t="s">
        <v>51</v>
      </c>
      <c r="M83" s="3" t="s">
        <v>64</v>
      </c>
      <c r="N83" s="3" t="s">
        <v>39</v>
      </c>
      <c r="O83" s="3" t="s">
        <v>33</v>
      </c>
      <c r="P83" s="3" t="s">
        <v>53</v>
      </c>
      <c r="Q83" s="3" t="s">
        <v>39</v>
      </c>
      <c r="R83" s="5">
        <v>46134.628888888888</v>
      </c>
      <c r="S83" s="5">
        <v>46134.628900462965</v>
      </c>
      <c r="T83" s="3" t="s">
        <v>41</v>
      </c>
      <c r="U83" s="1" t="s">
        <v>95</v>
      </c>
      <c r="V83" s="1" t="s">
        <v>96</v>
      </c>
      <c r="W83" s="1" t="s">
        <v>398</v>
      </c>
      <c r="X83" s="1" t="s">
        <v>397</v>
      </c>
      <c r="Y83" s="1"/>
      <c r="Z83" s="1"/>
      <c r="AA83" s="1" t="s">
        <v>98</v>
      </c>
    </row>
    <row r="84" spans="1:27" ht="17.45" customHeight="1">
      <c r="A84" s="2" t="s">
        <v>399</v>
      </c>
      <c r="B84" s="2" t="s">
        <v>120</v>
      </c>
      <c r="C84">
        <v>1</v>
      </c>
      <c r="D84" s="2" t="s">
        <v>29</v>
      </c>
      <c r="E84" s="2" t="s">
        <v>400</v>
      </c>
      <c r="F84" s="2" t="s">
        <v>401</v>
      </c>
      <c r="G84" s="2" t="s">
        <v>32</v>
      </c>
      <c r="H84" s="2" t="s">
        <v>33</v>
      </c>
      <c r="I84" s="2" t="s">
        <v>33</v>
      </c>
      <c r="J84" s="2" t="s">
        <v>35</v>
      </c>
      <c r="K84" s="2" t="s">
        <v>36</v>
      </c>
      <c r="L84" s="2" t="s">
        <v>37</v>
      </c>
      <c r="M84" s="2" t="s">
        <v>52</v>
      </c>
      <c r="N84" s="2" t="s">
        <v>39</v>
      </c>
      <c r="O84" s="2" t="s">
        <v>33</v>
      </c>
      <c r="P84" s="2" t="s">
        <v>40</v>
      </c>
      <c r="Q84" s="2" t="s">
        <v>39</v>
      </c>
      <c r="R84" s="4">
        <v>46134.635162037041</v>
      </c>
      <c r="S84" s="4">
        <v>46134.647974537038</v>
      </c>
      <c r="T84" s="2" t="s">
        <v>41</v>
      </c>
      <c r="U84" s="1" t="s">
        <v>95</v>
      </c>
      <c r="V84" s="1" t="s">
        <v>96</v>
      </c>
      <c r="W84" s="1" t="s">
        <v>401</v>
      </c>
      <c r="X84" s="1" t="s">
        <v>401</v>
      </c>
      <c r="Y84" s="1"/>
      <c r="Z84" s="1"/>
      <c r="AA84" s="1" t="s">
        <v>98</v>
      </c>
    </row>
    <row r="85" spans="1:27" ht="17.45" customHeight="1">
      <c r="A85" s="3" t="s">
        <v>402</v>
      </c>
      <c r="B85" s="3" t="s">
        <v>120</v>
      </c>
      <c r="C85">
        <v>1</v>
      </c>
      <c r="D85" s="3" t="s">
        <v>121</v>
      </c>
      <c r="E85" s="3" t="s">
        <v>403</v>
      </c>
      <c r="F85" s="3" t="s">
        <v>404</v>
      </c>
      <c r="G85" s="3" t="s">
        <v>32</v>
      </c>
      <c r="H85" s="3" t="s">
        <v>124</v>
      </c>
      <c r="I85" s="3" t="s">
        <v>157</v>
      </c>
      <c r="J85" s="3" t="s">
        <v>35</v>
      </c>
      <c r="K85" s="3" t="s">
        <v>36</v>
      </c>
      <c r="L85" s="3" t="s">
        <v>51</v>
      </c>
      <c r="M85" s="3" t="s">
        <v>64</v>
      </c>
      <c r="N85" s="3" t="s">
        <v>39</v>
      </c>
      <c r="O85" s="3" t="s">
        <v>125</v>
      </c>
      <c r="P85" s="3" t="s">
        <v>53</v>
      </c>
      <c r="Q85" s="3" t="s">
        <v>39</v>
      </c>
      <c r="R85" s="5">
        <v>46140.553391203706</v>
      </c>
      <c r="S85" s="5">
        <v>46140.553391203706</v>
      </c>
      <c r="T85" s="3" t="s">
        <v>41</v>
      </c>
      <c r="U85" s="1" t="s">
        <v>243</v>
      </c>
      <c r="V85" s="1" t="s">
        <v>340</v>
      </c>
      <c r="W85" s="1" t="s">
        <v>405</v>
      </c>
      <c r="X85" s="1" t="s">
        <v>406</v>
      </c>
      <c r="Y85" s="1"/>
      <c r="Z85" s="1"/>
      <c r="AA85" s="1" t="s">
        <v>246</v>
      </c>
    </row>
    <row r="86" spans="1:27" ht="17.45" customHeight="1">
      <c r="A86" s="2" t="s">
        <v>407</v>
      </c>
      <c r="B86" s="2" t="s">
        <v>28</v>
      </c>
      <c r="C86">
        <v>1</v>
      </c>
      <c r="D86" s="2" t="s">
        <v>29</v>
      </c>
      <c r="E86" s="2" t="s">
        <v>408</v>
      </c>
      <c r="F86" s="2" t="s">
        <v>409</v>
      </c>
      <c r="G86" s="2" t="s">
        <v>32</v>
      </c>
      <c r="H86" s="2" t="s">
        <v>33</v>
      </c>
      <c r="I86" s="2" t="s">
        <v>34</v>
      </c>
      <c r="J86" s="2" t="s">
        <v>35</v>
      </c>
      <c r="K86" s="2" t="s">
        <v>36</v>
      </c>
      <c r="L86" s="2" t="s">
        <v>37</v>
      </c>
      <c r="M86" s="2" t="s">
        <v>64</v>
      </c>
      <c r="N86" s="2" t="s">
        <v>39</v>
      </c>
      <c r="O86" s="2" t="s">
        <v>33</v>
      </c>
      <c r="P86" s="2" t="s">
        <v>53</v>
      </c>
      <c r="Q86" s="2" t="s">
        <v>39</v>
      </c>
      <c r="R86" s="4">
        <v>46140.576307870368</v>
      </c>
      <c r="S86" s="4">
        <v>46140.576307870368</v>
      </c>
      <c r="T86" s="2" t="s">
        <v>41</v>
      </c>
      <c r="U86" s="1" t="s">
        <v>283</v>
      </c>
      <c r="V86" s="1" t="s">
        <v>410</v>
      </c>
      <c r="W86" s="1" t="s">
        <v>409</v>
      </c>
      <c r="X86" s="1" t="s">
        <v>409</v>
      </c>
      <c r="Y86" s="1"/>
      <c r="Z86" s="1"/>
      <c r="AA86" s="1" t="s">
        <v>285</v>
      </c>
    </row>
    <row r="87" spans="1:27" ht="17.45" customHeight="1">
      <c r="A87" s="3" t="s">
        <v>411</v>
      </c>
      <c r="B87" s="3" t="s">
        <v>120</v>
      </c>
      <c r="C87">
        <v>1</v>
      </c>
      <c r="D87" s="3" t="s">
        <v>121</v>
      </c>
      <c r="E87" s="3" t="s">
        <v>412</v>
      </c>
      <c r="F87" s="3" t="s">
        <v>413</v>
      </c>
      <c r="G87" s="3" t="s">
        <v>32</v>
      </c>
      <c r="H87" s="3" t="s">
        <v>124</v>
      </c>
      <c r="I87" s="3" t="s">
        <v>192</v>
      </c>
      <c r="J87" s="3" t="s">
        <v>35</v>
      </c>
      <c r="K87" s="3" t="s">
        <v>36</v>
      </c>
      <c r="L87" s="3" t="s">
        <v>51</v>
      </c>
      <c r="M87" s="3" t="s">
        <v>38</v>
      </c>
      <c r="N87" s="3" t="s">
        <v>39</v>
      </c>
      <c r="O87" s="3" t="s">
        <v>125</v>
      </c>
      <c r="P87" s="3" t="s">
        <v>40</v>
      </c>
      <c r="Q87" s="3" t="s">
        <v>39</v>
      </c>
      <c r="R87" s="5">
        <v>46140.580972222226</v>
      </c>
      <c r="S87" s="5">
        <v>46140.580972222226</v>
      </c>
      <c r="T87" s="3" t="s">
        <v>41</v>
      </c>
      <c r="U87" s="1" t="s">
        <v>65</v>
      </c>
      <c r="V87" s="1" t="s">
        <v>70</v>
      </c>
      <c r="W87" s="1" t="s">
        <v>414</v>
      </c>
      <c r="X87" s="1" t="s">
        <v>415</v>
      </c>
      <c r="Y87" s="1"/>
      <c r="Z87" s="1"/>
      <c r="AA87" s="1" t="s">
        <v>67</v>
      </c>
    </row>
    <row r="88" spans="1:27" ht="17.45" customHeight="1">
      <c r="A88" s="2" t="s">
        <v>407</v>
      </c>
      <c r="B88" s="2" t="s">
        <v>28</v>
      </c>
      <c r="C88">
        <v>1</v>
      </c>
      <c r="D88" s="2" t="s">
        <v>29</v>
      </c>
      <c r="E88" s="2" t="s">
        <v>416</v>
      </c>
      <c r="F88" s="2" t="s">
        <v>417</v>
      </c>
      <c r="G88" s="2" t="s">
        <v>32</v>
      </c>
      <c r="H88" s="2" t="s">
        <v>33</v>
      </c>
      <c r="I88" s="2" t="s">
        <v>34</v>
      </c>
      <c r="J88" s="2" t="s">
        <v>35</v>
      </c>
      <c r="K88" s="2" t="s">
        <v>36</v>
      </c>
      <c r="L88" s="2" t="s">
        <v>37</v>
      </c>
      <c r="M88" s="2" t="s">
        <v>64</v>
      </c>
      <c r="N88" s="2" t="s">
        <v>39</v>
      </c>
      <c r="O88" s="2" t="s">
        <v>33</v>
      </c>
      <c r="P88" s="2" t="s">
        <v>53</v>
      </c>
      <c r="Q88" s="2" t="s">
        <v>39</v>
      </c>
      <c r="R88" s="4">
        <v>46140.585914351854</v>
      </c>
      <c r="S88" s="4">
        <v>46140.585914351854</v>
      </c>
      <c r="T88" s="2" t="s">
        <v>41</v>
      </c>
      <c r="U88" s="1" t="s">
        <v>59</v>
      </c>
      <c r="V88" s="1" t="s">
        <v>268</v>
      </c>
      <c r="W88" s="1" t="s">
        <v>417</v>
      </c>
      <c r="X88" s="1" t="s">
        <v>417</v>
      </c>
      <c r="Y88" s="1"/>
      <c r="Z88" s="1"/>
      <c r="AA88" s="1" t="s">
        <v>61</v>
      </c>
    </row>
    <row r="89" spans="1:27" ht="17.45" customHeight="1">
      <c r="A89" s="3" t="s">
        <v>418</v>
      </c>
      <c r="B89" s="3" t="s">
        <v>181</v>
      </c>
      <c r="C89">
        <v>1</v>
      </c>
      <c r="D89" s="3" t="s">
        <v>29</v>
      </c>
      <c r="E89" s="3" t="s">
        <v>419</v>
      </c>
      <c r="F89" s="3" t="s">
        <v>420</v>
      </c>
      <c r="G89" s="3" t="s">
        <v>32</v>
      </c>
      <c r="H89" s="3" t="s">
        <v>33</v>
      </c>
      <c r="I89" s="3" t="s">
        <v>421</v>
      </c>
      <c r="J89" s="3" t="s">
        <v>35</v>
      </c>
      <c r="K89" s="3" t="s">
        <v>36</v>
      </c>
      <c r="L89" s="3" t="s">
        <v>51</v>
      </c>
      <c r="M89" s="3" t="s">
        <v>64</v>
      </c>
      <c r="N89" s="3" t="s">
        <v>39</v>
      </c>
      <c r="O89" s="3" t="s">
        <v>33</v>
      </c>
      <c r="P89" s="3" t="s">
        <v>40</v>
      </c>
      <c r="Q89" s="3" t="s">
        <v>39</v>
      </c>
      <c r="R89" s="5">
        <v>46140.593263888892</v>
      </c>
      <c r="S89" s="5">
        <v>46140.594768518517</v>
      </c>
      <c r="T89" s="3" t="s">
        <v>41</v>
      </c>
      <c r="U89" s="1" t="s">
        <v>263</v>
      </c>
      <c r="V89" s="1" t="s">
        <v>264</v>
      </c>
      <c r="W89" s="1" t="s">
        <v>422</v>
      </c>
      <c r="X89" s="1" t="s">
        <v>423</v>
      </c>
      <c r="Y89" s="1"/>
      <c r="Z89" s="1"/>
      <c r="AA89" s="1" t="s">
        <v>265</v>
      </c>
    </row>
    <row r="90" spans="1:27" ht="17.45" customHeight="1">
      <c r="A90" s="2" t="s">
        <v>418</v>
      </c>
      <c r="B90" s="2" t="s">
        <v>181</v>
      </c>
      <c r="C90">
        <v>1</v>
      </c>
      <c r="D90" s="2" t="s">
        <v>29</v>
      </c>
      <c r="E90" s="2" t="s">
        <v>424</v>
      </c>
      <c r="F90" s="2" t="s">
        <v>425</v>
      </c>
      <c r="G90" s="2" t="s">
        <v>32</v>
      </c>
      <c r="H90" s="2" t="s">
        <v>33</v>
      </c>
      <c r="I90" s="2" t="s">
        <v>421</v>
      </c>
      <c r="J90" s="2" t="s">
        <v>35</v>
      </c>
      <c r="K90" s="2" t="s">
        <v>36</v>
      </c>
      <c r="L90" s="2" t="s">
        <v>51</v>
      </c>
      <c r="M90" s="2" t="s">
        <v>64</v>
      </c>
      <c r="N90" s="2" t="s">
        <v>39</v>
      </c>
      <c r="O90" s="2" t="s">
        <v>33</v>
      </c>
      <c r="P90" s="2" t="s">
        <v>53</v>
      </c>
      <c r="Q90" s="2" t="s">
        <v>39</v>
      </c>
      <c r="R90" s="4">
        <v>46140.596597222226</v>
      </c>
      <c r="S90" s="4">
        <v>46140.596597222226</v>
      </c>
      <c r="T90" s="2" t="s">
        <v>41</v>
      </c>
      <c r="U90" s="1" t="s">
        <v>263</v>
      </c>
      <c r="V90" s="1" t="s">
        <v>264</v>
      </c>
      <c r="W90" s="1" t="s">
        <v>426</v>
      </c>
      <c r="X90" s="1" t="s">
        <v>426</v>
      </c>
      <c r="Y90" s="1"/>
      <c r="Z90" s="1"/>
      <c r="AA90" s="1" t="s">
        <v>265</v>
      </c>
    </row>
    <row r="91" spans="1:27" ht="17.45" customHeight="1">
      <c r="A91" s="3" t="s">
        <v>418</v>
      </c>
      <c r="B91" s="3" t="s">
        <v>181</v>
      </c>
      <c r="C91">
        <v>1</v>
      </c>
      <c r="D91" s="3" t="s">
        <v>29</v>
      </c>
      <c r="E91" s="3" t="s">
        <v>427</v>
      </c>
      <c r="F91" s="3" t="s">
        <v>428</v>
      </c>
      <c r="G91" s="3" t="s">
        <v>32</v>
      </c>
      <c r="H91" s="3" t="s">
        <v>33</v>
      </c>
      <c r="I91" s="3" t="s">
        <v>421</v>
      </c>
      <c r="J91" s="3" t="s">
        <v>35</v>
      </c>
      <c r="K91" s="3" t="s">
        <v>36</v>
      </c>
      <c r="L91" s="3" t="s">
        <v>51</v>
      </c>
      <c r="M91" s="3" t="s">
        <v>64</v>
      </c>
      <c r="N91" s="3" t="s">
        <v>39</v>
      </c>
      <c r="O91" s="3" t="s">
        <v>33</v>
      </c>
      <c r="P91" s="3" t="s">
        <v>53</v>
      </c>
      <c r="Q91" s="3" t="s">
        <v>39</v>
      </c>
      <c r="R91" s="5">
        <v>46140.600358796299</v>
      </c>
      <c r="S91" s="5">
        <v>46140.600358796299</v>
      </c>
      <c r="T91" s="3" t="s">
        <v>41</v>
      </c>
      <c r="U91" s="1" t="s">
        <v>83</v>
      </c>
      <c r="V91" s="1" t="s">
        <v>429</v>
      </c>
      <c r="W91" s="1" t="s">
        <v>430</v>
      </c>
      <c r="X91" s="1" t="s">
        <v>431</v>
      </c>
      <c r="Y91" s="1"/>
      <c r="Z91" s="1"/>
      <c r="AA91" s="1" t="s">
        <v>85</v>
      </c>
    </row>
    <row r="92" spans="1:27" ht="17.45" customHeight="1">
      <c r="A92" s="2" t="s">
        <v>418</v>
      </c>
      <c r="B92" s="2" t="s">
        <v>181</v>
      </c>
      <c r="C92">
        <v>1</v>
      </c>
      <c r="D92" s="2" t="s">
        <v>29</v>
      </c>
      <c r="E92" s="2" t="s">
        <v>432</v>
      </c>
      <c r="F92" s="2" t="s">
        <v>433</v>
      </c>
      <c r="G92" s="2" t="s">
        <v>32</v>
      </c>
      <c r="H92" s="2" t="s">
        <v>33</v>
      </c>
      <c r="I92" s="2" t="s">
        <v>421</v>
      </c>
      <c r="J92" s="2" t="s">
        <v>35</v>
      </c>
      <c r="K92" s="2" t="s">
        <v>36</v>
      </c>
      <c r="L92" s="2" t="s">
        <v>51</v>
      </c>
      <c r="M92" s="2" t="s">
        <v>64</v>
      </c>
      <c r="N92" s="2" t="s">
        <v>39</v>
      </c>
      <c r="O92" s="2" t="s">
        <v>33</v>
      </c>
      <c r="P92" s="2" t="s">
        <v>53</v>
      </c>
      <c r="Q92" s="2" t="s">
        <v>39</v>
      </c>
      <c r="R92" s="4">
        <v>46140.603101851855</v>
      </c>
      <c r="S92" s="4">
        <v>46140.603101851855</v>
      </c>
      <c r="T92" s="2" t="s">
        <v>41</v>
      </c>
      <c r="U92" s="1" t="s">
        <v>83</v>
      </c>
      <c r="V92" s="1" t="s">
        <v>84</v>
      </c>
      <c r="W92" s="1" t="s">
        <v>434</v>
      </c>
      <c r="X92" s="1" t="s">
        <v>434</v>
      </c>
      <c r="Y92" s="1"/>
      <c r="Z92" s="1"/>
      <c r="AA92" s="1" t="s">
        <v>85</v>
      </c>
    </row>
    <row r="93" spans="1:27" ht="17.45" customHeight="1">
      <c r="A93" s="3" t="s">
        <v>361</v>
      </c>
      <c r="B93" s="3" t="s">
        <v>120</v>
      </c>
      <c r="C93">
        <v>1</v>
      </c>
      <c r="D93" s="3" t="s">
        <v>121</v>
      </c>
      <c r="E93" s="3" t="s">
        <v>435</v>
      </c>
      <c r="F93" s="3" t="s">
        <v>436</v>
      </c>
      <c r="G93" s="3" t="s">
        <v>32</v>
      </c>
      <c r="H93" s="3" t="s">
        <v>124</v>
      </c>
      <c r="I93" s="3" t="s">
        <v>157</v>
      </c>
      <c r="J93" s="3" t="s">
        <v>35</v>
      </c>
      <c r="K93" s="3" t="s">
        <v>36</v>
      </c>
      <c r="L93" s="3" t="s">
        <v>51</v>
      </c>
      <c r="M93" s="3" t="s">
        <v>115</v>
      </c>
      <c r="N93" s="3" t="s">
        <v>39</v>
      </c>
      <c r="O93" s="3" t="s">
        <v>125</v>
      </c>
      <c r="P93" s="3" t="s">
        <v>53</v>
      </c>
      <c r="Q93" s="3" t="s">
        <v>39</v>
      </c>
      <c r="R93" s="5">
        <v>46140.604953703703</v>
      </c>
      <c r="S93" s="5">
        <v>46140.604953703703</v>
      </c>
      <c r="T93" s="3" t="s">
        <v>41</v>
      </c>
      <c r="U93" s="1" t="s">
        <v>283</v>
      </c>
      <c r="V93" s="1" t="s">
        <v>293</v>
      </c>
      <c r="W93" s="1" t="s">
        <v>437</v>
      </c>
      <c r="X93" s="1" t="s">
        <v>438</v>
      </c>
      <c r="Y93" s="1"/>
      <c r="Z93" s="1"/>
      <c r="AA93" s="1" t="s">
        <v>285</v>
      </c>
    </row>
    <row r="94" spans="1:27" ht="17.45" customHeight="1">
      <c r="A94" s="2" t="s">
        <v>439</v>
      </c>
      <c r="B94" s="2" t="s">
        <v>120</v>
      </c>
      <c r="C94">
        <v>1</v>
      </c>
      <c r="D94" s="2" t="s">
        <v>121</v>
      </c>
      <c r="E94" s="2" t="s">
        <v>440</v>
      </c>
      <c r="F94" s="2" t="s">
        <v>441</v>
      </c>
      <c r="G94" s="2" t="s">
        <v>32</v>
      </c>
      <c r="H94" s="2" t="s">
        <v>124</v>
      </c>
      <c r="I94" s="2" t="s">
        <v>157</v>
      </c>
      <c r="J94" s="2" t="s">
        <v>35</v>
      </c>
      <c r="K94" s="2" t="s">
        <v>36</v>
      </c>
      <c r="L94" s="2" t="s">
        <v>51</v>
      </c>
      <c r="M94" s="2" t="s">
        <v>64</v>
      </c>
      <c r="N94" s="2" t="s">
        <v>39</v>
      </c>
      <c r="O94" s="2" t="s">
        <v>125</v>
      </c>
      <c r="P94" s="2" t="s">
        <v>53</v>
      </c>
      <c r="Q94" s="2" t="s">
        <v>39</v>
      </c>
      <c r="R94" s="4">
        <v>46140.606319444443</v>
      </c>
      <c r="S94" s="4">
        <v>46140.606319444443</v>
      </c>
      <c r="T94" s="2" t="s">
        <v>41</v>
      </c>
      <c r="U94" s="1" t="s">
        <v>243</v>
      </c>
      <c r="V94" s="1" t="s">
        <v>340</v>
      </c>
      <c r="W94" s="1" t="s">
        <v>405</v>
      </c>
      <c r="X94" s="1" t="s">
        <v>406</v>
      </c>
      <c r="Y94" s="1"/>
      <c r="Z94" s="1"/>
      <c r="AA94" s="1" t="s">
        <v>246</v>
      </c>
    </row>
    <row r="95" spans="1:27" ht="17.45" customHeight="1">
      <c r="A95" s="3" t="s">
        <v>442</v>
      </c>
      <c r="B95" s="3" t="s">
        <v>181</v>
      </c>
      <c r="C95">
        <v>1</v>
      </c>
      <c r="D95" s="3" t="s">
        <v>29</v>
      </c>
      <c r="E95" s="3" t="s">
        <v>443</v>
      </c>
      <c r="F95" s="3" t="s">
        <v>444</v>
      </c>
      <c r="G95" s="3" t="s">
        <v>32</v>
      </c>
      <c r="H95" s="3" t="s">
        <v>33</v>
      </c>
      <c r="I95" s="3" t="s">
        <v>421</v>
      </c>
      <c r="J95" s="3" t="s">
        <v>35</v>
      </c>
      <c r="K95" s="3" t="s">
        <v>36</v>
      </c>
      <c r="L95" s="3" t="s">
        <v>51</v>
      </c>
      <c r="M95" s="3" t="s">
        <v>64</v>
      </c>
      <c r="N95" s="3" t="s">
        <v>39</v>
      </c>
      <c r="O95" s="3" t="s">
        <v>33</v>
      </c>
      <c r="P95" s="3" t="s">
        <v>53</v>
      </c>
      <c r="Q95" s="3" t="s">
        <v>39</v>
      </c>
      <c r="R95" s="5">
        <v>46140.607118055559</v>
      </c>
      <c r="S95" s="5">
        <v>46140.607118055559</v>
      </c>
      <c r="T95" s="3" t="s">
        <v>41</v>
      </c>
      <c r="U95" s="1" t="s">
        <v>95</v>
      </c>
      <c r="V95" s="1" t="s">
        <v>96</v>
      </c>
      <c r="W95" s="1" t="s">
        <v>445</v>
      </c>
      <c r="X95" s="1" t="s">
        <v>445</v>
      </c>
      <c r="Y95" s="1"/>
      <c r="Z95" s="1"/>
      <c r="AA95" s="1" t="s">
        <v>98</v>
      </c>
    </row>
    <row r="96" spans="1:27" ht="17.45" customHeight="1">
      <c r="A96" s="2" t="s">
        <v>442</v>
      </c>
      <c r="B96" s="2" t="s">
        <v>181</v>
      </c>
      <c r="C96">
        <v>1</v>
      </c>
      <c r="D96" s="2" t="s">
        <v>29</v>
      </c>
      <c r="E96" s="2" t="s">
        <v>446</v>
      </c>
      <c r="F96" s="2" t="s">
        <v>447</v>
      </c>
      <c r="G96" s="2" t="s">
        <v>32</v>
      </c>
      <c r="H96" s="2" t="s">
        <v>33</v>
      </c>
      <c r="I96" s="2" t="s">
        <v>421</v>
      </c>
      <c r="J96" s="2" t="s">
        <v>35</v>
      </c>
      <c r="K96" s="2" t="s">
        <v>36</v>
      </c>
      <c r="L96" s="2" t="s">
        <v>51</v>
      </c>
      <c r="M96" s="2" t="s">
        <v>64</v>
      </c>
      <c r="N96" s="2" t="s">
        <v>39</v>
      </c>
      <c r="O96" s="2" t="s">
        <v>33</v>
      </c>
      <c r="P96" s="2" t="s">
        <v>40</v>
      </c>
      <c r="Q96" s="2" t="s">
        <v>39</v>
      </c>
      <c r="R96" s="4">
        <v>46140.608240740738</v>
      </c>
      <c r="S96" s="4">
        <v>46140.613553240742</v>
      </c>
      <c r="T96" s="2" t="s">
        <v>41</v>
      </c>
      <c r="U96" s="1" t="s">
        <v>263</v>
      </c>
      <c r="V96" s="1" t="s">
        <v>264</v>
      </c>
      <c r="W96" s="1" t="s">
        <v>448</v>
      </c>
      <c r="X96" s="1" t="s">
        <v>449</v>
      </c>
      <c r="Y96" s="1"/>
      <c r="Z96" s="1"/>
      <c r="AA96" s="1" t="s">
        <v>265</v>
      </c>
    </row>
    <row r="97" spans="1:27" ht="17.45" customHeight="1">
      <c r="A97" s="3" t="s">
        <v>370</v>
      </c>
      <c r="B97" s="3" t="s">
        <v>48</v>
      </c>
      <c r="C97">
        <v>1</v>
      </c>
      <c r="D97" s="3" t="s">
        <v>29</v>
      </c>
      <c r="E97" s="3" t="s">
        <v>450</v>
      </c>
      <c r="F97" s="3" t="s">
        <v>451</v>
      </c>
      <c r="G97" s="3" t="s">
        <v>32</v>
      </c>
      <c r="H97" s="3" t="s">
        <v>33</v>
      </c>
      <c r="I97" s="3" t="s">
        <v>33</v>
      </c>
      <c r="J97" s="3" t="s">
        <v>35</v>
      </c>
      <c r="K97" s="3" t="s">
        <v>36</v>
      </c>
      <c r="L97" s="3" t="s">
        <v>37</v>
      </c>
      <c r="M97" s="3" t="s">
        <v>52</v>
      </c>
      <c r="N97" s="3" t="s">
        <v>39</v>
      </c>
      <c r="O97" s="3" t="s">
        <v>33</v>
      </c>
      <c r="P97" s="3" t="s">
        <v>40</v>
      </c>
      <c r="Q97" s="3" t="s">
        <v>39</v>
      </c>
      <c r="R97" s="5">
        <v>46139.546747685185</v>
      </c>
      <c r="S97" s="5">
        <v>46139.546747685185</v>
      </c>
      <c r="T97" s="3" t="s">
        <v>41</v>
      </c>
      <c r="U97" s="1" t="s">
        <v>95</v>
      </c>
      <c r="V97" s="1" t="s">
        <v>96</v>
      </c>
      <c r="W97" s="1" t="s">
        <v>451</v>
      </c>
      <c r="X97" s="1" t="s">
        <v>451</v>
      </c>
      <c r="Y97" s="1"/>
      <c r="Z97" s="1"/>
      <c r="AA97" s="1" t="s">
        <v>98</v>
      </c>
    </row>
    <row r="98" spans="1:27" ht="17.45" customHeight="1">
      <c r="A98" s="2" t="s">
        <v>112</v>
      </c>
      <c r="B98" s="2" t="s">
        <v>48</v>
      </c>
      <c r="C98">
        <v>1</v>
      </c>
      <c r="D98" s="2" t="s">
        <v>29</v>
      </c>
      <c r="E98" s="2" t="s">
        <v>452</v>
      </c>
      <c r="F98" s="2" t="s">
        <v>453</v>
      </c>
      <c r="G98" s="2" t="s">
        <v>32</v>
      </c>
      <c r="H98" s="2" t="s">
        <v>33</v>
      </c>
      <c r="I98" s="2" t="s">
        <v>33</v>
      </c>
      <c r="J98" s="2" t="s">
        <v>35</v>
      </c>
      <c r="K98" s="2" t="s">
        <v>36</v>
      </c>
      <c r="L98" s="2" t="s">
        <v>51</v>
      </c>
      <c r="M98" s="2" t="s">
        <v>64</v>
      </c>
      <c r="N98" s="2" t="s">
        <v>39</v>
      </c>
      <c r="O98" s="2" t="s">
        <v>33</v>
      </c>
      <c r="P98" s="2" t="s">
        <v>53</v>
      </c>
      <c r="Q98" s="2" t="s">
        <v>39</v>
      </c>
      <c r="R98" s="4">
        <v>46140.608611111114</v>
      </c>
      <c r="S98" s="4">
        <v>46140.608611111114</v>
      </c>
      <c r="T98" s="2" t="s">
        <v>41</v>
      </c>
      <c r="U98" s="1" t="s">
        <v>95</v>
      </c>
      <c r="V98" s="1" t="s">
        <v>96</v>
      </c>
      <c r="W98" s="1" t="s">
        <v>454</v>
      </c>
      <c r="X98" s="1" t="s">
        <v>455</v>
      </c>
      <c r="Y98" s="1"/>
      <c r="Z98" s="1"/>
      <c r="AA98" s="1" t="s">
        <v>98</v>
      </c>
    </row>
    <row r="99" spans="1:27" ht="17.45" customHeight="1">
      <c r="A99" s="3" t="s">
        <v>442</v>
      </c>
      <c r="B99" s="3" t="s">
        <v>181</v>
      </c>
      <c r="C99">
        <v>1</v>
      </c>
      <c r="D99" s="3" t="s">
        <v>29</v>
      </c>
      <c r="E99" s="3" t="s">
        <v>456</v>
      </c>
      <c r="F99" s="3" t="s">
        <v>457</v>
      </c>
      <c r="G99" s="3" t="s">
        <v>32</v>
      </c>
      <c r="H99" s="3" t="s">
        <v>33</v>
      </c>
      <c r="I99" s="3" t="s">
        <v>421</v>
      </c>
      <c r="J99" s="3" t="s">
        <v>35</v>
      </c>
      <c r="K99" s="3" t="s">
        <v>36</v>
      </c>
      <c r="L99" s="3" t="s">
        <v>51</v>
      </c>
      <c r="M99" s="3" t="s">
        <v>64</v>
      </c>
      <c r="N99" s="3" t="s">
        <v>39</v>
      </c>
      <c r="O99" s="3" t="s">
        <v>33</v>
      </c>
      <c r="P99" s="3" t="s">
        <v>53</v>
      </c>
      <c r="Q99" s="3" t="s">
        <v>39</v>
      </c>
      <c r="R99" s="5">
        <v>46140.608923611115</v>
      </c>
      <c r="S99" s="5">
        <v>46140.608923611115</v>
      </c>
      <c r="T99" s="3" t="s">
        <v>41</v>
      </c>
      <c r="U99" s="1" t="s">
        <v>83</v>
      </c>
      <c r="V99" s="1" t="s">
        <v>429</v>
      </c>
      <c r="W99" s="1" t="s">
        <v>458</v>
      </c>
      <c r="X99" s="1" t="s">
        <v>458</v>
      </c>
      <c r="Y99" s="1"/>
      <c r="Z99" s="1"/>
      <c r="AA99" s="1" t="s">
        <v>85</v>
      </c>
    </row>
    <row r="100" spans="1:27" ht="17.45" customHeight="1">
      <c r="A100" s="2" t="s">
        <v>439</v>
      </c>
      <c r="B100" s="2" t="s">
        <v>120</v>
      </c>
      <c r="C100">
        <v>1</v>
      </c>
      <c r="D100" s="2" t="s">
        <v>121</v>
      </c>
      <c r="E100" s="2" t="s">
        <v>459</v>
      </c>
      <c r="F100" s="2" t="s">
        <v>460</v>
      </c>
      <c r="G100" s="2" t="s">
        <v>32</v>
      </c>
      <c r="H100" s="2" t="s">
        <v>124</v>
      </c>
      <c r="I100" s="2" t="s">
        <v>157</v>
      </c>
      <c r="J100" s="2" t="s">
        <v>35</v>
      </c>
      <c r="K100" s="2" t="s">
        <v>36</v>
      </c>
      <c r="L100" s="2" t="s">
        <v>51</v>
      </c>
      <c r="M100" s="2" t="s">
        <v>64</v>
      </c>
      <c r="N100" s="2" t="s">
        <v>39</v>
      </c>
      <c r="O100" s="2" t="s">
        <v>125</v>
      </c>
      <c r="P100" s="2" t="s">
        <v>40</v>
      </c>
      <c r="Q100" s="2" t="s">
        <v>39</v>
      </c>
      <c r="R100" s="4">
        <v>46140.610162037039</v>
      </c>
      <c r="S100" s="4">
        <v>46140.610162037039</v>
      </c>
      <c r="T100" s="2" t="s">
        <v>41</v>
      </c>
      <c r="U100" s="1" t="s">
        <v>263</v>
      </c>
      <c r="V100" s="1" t="s">
        <v>264</v>
      </c>
      <c r="W100" s="1" t="s">
        <v>461</v>
      </c>
      <c r="X100" s="1" t="s">
        <v>462</v>
      </c>
      <c r="Y100" s="1"/>
      <c r="Z100" s="1"/>
      <c r="AA100" s="1" t="s">
        <v>265</v>
      </c>
    </row>
    <row r="101" spans="1:27" ht="17.45" customHeight="1">
      <c r="A101" s="3" t="s">
        <v>442</v>
      </c>
      <c r="B101" s="3" t="s">
        <v>181</v>
      </c>
      <c r="C101">
        <v>1</v>
      </c>
      <c r="D101" s="3" t="s">
        <v>29</v>
      </c>
      <c r="E101" s="3" t="s">
        <v>463</v>
      </c>
      <c r="F101" s="3" t="s">
        <v>464</v>
      </c>
      <c r="G101" s="3" t="s">
        <v>32</v>
      </c>
      <c r="H101" s="3" t="s">
        <v>33</v>
      </c>
      <c r="I101" s="3" t="s">
        <v>421</v>
      </c>
      <c r="J101" s="3" t="s">
        <v>35</v>
      </c>
      <c r="K101" s="3" t="s">
        <v>36</v>
      </c>
      <c r="L101" s="3" t="s">
        <v>51</v>
      </c>
      <c r="M101" s="3" t="s">
        <v>64</v>
      </c>
      <c r="N101" s="3" t="s">
        <v>39</v>
      </c>
      <c r="O101" s="3" t="s">
        <v>33</v>
      </c>
      <c r="P101" s="3" t="s">
        <v>53</v>
      </c>
      <c r="Q101" s="3" t="s">
        <v>39</v>
      </c>
      <c r="R101" s="5">
        <v>46140.610474537039</v>
      </c>
      <c r="S101" s="5">
        <v>46140.610474537039</v>
      </c>
      <c r="T101" s="3" t="s">
        <v>41</v>
      </c>
      <c r="U101" s="1" t="s">
        <v>95</v>
      </c>
      <c r="V101" s="1" t="s">
        <v>329</v>
      </c>
      <c r="W101" s="1" t="s">
        <v>465</v>
      </c>
      <c r="X101" s="1" t="s">
        <v>465</v>
      </c>
      <c r="Y101" s="1"/>
      <c r="Z101" s="1"/>
      <c r="AA101" s="1" t="s">
        <v>98</v>
      </c>
    </row>
    <row r="102" spans="1:27" ht="17.45" customHeight="1">
      <c r="A102" s="2" t="s">
        <v>442</v>
      </c>
      <c r="B102" s="2" t="s">
        <v>181</v>
      </c>
      <c r="C102">
        <v>1</v>
      </c>
      <c r="D102" s="2" t="s">
        <v>29</v>
      </c>
      <c r="E102" s="2" t="s">
        <v>466</v>
      </c>
      <c r="F102" s="2" t="s">
        <v>467</v>
      </c>
      <c r="G102" s="2" t="s">
        <v>32</v>
      </c>
      <c r="H102" s="2" t="s">
        <v>33</v>
      </c>
      <c r="I102" s="2" t="s">
        <v>421</v>
      </c>
      <c r="J102" s="2" t="s">
        <v>35</v>
      </c>
      <c r="K102" s="2" t="s">
        <v>36</v>
      </c>
      <c r="L102" s="2" t="s">
        <v>51</v>
      </c>
      <c r="M102" s="2" t="s">
        <v>64</v>
      </c>
      <c r="N102" s="2" t="s">
        <v>39</v>
      </c>
      <c r="O102" s="2" t="s">
        <v>33</v>
      </c>
      <c r="P102" s="2" t="s">
        <v>53</v>
      </c>
      <c r="Q102" s="2" t="s">
        <v>39</v>
      </c>
      <c r="R102" s="4">
        <v>46140.611319444448</v>
      </c>
      <c r="S102" s="4">
        <v>46140.611319444448</v>
      </c>
      <c r="T102" s="2" t="s">
        <v>41</v>
      </c>
      <c r="U102" s="1" t="s">
        <v>243</v>
      </c>
      <c r="V102" s="1" t="s">
        <v>302</v>
      </c>
      <c r="W102" s="1" t="s">
        <v>468</v>
      </c>
      <c r="X102" s="1" t="s">
        <v>468</v>
      </c>
      <c r="Y102" s="1"/>
      <c r="Z102" s="1"/>
      <c r="AA102" s="1" t="s">
        <v>246</v>
      </c>
    </row>
    <row r="103" spans="1:27" ht="17.45" customHeight="1">
      <c r="A103" s="3" t="s">
        <v>389</v>
      </c>
      <c r="B103" s="3" t="s">
        <v>120</v>
      </c>
      <c r="C103">
        <v>1</v>
      </c>
      <c r="D103" s="3" t="s">
        <v>121</v>
      </c>
      <c r="E103" s="3" t="s">
        <v>469</v>
      </c>
      <c r="F103" s="3" t="s">
        <v>470</v>
      </c>
      <c r="G103" s="3" t="s">
        <v>32</v>
      </c>
      <c r="H103" s="3" t="s">
        <v>124</v>
      </c>
      <c r="I103" s="3" t="s">
        <v>157</v>
      </c>
      <c r="J103" s="3" t="s">
        <v>35</v>
      </c>
      <c r="K103" s="3" t="s">
        <v>36</v>
      </c>
      <c r="L103" s="3" t="s">
        <v>51</v>
      </c>
      <c r="M103" s="3" t="s">
        <v>64</v>
      </c>
      <c r="N103" s="3" t="s">
        <v>39</v>
      </c>
      <c r="O103" s="3" t="s">
        <v>125</v>
      </c>
      <c r="P103" s="3" t="s">
        <v>53</v>
      </c>
      <c r="Q103" s="3" t="s">
        <v>39</v>
      </c>
      <c r="R103" s="5">
        <v>46140.611770833333</v>
      </c>
      <c r="S103" s="5">
        <v>46140.611770833333</v>
      </c>
      <c r="T103" s="3" t="s">
        <v>41</v>
      </c>
      <c r="U103" s="1" t="s">
        <v>95</v>
      </c>
      <c r="V103" s="1" t="s">
        <v>329</v>
      </c>
      <c r="W103" s="1" t="s">
        <v>470</v>
      </c>
      <c r="X103" s="1" t="s">
        <v>470</v>
      </c>
      <c r="Y103" s="1"/>
      <c r="Z103" s="1"/>
      <c r="AA103" s="1" t="s">
        <v>98</v>
      </c>
    </row>
    <row r="104" spans="1:27" ht="17.45" customHeight="1">
      <c r="A104" s="2" t="s">
        <v>471</v>
      </c>
      <c r="B104" s="2" t="s">
        <v>171</v>
      </c>
      <c r="C104">
        <v>1</v>
      </c>
      <c r="D104" s="2" t="s">
        <v>228</v>
      </c>
      <c r="E104" s="2" t="s">
        <v>472</v>
      </c>
      <c r="F104" s="2" t="s">
        <v>473</v>
      </c>
      <c r="G104" s="2" t="s">
        <v>32</v>
      </c>
      <c r="H104" s="2" t="s">
        <v>124</v>
      </c>
      <c r="I104" s="2" t="s">
        <v>124</v>
      </c>
      <c r="J104" s="2" t="s">
        <v>35</v>
      </c>
      <c r="K104" s="2" t="s">
        <v>36</v>
      </c>
      <c r="L104" s="2" t="s">
        <v>51</v>
      </c>
      <c r="M104" s="2" t="s">
        <v>52</v>
      </c>
      <c r="N104" s="2" t="s">
        <v>39</v>
      </c>
      <c r="O104" s="2" t="s">
        <v>124</v>
      </c>
      <c r="P104" s="2" t="s">
        <v>53</v>
      </c>
      <c r="Q104" s="2" t="s">
        <v>39</v>
      </c>
      <c r="R104" s="4">
        <v>46140.612337962964</v>
      </c>
      <c r="S104" s="4">
        <v>46140.612337962964</v>
      </c>
      <c r="T104" s="2" t="s">
        <v>41</v>
      </c>
      <c r="U104" s="1" t="s">
        <v>263</v>
      </c>
      <c r="V104" s="1" t="s">
        <v>264</v>
      </c>
      <c r="W104" s="1" t="s">
        <v>473</v>
      </c>
      <c r="X104" s="1" t="s">
        <v>473</v>
      </c>
      <c r="Y104" s="1"/>
      <c r="Z104" s="1"/>
      <c r="AA104" s="1" t="s">
        <v>265</v>
      </c>
    </row>
    <row r="105" spans="1:27" ht="17.45" customHeight="1">
      <c r="A105" s="3" t="s">
        <v>389</v>
      </c>
      <c r="B105" s="3" t="s">
        <v>120</v>
      </c>
      <c r="C105">
        <v>1</v>
      </c>
      <c r="D105" s="3" t="s">
        <v>121</v>
      </c>
      <c r="E105" s="3" t="s">
        <v>474</v>
      </c>
      <c r="F105" s="3" t="s">
        <v>475</v>
      </c>
      <c r="G105" s="3" t="s">
        <v>32</v>
      </c>
      <c r="H105" s="3" t="s">
        <v>124</v>
      </c>
      <c r="I105" s="3" t="s">
        <v>157</v>
      </c>
      <c r="J105" s="3" t="s">
        <v>35</v>
      </c>
      <c r="K105" s="3" t="s">
        <v>36</v>
      </c>
      <c r="L105" s="3" t="s">
        <v>37</v>
      </c>
      <c r="M105" s="3" t="s">
        <v>52</v>
      </c>
      <c r="N105" s="3" t="s">
        <v>39</v>
      </c>
      <c r="O105" s="3" t="s">
        <v>125</v>
      </c>
      <c r="P105" s="3" t="s">
        <v>58</v>
      </c>
      <c r="Q105" s="3" t="s">
        <v>39</v>
      </c>
      <c r="R105" s="5">
        <v>46140.613738425927</v>
      </c>
      <c r="S105" s="5">
        <v>46140.613738425927</v>
      </c>
      <c r="T105" s="3" t="s">
        <v>41</v>
      </c>
      <c r="U105" s="1" t="s">
        <v>65</v>
      </c>
      <c r="V105" s="1" t="s">
        <v>70</v>
      </c>
      <c r="W105" s="1" t="s">
        <v>475</v>
      </c>
      <c r="X105" s="1" t="s">
        <v>475</v>
      </c>
      <c r="Y105" s="1"/>
      <c r="Z105" s="1"/>
      <c r="AA105" s="1" t="s">
        <v>67</v>
      </c>
    </row>
    <row r="106" spans="1:27" ht="17.45" customHeight="1">
      <c r="A106" s="2" t="s">
        <v>389</v>
      </c>
      <c r="B106" s="2" t="s">
        <v>120</v>
      </c>
      <c r="C106">
        <v>1</v>
      </c>
      <c r="D106" s="2" t="s">
        <v>121</v>
      </c>
      <c r="E106" s="2" t="s">
        <v>476</v>
      </c>
      <c r="F106" s="2" t="s">
        <v>477</v>
      </c>
      <c r="G106" s="2" t="s">
        <v>32</v>
      </c>
      <c r="H106" s="2" t="s">
        <v>124</v>
      </c>
      <c r="I106" s="2" t="s">
        <v>157</v>
      </c>
      <c r="J106" s="2" t="s">
        <v>35</v>
      </c>
      <c r="K106" s="2" t="s">
        <v>36</v>
      </c>
      <c r="L106" s="2" t="s">
        <v>51</v>
      </c>
      <c r="M106" s="2" t="s">
        <v>82</v>
      </c>
      <c r="N106" s="2" t="s">
        <v>39</v>
      </c>
      <c r="O106" s="2" t="s">
        <v>125</v>
      </c>
      <c r="P106" s="2" t="s">
        <v>40</v>
      </c>
      <c r="Q106" s="2" t="s">
        <v>39</v>
      </c>
      <c r="R106" s="4">
        <v>46140.614895833336</v>
      </c>
      <c r="S106" s="4">
        <v>46140.614895833336</v>
      </c>
      <c r="T106" s="2" t="s">
        <v>41</v>
      </c>
      <c r="U106" s="1" t="s">
        <v>65</v>
      </c>
      <c r="V106" s="1" t="s">
        <v>70</v>
      </c>
      <c r="W106" s="1" t="s">
        <v>477</v>
      </c>
      <c r="X106" s="1" t="s">
        <v>477</v>
      </c>
      <c r="Y106" s="1"/>
      <c r="Z106" s="1"/>
      <c r="AA106" s="1" t="s">
        <v>67</v>
      </c>
    </row>
    <row r="107" spans="1:27" ht="17.45" customHeight="1">
      <c r="A107" s="3" t="s">
        <v>290</v>
      </c>
      <c r="B107" s="3" t="s">
        <v>120</v>
      </c>
      <c r="C107">
        <v>1</v>
      </c>
      <c r="D107" s="3" t="s">
        <v>121</v>
      </c>
      <c r="E107" s="3" t="s">
        <v>478</v>
      </c>
      <c r="F107" s="3" t="s">
        <v>479</v>
      </c>
      <c r="G107" s="3" t="s">
        <v>32</v>
      </c>
      <c r="H107" s="3" t="s">
        <v>124</v>
      </c>
      <c r="I107" s="3" t="s">
        <v>192</v>
      </c>
      <c r="J107" s="3" t="s">
        <v>35</v>
      </c>
      <c r="K107" s="3" t="s">
        <v>36</v>
      </c>
      <c r="L107" s="3" t="s">
        <v>51</v>
      </c>
      <c r="M107" s="3" t="s">
        <v>64</v>
      </c>
      <c r="N107" s="3" t="s">
        <v>39</v>
      </c>
      <c r="O107" s="3" t="s">
        <v>125</v>
      </c>
      <c r="P107" s="3" t="s">
        <v>53</v>
      </c>
      <c r="Q107" s="3" t="s">
        <v>39</v>
      </c>
      <c r="R107" s="5">
        <v>46140.618032407408</v>
      </c>
      <c r="S107" s="5">
        <v>46140.618032407408</v>
      </c>
      <c r="T107" s="3" t="s">
        <v>41</v>
      </c>
      <c r="U107" s="1" t="s">
        <v>42</v>
      </c>
      <c r="V107" s="1" t="s">
        <v>74</v>
      </c>
      <c r="W107" s="1" t="s">
        <v>479</v>
      </c>
      <c r="X107" s="1" t="s">
        <v>479</v>
      </c>
      <c r="Y107" s="1"/>
      <c r="Z107" s="1"/>
      <c r="AA107" s="1" t="s">
        <v>46</v>
      </c>
    </row>
    <row r="108" spans="1:27" ht="17.45" customHeight="1">
      <c r="A108" s="2" t="s">
        <v>290</v>
      </c>
      <c r="B108" s="2" t="s">
        <v>120</v>
      </c>
      <c r="C108">
        <v>1</v>
      </c>
      <c r="D108" s="2" t="s">
        <v>121</v>
      </c>
      <c r="E108" s="2" t="s">
        <v>480</v>
      </c>
      <c r="F108" s="2" t="s">
        <v>481</v>
      </c>
      <c r="G108" s="2" t="s">
        <v>32</v>
      </c>
      <c r="H108" s="2" t="s">
        <v>124</v>
      </c>
      <c r="I108" s="2" t="s">
        <v>192</v>
      </c>
      <c r="J108" s="2" t="s">
        <v>35</v>
      </c>
      <c r="K108" s="2" t="s">
        <v>36</v>
      </c>
      <c r="L108" s="2" t="s">
        <v>51</v>
      </c>
      <c r="M108" s="2" t="s">
        <v>64</v>
      </c>
      <c r="N108" s="2" t="s">
        <v>39</v>
      </c>
      <c r="O108" s="2" t="s">
        <v>125</v>
      </c>
      <c r="P108" s="2" t="s">
        <v>53</v>
      </c>
      <c r="Q108" s="2" t="s">
        <v>39</v>
      </c>
      <c r="R108" s="4">
        <v>46140.629942129628</v>
      </c>
      <c r="S108" s="4">
        <v>46140.629942129628</v>
      </c>
      <c r="T108" s="2" t="s">
        <v>41</v>
      </c>
      <c r="U108" s="1" t="s">
        <v>95</v>
      </c>
      <c r="V108" s="1" t="s">
        <v>96</v>
      </c>
      <c r="W108" s="1" t="s">
        <v>481</v>
      </c>
      <c r="X108" s="1" t="s">
        <v>481</v>
      </c>
      <c r="Y108" s="1"/>
      <c r="Z108" s="1"/>
      <c r="AA108" s="1" t="s">
        <v>98</v>
      </c>
    </row>
    <row r="109" spans="1:27" ht="17.45" customHeight="1">
      <c r="A109" s="3" t="s">
        <v>290</v>
      </c>
      <c r="B109" s="3" t="s">
        <v>120</v>
      </c>
      <c r="C109">
        <v>1</v>
      </c>
      <c r="D109" s="3" t="s">
        <v>121</v>
      </c>
      <c r="E109" s="3" t="s">
        <v>482</v>
      </c>
      <c r="F109" s="3" t="s">
        <v>483</v>
      </c>
      <c r="G109" s="3" t="s">
        <v>32</v>
      </c>
      <c r="H109" s="3" t="s">
        <v>124</v>
      </c>
      <c r="I109" s="3" t="s">
        <v>192</v>
      </c>
      <c r="J109" s="3" t="s">
        <v>35</v>
      </c>
      <c r="K109" s="3" t="s">
        <v>36</v>
      </c>
      <c r="L109" s="3" t="s">
        <v>37</v>
      </c>
      <c r="M109" s="3" t="s">
        <v>52</v>
      </c>
      <c r="N109" s="3" t="s">
        <v>39</v>
      </c>
      <c r="O109" s="3" t="s">
        <v>125</v>
      </c>
      <c r="P109" s="3" t="s">
        <v>58</v>
      </c>
      <c r="Q109" s="3" t="s">
        <v>39</v>
      </c>
      <c r="R109" s="5">
        <v>46140.63076388889</v>
      </c>
      <c r="S109" s="5">
        <v>46140.63077546296</v>
      </c>
      <c r="T109" s="3" t="s">
        <v>41</v>
      </c>
      <c r="U109" s="1" t="s">
        <v>283</v>
      </c>
      <c r="V109" s="1" t="s">
        <v>293</v>
      </c>
      <c r="W109" s="1" t="s">
        <v>483</v>
      </c>
      <c r="X109" s="1" t="s">
        <v>483</v>
      </c>
      <c r="Y109" s="1"/>
      <c r="Z109" s="1"/>
      <c r="AA109" s="1" t="s">
        <v>285</v>
      </c>
    </row>
    <row r="110" spans="1:27" ht="17.45" customHeight="1">
      <c r="A110" s="2" t="s">
        <v>197</v>
      </c>
      <c r="B110" s="2" t="s">
        <v>181</v>
      </c>
      <c r="C110">
        <v>1</v>
      </c>
      <c r="D110" s="2" t="s">
        <v>29</v>
      </c>
      <c r="E110" s="2" t="s">
        <v>484</v>
      </c>
      <c r="F110" s="2" t="s">
        <v>485</v>
      </c>
      <c r="G110" s="2" t="s">
        <v>32</v>
      </c>
      <c r="H110" s="2" t="s">
        <v>33</v>
      </c>
      <c r="I110" s="2" t="s">
        <v>34</v>
      </c>
      <c r="J110" s="2" t="s">
        <v>35</v>
      </c>
      <c r="K110" s="2" t="s">
        <v>36</v>
      </c>
      <c r="L110" s="2" t="s">
        <v>51</v>
      </c>
      <c r="M110" s="2" t="s">
        <v>115</v>
      </c>
      <c r="N110" s="2" t="s">
        <v>39</v>
      </c>
      <c r="O110" s="2" t="s">
        <v>33</v>
      </c>
      <c r="P110" s="2" t="s">
        <v>53</v>
      </c>
      <c r="Q110" s="2" t="s">
        <v>39</v>
      </c>
      <c r="R110" s="4">
        <v>46140.631840277776</v>
      </c>
      <c r="S110" s="4">
        <v>46140.631840277776</v>
      </c>
      <c r="T110" s="2" t="s">
        <v>41</v>
      </c>
      <c r="U110" s="1" t="s">
        <v>59</v>
      </c>
      <c r="V110" s="1" t="s">
        <v>60</v>
      </c>
      <c r="W110" s="1" t="s">
        <v>485</v>
      </c>
      <c r="X110" s="1" t="s">
        <v>485</v>
      </c>
      <c r="Y110" s="1"/>
      <c r="Z110" s="1"/>
      <c r="AA110" s="1" t="s">
        <v>61</v>
      </c>
    </row>
    <row r="111" spans="1:27" ht="17.45" customHeight="1">
      <c r="A111" s="3" t="s">
        <v>486</v>
      </c>
      <c r="B111" s="3" t="s">
        <v>181</v>
      </c>
      <c r="C111">
        <v>1</v>
      </c>
      <c r="D111" s="3" t="s">
        <v>29</v>
      </c>
      <c r="E111" s="3" t="s">
        <v>487</v>
      </c>
      <c r="F111" s="3" t="s">
        <v>488</v>
      </c>
      <c r="G111" s="3" t="s">
        <v>32</v>
      </c>
      <c r="H111" s="3" t="s">
        <v>33</v>
      </c>
      <c r="I111" s="3" t="s">
        <v>34</v>
      </c>
      <c r="J111" s="3" t="s">
        <v>35</v>
      </c>
      <c r="K111" s="3" t="s">
        <v>36</v>
      </c>
      <c r="L111" s="3" t="s">
        <v>51</v>
      </c>
      <c r="M111" s="3" t="s">
        <v>64</v>
      </c>
      <c r="N111" s="3" t="s">
        <v>39</v>
      </c>
      <c r="O111" s="3" t="s">
        <v>33</v>
      </c>
      <c r="P111" s="3" t="s">
        <v>53</v>
      </c>
      <c r="Q111" s="3" t="s">
        <v>39</v>
      </c>
      <c r="R111" s="5">
        <v>46140.639988425923</v>
      </c>
      <c r="S111" s="5">
        <v>46140.639988425923</v>
      </c>
      <c r="T111" s="3" t="s">
        <v>41</v>
      </c>
      <c r="U111" s="1" t="s">
        <v>95</v>
      </c>
      <c r="V111" s="1" t="s">
        <v>96</v>
      </c>
      <c r="W111" s="1" t="s">
        <v>489</v>
      </c>
      <c r="X111" s="1" t="s">
        <v>489</v>
      </c>
      <c r="Y111" s="1"/>
      <c r="Z111" s="1"/>
      <c r="AA111" s="1" t="s">
        <v>98</v>
      </c>
    </row>
    <row r="112" spans="1:27" ht="17.45" customHeight="1">
      <c r="A112" s="2" t="s">
        <v>486</v>
      </c>
      <c r="B112" s="2" t="s">
        <v>181</v>
      </c>
      <c r="C112">
        <v>1</v>
      </c>
      <c r="D112" s="2" t="s">
        <v>29</v>
      </c>
      <c r="E112" s="2" t="s">
        <v>490</v>
      </c>
      <c r="F112" s="2" t="s">
        <v>491</v>
      </c>
      <c r="G112" s="2" t="s">
        <v>32</v>
      </c>
      <c r="H112" s="2" t="s">
        <v>33</v>
      </c>
      <c r="I112" s="2" t="s">
        <v>34</v>
      </c>
      <c r="J112" s="2" t="s">
        <v>35</v>
      </c>
      <c r="K112" s="2" t="s">
        <v>36</v>
      </c>
      <c r="L112" s="2" t="s">
        <v>51</v>
      </c>
      <c r="M112" s="2" t="s">
        <v>38</v>
      </c>
      <c r="N112" s="2" t="s">
        <v>39</v>
      </c>
      <c r="O112" s="2" t="s">
        <v>33</v>
      </c>
      <c r="P112" s="2" t="s">
        <v>53</v>
      </c>
      <c r="Q112" s="2" t="s">
        <v>39</v>
      </c>
      <c r="R112" s="4">
        <v>46140.643159722225</v>
      </c>
      <c r="S112" s="4">
        <v>46140.643159722225</v>
      </c>
      <c r="T112" s="2" t="s">
        <v>41</v>
      </c>
      <c r="U112" s="1" t="s">
        <v>95</v>
      </c>
      <c r="V112" s="1" t="s">
        <v>96</v>
      </c>
      <c r="W112" s="1" t="s">
        <v>492</v>
      </c>
      <c r="X112" s="1" t="s">
        <v>493</v>
      </c>
      <c r="Y112" s="1"/>
      <c r="Z112" s="1"/>
      <c r="AA112" s="1" t="s">
        <v>98</v>
      </c>
    </row>
    <row r="113" spans="1:27" ht="17.45" customHeight="1">
      <c r="A113" s="3" t="s">
        <v>47</v>
      </c>
      <c r="B113" s="3" t="s">
        <v>48</v>
      </c>
      <c r="C113">
        <v>1</v>
      </c>
      <c r="D113" s="3" t="s">
        <v>29</v>
      </c>
      <c r="E113" s="3" t="s">
        <v>494</v>
      </c>
      <c r="F113" s="3" t="s">
        <v>495</v>
      </c>
      <c r="G113" s="3" t="s">
        <v>32</v>
      </c>
      <c r="H113" s="3" t="s">
        <v>33</v>
      </c>
      <c r="I113" s="3" t="s">
        <v>33</v>
      </c>
      <c r="J113" s="3" t="s">
        <v>35</v>
      </c>
      <c r="K113" s="3" t="s">
        <v>36</v>
      </c>
      <c r="L113" s="3" t="s">
        <v>37</v>
      </c>
      <c r="M113" s="3" t="s">
        <v>52</v>
      </c>
      <c r="N113" s="3" t="s">
        <v>39</v>
      </c>
      <c r="O113" s="3" t="s">
        <v>33</v>
      </c>
      <c r="P113" s="3" t="s">
        <v>40</v>
      </c>
      <c r="Q113" s="3" t="s">
        <v>39</v>
      </c>
      <c r="R113" s="5">
        <v>46146.734351851854</v>
      </c>
      <c r="S113" s="5">
        <v>46146.734351851854</v>
      </c>
      <c r="T113" s="3" t="s">
        <v>41</v>
      </c>
      <c r="U113" s="1" t="s">
        <v>42</v>
      </c>
      <c r="V113" s="1" t="s">
        <v>74</v>
      </c>
      <c r="W113" s="1" t="s">
        <v>495</v>
      </c>
      <c r="X113" s="1" t="s">
        <v>495</v>
      </c>
      <c r="Y113" s="1"/>
      <c r="Z113" s="1"/>
      <c r="AA113" s="1" t="s">
        <v>46</v>
      </c>
    </row>
    <row r="114" spans="1:27" ht="17.45" customHeight="1">
      <c r="A114" s="2" t="s">
        <v>47</v>
      </c>
      <c r="B114" s="2" t="s">
        <v>48</v>
      </c>
      <c r="C114">
        <v>1</v>
      </c>
      <c r="D114" s="2" t="s">
        <v>29</v>
      </c>
      <c r="E114" s="2" t="s">
        <v>496</v>
      </c>
      <c r="F114" s="2" t="s">
        <v>497</v>
      </c>
      <c r="G114" s="2" t="s">
        <v>32</v>
      </c>
      <c r="H114" s="2" t="s">
        <v>33</v>
      </c>
      <c r="I114" s="2" t="s">
        <v>33</v>
      </c>
      <c r="J114" s="2" t="s">
        <v>35</v>
      </c>
      <c r="K114" s="2" t="s">
        <v>36</v>
      </c>
      <c r="L114" s="2" t="s">
        <v>37</v>
      </c>
      <c r="M114" s="2" t="s">
        <v>64</v>
      </c>
      <c r="N114" s="2" t="s">
        <v>39</v>
      </c>
      <c r="O114" s="2" t="s">
        <v>33</v>
      </c>
      <c r="P114" s="2" t="s">
        <v>53</v>
      </c>
      <c r="Q114" s="2" t="s">
        <v>39</v>
      </c>
      <c r="R114" s="4">
        <v>46146.736087962963</v>
      </c>
      <c r="S114" s="4">
        <v>46146.736087962963</v>
      </c>
      <c r="T114" s="2" t="s">
        <v>41</v>
      </c>
      <c r="U114" s="1" t="s">
        <v>42</v>
      </c>
      <c r="V114" s="1" t="s">
        <v>74</v>
      </c>
      <c r="W114" s="1" t="s">
        <v>498</v>
      </c>
      <c r="X114" s="1" t="s">
        <v>497</v>
      </c>
      <c r="Y114" s="1"/>
      <c r="Z114" s="1"/>
      <c r="AA114" s="1" t="s">
        <v>46</v>
      </c>
    </row>
    <row r="115" spans="1:27" ht="17.45" customHeight="1">
      <c r="A115" s="3" t="s">
        <v>439</v>
      </c>
      <c r="B115" s="3" t="s">
        <v>120</v>
      </c>
      <c r="C115">
        <v>1</v>
      </c>
      <c r="D115" s="3" t="s">
        <v>121</v>
      </c>
      <c r="E115" s="3" t="s">
        <v>499</v>
      </c>
      <c r="F115" s="3" t="s">
        <v>500</v>
      </c>
      <c r="G115" s="3" t="s">
        <v>32</v>
      </c>
      <c r="H115" s="3" t="s">
        <v>124</v>
      </c>
      <c r="I115" s="3" t="s">
        <v>157</v>
      </c>
      <c r="J115" s="3" t="s">
        <v>35</v>
      </c>
      <c r="K115" s="3" t="s">
        <v>36</v>
      </c>
      <c r="L115" s="3" t="s">
        <v>51</v>
      </c>
      <c r="M115" s="3" t="s">
        <v>64</v>
      </c>
      <c r="N115" s="3" t="s">
        <v>39</v>
      </c>
      <c r="O115" s="3" t="s">
        <v>124</v>
      </c>
      <c r="P115" s="3" t="s">
        <v>53</v>
      </c>
      <c r="Q115" s="3" t="s">
        <v>39</v>
      </c>
      <c r="R115" s="5">
        <v>46146.744722222225</v>
      </c>
      <c r="S115" s="5">
        <v>46146.744722222225</v>
      </c>
      <c r="T115" s="3" t="s">
        <v>41</v>
      </c>
      <c r="U115" s="1" t="s">
        <v>243</v>
      </c>
      <c r="V115" s="1" t="s">
        <v>302</v>
      </c>
      <c r="W115" s="1" t="s">
        <v>501</v>
      </c>
      <c r="X115" s="1" t="s">
        <v>502</v>
      </c>
      <c r="Y115" s="1"/>
      <c r="Z115" s="1"/>
      <c r="AA115" s="1" t="s">
        <v>246</v>
      </c>
    </row>
    <row r="116" spans="1:27" ht="17.45" customHeight="1">
      <c r="A116" s="2" t="s">
        <v>357</v>
      </c>
      <c r="B116" s="2" t="s">
        <v>120</v>
      </c>
      <c r="C116">
        <v>1</v>
      </c>
      <c r="D116" s="2" t="s">
        <v>228</v>
      </c>
      <c r="E116" s="2" t="s">
        <v>503</v>
      </c>
      <c r="F116" s="2" t="s">
        <v>504</v>
      </c>
      <c r="G116" s="2" t="s">
        <v>32</v>
      </c>
      <c r="H116" s="2" t="s">
        <v>124</v>
      </c>
      <c r="I116" s="2" t="s">
        <v>124</v>
      </c>
      <c r="J116" s="2" t="s">
        <v>35</v>
      </c>
      <c r="K116" s="2" t="s">
        <v>36</v>
      </c>
      <c r="L116" s="2" t="s">
        <v>51</v>
      </c>
      <c r="M116" s="2" t="s">
        <v>64</v>
      </c>
      <c r="N116" s="2" t="s">
        <v>39</v>
      </c>
      <c r="O116" s="2" t="s">
        <v>124</v>
      </c>
      <c r="P116" s="2" t="s">
        <v>53</v>
      </c>
      <c r="Q116" s="2" t="s">
        <v>39</v>
      </c>
      <c r="R116" s="4">
        <v>46148.366261574076</v>
      </c>
      <c r="S116" s="4">
        <v>46148.366261574076</v>
      </c>
      <c r="T116" s="2" t="s">
        <v>41</v>
      </c>
      <c r="U116" s="1" t="s">
        <v>177</v>
      </c>
      <c r="V116" s="1" t="s">
        <v>215</v>
      </c>
      <c r="W116" s="1" t="s">
        <v>505</v>
      </c>
      <c r="X116" s="1" t="s">
        <v>506</v>
      </c>
      <c r="Y116" s="1"/>
      <c r="Z116" s="1"/>
      <c r="AA116" s="1" t="s">
        <v>179</v>
      </c>
    </row>
    <row r="117" spans="1:27" ht="17.45" customHeight="1">
      <c r="A117" s="3" t="s">
        <v>507</v>
      </c>
      <c r="B117" s="3" t="s">
        <v>120</v>
      </c>
      <c r="C117">
        <v>1</v>
      </c>
      <c r="D117" s="3" t="s">
        <v>121</v>
      </c>
      <c r="E117" s="3" t="s">
        <v>508</v>
      </c>
      <c r="F117" s="3" t="s">
        <v>509</v>
      </c>
      <c r="G117" s="3" t="s">
        <v>32</v>
      </c>
      <c r="H117" s="3" t="s">
        <v>124</v>
      </c>
      <c r="I117" s="3" t="s">
        <v>147</v>
      </c>
      <c r="J117" s="3" t="s">
        <v>35</v>
      </c>
      <c r="K117" s="3" t="s">
        <v>36</v>
      </c>
      <c r="L117" s="3" t="s">
        <v>51</v>
      </c>
      <c r="M117" s="3" t="s">
        <v>64</v>
      </c>
      <c r="N117" s="3" t="s">
        <v>39</v>
      </c>
      <c r="O117" s="3" t="s">
        <v>124</v>
      </c>
      <c r="P117" s="3" t="s">
        <v>53</v>
      </c>
      <c r="Q117" s="3" t="s">
        <v>39</v>
      </c>
      <c r="R117" s="5">
        <v>46148.405266203707</v>
      </c>
      <c r="S117" s="5">
        <v>46148.405266203707</v>
      </c>
      <c r="T117" s="3" t="s">
        <v>41</v>
      </c>
      <c r="U117" s="1" t="s">
        <v>283</v>
      </c>
      <c r="V117" s="1" t="s">
        <v>410</v>
      </c>
      <c r="W117" s="1" t="s">
        <v>510</v>
      </c>
      <c r="X117" s="1" t="s">
        <v>511</v>
      </c>
      <c r="Y117" s="1"/>
      <c r="Z117" s="1"/>
      <c r="AA117" s="1" t="s">
        <v>285</v>
      </c>
    </row>
    <row r="118" spans="1:27" ht="17.45" customHeight="1">
      <c r="A118" s="2" t="s">
        <v>512</v>
      </c>
      <c r="B118" s="2" t="s">
        <v>48</v>
      </c>
      <c r="C118">
        <v>1</v>
      </c>
      <c r="D118" s="2" t="s">
        <v>29</v>
      </c>
      <c r="E118" s="2" t="s">
        <v>513</v>
      </c>
      <c r="F118" s="2" t="s">
        <v>514</v>
      </c>
      <c r="G118" s="2" t="s">
        <v>32</v>
      </c>
      <c r="H118" s="2" t="s">
        <v>33</v>
      </c>
      <c r="I118" s="2" t="s">
        <v>34</v>
      </c>
      <c r="J118" s="2" t="s">
        <v>35</v>
      </c>
      <c r="K118" s="2" t="s">
        <v>36</v>
      </c>
      <c r="L118" s="2" t="s">
        <v>37</v>
      </c>
      <c r="M118" s="2" t="s">
        <v>64</v>
      </c>
      <c r="N118" s="2" t="s">
        <v>39</v>
      </c>
      <c r="O118" s="2" t="s">
        <v>33</v>
      </c>
      <c r="P118" s="2" t="s">
        <v>53</v>
      </c>
      <c r="Q118" s="2" t="s">
        <v>39</v>
      </c>
      <c r="R118" s="4">
        <v>46148.47378472222</v>
      </c>
      <c r="S118" s="4">
        <v>46148.47378472222</v>
      </c>
      <c r="T118" s="2" t="s">
        <v>41</v>
      </c>
      <c r="U118" s="1" t="s">
        <v>42</v>
      </c>
      <c r="V118" s="1" t="s">
        <v>105</v>
      </c>
      <c r="W118" s="1" t="s">
        <v>514</v>
      </c>
      <c r="X118" s="1" t="s">
        <v>514</v>
      </c>
      <c r="Y118" s="1"/>
      <c r="Z118" s="1"/>
      <c r="AA118" s="1" t="s">
        <v>46</v>
      </c>
    </row>
    <row r="119" spans="1:27" ht="17.45" customHeight="1">
      <c r="A119" s="3" t="s">
        <v>112</v>
      </c>
      <c r="B119" s="3" t="s">
        <v>48</v>
      </c>
      <c r="C119">
        <v>1</v>
      </c>
      <c r="D119" s="3" t="s">
        <v>29</v>
      </c>
      <c r="E119" s="3" t="s">
        <v>515</v>
      </c>
      <c r="F119" s="3" t="s">
        <v>516</v>
      </c>
      <c r="G119" s="3" t="s">
        <v>32</v>
      </c>
      <c r="H119" s="3" t="s">
        <v>33</v>
      </c>
      <c r="I119" s="3" t="s">
        <v>33</v>
      </c>
      <c r="J119" s="3" t="s">
        <v>35</v>
      </c>
      <c r="K119" s="3" t="s">
        <v>36</v>
      </c>
      <c r="L119" s="3" t="s">
        <v>37</v>
      </c>
      <c r="M119" s="3" t="s">
        <v>64</v>
      </c>
      <c r="N119" s="3" t="s">
        <v>39</v>
      </c>
      <c r="O119" s="3" t="s">
        <v>33</v>
      </c>
      <c r="P119" s="3" t="s">
        <v>53</v>
      </c>
      <c r="Q119" s="3" t="s">
        <v>39</v>
      </c>
      <c r="R119" s="5">
        <v>46148.63212962963</v>
      </c>
      <c r="S119" s="5">
        <v>46148.63212962963</v>
      </c>
      <c r="T119" s="3" t="s">
        <v>41</v>
      </c>
      <c r="U119" s="1" t="s">
        <v>42</v>
      </c>
      <c r="V119" s="1" t="s">
        <v>74</v>
      </c>
      <c r="W119" s="1" t="s">
        <v>517</v>
      </c>
      <c r="X119" s="1" t="s">
        <v>516</v>
      </c>
      <c r="Y119" s="1"/>
      <c r="Z119" s="1"/>
      <c r="AA119" s="1" t="s">
        <v>46</v>
      </c>
    </row>
    <row r="120" spans="1:27" ht="17.45" customHeight="1">
      <c r="A120" s="2" t="s">
        <v>518</v>
      </c>
      <c r="B120" s="2" t="s">
        <v>28</v>
      </c>
      <c r="C120">
        <v>1</v>
      </c>
      <c r="D120" s="2" t="s">
        <v>121</v>
      </c>
      <c r="E120" s="2" t="s">
        <v>519</v>
      </c>
      <c r="F120" s="2" t="s">
        <v>520</v>
      </c>
      <c r="G120" s="2" t="s">
        <v>32</v>
      </c>
      <c r="H120" s="2" t="s">
        <v>124</v>
      </c>
      <c r="I120" s="2" t="s">
        <v>157</v>
      </c>
      <c r="J120" s="2" t="s">
        <v>35</v>
      </c>
      <c r="K120" s="2" t="s">
        <v>36</v>
      </c>
      <c r="L120" s="2" t="s">
        <v>51</v>
      </c>
      <c r="M120" s="2" t="s">
        <v>64</v>
      </c>
      <c r="N120" s="2" t="s">
        <v>39</v>
      </c>
      <c r="O120" s="2" t="s">
        <v>124</v>
      </c>
      <c r="P120" s="2" t="s">
        <v>53</v>
      </c>
      <c r="Q120" s="2" t="s">
        <v>39</v>
      </c>
      <c r="R120" s="4">
        <v>46148.63789351852</v>
      </c>
      <c r="S120" s="4">
        <v>46148.63789351852</v>
      </c>
      <c r="T120" s="2" t="s">
        <v>41</v>
      </c>
      <c r="U120" s="1" t="s">
        <v>263</v>
      </c>
      <c r="V120" s="1" t="s">
        <v>264</v>
      </c>
      <c r="W120" s="1" t="s">
        <v>520</v>
      </c>
      <c r="X120" s="1" t="s">
        <v>520</v>
      </c>
      <c r="Y120" s="1"/>
      <c r="Z120" s="1"/>
      <c r="AA120" s="1" t="s">
        <v>265</v>
      </c>
    </row>
    <row r="121" spans="1:27" ht="17.45" customHeight="1">
      <c r="A121" s="3" t="s">
        <v>521</v>
      </c>
      <c r="B121" s="3" t="s">
        <v>48</v>
      </c>
      <c r="C121">
        <v>1</v>
      </c>
      <c r="D121" s="3" t="s">
        <v>29</v>
      </c>
      <c r="E121" s="3" t="s">
        <v>522</v>
      </c>
      <c r="F121" s="3" t="s">
        <v>523</v>
      </c>
      <c r="G121" s="3" t="s">
        <v>32</v>
      </c>
      <c r="H121" s="3" t="s">
        <v>33</v>
      </c>
      <c r="I121" s="3" t="s">
        <v>33</v>
      </c>
      <c r="J121" s="3" t="s">
        <v>35</v>
      </c>
      <c r="K121" s="3" t="s">
        <v>36</v>
      </c>
      <c r="L121" s="3" t="s">
        <v>37</v>
      </c>
      <c r="M121" s="3" t="s">
        <v>64</v>
      </c>
      <c r="N121" s="3" t="s">
        <v>39</v>
      </c>
      <c r="O121" s="3" t="s">
        <v>33</v>
      </c>
      <c r="P121" s="3" t="s">
        <v>53</v>
      </c>
      <c r="Q121" s="3" t="s">
        <v>39</v>
      </c>
      <c r="R121" s="5">
        <v>46148.653298611112</v>
      </c>
      <c r="S121" s="5">
        <v>46148.690370370372</v>
      </c>
      <c r="T121" s="3" t="s">
        <v>41</v>
      </c>
      <c r="U121" s="1" t="s">
        <v>83</v>
      </c>
      <c r="V121" s="1" t="s">
        <v>84</v>
      </c>
      <c r="W121" s="1" t="s">
        <v>524</v>
      </c>
      <c r="X121" s="1" t="s">
        <v>523</v>
      </c>
      <c r="Y121" s="1"/>
      <c r="Z121" s="1"/>
      <c r="AA121" s="1" t="s">
        <v>85</v>
      </c>
    </row>
    <row r="122" spans="1:27" ht="17.45" customHeight="1">
      <c r="A122" s="2" t="s">
        <v>525</v>
      </c>
      <c r="B122" s="2" t="s">
        <v>48</v>
      </c>
      <c r="C122">
        <v>1</v>
      </c>
      <c r="D122" s="2" t="s">
        <v>29</v>
      </c>
      <c r="E122" s="2" t="s">
        <v>526</v>
      </c>
      <c r="F122" s="2" t="s">
        <v>527</v>
      </c>
      <c r="G122" s="2" t="s">
        <v>32</v>
      </c>
      <c r="H122" s="2" t="s">
        <v>33</v>
      </c>
      <c r="I122" s="2" t="s">
        <v>33</v>
      </c>
      <c r="J122" s="2" t="s">
        <v>35</v>
      </c>
      <c r="K122" s="2" t="s">
        <v>36</v>
      </c>
      <c r="L122" s="2" t="s">
        <v>37</v>
      </c>
      <c r="M122" s="2" t="s">
        <v>64</v>
      </c>
      <c r="N122" s="2" t="s">
        <v>39</v>
      </c>
      <c r="O122" s="2" t="s">
        <v>33</v>
      </c>
      <c r="P122" s="2" t="s">
        <v>53</v>
      </c>
      <c r="Q122" s="2" t="s">
        <v>39</v>
      </c>
      <c r="R122" s="4">
        <v>46148.664618055554</v>
      </c>
      <c r="S122" s="4">
        <v>46148.664618055554</v>
      </c>
      <c r="T122" s="2" t="s">
        <v>41</v>
      </c>
      <c r="U122" s="1" t="s">
        <v>83</v>
      </c>
      <c r="V122" s="1" t="s">
        <v>84</v>
      </c>
      <c r="W122" s="1" t="s">
        <v>527</v>
      </c>
      <c r="X122" s="1" t="s">
        <v>527</v>
      </c>
      <c r="Y122" s="1"/>
      <c r="Z122" s="1"/>
      <c r="AA122" s="1" t="s">
        <v>85</v>
      </c>
    </row>
    <row r="123" spans="1:27" ht="17.45" customHeight="1">
      <c r="A123" s="3" t="s">
        <v>525</v>
      </c>
      <c r="B123" s="3" t="s">
        <v>48</v>
      </c>
      <c r="C123">
        <v>1</v>
      </c>
      <c r="D123" s="3" t="s">
        <v>29</v>
      </c>
      <c r="E123" s="3" t="s">
        <v>528</v>
      </c>
      <c r="F123" s="3" t="s">
        <v>529</v>
      </c>
      <c r="G123" s="3" t="s">
        <v>32</v>
      </c>
      <c r="H123" s="3" t="s">
        <v>33</v>
      </c>
      <c r="I123" s="3" t="s">
        <v>33</v>
      </c>
      <c r="J123" s="3" t="s">
        <v>35</v>
      </c>
      <c r="K123" s="3" t="s">
        <v>36</v>
      </c>
      <c r="L123" s="3" t="s">
        <v>37</v>
      </c>
      <c r="M123" s="3" t="s">
        <v>64</v>
      </c>
      <c r="N123" s="3" t="s">
        <v>39</v>
      </c>
      <c r="O123" s="3" t="s">
        <v>33</v>
      </c>
      <c r="P123" s="3" t="s">
        <v>53</v>
      </c>
      <c r="Q123" s="3" t="s">
        <v>39</v>
      </c>
      <c r="R123" s="5">
        <v>46148.667673611111</v>
      </c>
      <c r="S123" s="5">
        <v>46148.667673611111</v>
      </c>
      <c r="T123" s="3" t="s">
        <v>41</v>
      </c>
      <c r="U123" s="1" t="s">
        <v>95</v>
      </c>
      <c r="V123" s="1" t="s">
        <v>96</v>
      </c>
      <c r="W123" s="1" t="s">
        <v>530</v>
      </c>
      <c r="X123" s="1" t="s">
        <v>529</v>
      </c>
      <c r="Y123" s="1"/>
      <c r="Z123" s="1"/>
      <c r="AA123" s="1" t="s">
        <v>98</v>
      </c>
    </row>
    <row r="124" spans="1:27" ht="17.45" customHeight="1">
      <c r="A124" s="2" t="s">
        <v>531</v>
      </c>
      <c r="B124" s="2" t="s">
        <v>120</v>
      </c>
      <c r="C124">
        <v>1</v>
      </c>
      <c r="D124" s="2" t="s">
        <v>121</v>
      </c>
      <c r="E124" s="2" t="s">
        <v>532</v>
      </c>
      <c r="F124" s="2" t="s">
        <v>533</v>
      </c>
      <c r="G124" s="2" t="s">
        <v>32</v>
      </c>
      <c r="H124" s="2" t="s">
        <v>124</v>
      </c>
      <c r="I124" s="2" t="s">
        <v>192</v>
      </c>
      <c r="J124" s="2" t="s">
        <v>35</v>
      </c>
      <c r="K124" s="2" t="s">
        <v>36</v>
      </c>
      <c r="L124" s="2" t="s">
        <v>37</v>
      </c>
      <c r="M124" s="2" t="s">
        <v>64</v>
      </c>
      <c r="N124" s="2" t="s">
        <v>39</v>
      </c>
      <c r="O124" s="2" t="s">
        <v>125</v>
      </c>
      <c r="P124" s="2" t="s">
        <v>53</v>
      </c>
      <c r="Q124" s="2" t="s">
        <v>39</v>
      </c>
      <c r="R124" s="4">
        <v>46140.569756944446</v>
      </c>
      <c r="S124" s="4">
        <v>46140.569756944446</v>
      </c>
      <c r="T124" s="2" t="s">
        <v>41</v>
      </c>
      <c r="U124" s="1" t="s">
        <v>65</v>
      </c>
      <c r="V124" s="1" t="s">
        <v>70</v>
      </c>
      <c r="W124" s="1" t="s">
        <v>533</v>
      </c>
      <c r="X124" s="1" t="s">
        <v>533</v>
      </c>
      <c r="Y124" s="1"/>
      <c r="Z124" s="1"/>
      <c r="AA124" s="1" t="s">
        <v>67</v>
      </c>
    </row>
    <row r="125" spans="1:27" ht="17.45" customHeight="1">
      <c r="A125" s="3" t="s">
        <v>534</v>
      </c>
      <c r="B125" s="3" t="s">
        <v>181</v>
      </c>
      <c r="C125">
        <v>1</v>
      </c>
      <c r="D125" s="3" t="s">
        <v>29</v>
      </c>
      <c r="E125" s="3" t="s">
        <v>535</v>
      </c>
      <c r="F125" s="3" t="s">
        <v>536</v>
      </c>
      <c r="G125" s="3" t="s">
        <v>32</v>
      </c>
      <c r="H125" s="3" t="s">
        <v>33</v>
      </c>
      <c r="I125" s="3" t="s">
        <v>34</v>
      </c>
      <c r="J125" s="3" t="s">
        <v>35</v>
      </c>
      <c r="K125" s="3" t="s">
        <v>36</v>
      </c>
      <c r="L125" s="3" t="s">
        <v>51</v>
      </c>
      <c r="M125" s="3" t="s">
        <v>64</v>
      </c>
      <c r="N125" s="3" t="s">
        <v>39</v>
      </c>
      <c r="O125" s="3" t="s">
        <v>33</v>
      </c>
      <c r="P125" s="3" t="s">
        <v>53</v>
      </c>
      <c r="Q125" s="3" t="s">
        <v>39</v>
      </c>
      <c r="R125" s="5">
        <v>46140.569965277777</v>
      </c>
      <c r="S125" s="5">
        <v>46140.569965277777</v>
      </c>
      <c r="T125" s="3" t="s">
        <v>41</v>
      </c>
      <c r="U125" s="1" t="s">
        <v>83</v>
      </c>
      <c r="V125" s="1" t="s">
        <v>84</v>
      </c>
      <c r="W125" s="1" t="s">
        <v>537</v>
      </c>
      <c r="X125" s="1" t="s">
        <v>537</v>
      </c>
      <c r="Y125" s="1"/>
      <c r="Z125" s="1"/>
      <c r="AA125" s="1" t="s">
        <v>85</v>
      </c>
    </row>
    <row r="126" spans="1:27" ht="17.45" customHeight="1">
      <c r="A126" s="2" t="s">
        <v>411</v>
      </c>
      <c r="B126" s="2" t="s">
        <v>120</v>
      </c>
      <c r="C126">
        <v>1</v>
      </c>
      <c r="D126" s="2" t="s">
        <v>121</v>
      </c>
      <c r="E126" s="2" t="s">
        <v>538</v>
      </c>
      <c r="F126" s="2" t="s">
        <v>539</v>
      </c>
      <c r="G126" s="2" t="s">
        <v>32</v>
      </c>
      <c r="H126" s="2" t="s">
        <v>124</v>
      </c>
      <c r="I126" s="2" t="s">
        <v>192</v>
      </c>
      <c r="J126" s="2" t="s">
        <v>35</v>
      </c>
      <c r="K126" s="2" t="s">
        <v>36</v>
      </c>
      <c r="L126" s="2" t="s">
        <v>51</v>
      </c>
      <c r="M126" s="2" t="s">
        <v>82</v>
      </c>
      <c r="N126" s="2" t="s">
        <v>39</v>
      </c>
      <c r="O126" s="2" t="s">
        <v>125</v>
      </c>
      <c r="P126" s="2" t="s">
        <v>40</v>
      </c>
      <c r="Q126" s="2" t="s">
        <v>39</v>
      </c>
      <c r="R126" s="4">
        <v>46140.583148148151</v>
      </c>
      <c r="S126" s="4">
        <v>46140.583148148151</v>
      </c>
      <c r="T126" s="2" t="s">
        <v>41</v>
      </c>
      <c r="U126" s="1" t="s">
        <v>65</v>
      </c>
      <c r="V126" s="1" t="s">
        <v>70</v>
      </c>
      <c r="W126" s="1" t="s">
        <v>540</v>
      </c>
      <c r="X126" s="1" t="s">
        <v>477</v>
      </c>
      <c r="Y126" s="1"/>
      <c r="Z126" s="1"/>
      <c r="AA126" s="1" t="s">
        <v>67</v>
      </c>
    </row>
    <row r="127" spans="1:27" ht="17.45" customHeight="1">
      <c r="A127" s="3" t="s">
        <v>154</v>
      </c>
      <c r="B127" s="3" t="s">
        <v>120</v>
      </c>
      <c r="C127">
        <v>1</v>
      </c>
      <c r="D127" s="3" t="s">
        <v>121</v>
      </c>
      <c r="E127" s="3" t="s">
        <v>541</v>
      </c>
      <c r="F127" s="3" t="s">
        <v>542</v>
      </c>
      <c r="G127" s="3" t="s">
        <v>32</v>
      </c>
      <c r="H127" s="3" t="s">
        <v>124</v>
      </c>
      <c r="I127" s="3" t="s">
        <v>157</v>
      </c>
      <c r="J127" s="3" t="s">
        <v>35</v>
      </c>
      <c r="K127" s="3" t="s">
        <v>36</v>
      </c>
      <c r="L127" s="3" t="s">
        <v>51</v>
      </c>
      <c r="M127" s="3" t="s">
        <v>82</v>
      </c>
      <c r="N127" s="3" t="s">
        <v>39</v>
      </c>
      <c r="O127" s="3" t="s">
        <v>125</v>
      </c>
      <c r="P127" s="3" t="s">
        <v>40</v>
      </c>
      <c r="Q127" s="3" t="s">
        <v>39</v>
      </c>
      <c r="R127" s="5">
        <v>46140.584293981483</v>
      </c>
      <c r="S127" s="5">
        <v>46140.584293981483</v>
      </c>
      <c r="T127" s="3" t="s">
        <v>41</v>
      </c>
      <c r="U127" s="1" t="s">
        <v>83</v>
      </c>
      <c r="V127" s="1" t="s">
        <v>84</v>
      </c>
      <c r="W127" s="1" t="s">
        <v>542</v>
      </c>
      <c r="X127" s="1" t="s">
        <v>542</v>
      </c>
      <c r="Y127" s="1"/>
      <c r="Z127" s="1"/>
      <c r="AA127" s="1" t="s">
        <v>85</v>
      </c>
    </row>
    <row r="128" spans="1:27" ht="17.45" customHeight="1">
      <c r="A128" s="2" t="s">
        <v>180</v>
      </c>
      <c r="B128" s="2" t="s">
        <v>181</v>
      </c>
      <c r="C128">
        <v>1</v>
      </c>
      <c r="D128" s="2" t="s">
        <v>29</v>
      </c>
      <c r="E128" s="2" t="s">
        <v>543</v>
      </c>
      <c r="F128" s="2" t="s">
        <v>544</v>
      </c>
      <c r="G128" s="2" t="s">
        <v>32</v>
      </c>
      <c r="H128" s="2" t="s">
        <v>33</v>
      </c>
      <c r="I128" s="2" t="s">
        <v>34</v>
      </c>
      <c r="J128" s="2" t="s">
        <v>35</v>
      </c>
      <c r="K128" s="2" t="s">
        <v>36</v>
      </c>
      <c r="L128" s="2" t="s">
        <v>51</v>
      </c>
      <c r="M128" s="2" t="s">
        <v>64</v>
      </c>
      <c r="N128" s="2" t="s">
        <v>39</v>
      </c>
      <c r="O128" s="2" t="s">
        <v>33</v>
      </c>
      <c r="P128" s="2" t="s">
        <v>53</v>
      </c>
      <c r="Q128" s="2" t="s">
        <v>39</v>
      </c>
      <c r="R128" s="4">
        <v>46140.587453703702</v>
      </c>
      <c r="S128" s="4">
        <v>46140.587453703702</v>
      </c>
      <c r="T128" s="2" t="s">
        <v>41</v>
      </c>
      <c r="U128" s="1" t="s">
        <v>95</v>
      </c>
      <c r="V128" s="1" t="s">
        <v>96</v>
      </c>
      <c r="W128" s="1" t="s">
        <v>545</v>
      </c>
      <c r="X128" s="1" t="s">
        <v>545</v>
      </c>
      <c r="Y128" s="1"/>
      <c r="Z128" s="1"/>
      <c r="AA128" s="1" t="s">
        <v>98</v>
      </c>
    </row>
    <row r="129" spans="1:27" ht="17.45" customHeight="1">
      <c r="A129" s="3" t="s">
        <v>546</v>
      </c>
      <c r="B129" s="3" t="s">
        <v>181</v>
      </c>
      <c r="C129">
        <v>1</v>
      </c>
      <c r="D129" s="3" t="s">
        <v>29</v>
      </c>
      <c r="E129" s="3" t="s">
        <v>547</v>
      </c>
      <c r="F129" s="3" t="s">
        <v>548</v>
      </c>
      <c r="G129" s="3" t="s">
        <v>32</v>
      </c>
      <c r="H129" s="3" t="s">
        <v>33</v>
      </c>
      <c r="I129" s="3" t="s">
        <v>34</v>
      </c>
      <c r="J129" s="3" t="s">
        <v>35</v>
      </c>
      <c r="K129" s="3" t="s">
        <v>36</v>
      </c>
      <c r="L129" s="3" t="s">
        <v>37</v>
      </c>
      <c r="M129" s="3" t="s">
        <v>52</v>
      </c>
      <c r="N129" s="3" t="s">
        <v>39</v>
      </c>
      <c r="O129" s="3" t="s">
        <v>33</v>
      </c>
      <c r="P129" s="3" t="s">
        <v>40</v>
      </c>
      <c r="Q129" s="3" t="s">
        <v>39</v>
      </c>
      <c r="R129" s="5">
        <v>46140.620891203704</v>
      </c>
      <c r="S129" s="5">
        <v>46140.620891203704</v>
      </c>
      <c r="T129" s="3" t="s">
        <v>41</v>
      </c>
      <c r="U129" s="1" t="s">
        <v>115</v>
      </c>
      <c r="V129" s="1" t="s">
        <v>116</v>
      </c>
      <c r="W129" s="1" t="s">
        <v>549</v>
      </c>
      <c r="X129" s="1" t="s">
        <v>549</v>
      </c>
      <c r="Y129" s="1"/>
      <c r="Z129" s="1"/>
      <c r="AA129" s="1" t="s">
        <v>118</v>
      </c>
    </row>
    <row r="130" spans="1:27" ht="17.45" customHeight="1">
      <c r="A130" s="2" t="s">
        <v>290</v>
      </c>
      <c r="B130" s="2" t="s">
        <v>120</v>
      </c>
      <c r="C130">
        <v>1</v>
      </c>
      <c r="D130" s="2" t="s">
        <v>121</v>
      </c>
      <c r="E130" s="2" t="s">
        <v>550</v>
      </c>
      <c r="F130" s="2" t="s">
        <v>551</v>
      </c>
      <c r="G130" s="2" t="s">
        <v>32</v>
      </c>
      <c r="H130" s="2" t="s">
        <v>124</v>
      </c>
      <c r="I130" s="2" t="s">
        <v>192</v>
      </c>
      <c r="J130" s="2" t="s">
        <v>35</v>
      </c>
      <c r="K130" s="2" t="s">
        <v>36</v>
      </c>
      <c r="L130" s="2" t="s">
        <v>37</v>
      </c>
      <c r="M130" s="2" t="s">
        <v>52</v>
      </c>
      <c r="N130" s="2" t="s">
        <v>39</v>
      </c>
      <c r="O130" s="2" t="s">
        <v>125</v>
      </c>
      <c r="P130" s="2" t="s">
        <v>40</v>
      </c>
      <c r="Q130" s="2" t="s">
        <v>39</v>
      </c>
      <c r="R130" s="4">
        <v>46140.620983796296</v>
      </c>
      <c r="S130" s="4">
        <v>46140.620983796296</v>
      </c>
      <c r="T130" s="2" t="s">
        <v>41</v>
      </c>
      <c r="U130" s="1" t="s">
        <v>115</v>
      </c>
      <c r="V130" s="1" t="s">
        <v>116</v>
      </c>
      <c r="W130" s="1" t="s">
        <v>551</v>
      </c>
      <c r="X130" s="1" t="s">
        <v>551</v>
      </c>
      <c r="Y130" s="1"/>
      <c r="Z130" s="1"/>
      <c r="AA130" s="1" t="s">
        <v>118</v>
      </c>
    </row>
    <row r="131" spans="1:27" ht="17.45" customHeight="1">
      <c r="A131" s="3" t="s">
        <v>290</v>
      </c>
      <c r="B131" s="3" t="s">
        <v>120</v>
      </c>
      <c r="C131">
        <v>1</v>
      </c>
      <c r="D131" s="3" t="s">
        <v>121</v>
      </c>
      <c r="E131" s="3" t="s">
        <v>552</v>
      </c>
      <c r="F131" s="3" t="s">
        <v>553</v>
      </c>
      <c r="G131" s="3" t="s">
        <v>32</v>
      </c>
      <c r="H131" s="3" t="s">
        <v>124</v>
      </c>
      <c r="I131" s="3" t="s">
        <v>192</v>
      </c>
      <c r="J131" s="3" t="s">
        <v>35</v>
      </c>
      <c r="K131" s="3" t="s">
        <v>36</v>
      </c>
      <c r="L131" s="3" t="s">
        <v>51</v>
      </c>
      <c r="M131" s="3" t="s">
        <v>64</v>
      </c>
      <c r="N131" s="3" t="s">
        <v>39</v>
      </c>
      <c r="O131" s="3" t="s">
        <v>125</v>
      </c>
      <c r="P131" s="3" t="s">
        <v>53</v>
      </c>
      <c r="Q131" s="3" t="s">
        <v>39</v>
      </c>
      <c r="R131" s="5">
        <v>46140.622037037036</v>
      </c>
      <c r="S131" s="5">
        <v>46140.622037037036</v>
      </c>
      <c r="T131" s="3" t="s">
        <v>41</v>
      </c>
      <c r="U131" s="1" t="s">
        <v>59</v>
      </c>
      <c r="V131" s="1" t="s">
        <v>142</v>
      </c>
      <c r="W131" s="1" t="s">
        <v>554</v>
      </c>
      <c r="X131" s="1" t="s">
        <v>555</v>
      </c>
      <c r="Y131" s="1"/>
      <c r="Z131" s="1"/>
      <c r="AA131" s="1" t="s">
        <v>61</v>
      </c>
    </row>
    <row r="132" spans="1:27" ht="17.45" customHeight="1">
      <c r="A132" s="2" t="s">
        <v>290</v>
      </c>
      <c r="B132" s="2" t="s">
        <v>120</v>
      </c>
      <c r="C132">
        <v>1</v>
      </c>
      <c r="D132" s="2" t="s">
        <v>121</v>
      </c>
      <c r="E132" s="2" t="s">
        <v>556</v>
      </c>
      <c r="F132" s="2" t="s">
        <v>557</v>
      </c>
      <c r="G132" s="2" t="s">
        <v>32</v>
      </c>
      <c r="H132" s="2" t="s">
        <v>124</v>
      </c>
      <c r="I132" s="2" t="s">
        <v>192</v>
      </c>
      <c r="J132" s="2" t="s">
        <v>35</v>
      </c>
      <c r="K132" s="2" t="s">
        <v>36</v>
      </c>
      <c r="L132" s="2" t="s">
        <v>37</v>
      </c>
      <c r="M132" s="2" t="s">
        <v>52</v>
      </c>
      <c r="N132" s="2" t="s">
        <v>39</v>
      </c>
      <c r="O132" s="2" t="s">
        <v>125</v>
      </c>
      <c r="P132" s="2" t="s">
        <v>40</v>
      </c>
      <c r="Q132" s="2" t="s">
        <v>39</v>
      </c>
      <c r="R132" s="4">
        <v>46140.628738425927</v>
      </c>
      <c r="S132" s="4">
        <v>46140.628738425927</v>
      </c>
      <c r="T132" s="2" t="s">
        <v>41</v>
      </c>
      <c r="U132" s="1" t="s">
        <v>283</v>
      </c>
      <c r="V132" s="1" t="s">
        <v>293</v>
      </c>
      <c r="W132" s="1" t="s">
        <v>558</v>
      </c>
      <c r="X132" s="1" t="s">
        <v>559</v>
      </c>
      <c r="Y132" s="1"/>
      <c r="Z132" s="1"/>
      <c r="AA132" s="1" t="s">
        <v>285</v>
      </c>
    </row>
    <row r="133" spans="1:27" ht="17.45" customHeight="1">
      <c r="A133" s="3" t="s">
        <v>507</v>
      </c>
      <c r="B133" s="3" t="s">
        <v>120</v>
      </c>
      <c r="C133">
        <v>1</v>
      </c>
      <c r="D133" s="3" t="s">
        <v>121</v>
      </c>
      <c r="E133" s="3" t="s">
        <v>560</v>
      </c>
      <c r="F133" s="3" t="s">
        <v>561</v>
      </c>
      <c r="G133" s="3" t="s">
        <v>32</v>
      </c>
      <c r="H133" s="3" t="s">
        <v>124</v>
      </c>
      <c r="I133" s="3" t="s">
        <v>147</v>
      </c>
      <c r="J133" s="3" t="s">
        <v>35</v>
      </c>
      <c r="K133" s="3" t="s">
        <v>36</v>
      </c>
      <c r="L133" s="3" t="s">
        <v>37</v>
      </c>
      <c r="M133" s="3" t="s">
        <v>38</v>
      </c>
      <c r="N133" s="3" t="s">
        <v>39</v>
      </c>
      <c r="O133" s="3" t="s">
        <v>125</v>
      </c>
      <c r="P133" s="3" t="s">
        <v>58</v>
      </c>
      <c r="Q133" s="3" t="s">
        <v>39</v>
      </c>
      <c r="R133" s="5">
        <v>46140.657881944448</v>
      </c>
      <c r="S133" s="5">
        <v>46140.657881944448</v>
      </c>
      <c r="T133" s="3" t="s">
        <v>41</v>
      </c>
      <c r="U133" s="1" t="s">
        <v>283</v>
      </c>
      <c r="V133" s="1" t="s">
        <v>410</v>
      </c>
      <c r="W133" s="1" t="s">
        <v>561</v>
      </c>
      <c r="X133" s="1" t="s">
        <v>561</v>
      </c>
      <c r="Y133" s="1"/>
      <c r="Z133" s="1"/>
      <c r="AA133" s="1" t="s">
        <v>285</v>
      </c>
    </row>
    <row r="134" spans="1:27" ht="17.45" customHeight="1">
      <c r="A134" s="2" t="s">
        <v>562</v>
      </c>
      <c r="B134" s="2" t="s">
        <v>120</v>
      </c>
      <c r="C134">
        <v>1</v>
      </c>
      <c r="D134" s="2" t="s">
        <v>121</v>
      </c>
      <c r="E134" s="2" t="s">
        <v>563</v>
      </c>
      <c r="F134" s="2" t="s">
        <v>564</v>
      </c>
      <c r="G134" s="2" t="s">
        <v>32</v>
      </c>
      <c r="H134" s="2" t="s">
        <v>124</v>
      </c>
      <c r="I134" s="2" t="s">
        <v>33</v>
      </c>
      <c r="J134" s="2" t="s">
        <v>35</v>
      </c>
      <c r="K134" s="2" t="s">
        <v>36</v>
      </c>
      <c r="L134" s="2" t="s">
        <v>51</v>
      </c>
      <c r="M134" s="2" t="s">
        <v>64</v>
      </c>
      <c r="N134" s="2" t="s">
        <v>39</v>
      </c>
      <c r="O134" s="2" t="s">
        <v>125</v>
      </c>
      <c r="P134" s="2" t="s">
        <v>40</v>
      </c>
      <c r="Q134" s="2" t="s">
        <v>39</v>
      </c>
      <c r="R134" s="4">
        <v>46140.665069444447</v>
      </c>
      <c r="S134" s="4">
        <v>46140.665081018517</v>
      </c>
      <c r="T134" s="2" t="s">
        <v>41</v>
      </c>
      <c r="U134" s="1" t="s">
        <v>283</v>
      </c>
      <c r="V134" s="1" t="s">
        <v>565</v>
      </c>
      <c r="W134" s="1" t="s">
        <v>564</v>
      </c>
      <c r="X134" s="1" t="s">
        <v>564</v>
      </c>
      <c r="Y134" s="1"/>
      <c r="Z134" s="1"/>
      <c r="AA134" s="1" t="s">
        <v>285</v>
      </c>
    </row>
    <row r="135" spans="1:27" ht="17.45" customHeight="1">
      <c r="A135" s="3" t="s">
        <v>566</v>
      </c>
      <c r="B135" s="3" t="s">
        <v>120</v>
      </c>
      <c r="C135">
        <v>1</v>
      </c>
      <c r="D135" s="3" t="s">
        <v>29</v>
      </c>
      <c r="E135" s="3" t="s">
        <v>567</v>
      </c>
      <c r="F135" s="3" t="s">
        <v>568</v>
      </c>
      <c r="G135" s="3" t="s">
        <v>32</v>
      </c>
      <c r="H135" s="3" t="s">
        <v>33</v>
      </c>
      <c r="I135" s="3" t="s">
        <v>34</v>
      </c>
      <c r="J135" s="3" t="s">
        <v>35</v>
      </c>
      <c r="K135" s="3" t="s">
        <v>36</v>
      </c>
      <c r="L135" s="3" t="s">
        <v>51</v>
      </c>
      <c r="M135" s="3" t="s">
        <v>115</v>
      </c>
      <c r="N135" s="3" t="s">
        <v>39</v>
      </c>
      <c r="O135" s="3" t="s">
        <v>33</v>
      </c>
      <c r="P135" s="3" t="s">
        <v>53</v>
      </c>
      <c r="Q135" s="3" t="s">
        <v>39</v>
      </c>
      <c r="R135" s="5">
        <v>46140.716203703705</v>
      </c>
      <c r="S135" s="5">
        <v>46140.716203703705</v>
      </c>
      <c r="T135" s="3" t="s">
        <v>41</v>
      </c>
      <c r="U135" s="1" t="s">
        <v>569</v>
      </c>
      <c r="V135" s="1" t="s">
        <v>570</v>
      </c>
      <c r="W135" s="1" t="s">
        <v>571</v>
      </c>
      <c r="X135" s="1" t="s">
        <v>572</v>
      </c>
      <c r="Y135" s="1"/>
      <c r="Z135" s="1"/>
      <c r="AA135" s="1" t="s">
        <v>573</v>
      </c>
    </row>
    <row r="136" spans="1:27" ht="17.45" customHeight="1">
      <c r="A136" s="2" t="s">
        <v>574</v>
      </c>
      <c r="B136" s="2" t="s">
        <v>181</v>
      </c>
      <c r="C136">
        <v>1</v>
      </c>
      <c r="D136" s="2" t="s">
        <v>29</v>
      </c>
      <c r="E136" s="2" t="s">
        <v>575</v>
      </c>
      <c r="F136" s="2" t="s">
        <v>576</v>
      </c>
      <c r="G136" s="2" t="s">
        <v>32</v>
      </c>
      <c r="H136" s="2" t="s">
        <v>33</v>
      </c>
      <c r="I136" s="2" t="s">
        <v>78</v>
      </c>
      <c r="J136" s="2" t="s">
        <v>35</v>
      </c>
      <c r="K136" s="2" t="s">
        <v>36</v>
      </c>
      <c r="L136" s="2" t="s">
        <v>37</v>
      </c>
      <c r="M136" s="2" t="s">
        <v>64</v>
      </c>
      <c r="N136" s="2" t="s">
        <v>39</v>
      </c>
      <c r="O136" s="2" t="s">
        <v>33</v>
      </c>
      <c r="P136" s="2" t="s">
        <v>40</v>
      </c>
      <c r="Q136" s="2" t="s">
        <v>39</v>
      </c>
      <c r="R136" s="4">
        <v>46140.718935185185</v>
      </c>
      <c r="S136" s="4">
        <v>46140.718935185185</v>
      </c>
      <c r="T136" s="2" t="s">
        <v>41</v>
      </c>
      <c r="U136" s="1" t="s">
        <v>83</v>
      </c>
      <c r="V136" s="1" t="s">
        <v>84</v>
      </c>
      <c r="W136" s="1" t="s">
        <v>577</v>
      </c>
      <c r="X136" s="1" t="s">
        <v>577</v>
      </c>
      <c r="Y136" s="1"/>
      <c r="Z136" s="1"/>
      <c r="AA136" s="1" t="s">
        <v>85</v>
      </c>
    </row>
    <row r="137" spans="1:27" ht="17.45" customHeight="1">
      <c r="A137" s="3" t="s">
        <v>486</v>
      </c>
      <c r="B137" s="3" t="s">
        <v>181</v>
      </c>
      <c r="C137">
        <v>1</v>
      </c>
      <c r="D137" s="3" t="s">
        <v>29</v>
      </c>
      <c r="E137" s="3" t="s">
        <v>578</v>
      </c>
      <c r="F137" s="3" t="s">
        <v>579</v>
      </c>
      <c r="G137" s="3" t="s">
        <v>32</v>
      </c>
      <c r="H137" s="3" t="s">
        <v>33</v>
      </c>
      <c r="I137" s="3" t="s">
        <v>34</v>
      </c>
      <c r="J137" s="3" t="s">
        <v>35</v>
      </c>
      <c r="K137" s="3" t="s">
        <v>36</v>
      </c>
      <c r="L137" s="3" t="s">
        <v>51</v>
      </c>
      <c r="M137" s="3" t="s">
        <v>64</v>
      </c>
      <c r="N137" s="3" t="s">
        <v>39</v>
      </c>
      <c r="O137" s="3" t="s">
        <v>33</v>
      </c>
      <c r="P137" s="3" t="s">
        <v>53</v>
      </c>
      <c r="Q137" s="3" t="s">
        <v>39</v>
      </c>
      <c r="R137" s="5">
        <v>46140.64634259259</v>
      </c>
      <c r="S137" s="5">
        <v>46140.64634259259</v>
      </c>
      <c r="T137" s="3" t="s">
        <v>41</v>
      </c>
      <c r="U137" s="1" t="s">
        <v>42</v>
      </c>
      <c r="V137" s="1" t="s">
        <v>54</v>
      </c>
      <c r="W137" s="1" t="s">
        <v>580</v>
      </c>
      <c r="X137" s="1" t="s">
        <v>581</v>
      </c>
      <c r="Y137" s="1"/>
      <c r="Z137" s="1"/>
      <c r="AA137" s="1" t="s">
        <v>46</v>
      </c>
    </row>
    <row r="138" spans="1:27" ht="17.45" customHeight="1">
      <c r="A138" s="2" t="s">
        <v>290</v>
      </c>
      <c r="B138" s="2" t="s">
        <v>120</v>
      </c>
      <c r="C138">
        <v>1</v>
      </c>
      <c r="D138" s="2" t="s">
        <v>121</v>
      </c>
      <c r="E138" s="2" t="s">
        <v>582</v>
      </c>
      <c r="F138" s="2" t="s">
        <v>583</v>
      </c>
      <c r="G138" s="2" t="s">
        <v>32</v>
      </c>
      <c r="H138" s="2" t="s">
        <v>124</v>
      </c>
      <c r="I138" s="2" t="s">
        <v>192</v>
      </c>
      <c r="J138" s="2" t="s">
        <v>35</v>
      </c>
      <c r="K138" s="2" t="s">
        <v>36</v>
      </c>
      <c r="L138" s="2" t="s">
        <v>37</v>
      </c>
      <c r="M138" s="2" t="s">
        <v>38</v>
      </c>
      <c r="N138" s="2" t="s">
        <v>39</v>
      </c>
      <c r="O138" s="2" t="s">
        <v>125</v>
      </c>
      <c r="P138" s="2" t="s">
        <v>58</v>
      </c>
      <c r="Q138" s="2" t="s">
        <v>39</v>
      </c>
      <c r="R138" s="4">
        <v>46140.648842592593</v>
      </c>
      <c r="S138" s="4">
        <v>46140.648842592593</v>
      </c>
      <c r="T138" s="2" t="s">
        <v>41</v>
      </c>
      <c r="U138" s="1" t="s">
        <v>83</v>
      </c>
      <c r="V138" s="1" t="s">
        <v>84</v>
      </c>
      <c r="W138" s="1" t="s">
        <v>583</v>
      </c>
      <c r="X138" s="1" t="s">
        <v>583</v>
      </c>
      <c r="Y138" s="1"/>
      <c r="Z138" s="1"/>
      <c r="AA138" s="1" t="s">
        <v>85</v>
      </c>
    </row>
    <row r="139" spans="1:27" ht="17.45" customHeight="1">
      <c r="A139" s="3" t="s">
        <v>290</v>
      </c>
      <c r="B139" s="3" t="s">
        <v>120</v>
      </c>
      <c r="C139">
        <v>1</v>
      </c>
      <c r="D139" s="3" t="s">
        <v>121</v>
      </c>
      <c r="E139" s="3" t="s">
        <v>584</v>
      </c>
      <c r="F139" s="3" t="s">
        <v>585</v>
      </c>
      <c r="G139" s="3" t="s">
        <v>32</v>
      </c>
      <c r="H139" s="3" t="s">
        <v>124</v>
      </c>
      <c r="I139" s="3" t="s">
        <v>192</v>
      </c>
      <c r="J139" s="3" t="s">
        <v>35</v>
      </c>
      <c r="K139" s="3" t="s">
        <v>36</v>
      </c>
      <c r="L139" s="3" t="s">
        <v>51</v>
      </c>
      <c r="M139" s="3" t="s">
        <v>64</v>
      </c>
      <c r="N139" s="3" t="s">
        <v>39</v>
      </c>
      <c r="O139" s="3" t="s">
        <v>125</v>
      </c>
      <c r="P139" s="3" t="s">
        <v>53</v>
      </c>
      <c r="Q139" s="3" t="s">
        <v>39</v>
      </c>
      <c r="R139" s="5">
        <v>46140.652187500003</v>
      </c>
      <c r="S139" s="5">
        <v>46140.652187500003</v>
      </c>
      <c r="T139" s="3" t="s">
        <v>41</v>
      </c>
      <c r="U139" s="1" t="s">
        <v>263</v>
      </c>
      <c r="V139" s="1" t="s">
        <v>264</v>
      </c>
      <c r="W139" s="1" t="s">
        <v>585</v>
      </c>
      <c r="X139" s="1" t="s">
        <v>585</v>
      </c>
      <c r="Y139" s="1"/>
      <c r="Z139" s="1"/>
      <c r="AA139" s="1" t="s">
        <v>265</v>
      </c>
    </row>
    <row r="140" spans="1:27" ht="17.45" customHeight="1">
      <c r="A140" s="2" t="s">
        <v>586</v>
      </c>
      <c r="B140" s="2" t="s">
        <v>181</v>
      </c>
      <c r="C140">
        <v>1</v>
      </c>
      <c r="D140" s="2" t="s">
        <v>29</v>
      </c>
      <c r="E140" s="2" t="s">
        <v>587</v>
      </c>
      <c r="F140" s="2" t="s">
        <v>588</v>
      </c>
      <c r="G140" s="2" t="s">
        <v>32</v>
      </c>
      <c r="H140" s="2" t="s">
        <v>33</v>
      </c>
      <c r="I140" s="2" t="s">
        <v>78</v>
      </c>
      <c r="J140" s="2" t="s">
        <v>35</v>
      </c>
      <c r="K140" s="2" t="s">
        <v>36</v>
      </c>
      <c r="L140" s="2" t="s">
        <v>51</v>
      </c>
      <c r="M140" s="2" t="s">
        <v>38</v>
      </c>
      <c r="N140" s="2" t="s">
        <v>39</v>
      </c>
      <c r="O140" s="2" t="s">
        <v>33</v>
      </c>
      <c r="P140" s="2" t="s">
        <v>53</v>
      </c>
      <c r="Q140" s="2" t="s">
        <v>39</v>
      </c>
      <c r="R140" s="4">
        <v>46140.674409722225</v>
      </c>
      <c r="S140" s="4">
        <v>46140.674409722225</v>
      </c>
      <c r="T140" s="2" t="s">
        <v>41</v>
      </c>
      <c r="U140" s="1" t="s">
        <v>95</v>
      </c>
      <c r="V140" s="1" t="s">
        <v>96</v>
      </c>
      <c r="W140" s="1" t="s">
        <v>588</v>
      </c>
      <c r="X140" s="1" t="s">
        <v>588</v>
      </c>
      <c r="Y140" s="1"/>
      <c r="Z140" s="1"/>
      <c r="AA140" s="1" t="s">
        <v>98</v>
      </c>
    </row>
    <row r="141" spans="1:27" ht="17.45" customHeight="1">
      <c r="A141" s="3" t="s">
        <v>589</v>
      </c>
      <c r="B141" s="3" t="s">
        <v>181</v>
      </c>
      <c r="C141">
        <v>1</v>
      </c>
      <c r="D141" s="3" t="s">
        <v>29</v>
      </c>
      <c r="E141" s="3" t="s">
        <v>590</v>
      </c>
      <c r="F141" s="3" t="s">
        <v>591</v>
      </c>
      <c r="G141" s="3" t="s">
        <v>32</v>
      </c>
      <c r="H141" s="3" t="s">
        <v>33</v>
      </c>
      <c r="I141" s="3" t="s">
        <v>78</v>
      </c>
      <c r="J141" s="3" t="s">
        <v>35</v>
      </c>
      <c r="K141" s="3" t="s">
        <v>36</v>
      </c>
      <c r="L141" s="3" t="s">
        <v>51</v>
      </c>
      <c r="M141" s="3" t="s">
        <v>115</v>
      </c>
      <c r="N141" s="3" t="s">
        <v>39</v>
      </c>
      <c r="O141" s="3" t="s">
        <v>33</v>
      </c>
      <c r="P141" s="3" t="s">
        <v>53</v>
      </c>
      <c r="Q141" s="3" t="s">
        <v>39</v>
      </c>
      <c r="R141" s="5">
        <v>46140.684027777781</v>
      </c>
      <c r="S141" s="5">
        <v>46140.684027777781</v>
      </c>
      <c r="T141" s="3" t="s">
        <v>41</v>
      </c>
      <c r="U141" s="1" t="s">
        <v>59</v>
      </c>
      <c r="V141" s="1" t="s">
        <v>60</v>
      </c>
      <c r="W141" s="1" t="s">
        <v>592</v>
      </c>
      <c r="X141" s="1" t="s">
        <v>592</v>
      </c>
      <c r="Y141" s="1"/>
      <c r="Z141" s="1"/>
      <c r="AA141" s="1" t="s">
        <v>61</v>
      </c>
    </row>
    <row r="142" spans="1:27" ht="17.45" customHeight="1">
      <c r="A142" s="2" t="s">
        <v>593</v>
      </c>
      <c r="B142" s="2" t="s">
        <v>181</v>
      </c>
      <c r="C142">
        <v>1</v>
      </c>
      <c r="D142" s="2" t="s">
        <v>29</v>
      </c>
      <c r="E142" s="2" t="s">
        <v>594</v>
      </c>
      <c r="F142" s="2" t="s">
        <v>595</v>
      </c>
      <c r="G142" s="2" t="s">
        <v>32</v>
      </c>
      <c r="H142" s="2" t="s">
        <v>33</v>
      </c>
      <c r="I142" s="2" t="s">
        <v>34</v>
      </c>
      <c r="J142" s="2" t="s">
        <v>35</v>
      </c>
      <c r="K142" s="2" t="s">
        <v>36</v>
      </c>
      <c r="L142" s="2" t="s">
        <v>37</v>
      </c>
      <c r="M142" s="2" t="s">
        <v>38</v>
      </c>
      <c r="N142" s="2" t="s">
        <v>39</v>
      </c>
      <c r="O142" s="2" t="s">
        <v>33</v>
      </c>
      <c r="P142" s="2" t="s">
        <v>40</v>
      </c>
      <c r="Q142" s="2" t="s">
        <v>39</v>
      </c>
      <c r="R142" s="4">
        <v>46140.699699074074</v>
      </c>
      <c r="S142" s="4">
        <v>46140.699699074074</v>
      </c>
      <c r="T142" s="2" t="s">
        <v>41</v>
      </c>
      <c r="U142" s="1" t="s">
        <v>42</v>
      </c>
      <c r="V142" s="1" t="s">
        <v>74</v>
      </c>
      <c r="W142" s="1" t="s">
        <v>596</v>
      </c>
      <c r="X142" s="1" t="s">
        <v>597</v>
      </c>
      <c r="Y142" s="1"/>
      <c r="Z142" s="1"/>
      <c r="AA142" s="1" t="s">
        <v>46</v>
      </c>
    </row>
    <row r="143" spans="1:27" ht="17.45" customHeight="1">
      <c r="A143" s="3" t="s">
        <v>593</v>
      </c>
      <c r="B143" s="3" t="s">
        <v>181</v>
      </c>
      <c r="C143">
        <v>1</v>
      </c>
      <c r="D143" s="3" t="s">
        <v>29</v>
      </c>
      <c r="E143" s="3" t="s">
        <v>598</v>
      </c>
      <c r="F143" s="3" t="s">
        <v>599</v>
      </c>
      <c r="G143" s="3" t="s">
        <v>32</v>
      </c>
      <c r="H143" s="3" t="s">
        <v>33</v>
      </c>
      <c r="I143" s="3" t="s">
        <v>34</v>
      </c>
      <c r="J143" s="3" t="s">
        <v>35</v>
      </c>
      <c r="K143" s="3" t="s">
        <v>36</v>
      </c>
      <c r="L143" s="3" t="s">
        <v>51</v>
      </c>
      <c r="M143" s="3" t="s">
        <v>115</v>
      </c>
      <c r="N143" s="3" t="s">
        <v>39</v>
      </c>
      <c r="O143" s="3" t="s">
        <v>33</v>
      </c>
      <c r="P143" s="3" t="s">
        <v>53</v>
      </c>
      <c r="Q143" s="3" t="s">
        <v>39</v>
      </c>
      <c r="R143" s="5">
        <v>46140.701550925929</v>
      </c>
      <c r="S143" s="5">
        <v>46140.701550925929</v>
      </c>
      <c r="T143" s="3" t="s">
        <v>41</v>
      </c>
      <c r="U143" s="1" t="s">
        <v>59</v>
      </c>
      <c r="V143" s="1" t="s">
        <v>60</v>
      </c>
      <c r="W143" s="1" t="s">
        <v>599</v>
      </c>
      <c r="X143" s="1" t="s">
        <v>599</v>
      </c>
      <c r="Y143" s="1"/>
      <c r="Z143" s="1"/>
      <c r="AA143" s="1" t="s">
        <v>61</v>
      </c>
    </row>
    <row r="144" spans="1:27" ht="17.45" customHeight="1">
      <c r="A144" s="2" t="s">
        <v>600</v>
      </c>
      <c r="B144" s="2" t="s">
        <v>181</v>
      </c>
      <c r="C144">
        <v>1</v>
      </c>
      <c r="D144" s="2" t="s">
        <v>29</v>
      </c>
      <c r="E144" s="2" t="s">
        <v>601</v>
      </c>
      <c r="F144" s="2" t="s">
        <v>602</v>
      </c>
      <c r="G144" s="2" t="s">
        <v>32</v>
      </c>
      <c r="H144" s="2" t="s">
        <v>33</v>
      </c>
      <c r="I144" s="2" t="s">
        <v>78</v>
      </c>
      <c r="J144" s="2" t="s">
        <v>35</v>
      </c>
      <c r="K144" s="2" t="s">
        <v>36</v>
      </c>
      <c r="L144" s="2" t="s">
        <v>37</v>
      </c>
      <c r="M144" s="2" t="s">
        <v>38</v>
      </c>
      <c r="N144" s="2" t="s">
        <v>39</v>
      </c>
      <c r="O144" s="2" t="s">
        <v>33</v>
      </c>
      <c r="P144" s="2" t="s">
        <v>58</v>
      </c>
      <c r="Q144" s="2" t="s">
        <v>39</v>
      </c>
      <c r="R144" s="4">
        <v>46140.727199074077</v>
      </c>
      <c r="S144" s="4">
        <v>46140.729513888888</v>
      </c>
      <c r="T144" s="2" t="s">
        <v>41</v>
      </c>
      <c r="U144" s="1" t="s">
        <v>95</v>
      </c>
      <c r="V144" s="1" t="s">
        <v>96</v>
      </c>
      <c r="W144" s="1" t="s">
        <v>602</v>
      </c>
      <c r="X144" s="1" t="s">
        <v>602</v>
      </c>
      <c r="Y144" s="1"/>
      <c r="Z144" s="1"/>
      <c r="AA144" s="1" t="s">
        <v>98</v>
      </c>
    </row>
    <row r="145" spans="1:27" ht="17.45" customHeight="1">
      <c r="A145" s="3" t="s">
        <v>603</v>
      </c>
      <c r="B145" s="3" t="s">
        <v>120</v>
      </c>
      <c r="C145">
        <v>1</v>
      </c>
      <c r="D145" s="3" t="s">
        <v>29</v>
      </c>
      <c r="E145" s="3" t="s">
        <v>604</v>
      </c>
      <c r="F145" s="3" t="s">
        <v>605</v>
      </c>
      <c r="G145" s="3" t="s">
        <v>32</v>
      </c>
      <c r="H145" s="3" t="s">
        <v>33</v>
      </c>
      <c r="I145" s="3" t="s">
        <v>34</v>
      </c>
      <c r="J145" s="3" t="s">
        <v>35</v>
      </c>
      <c r="K145" s="3" t="s">
        <v>36</v>
      </c>
      <c r="L145" s="3" t="s">
        <v>51</v>
      </c>
      <c r="M145" s="3" t="s">
        <v>64</v>
      </c>
      <c r="N145" s="3" t="s">
        <v>39</v>
      </c>
      <c r="O145" s="3" t="s">
        <v>33</v>
      </c>
      <c r="P145" s="3" t="s">
        <v>53</v>
      </c>
      <c r="Q145" s="3" t="s">
        <v>39</v>
      </c>
      <c r="R145" s="5">
        <v>46140.727650462963</v>
      </c>
      <c r="S145" s="5">
        <v>46140.727650462963</v>
      </c>
      <c r="T145" s="3" t="s">
        <v>41</v>
      </c>
      <c r="U145" s="1" t="s">
        <v>42</v>
      </c>
      <c r="V145" s="1" t="s">
        <v>74</v>
      </c>
      <c r="W145" s="1" t="s">
        <v>605</v>
      </c>
      <c r="X145" s="1" t="s">
        <v>605</v>
      </c>
      <c r="Y145" s="1"/>
      <c r="Z145" s="1"/>
      <c r="AA145" s="1" t="s">
        <v>46</v>
      </c>
    </row>
    <row r="146" spans="1:27" ht="17.45" customHeight="1">
      <c r="A146" s="2" t="s">
        <v>606</v>
      </c>
      <c r="B146" s="2" t="s">
        <v>181</v>
      </c>
      <c r="C146">
        <v>1</v>
      </c>
      <c r="D146" s="2" t="s">
        <v>29</v>
      </c>
      <c r="E146" s="2" t="s">
        <v>607</v>
      </c>
      <c r="F146" s="2" t="s">
        <v>608</v>
      </c>
      <c r="G146" s="2" t="s">
        <v>32</v>
      </c>
      <c r="H146" s="2" t="s">
        <v>33</v>
      </c>
      <c r="I146" s="2" t="s">
        <v>78</v>
      </c>
      <c r="J146" s="2" t="s">
        <v>35</v>
      </c>
      <c r="K146" s="2" t="s">
        <v>36</v>
      </c>
      <c r="L146" s="2" t="s">
        <v>51</v>
      </c>
      <c r="M146" s="2" t="s">
        <v>64</v>
      </c>
      <c r="N146" s="2" t="s">
        <v>39</v>
      </c>
      <c r="O146" s="2" t="s">
        <v>33</v>
      </c>
      <c r="P146" s="2" t="s">
        <v>53</v>
      </c>
      <c r="Q146" s="2" t="s">
        <v>39</v>
      </c>
      <c r="R146" s="4">
        <v>46140.743703703702</v>
      </c>
      <c r="S146" s="4">
        <v>46140.743703703702</v>
      </c>
      <c r="T146" s="2" t="s">
        <v>41</v>
      </c>
      <c r="U146" s="1" t="s">
        <v>65</v>
      </c>
      <c r="V146" s="1" t="s">
        <v>70</v>
      </c>
      <c r="W146" s="1" t="s">
        <v>609</v>
      </c>
      <c r="X146" s="1" t="s">
        <v>609</v>
      </c>
      <c r="Y146" s="1"/>
      <c r="Z146" s="1"/>
      <c r="AA146" s="1" t="s">
        <v>67</v>
      </c>
    </row>
    <row r="147" spans="1:27" ht="17.45" customHeight="1">
      <c r="A147" s="3" t="s">
        <v>606</v>
      </c>
      <c r="B147" s="3" t="s">
        <v>181</v>
      </c>
      <c r="C147">
        <v>1</v>
      </c>
      <c r="D147" s="3" t="s">
        <v>29</v>
      </c>
      <c r="E147" s="3" t="s">
        <v>610</v>
      </c>
      <c r="F147" s="3" t="s">
        <v>611</v>
      </c>
      <c r="G147" s="3" t="s">
        <v>32</v>
      </c>
      <c r="H147" s="3" t="s">
        <v>33</v>
      </c>
      <c r="I147" s="3" t="s">
        <v>78</v>
      </c>
      <c r="J147" s="3" t="s">
        <v>35</v>
      </c>
      <c r="K147" s="3" t="s">
        <v>36</v>
      </c>
      <c r="L147" s="3" t="s">
        <v>51</v>
      </c>
      <c r="M147" s="3" t="s">
        <v>115</v>
      </c>
      <c r="N147" s="3" t="s">
        <v>39</v>
      </c>
      <c r="O147" s="3" t="s">
        <v>33</v>
      </c>
      <c r="P147" s="3" t="s">
        <v>53</v>
      </c>
      <c r="Q147" s="3" t="s">
        <v>39</v>
      </c>
      <c r="R147" s="5">
        <v>46140.745451388888</v>
      </c>
      <c r="S147" s="5">
        <v>46140.745451388888</v>
      </c>
      <c r="T147" s="3" t="s">
        <v>41</v>
      </c>
      <c r="U147" s="1" t="s">
        <v>59</v>
      </c>
      <c r="V147" s="1" t="s">
        <v>142</v>
      </c>
      <c r="W147" s="1" t="s">
        <v>611</v>
      </c>
      <c r="X147" s="1" t="s">
        <v>611</v>
      </c>
      <c r="Y147" s="1"/>
      <c r="Z147" s="1"/>
      <c r="AA147" s="1" t="s">
        <v>61</v>
      </c>
    </row>
    <row r="148" spans="1:27" ht="17.45" customHeight="1">
      <c r="A148" s="2" t="s">
        <v>606</v>
      </c>
      <c r="B148" s="2" t="s">
        <v>181</v>
      </c>
      <c r="C148">
        <v>1</v>
      </c>
      <c r="D148" s="2" t="s">
        <v>29</v>
      </c>
      <c r="E148" s="2" t="s">
        <v>612</v>
      </c>
      <c r="F148" s="2" t="s">
        <v>613</v>
      </c>
      <c r="G148" s="2" t="s">
        <v>32</v>
      </c>
      <c r="H148" s="2" t="s">
        <v>33</v>
      </c>
      <c r="I148" s="2" t="s">
        <v>78</v>
      </c>
      <c r="J148" s="2" t="s">
        <v>35</v>
      </c>
      <c r="K148" s="2" t="s">
        <v>36</v>
      </c>
      <c r="L148" s="2" t="s">
        <v>51</v>
      </c>
      <c r="M148" s="2" t="s">
        <v>64</v>
      </c>
      <c r="N148" s="2" t="s">
        <v>39</v>
      </c>
      <c r="O148" s="2" t="s">
        <v>33</v>
      </c>
      <c r="P148" s="2" t="s">
        <v>53</v>
      </c>
      <c r="Q148" s="2" t="s">
        <v>39</v>
      </c>
      <c r="R148" s="4">
        <v>46140.74832175926</v>
      </c>
      <c r="S148" s="4">
        <v>46140.74832175926</v>
      </c>
      <c r="T148" s="2" t="s">
        <v>41</v>
      </c>
      <c r="U148" s="1" t="s">
        <v>95</v>
      </c>
      <c r="V148" s="1" t="s">
        <v>96</v>
      </c>
      <c r="W148" s="1" t="s">
        <v>613</v>
      </c>
      <c r="X148" s="1" t="s">
        <v>613</v>
      </c>
      <c r="Y148" s="1"/>
      <c r="Z148" s="1"/>
      <c r="AA148" s="1" t="s">
        <v>98</v>
      </c>
    </row>
    <row r="149" spans="1:27" ht="17.45" customHeight="1">
      <c r="A149" s="3" t="s">
        <v>614</v>
      </c>
      <c r="B149" s="3" t="s">
        <v>181</v>
      </c>
      <c r="C149">
        <v>1</v>
      </c>
      <c r="D149" s="3" t="s">
        <v>228</v>
      </c>
      <c r="E149" s="3" t="s">
        <v>615</v>
      </c>
      <c r="F149" s="3" t="s">
        <v>616</v>
      </c>
      <c r="G149" s="3" t="s">
        <v>32</v>
      </c>
      <c r="H149" s="3" t="s">
        <v>124</v>
      </c>
      <c r="I149" s="3" t="s">
        <v>124</v>
      </c>
      <c r="J149" s="3" t="s">
        <v>35</v>
      </c>
      <c r="K149" s="3" t="s">
        <v>36</v>
      </c>
      <c r="L149" s="3" t="s">
        <v>37</v>
      </c>
      <c r="M149" s="3" t="s">
        <v>52</v>
      </c>
      <c r="N149" s="3" t="s">
        <v>39</v>
      </c>
      <c r="O149" s="3" t="s">
        <v>124</v>
      </c>
      <c r="P149" s="3" t="s">
        <v>53</v>
      </c>
      <c r="Q149" s="3" t="s">
        <v>39</v>
      </c>
      <c r="R149" s="5">
        <v>46148.701469907406</v>
      </c>
      <c r="S149" s="5">
        <v>46148.701469907406</v>
      </c>
      <c r="T149" s="3" t="s">
        <v>41</v>
      </c>
      <c r="U149" s="1" t="s">
        <v>42</v>
      </c>
      <c r="V149" s="1" t="s">
        <v>74</v>
      </c>
      <c r="W149" s="1" t="s">
        <v>617</v>
      </c>
      <c r="X149" s="1" t="s">
        <v>618</v>
      </c>
      <c r="Y149" s="1"/>
      <c r="Z149" s="1"/>
      <c r="AA149" s="1" t="s">
        <v>46</v>
      </c>
    </row>
    <row r="150" spans="1:27" ht="17.45" customHeight="1">
      <c r="A150" s="2" t="s">
        <v>619</v>
      </c>
      <c r="B150" s="2" t="s">
        <v>28</v>
      </c>
      <c r="C150">
        <v>1</v>
      </c>
      <c r="D150" s="2" t="s">
        <v>121</v>
      </c>
      <c r="E150" s="2" t="s">
        <v>620</v>
      </c>
      <c r="F150" s="2" t="s">
        <v>621</v>
      </c>
      <c r="G150" s="2" t="s">
        <v>32</v>
      </c>
      <c r="H150" s="2" t="s">
        <v>124</v>
      </c>
      <c r="I150" s="2" t="s">
        <v>212</v>
      </c>
      <c r="J150" s="2" t="s">
        <v>35</v>
      </c>
      <c r="K150" s="2" t="s">
        <v>36</v>
      </c>
      <c r="L150" s="2" t="s">
        <v>51</v>
      </c>
      <c r="M150" s="2" t="s">
        <v>64</v>
      </c>
      <c r="N150" s="2" t="s">
        <v>39</v>
      </c>
      <c r="O150" s="2" t="s">
        <v>124</v>
      </c>
      <c r="P150" s="2" t="s">
        <v>53</v>
      </c>
      <c r="Q150" s="2" t="s">
        <v>39</v>
      </c>
      <c r="R150" s="4">
        <v>46148.70516203704</v>
      </c>
      <c r="S150" s="4">
        <v>46148.70517361111</v>
      </c>
      <c r="T150" s="2" t="s">
        <v>41</v>
      </c>
      <c r="U150" s="1" t="s">
        <v>83</v>
      </c>
      <c r="V150" s="1" t="s">
        <v>84</v>
      </c>
      <c r="W150" s="1" t="s">
        <v>622</v>
      </c>
      <c r="X150" s="1" t="s">
        <v>622</v>
      </c>
      <c r="Y150" s="1"/>
      <c r="Z150" s="1"/>
      <c r="AA150" s="1" t="s">
        <v>85</v>
      </c>
    </row>
    <row r="151" spans="1:27" ht="17.45" customHeight="1">
      <c r="A151" s="3" t="s">
        <v>135</v>
      </c>
      <c r="B151" s="3" t="s">
        <v>48</v>
      </c>
      <c r="C151">
        <v>1</v>
      </c>
      <c r="D151" s="3" t="s">
        <v>29</v>
      </c>
      <c r="E151" s="3" t="s">
        <v>623</v>
      </c>
      <c r="F151" s="3" t="s">
        <v>624</v>
      </c>
      <c r="G151" s="3" t="s">
        <v>32</v>
      </c>
      <c r="H151" s="3" t="s">
        <v>33</v>
      </c>
      <c r="I151" s="3" t="s">
        <v>34</v>
      </c>
      <c r="J151" s="3" t="s">
        <v>35</v>
      </c>
      <c r="K151" s="3" t="s">
        <v>36</v>
      </c>
      <c r="L151" s="3" t="s">
        <v>37</v>
      </c>
      <c r="M151" s="3" t="s">
        <v>64</v>
      </c>
      <c r="N151" s="3" t="s">
        <v>39</v>
      </c>
      <c r="O151" s="3" t="s">
        <v>33</v>
      </c>
      <c r="P151" s="3" t="s">
        <v>53</v>
      </c>
      <c r="Q151" s="3" t="s">
        <v>39</v>
      </c>
      <c r="R151" s="5">
        <v>46148.705497685187</v>
      </c>
      <c r="S151" s="5">
        <v>46148.706192129626</v>
      </c>
      <c r="T151" s="3" t="s">
        <v>41</v>
      </c>
      <c r="U151" s="1" t="s">
        <v>165</v>
      </c>
      <c r="V151" s="1" t="s">
        <v>625</v>
      </c>
      <c r="W151" s="1" t="s">
        <v>624</v>
      </c>
      <c r="X151" s="1" t="s">
        <v>624</v>
      </c>
      <c r="Y151" s="1"/>
      <c r="Z151" s="1"/>
      <c r="AA151" s="1" t="s">
        <v>169</v>
      </c>
    </row>
    <row r="152" spans="1:27" ht="17.45" customHeight="1">
      <c r="A152" s="2" t="s">
        <v>135</v>
      </c>
      <c r="B152" s="2" t="s">
        <v>48</v>
      </c>
      <c r="C152">
        <v>1</v>
      </c>
      <c r="D152" s="2" t="s">
        <v>29</v>
      </c>
      <c r="E152" s="2" t="s">
        <v>626</v>
      </c>
      <c r="F152" s="2" t="s">
        <v>627</v>
      </c>
      <c r="G152" s="2" t="s">
        <v>32</v>
      </c>
      <c r="H152" s="2" t="s">
        <v>33</v>
      </c>
      <c r="I152" s="2" t="s">
        <v>34</v>
      </c>
      <c r="J152" s="2" t="s">
        <v>35</v>
      </c>
      <c r="K152" s="2" t="s">
        <v>36</v>
      </c>
      <c r="L152" s="2" t="s">
        <v>37</v>
      </c>
      <c r="M152" s="2" t="s">
        <v>64</v>
      </c>
      <c r="N152" s="2" t="s">
        <v>39</v>
      </c>
      <c r="O152" s="2" t="s">
        <v>33</v>
      </c>
      <c r="P152" s="2" t="s">
        <v>53</v>
      </c>
      <c r="Q152" s="2" t="s">
        <v>39</v>
      </c>
      <c r="R152" s="4">
        <v>46148.706886574073</v>
      </c>
      <c r="S152" s="4">
        <v>46148.706886574073</v>
      </c>
      <c r="T152" s="2" t="s">
        <v>41</v>
      </c>
      <c r="U152" s="1" t="s">
        <v>42</v>
      </c>
      <c r="V152" s="1" t="s">
        <v>43</v>
      </c>
      <c r="W152" s="1" t="s">
        <v>627</v>
      </c>
      <c r="X152" s="1" t="s">
        <v>627</v>
      </c>
      <c r="Y152" s="1"/>
      <c r="Z152" s="1"/>
      <c r="AA152" s="1" t="s">
        <v>46</v>
      </c>
    </row>
    <row r="153" spans="1:27" ht="17.45" customHeight="1">
      <c r="A153" s="3" t="s">
        <v>112</v>
      </c>
      <c r="B153" s="3" t="s">
        <v>48</v>
      </c>
      <c r="C153">
        <v>1</v>
      </c>
      <c r="D153" s="3" t="s">
        <v>29</v>
      </c>
      <c r="E153" s="3" t="s">
        <v>628</v>
      </c>
      <c r="F153" s="3" t="s">
        <v>629</v>
      </c>
      <c r="G153" s="3" t="s">
        <v>32</v>
      </c>
      <c r="H153" s="3" t="s">
        <v>33</v>
      </c>
      <c r="I153" s="3" t="s">
        <v>33</v>
      </c>
      <c r="J153" s="3" t="s">
        <v>35</v>
      </c>
      <c r="K153" s="3" t="s">
        <v>36</v>
      </c>
      <c r="L153" s="3" t="s">
        <v>37</v>
      </c>
      <c r="M153" s="3" t="s">
        <v>64</v>
      </c>
      <c r="N153" s="3" t="s">
        <v>39</v>
      </c>
      <c r="O153" s="3" t="s">
        <v>33</v>
      </c>
      <c r="P153" s="3" t="s">
        <v>53</v>
      </c>
      <c r="Q153" s="3" t="s">
        <v>39</v>
      </c>
      <c r="R153" s="5">
        <v>46148.708171296297</v>
      </c>
      <c r="S153" s="5">
        <v>46148.708171296297</v>
      </c>
      <c r="T153" s="3" t="s">
        <v>41</v>
      </c>
      <c r="U153" s="1" t="s">
        <v>42</v>
      </c>
      <c r="V153" s="1" t="s">
        <v>105</v>
      </c>
      <c r="W153" s="1" t="s">
        <v>629</v>
      </c>
      <c r="X153" s="1" t="s">
        <v>629</v>
      </c>
      <c r="Y153" s="1"/>
      <c r="Z153" s="1"/>
      <c r="AA153" s="1" t="s">
        <v>46</v>
      </c>
    </row>
    <row r="154" spans="1:27" ht="17.45" customHeight="1">
      <c r="A154" s="2" t="s">
        <v>135</v>
      </c>
      <c r="B154" s="2" t="s">
        <v>48</v>
      </c>
      <c r="C154">
        <v>1</v>
      </c>
      <c r="D154" s="2" t="s">
        <v>29</v>
      </c>
      <c r="E154" s="2" t="s">
        <v>630</v>
      </c>
      <c r="F154" s="2" t="s">
        <v>631</v>
      </c>
      <c r="G154" s="2" t="s">
        <v>32</v>
      </c>
      <c r="H154" s="2" t="s">
        <v>33</v>
      </c>
      <c r="I154" s="2" t="s">
        <v>34</v>
      </c>
      <c r="J154" s="2" t="s">
        <v>35</v>
      </c>
      <c r="K154" s="2" t="s">
        <v>36</v>
      </c>
      <c r="L154" s="2" t="s">
        <v>37</v>
      </c>
      <c r="M154" s="2" t="s">
        <v>64</v>
      </c>
      <c r="N154" s="2" t="s">
        <v>39</v>
      </c>
      <c r="O154" s="2" t="s">
        <v>33</v>
      </c>
      <c r="P154" s="2" t="s">
        <v>53</v>
      </c>
      <c r="Q154" s="2" t="s">
        <v>39</v>
      </c>
      <c r="R154" s="4">
        <v>46148.714988425927</v>
      </c>
      <c r="S154" s="4">
        <v>46148.714988425927</v>
      </c>
      <c r="T154" s="2" t="s">
        <v>41</v>
      </c>
      <c r="U154" s="1" t="s">
        <v>59</v>
      </c>
      <c r="V154" s="1" t="s">
        <v>142</v>
      </c>
      <c r="W154" s="1" t="s">
        <v>631</v>
      </c>
      <c r="X154" s="1" t="s">
        <v>631</v>
      </c>
      <c r="Y154" s="1"/>
      <c r="Z154" s="1"/>
      <c r="AA154" s="1" t="s">
        <v>61</v>
      </c>
    </row>
    <row r="155" spans="1:27" ht="17.45" customHeight="1">
      <c r="A155" s="3" t="s">
        <v>632</v>
      </c>
      <c r="B155" s="3" t="s">
        <v>28</v>
      </c>
      <c r="C155">
        <v>1</v>
      </c>
      <c r="D155" s="3" t="s">
        <v>121</v>
      </c>
      <c r="E155" s="3" t="s">
        <v>633</v>
      </c>
      <c r="F155" s="3" t="s">
        <v>634</v>
      </c>
      <c r="G155" s="3" t="s">
        <v>32</v>
      </c>
      <c r="H155" s="3" t="s">
        <v>124</v>
      </c>
      <c r="I155" s="3" t="s">
        <v>212</v>
      </c>
      <c r="J155" s="3" t="s">
        <v>35</v>
      </c>
      <c r="K155" s="3" t="s">
        <v>36</v>
      </c>
      <c r="L155" s="3" t="s">
        <v>51</v>
      </c>
      <c r="M155" s="3" t="s">
        <v>64</v>
      </c>
      <c r="N155" s="3" t="s">
        <v>39</v>
      </c>
      <c r="O155" s="3" t="s">
        <v>124</v>
      </c>
      <c r="P155" s="3" t="s">
        <v>53</v>
      </c>
      <c r="Q155" s="3" t="s">
        <v>39</v>
      </c>
      <c r="R155" s="5">
        <v>46148.716354166667</v>
      </c>
      <c r="S155" s="5">
        <v>46148.716354166667</v>
      </c>
      <c r="T155" s="3" t="s">
        <v>41</v>
      </c>
      <c r="U155" s="1" t="s">
        <v>95</v>
      </c>
      <c r="V155" s="1" t="s">
        <v>329</v>
      </c>
      <c r="W155" s="1" t="s">
        <v>635</v>
      </c>
      <c r="X155" s="1" t="s">
        <v>635</v>
      </c>
      <c r="Y155" s="1"/>
      <c r="Z155" s="1"/>
      <c r="AA155" s="1" t="s">
        <v>98</v>
      </c>
    </row>
    <row r="156" spans="1:27" ht="17.45" customHeight="1">
      <c r="A156" s="2" t="s">
        <v>636</v>
      </c>
      <c r="B156" s="2" t="s">
        <v>28</v>
      </c>
      <c r="C156">
        <v>1</v>
      </c>
      <c r="D156" s="2" t="s">
        <v>29</v>
      </c>
      <c r="E156" s="2" t="s">
        <v>637</v>
      </c>
      <c r="F156" s="2" t="s">
        <v>638</v>
      </c>
      <c r="G156" s="2" t="s">
        <v>32</v>
      </c>
      <c r="H156" s="2" t="s">
        <v>33</v>
      </c>
      <c r="I156" s="2" t="s">
        <v>78</v>
      </c>
      <c r="J156" s="2" t="s">
        <v>35</v>
      </c>
      <c r="K156" s="2" t="s">
        <v>36</v>
      </c>
      <c r="L156" s="2" t="s">
        <v>37</v>
      </c>
      <c r="M156" s="2" t="s">
        <v>64</v>
      </c>
      <c r="N156" s="2" t="s">
        <v>39</v>
      </c>
      <c r="O156" s="2" t="s">
        <v>33</v>
      </c>
      <c r="P156" s="2" t="s">
        <v>53</v>
      </c>
      <c r="Q156" s="2" t="s">
        <v>39</v>
      </c>
      <c r="R156" s="4">
        <v>46148.721446759257</v>
      </c>
      <c r="S156" s="4">
        <v>46148.737303240741</v>
      </c>
      <c r="T156" s="2" t="s">
        <v>41</v>
      </c>
      <c r="U156" s="1" t="s">
        <v>569</v>
      </c>
      <c r="V156" s="1" t="s">
        <v>570</v>
      </c>
      <c r="W156" s="1" t="s">
        <v>638</v>
      </c>
      <c r="X156" s="1" t="s">
        <v>638</v>
      </c>
      <c r="Y156" s="1"/>
      <c r="Z156" s="1"/>
      <c r="AA156" s="1" t="s">
        <v>573</v>
      </c>
    </row>
    <row r="157" spans="1:27" ht="17.45" customHeight="1">
      <c r="A157" s="3" t="s">
        <v>639</v>
      </c>
      <c r="B157" s="3" t="s">
        <v>28</v>
      </c>
      <c r="C157">
        <v>1</v>
      </c>
      <c r="D157" s="3" t="s">
        <v>121</v>
      </c>
      <c r="E157" s="3" t="s">
        <v>640</v>
      </c>
      <c r="F157" s="3" t="s">
        <v>641</v>
      </c>
      <c r="G157" s="3" t="s">
        <v>32</v>
      </c>
      <c r="H157" s="3" t="s">
        <v>124</v>
      </c>
      <c r="I157" s="3" t="s">
        <v>212</v>
      </c>
      <c r="J157" s="3" t="s">
        <v>35</v>
      </c>
      <c r="K157" s="3" t="s">
        <v>36</v>
      </c>
      <c r="L157" s="3" t="s">
        <v>51</v>
      </c>
      <c r="M157" s="3" t="s">
        <v>64</v>
      </c>
      <c r="N157" s="3" t="s">
        <v>39</v>
      </c>
      <c r="O157" s="3" t="s">
        <v>124</v>
      </c>
      <c r="P157" s="3" t="s">
        <v>53</v>
      </c>
      <c r="Q157" s="3" t="s">
        <v>39</v>
      </c>
      <c r="R157" s="5">
        <v>46148.721932870372</v>
      </c>
      <c r="S157" s="5">
        <v>46148.721932870372</v>
      </c>
      <c r="T157" s="3" t="s">
        <v>41</v>
      </c>
      <c r="U157" s="1" t="s">
        <v>59</v>
      </c>
      <c r="V157" s="1" t="s">
        <v>60</v>
      </c>
      <c r="W157" s="1" t="s">
        <v>642</v>
      </c>
      <c r="X157" s="1" t="s">
        <v>643</v>
      </c>
      <c r="Y157" s="1"/>
      <c r="Z157" s="1"/>
      <c r="AA157" s="1" t="s">
        <v>61</v>
      </c>
    </row>
    <row r="158" spans="1:27" ht="17.45" customHeight="1">
      <c r="A158" s="2" t="s">
        <v>636</v>
      </c>
      <c r="B158" s="2" t="s">
        <v>28</v>
      </c>
      <c r="C158">
        <v>1</v>
      </c>
      <c r="D158" s="2" t="s">
        <v>29</v>
      </c>
      <c r="E158" s="2" t="s">
        <v>644</v>
      </c>
      <c r="F158" s="2" t="s">
        <v>645</v>
      </c>
      <c r="G158" s="2" t="s">
        <v>32</v>
      </c>
      <c r="H158" s="2" t="s">
        <v>33</v>
      </c>
      <c r="I158" s="2" t="s">
        <v>78</v>
      </c>
      <c r="J158" s="2" t="s">
        <v>35</v>
      </c>
      <c r="K158" s="2" t="s">
        <v>36</v>
      </c>
      <c r="L158" s="2" t="s">
        <v>37</v>
      </c>
      <c r="M158" s="2" t="s">
        <v>64</v>
      </c>
      <c r="N158" s="2" t="s">
        <v>39</v>
      </c>
      <c r="O158" s="2" t="s">
        <v>33</v>
      </c>
      <c r="P158" s="2" t="s">
        <v>53</v>
      </c>
      <c r="Q158" s="2" t="s">
        <v>39</v>
      </c>
      <c r="R158" s="4">
        <v>46148.739247685182</v>
      </c>
      <c r="S158" s="4">
        <v>46148.739247685182</v>
      </c>
      <c r="T158" s="2" t="s">
        <v>41</v>
      </c>
      <c r="U158" s="1" t="s">
        <v>115</v>
      </c>
      <c r="V158" s="1" t="s">
        <v>116</v>
      </c>
      <c r="W158" s="1" t="s">
        <v>645</v>
      </c>
      <c r="X158" s="1" t="s">
        <v>645</v>
      </c>
      <c r="Y158" s="1"/>
      <c r="Z158" s="1"/>
      <c r="AA158" s="1" t="s">
        <v>118</v>
      </c>
    </row>
    <row r="159" spans="1:27" ht="17.45" customHeight="1">
      <c r="A159" s="3" t="s">
        <v>646</v>
      </c>
      <c r="B159" s="3" t="s">
        <v>28</v>
      </c>
      <c r="C159">
        <v>1</v>
      </c>
      <c r="D159" s="3" t="s">
        <v>29</v>
      </c>
      <c r="E159" s="3" t="s">
        <v>647</v>
      </c>
      <c r="F159" s="3" t="s">
        <v>648</v>
      </c>
      <c r="G159" s="3" t="s">
        <v>32</v>
      </c>
      <c r="H159" s="3" t="s">
        <v>33</v>
      </c>
      <c r="I159" s="3" t="s">
        <v>34</v>
      </c>
      <c r="J159" s="3" t="s">
        <v>35</v>
      </c>
      <c r="K159" s="3" t="s">
        <v>36</v>
      </c>
      <c r="L159" s="3" t="s">
        <v>37</v>
      </c>
      <c r="M159" s="3" t="s">
        <v>38</v>
      </c>
      <c r="N159" s="3" t="s">
        <v>39</v>
      </c>
      <c r="O159" s="3" t="s">
        <v>33</v>
      </c>
      <c r="P159" s="3" t="s">
        <v>53</v>
      </c>
      <c r="Q159" s="3" t="s">
        <v>39</v>
      </c>
      <c r="R159" s="5">
        <v>46149.419178240743</v>
      </c>
      <c r="S159" s="5">
        <v>46149.419178240743</v>
      </c>
      <c r="T159" s="3" t="s">
        <v>41</v>
      </c>
      <c r="U159" s="1" t="s">
        <v>83</v>
      </c>
      <c r="V159" s="1" t="s">
        <v>429</v>
      </c>
      <c r="W159" s="1" t="s">
        <v>648</v>
      </c>
      <c r="X159" s="1" t="s">
        <v>648</v>
      </c>
      <c r="Y159" s="1"/>
      <c r="Z159" s="1"/>
      <c r="AA159" s="1" t="s">
        <v>85</v>
      </c>
    </row>
    <row r="160" spans="1:27" ht="17.45" customHeight="1">
      <c r="A160" s="2" t="s">
        <v>649</v>
      </c>
      <c r="B160" s="2" t="s">
        <v>28</v>
      </c>
      <c r="C160">
        <v>1</v>
      </c>
      <c r="D160" s="2" t="s">
        <v>29</v>
      </c>
      <c r="E160" s="2" t="s">
        <v>650</v>
      </c>
      <c r="F160" s="2" t="s">
        <v>624</v>
      </c>
      <c r="G160" s="2" t="s">
        <v>32</v>
      </c>
      <c r="H160" s="2" t="s">
        <v>33</v>
      </c>
      <c r="I160" s="2" t="s">
        <v>34</v>
      </c>
      <c r="J160" s="2" t="s">
        <v>35</v>
      </c>
      <c r="K160" s="2" t="s">
        <v>36</v>
      </c>
      <c r="L160" s="2" t="s">
        <v>37</v>
      </c>
      <c r="M160" s="2" t="s">
        <v>64</v>
      </c>
      <c r="N160" s="2" t="s">
        <v>39</v>
      </c>
      <c r="O160" s="2" t="s">
        <v>33</v>
      </c>
      <c r="P160" s="2" t="s">
        <v>53</v>
      </c>
      <c r="Q160" s="2" t="s">
        <v>39</v>
      </c>
      <c r="R160" s="4">
        <v>46149.420486111114</v>
      </c>
      <c r="S160" s="4">
        <v>46149.420486111114</v>
      </c>
      <c r="T160" s="2" t="s">
        <v>41</v>
      </c>
      <c r="U160" s="1" t="s">
        <v>165</v>
      </c>
      <c r="V160" s="1" t="s">
        <v>625</v>
      </c>
      <c r="W160" s="1" t="s">
        <v>624</v>
      </c>
      <c r="X160" s="1" t="s">
        <v>624</v>
      </c>
      <c r="Y160" s="1"/>
      <c r="Z160" s="1"/>
      <c r="AA160" s="1" t="s">
        <v>169</v>
      </c>
    </row>
    <row r="161" spans="1:27" ht="17.45" customHeight="1">
      <c r="A161" s="3" t="s">
        <v>651</v>
      </c>
      <c r="B161" s="3" t="s">
        <v>181</v>
      </c>
      <c r="C161">
        <v>1</v>
      </c>
      <c r="D161" s="3" t="s">
        <v>121</v>
      </c>
      <c r="E161" s="3" t="s">
        <v>652</v>
      </c>
      <c r="F161" s="3" t="s">
        <v>653</v>
      </c>
      <c r="G161" s="3" t="s">
        <v>32</v>
      </c>
      <c r="H161" s="3" t="s">
        <v>124</v>
      </c>
      <c r="I161" s="3" t="s">
        <v>157</v>
      </c>
      <c r="J161" s="3" t="s">
        <v>35</v>
      </c>
      <c r="K161" s="3" t="s">
        <v>36</v>
      </c>
      <c r="L161" s="3" t="s">
        <v>51</v>
      </c>
      <c r="M161" s="3" t="s">
        <v>64</v>
      </c>
      <c r="N161" s="3" t="s">
        <v>39</v>
      </c>
      <c r="O161" s="3" t="s">
        <v>124</v>
      </c>
      <c r="P161" s="3" t="s">
        <v>53</v>
      </c>
      <c r="Q161" s="3" t="s">
        <v>39</v>
      </c>
      <c r="R161" s="5">
        <v>46149.428611111114</v>
      </c>
      <c r="S161" s="5">
        <v>46149.428611111114</v>
      </c>
      <c r="T161" s="3" t="s">
        <v>41</v>
      </c>
      <c r="U161" s="1" t="s">
        <v>272</v>
      </c>
      <c r="V161" s="1" t="s">
        <v>273</v>
      </c>
      <c r="W161" s="1" t="s">
        <v>653</v>
      </c>
      <c r="X161" s="1" t="s">
        <v>653</v>
      </c>
      <c r="Y161" s="1"/>
      <c r="Z161" s="1"/>
      <c r="AA161" s="1" t="s">
        <v>274</v>
      </c>
    </row>
    <row r="162" spans="1:27" ht="17.45" customHeight="1">
      <c r="A162" s="2" t="s">
        <v>86</v>
      </c>
      <c r="B162" s="2" t="s">
        <v>28</v>
      </c>
      <c r="C162">
        <v>1</v>
      </c>
      <c r="D162" s="2" t="s">
        <v>29</v>
      </c>
      <c r="E162" s="2" t="s">
        <v>654</v>
      </c>
      <c r="F162" s="2" t="s">
        <v>655</v>
      </c>
      <c r="G162" s="2" t="s">
        <v>32</v>
      </c>
      <c r="H162" s="2" t="s">
        <v>33</v>
      </c>
      <c r="I162" s="2" t="s">
        <v>34</v>
      </c>
      <c r="J162" s="2" t="s">
        <v>35</v>
      </c>
      <c r="K162" s="2" t="s">
        <v>36</v>
      </c>
      <c r="L162" s="2" t="s">
        <v>37</v>
      </c>
      <c r="M162" s="2" t="s">
        <v>52</v>
      </c>
      <c r="N162" s="2" t="s">
        <v>39</v>
      </c>
      <c r="O162" s="2" t="s">
        <v>33</v>
      </c>
      <c r="P162" s="2" t="s">
        <v>53</v>
      </c>
      <c r="Q162" s="2" t="s">
        <v>39</v>
      </c>
      <c r="R162" s="4">
        <v>46149.437280092592</v>
      </c>
      <c r="S162" s="4">
        <v>46149.437280092592</v>
      </c>
      <c r="T162" s="2" t="s">
        <v>41</v>
      </c>
      <c r="U162" s="1" t="s">
        <v>59</v>
      </c>
      <c r="V162" s="1" t="s">
        <v>60</v>
      </c>
      <c r="W162" s="1" t="s">
        <v>656</v>
      </c>
      <c r="X162" s="1" t="s">
        <v>655</v>
      </c>
      <c r="Y162" s="1"/>
      <c r="Z162" s="1"/>
      <c r="AA162" s="1" t="s">
        <v>61</v>
      </c>
    </row>
    <row r="163" spans="1:27" ht="17.45" customHeight="1">
      <c r="A163" s="3" t="s">
        <v>657</v>
      </c>
      <c r="B163" s="3" t="s">
        <v>28</v>
      </c>
      <c r="C163">
        <v>1</v>
      </c>
      <c r="D163" s="3" t="s">
        <v>29</v>
      </c>
      <c r="E163" s="3" t="s">
        <v>658</v>
      </c>
      <c r="F163" s="3" t="s">
        <v>659</v>
      </c>
      <c r="G163" s="3" t="s">
        <v>32</v>
      </c>
      <c r="H163" s="3" t="s">
        <v>33</v>
      </c>
      <c r="I163" s="3" t="s">
        <v>34</v>
      </c>
      <c r="J163" s="3" t="s">
        <v>35</v>
      </c>
      <c r="K163" s="3" t="s">
        <v>36</v>
      </c>
      <c r="L163" s="3" t="s">
        <v>37</v>
      </c>
      <c r="M163" s="3" t="s">
        <v>82</v>
      </c>
      <c r="N163" s="3" t="s">
        <v>39</v>
      </c>
      <c r="O163" s="3" t="s">
        <v>33</v>
      </c>
      <c r="P163" s="3" t="s">
        <v>53</v>
      </c>
      <c r="Q163" s="3" t="s">
        <v>39</v>
      </c>
      <c r="R163" s="5">
        <v>46149.445949074077</v>
      </c>
      <c r="S163" s="5">
        <v>46149.445949074077</v>
      </c>
      <c r="T163" s="3" t="s">
        <v>41</v>
      </c>
      <c r="U163" s="1" t="s">
        <v>42</v>
      </c>
      <c r="V163" s="1" t="s">
        <v>43</v>
      </c>
      <c r="W163" s="1" t="s">
        <v>660</v>
      </c>
      <c r="X163" s="1" t="s">
        <v>659</v>
      </c>
      <c r="Y163" s="1"/>
      <c r="Z163" s="1"/>
      <c r="AA163" s="1" t="s">
        <v>46</v>
      </c>
    </row>
    <row r="164" spans="1:27" ht="17.45" customHeight="1">
      <c r="A164" s="2" t="s">
        <v>661</v>
      </c>
      <c r="B164" s="2" t="s">
        <v>28</v>
      </c>
      <c r="C164">
        <v>1</v>
      </c>
      <c r="D164" s="2" t="s">
        <v>29</v>
      </c>
      <c r="E164" s="2" t="s">
        <v>662</v>
      </c>
      <c r="F164" s="2" t="s">
        <v>663</v>
      </c>
      <c r="G164" s="2" t="s">
        <v>32</v>
      </c>
      <c r="H164" s="2" t="s">
        <v>33</v>
      </c>
      <c r="I164" s="2" t="s">
        <v>78</v>
      </c>
      <c r="J164" s="2" t="s">
        <v>35</v>
      </c>
      <c r="K164" s="2" t="s">
        <v>36</v>
      </c>
      <c r="L164" s="2" t="s">
        <v>37</v>
      </c>
      <c r="M164" s="2" t="s">
        <v>64</v>
      </c>
      <c r="N164" s="2" t="s">
        <v>39</v>
      </c>
      <c r="O164" s="2" t="s">
        <v>33</v>
      </c>
      <c r="P164" s="2" t="s">
        <v>53</v>
      </c>
      <c r="Q164" s="2" t="s">
        <v>39</v>
      </c>
      <c r="R164" s="4">
        <v>46149.45758101852</v>
      </c>
      <c r="S164" s="4">
        <v>46149.45758101852</v>
      </c>
      <c r="T164" s="2" t="s">
        <v>41</v>
      </c>
      <c r="U164" s="1" t="s">
        <v>59</v>
      </c>
      <c r="V164" s="1" t="s">
        <v>142</v>
      </c>
      <c r="W164" s="1" t="s">
        <v>663</v>
      </c>
      <c r="X164" s="1" t="s">
        <v>663</v>
      </c>
      <c r="Y164" s="1"/>
      <c r="Z164" s="1"/>
      <c r="AA164" s="1" t="s">
        <v>61</v>
      </c>
    </row>
    <row r="165" spans="1:27" ht="17.45" customHeight="1">
      <c r="A165" s="3" t="s">
        <v>309</v>
      </c>
      <c r="B165" s="3" t="s">
        <v>48</v>
      </c>
      <c r="C165">
        <v>1</v>
      </c>
      <c r="D165" s="3" t="s">
        <v>121</v>
      </c>
      <c r="E165" s="3" t="s">
        <v>664</v>
      </c>
      <c r="F165" s="3" t="s">
        <v>211</v>
      </c>
      <c r="G165" s="3" t="s">
        <v>32</v>
      </c>
      <c r="H165" s="3" t="s">
        <v>124</v>
      </c>
      <c r="I165" s="3" t="s">
        <v>212</v>
      </c>
      <c r="J165" s="3" t="s">
        <v>35</v>
      </c>
      <c r="K165" s="3" t="s">
        <v>36</v>
      </c>
      <c r="L165" s="3" t="s">
        <v>37</v>
      </c>
      <c r="M165" s="3" t="s">
        <v>64</v>
      </c>
      <c r="N165" s="3" t="s">
        <v>39</v>
      </c>
      <c r="O165" s="3" t="s">
        <v>124</v>
      </c>
      <c r="P165" s="3" t="s">
        <v>53</v>
      </c>
      <c r="Q165" s="3" t="s">
        <v>39</v>
      </c>
      <c r="R165" s="5">
        <v>46141.431087962963</v>
      </c>
      <c r="S165" s="5">
        <v>46141.431087962963</v>
      </c>
      <c r="T165" s="3" t="s">
        <v>41</v>
      </c>
      <c r="U165" s="1" t="s">
        <v>65</v>
      </c>
      <c r="V165" s="1" t="s">
        <v>70</v>
      </c>
      <c r="W165" s="1" t="s">
        <v>211</v>
      </c>
      <c r="X165" s="1" t="s">
        <v>211</v>
      </c>
      <c r="Y165" s="1"/>
      <c r="Z165" s="1"/>
      <c r="AA165" s="1" t="s">
        <v>67</v>
      </c>
    </row>
    <row r="166" spans="1:27" ht="17.45" customHeight="1">
      <c r="A166" s="2" t="s">
        <v>392</v>
      </c>
      <c r="B166" s="2" t="s">
        <v>120</v>
      </c>
      <c r="C166">
        <v>1</v>
      </c>
      <c r="D166" s="2" t="s">
        <v>29</v>
      </c>
      <c r="E166" s="2" t="s">
        <v>665</v>
      </c>
      <c r="F166" s="2" t="s">
        <v>666</v>
      </c>
      <c r="G166" s="2" t="s">
        <v>32</v>
      </c>
      <c r="H166" s="2" t="s">
        <v>33</v>
      </c>
      <c r="I166" s="2" t="s">
        <v>33</v>
      </c>
      <c r="J166" s="2" t="s">
        <v>35</v>
      </c>
      <c r="K166" s="2" t="s">
        <v>36</v>
      </c>
      <c r="L166" s="2" t="s">
        <v>37</v>
      </c>
      <c r="M166" s="2" t="s">
        <v>52</v>
      </c>
      <c r="N166" s="2" t="s">
        <v>39</v>
      </c>
      <c r="O166" s="2" t="s">
        <v>33</v>
      </c>
      <c r="P166" s="2" t="s">
        <v>58</v>
      </c>
      <c r="Q166" s="2" t="s">
        <v>39</v>
      </c>
      <c r="R166" s="4">
        <v>46141.441469907404</v>
      </c>
      <c r="S166" s="4">
        <v>46141.441469907404</v>
      </c>
      <c r="T166" s="2" t="s">
        <v>41</v>
      </c>
      <c r="U166" s="1" t="s">
        <v>95</v>
      </c>
      <c r="V166" s="1" t="s">
        <v>96</v>
      </c>
      <c r="W166" s="1" t="s">
        <v>666</v>
      </c>
      <c r="X166" s="1" t="s">
        <v>666</v>
      </c>
      <c r="Y166" s="1"/>
      <c r="Z166" s="1"/>
      <c r="AA166" s="1" t="s">
        <v>98</v>
      </c>
    </row>
    <row r="167" spans="1:27" ht="17.45" customHeight="1">
      <c r="A167" s="3" t="s">
        <v>322</v>
      </c>
      <c r="B167" s="3" t="s">
        <v>181</v>
      </c>
      <c r="C167">
        <v>1</v>
      </c>
      <c r="D167" s="3" t="s">
        <v>121</v>
      </c>
      <c r="E167" s="3" t="s">
        <v>667</v>
      </c>
      <c r="F167" s="3" t="s">
        <v>668</v>
      </c>
      <c r="G167" s="3" t="s">
        <v>32</v>
      </c>
      <c r="H167" s="3" t="s">
        <v>124</v>
      </c>
      <c r="I167" s="3" t="s">
        <v>125</v>
      </c>
      <c r="J167" s="3" t="s">
        <v>35</v>
      </c>
      <c r="K167" s="3" t="s">
        <v>36</v>
      </c>
      <c r="L167" s="3" t="s">
        <v>51</v>
      </c>
      <c r="M167" s="3" t="s">
        <v>64</v>
      </c>
      <c r="N167" s="3" t="s">
        <v>39</v>
      </c>
      <c r="O167" s="3" t="s">
        <v>124</v>
      </c>
      <c r="P167" s="3" t="s">
        <v>53</v>
      </c>
      <c r="Q167" s="3" t="s">
        <v>39</v>
      </c>
      <c r="R167" s="5">
        <v>46141.450104166666</v>
      </c>
      <c r="S167" s="5">
        <v>46141.450104166666</v>
      </c>
      <c r="T167" s="3" t="s">
        <v>41</v>
      </c>
      <c r="U167" s="1" t="s">
        <v>95</v>
      </c>
      <c r="V167" s="1" t="s">
        <v>329</v>
      </c>
      <c r="W167" s="1" t="s">
        <v>668</v>
      </c>
      <c r="X167" s="1" t="s">
        <v>668</v>
      </c>
      <c r="Y167" s="1"/>
      <c r="Z167" s="1"/>
      <c r="AA167" s="1" t="s">
        <v>98</v>
      </c>
    </row>
    <row r="168" spans="1:27" ht="17.45" customHeight="1">
      <c r="A168" s="2" t="s">
        <v>669</v>
      </c>
      <c r="B168" s="2" t="s">
        <v>120</v>
      </c>
      <c r="C168">
        <v>1</v>
      </c>
      <c r="D168" s="2" t="s">
        <v>29</v>
      </c>
      <c r="E168" s="2" t="s">
        <v>670</v>
      </c>
      <c r="F168" s="2" t="s">
        <v>671</v>
      </c>
      <c r="G168" s="2" t="s">
        <v>32</v>
      </c>
      <c r="H168" s="2" t="s">
        <v>33</v>
      </c>
      <c r="I168" s="2" t="s">
        <v>34</v>
      </c>
      <c r="J168" s="2" t="s">
        <v>35</v>
      </c>
      <c r="K168" s="2" t="s">
        <v>36</v>
      </c>
      <c r="L168" s="2" t="s">
        <v>51</v>
      </c>
      <c r="M168" s="2" t="s">
        <v>64</v>
      </c>
      <c r="N168" s="2" t="s">
        <v>39</v>
      </c>
      <c r="O168" s="2" t="s">
        <v>33</v>
      </c>
      <c r="P168" s="2" t="s">
        <v>53</v>
      </c>
      <c r="Q168" s="2" t="s">
        <v>39</v>
      </c>
      <c r="R168" s="4">
        <v>46141.452337962961</v>
      </c>
      <c r="S168" s="4">
        <v>46141.452337962961</v>
      </c>
      <c r="T168" s="2" t="s">
        <v>41</v>
      </c>
      <c r="U168" s="1" t="s">
        <v>263</v>
      </c>
      <c r="V168" s="1" t="s">
        <v>264</v>
      </c>
      <c r="W168" s="1" t="s">
        <v>672</v>
      </c>
      <c r="X168" s="1" t="s">
        <v>673</v>
      </c>
      <c r="Y168" s="1"/>
      <c r="Z168" s="1"/>
      <c r="AA168" s="1" t="s">
        <v>265</v>
      </c>
    </row>
    <row r="169" spans="1:27" ht="17.45" customHeight="1">
      <c r="A169" s="3" t="s">
        <v>674</v>
      </c>
      <c r="B169" s="3" t="s">
        <v>48</v>
      </c>
      <c r="C169">
        <v>1</v>
      </c>
      <c r="D169" s="3" t="s">
        <v>121</v>
      </c>
      <c r="E169" s="3" t="s">
        <v>675</v>
      </c>
      <c r="F169" s="3" t="s">
        <v>676</v>
      </c>
      <c r="G169" s="3" t="s">
        <v>32</v>
      </c>
      <c r="H169" s="3" t="s">
        <v>124</v>
      </c>
      <c r="I169" s="3" t="s">
        <v>192</v>
      </c>
      <c r="J169" s="3" t="s">
        <v>35</v>
      </c>
      <c r="K169" s="3" t="s">
        <v>36</v>
      </c>
      <c r="L169" s="3" t="s">
        <v>37</v>
      </c>
      <c r="M169" s="3" t="s">
        <v>115</v>
      </c>
      <c r="N169" s="3" t="s">
        <v>39</v>
      </c>
      <c r="O169" s="3" t="s">
        <v>124</v>
      </c>
      <c r="P169" s="3" t="s">
        <v>53</v>
      </c>
      <c r="Q169" s="3" t="s">
        <v>39</v>
      </c>
      <c r="R169" s="5">
        <v>46141.453101851854</v>
      </c>
      <c r="S169" s="5">
        <v>46141.453101851854</v>
      </c>
      <c r="T169" s="3" t="s">
        <v>41</v>
      </c>
      <c r="U169" s="1" t="s">
        <v>83</v>
      </c>
      <c r="V169" s="1" t="s">
        <v>677</v>
      </c>
      <c r="W169" s="1" t="s">
        <v>676</v>
      </c>
      <c r="X169" s="1" t="s">
        <v>676</v>
      </c>
      <c r="Y169" s="1"/>
      <c r="Z169" s="1"/>
      <c r="AA169" s="1" t="s">
        <v>85</v>
      </c>
    </row>
    <row r="170" spans="1:27" ht="17.45" customHeight="1">
      <c r="A170" s="2" t="s">
        <v>233</v>
      </c>
      <c r="B170" s="2" t="s">
        <v>28</v>
      </c>
      <c r="C170">
        <v>1</v>
      </c>
      <c r="D170" s="2" t="s">
        <v>228</v>
      </c>
      <c r="E170" s="2" t="s">
        <v>678</v>
      </c>
      <c r="F170" s="2" t="s">
        <v>679</v>
      </c>
      <c r="G170" s="2" t="s">
        <v>32</v>
      </c>
      <c r="H170" s="2" t="s">
        <v>124</v>
      </c>
      <c r="I170" s="2" t="s">
        <v>124</v>
      </c>
      <c r="J170" s="2" t="s">
        <v>35</v>
      </c>
      <c r="K170" s="2" t="s">
        <v>36</v>
      </c>
      <c r="L170" s="2" t="s">
        <v>37</v>
      </c>
      <c r="M170" s="2" t="s">
        <v>52</v>
      </c>
      <c r="N170" s="2" t="s">
        <v>39</v>
      </c>
      <c r="O170" s="2" t="s">
        <v>124</v>
      </c>
      <c r="P170" s="2" t="s">
        <v>40</v>
      </c>
      <c r="Q170" s="2" t="s">
        <v>39</v>
      </c>
      <c r="R170" s="4">
        <v>46141.652025462965</v>
      </c>
      <c r="S170" s="4">
        <v>46141.652025462965</v>
      </c>
      <c r="T170" s="2" t="s">
        <v>41</v>
      </c>
      <c r="U170" s="1" t="s">
        <v>165</v>
      </c>
      <c r="V170" s="1" t="s">
        <v>625</v>
      </c>
      <c r="W170" s="1" t="s">
        <v>680</v>
      </c>
      <c r="X170" s="1" t="s">
        <v>681</v>
      </c>
      <c r="Y170" s="1"/>
      <c r="Z170" s="1"/>
      <c r="AA170" s="1" t="s">
        <v>169</v>
      </c>
    </row>
    <row r="171" spans="1:27" ht="17.45" customHeight="1">
      <c r="A171" s="3" t="s">
        <v>233</v>
      </c>
      <c r="B171" s="3" t="s">
        <v>28</v>
      </c>
      <c r="C171">
        <v>1</v>
      </c>
      <c r="D171" s="3" t="s">
        <v>228</v>
      </c>
      <c r="E171" s="3" t="s">
        <v>682</v>
      </c>
      <c r="F171" s="3" t="s">
        <v>683</v>
      </c>
      <c r="G171" s="3" t="s">
        <v>32</v>
      </c>
      <c r="H171" s="3" t="s">
        <v>124</v>
      </c>
      <c r="I171" s="3" t="s">
        <v>124</v>
      </c>
      <c r="J171" s="3" t="s">
        <v>35</v>
      </c>
      <c r="K171" s="3" t="s">
        <v>36</v>
      </c>
      <c r="L171" s="3" t="s">
        <v>37</v>
      </c>
      <c r="M171" s="3" t="s">
        <v>52</v>
      </c>
      <c r="N171" s="3" t="s">
        <v>39</v>
      </c>
      <c r="O171" s="3" t="s">
        <v>124</v>
      </c>
      <c r="P171" s="3" t="s">
        <v>58</v>
      </c>
      <c r="Q171" s="3" t="s">
        <v>39</v>
      </c>
      <c r="R171" s="5">
        <v>46141.65320601852</v>
      </c>
      <c r="S171" s="5">
        <v>46141.65320601852</v>
      </c>
      <c r="T171" s="3" t="s">
        <v>41</v>
      </c>
      <c r="U171" s="1" t="s">
        <v>283</v>
      </c>
      <c r="V171" s="1" t="s">
        <v>410</v>
      </c>
      <c r="W171" s="1" t="s">
        <v>684</v>
      </c>
      <c r="X171" s="1" t="s">
        <v>683</v>
      </c>
      <c r="Y171" s="1"/>
      <c r="Z171" s="1"/>
      <c r="AA171" s="1" t="s">
        <v>285</v>
      </c>
    </row>
    <row r="172" spans="1:27" ht="17.45" customHeight="1">
      <c r="A172" s="2" t="s">
        <v>252</v>
      </c>
      <c r="B172" s="2" t="s">
        <v>28</v>
      </c>
      <c r="C172">
        <v>1</v>
      </c>
      <c r="D172" s="2" t="s">
        <v>228</v>
      </c>
      <c r="E172" s="2" t="s">
        <v>685</v>
      </c>
      <c r="F172" s="2" t="s">
        <v>686</v>
      </c>
      <c r="G172" s="2" t="s">
        <v>32</v>
      </c>
      <c r="H172" s="2" t="s">
        <v>124</v>
      </c>
      <c r="I172" s="2" t="s">
        <v>124</v>
      </c>
      <c r="J172" s="2" t="s">
        <v>35</v>
      </c>
      <c r="K172" s="2" t="s">
        <v>36</v>
      </c>
      <c r="L172" s="2" t="s">
        <v>37</v>
      </c>
      <c r="M172" s="2" t="s">
        <v>141</v>
      </c>
      <c r="N172" s="2" t="s">
        <v>39</v>
      </c>
      <c r="O172" s="2" t="s">
        <v>124</v>
      </c>
      <c r="P172" s="2" t="s">
        <v>58</v>
      </c>
      <c r="Q172" s="2" t="s">
        <v>39</v>
      </c>
      <c r="R172" s="4">
        <v>46141.6799537037</v>
      </c>
      <c r="S172" s="4">
        <v>46141.686273148145</v>
      </c>
      <c r="T172" s="2" t="s">
        <v>41</v>
      </c>
      <c r="U172" s="1" t="s">
        <v>83</v>
      </c>
      <c r="V172" s="1" t="s">
        <v>84</v>
      </c>
      <c r="W172" s="1" t="s">
        <v>686</v>
      </c>
      <c r="X172" s="1" t="s">
        <v>686</v>
      </c>
      <c r="Y172" s="1"/>
      <c r="Z172" s="1"/>
      <c r="AA172" s="1" t="s">
        <v>85</v>
      </c>
    </row>
    <row r="173" spans="1:27" ht="17.45" customHeight="1">
      <c r="A173" s="3" t="s">
        <v>687</v>
      </c>
      <c r="B173" s="3" t="s">
        <v>28</v>
      </c>
      <c r="C173">
        <v>1</v>
      </c>
      <c r="D173" s="3" t="s">
        <v>228</v>
      </c>
      <c r="E173" s="3" t="s">
        <v>688</v>
      </c>
      <c r="F173" s="3" t="s">
        <v>689</v>
      </c>
      <c r="G173" s="3" t="s">
        <v>32</v>
      </c>
      <c r="H173" s="3" t="s">
        <v>124</v>
      </c>
      <c r="I173" s="3" t="s">
        <v>124</v>
      </c>
      <c r="J173" s="3" t="s">
        <v>35</v>
      </c>
      <c r="K173" s="3" t="s">
        <v>36</v>
      </c>
      <c r="L173" s="3" t="s">
        <v>37</v>
      </c>
      <c r="M173" s="3" t="s">
        <v>52</v>
      </c>
      <c r="N173" s="3" t="s">
        <v>39</v>
      </c>
      <c r="O173" s="3" t="s">
        <v>124</v>
      </c>
      <c r="P173" s="3" t="s">
        <v>58</v>
      </c>
      <c r="Q173" s="3" t="s">
        <v>39</v>
      </c>
      <c r="R173" s="5">
        <v>46141.698634259257</v>
      </c>
      <c r="S173" s="5">
        <v>46141.698634259257</v>
      </c>
      <c r="T173" s="3" t="s">
        <v>41</v>
      </c>
      <c r="U173" s="1" t="s">
        <v>177</v>
      </c>
      <c r="V173" s="1" t="s">
        <v>184</v>
      </c>
      <c r="W173" s="1" t="s">
        <v>689</v>
      </c>
      <c r="X173" s="1" t="s">
        <v>689</v>
      </c>
      <c r="Y173" s="1"/>
      <c r="Z173" s="1"/>
      <c r="AA173" s="1" t="s">
        <v>179</v>
      </c>
    </row>
    <row r="174" spans="1:27" ht="17.45" customHeight="1">
      <c r="A174" s="2" t="s">
        <v>690</v>
      </c>
      <c r="B174" s="2" t="s">
        <v>120</v>
      </c>
      <c r="C174">
        <v>1</v>
      </c>
      <c r="D174" s="2" t="s">
        <v>121</v>
      </c>
      <c r="E174" s="2" t="s">
        <v>691</v>
      </c>
      <c r="F174" s="2" t="s">
        <v>692</v>
      </c>
      <c r="G174" s="2" t="s">
        <v>32</v>
      </c>
      <c r="H174" s="2" t="s">
        <v>124</v>
      </c>
      <c r="I174" s="2" t="s">
        <v>192</v>
      </c>
      <c r="J174" s="2" t="s">
        <v>35</v>
      </c>
      <c r="K174" s="2" t="s">
        <v>36</v>
      </c>
      <c r="L174" s="2" t="s">
        <v>37</v>
      </c>
      <c r="M174" s="2" t="s">
        <v>52</v>
      </c>
      <c r="N174" s="2" t="s">
        <v>39</v>
      </c>
      <c r="O174" s="2" t="s">
        <v>125</v>
      </c>
      <c r="P174" s="2" t="s">
        <v>40</v>
      </c>
      <c r="Q174" s="2" t="s">
        <v>39</v>
      </c>
      <c r="R174" s="4">
        <v>46134.600173611114</v>
      </c>
      <c r="S174" s="4">
        <v>46134.600173611114</v>
      </c>
      <c r="T174" s="2" t="s">
        <v>41</v>
      </c>
      <c r="U174" s="1" t="s">
        <v>115</v>
      </c>
      <c r="V174" s="1" t="s">
        <v>116</v>
      </c>
      <c r="W174" s="1" t="s">
        <v>693</v>
      </c>
      <c r="X174" s="1" t="s">
        <v>694</v>
      </c>
      <c r="Y174" s="1"/>
      <c r="Z174" s="1"/>
      <c r="AA174" s="1" t="s">
        <v>118</v>
      </c>
    </row>
    <row r="175" spans="1:27" ht="17.45" customHeight="1">
      <c r="A175" s="3" t="s">
        <v>695</v>
      </c>
      <c r="B175" s="3" t="s">
        <v>181</v>
      </c>
      <c r="C175">
        <v>1</v>
      </c>
      <c r="D175" s="3" t="s">
        <v>29</v>
      </c>
      <c r="E175" s="3" t="s">
        <v>696</v>
      </c>
      <c r="F175" s="3" t="s">
        <v>697</v>
      </c>
      <c r="G175" s="3" t="s">
        <v>32</v>
      </c>
      <c r="H175" s="3" t="s">
        <v>33</v>
      </c>
      <c r="I175" s="3" t="s">
        <v>78</v>
      </c>
      <c r="J175" s="3" t="s">
        <v>35</v>
      </c>
      <c r="K175" s="3" t="s">
        <v>36</v>
      </c>
      <c r="L175" s="3" t="s">
        <v>51</v>
      </c>
      <c r="M175" s="3" t="s">
        <v>115</v>
      </c>
      <c r="N175" s="3" t="s">
        <v>39</v>
      </c>
      <c r="O175" s="3" t="s">
        <v>33</v>
      </c>
      <c r="P175" s="3" t="s">
        <v>53</v>
      </c>
      <c r="Q175" s="3" t="s">
        <v>39</v>
      </c>
      <c r="R175" s="5">
        <v>46141.399108796293</v>
      </c>
      <c r="S175" s="5">
        <v>46141.401967592596</v>
      </c>
      <c r="T175" s="3" t="s">
        <v>41</v>
      </c>
      <c r="U175" s="1" t="s">
        <v>263</v>
      </c>
      <c r="V175" s="1" t="s">
        <v>264</v>
      </c>
      <c r="W175" s="1" t="s">
        <v>698</v>
      </c>
      <c r="X175" s="1" t="s">
        <v>698</v>
      </c>
      <c r="Y175" s="1"/>
      <c r="Z175" s="1"/>
      <c r="AA175" s="1" t="s">
        <v>265</v>
      </c>
    </row>
    <row r="176" spans="1:27" ht="17.45" customHeight="1">
      <c r="A176" s="2" t="s">
        <v>699</v>
      </c>
      <c r="B176" s="2" t="s">
        <v>181</v>
      </c>
      <c r="C176">
        <v>1</v>
      </c>
      <c r="D176" s="2" t="s">
        <v>121</v>
      </c>
      <c r="E176" s="2" t="s">
        <v>700</v>
      </c>
      <c r="F176" s="2" t="s">
        <v>701</v>
      </c>
      <c r="G176" s="2" t="s">
        <v>32</v>
      </c>
      <c r="H176" s="2" t="s">
        <v>124</v>
      </c>
      <c r="I176" s="2" t="s">
        <v>147</v>
      </c>
      <c r="J176" s="2" t="s">
        <v>35</v>
      </c>
      <c r="K176" s="2" t="s">
        <v>36</v>
      </c>
      <c r="L176" s="2" t="s">
        <v>37</v>
      </c>
      <c r="M176" s="2" t="s">
        <v>52</v>
      </c>
      <c r="N176" s="2" t="s">
        <v>39</v>
      </c>
      <c r="O176" s="2" t="s">
        <v>124</v>
      </c>
      <c r="P176" s="2" t="s">
        <v>58</v>
      </c>
      <c r="Q176" s="2" t="s">
        <v>39</v>
      </c>
      <c r="R176" s="4">
        <v>46141.557303240741</v>
      </c>
      <c r="S176" s="4">
        <v>46141.562210648146</v>
      </c>
      <c r="T176" s="2" t="s">
        <v>41</v>
      </c>
      <c r="U176" s="1" t="s">
        <v>165</v>
      </c>
      <c r="V176" s="1" t="s">
        <v>166</v>
      </c>
      <c r="W176" s="1" t="s">
        <v>702</v>
      </c>
      <c r="X176" s="1" t="s">
        <v>703</v>
      </c>
      <c r="Y176" s="1"/>
      <c r="Z176" s="1"/>
      <c r="AA176" s="1" t="s">
        <v>169</v>
      </c>
    </row>
    <row r="177" spans="1:27" ht="17.45" customHeight="1">
      <c r="A177" s="3" t="s">
        <v>704</v>
      </c>
      <c r="B177" s="3" t="s">
        <v>28</v>
      </c>
      <c r="C177">
        <v>1</v>
      </c>
      <c r="D177" s="3" t="s">
        <v>121</v>
      </c>
      <c r="E177" s="3" t="s">
        <v>705</v>
      </c>
      <c r="F177" s="3" t="s">
        <v>706</v>
      </c>
      <c r="G177" s="3" t="s">
        <v>32</v>
      </c>
      <c r="H177" s="3" t="s">
        <v>124</v>
      </c>
      <c r="I177" s="3" t="s">
        <v>157</v>
      </c>
      <c r="J177" s="3" t="s">
        <v>35</v>
      </c>
      <c r="K177" s="3" t="s">
        <v>36</v>
      </c>
      <c r="L177" s="3" t="s">
        <v>51</v>
      </c>
      <c r="M177" s="3" t="s">
        <v>64</v>
      </c>
      <c r="N177" s="3" t="s">
        <v>39</v>
      </c>
      <c r="O177" s="3" t="s">
        <v>124</v>
      </c>
      <c r="P177" s="3" t="s">
        <v>53</v>
      </c>
      <c r="Q177" s="3" t="s">
        <v>39</v>
      </c>
      <c r="R177" s="5">
        <v>46141.589062500003</v>
      </c>
      <c r="S177" s="5">
        <v>46141.589062500003</v>
      </c>
      <c r="T177" s="3" t="s">
        <v>41</v>
      </c>
      <c r="U177" s="1" t="s">
        <v>243</v>
      </c>
      <c r="V177" s="1" t="s">
        <v>340</v>
      </c>
      <c r="W177" s="1" t="s">
        <v>707</v>
      </c>
      <c r="X177" s="1" t="s">
        <v>707</v>
      </c>
      <c r="Y177" s="1"/>
      <c r="Z177" s="1"/>
      <c r="AA177" s="1" t="s">
        <v>246</v>
      </c>
    </row>
    <row r="178" spans="1:27" ht="17.45" customHeight="1">
      <c r="A178" s="2" t="s">
        <v>357</v>
      </c>
      <c r="B178" s="2" t="s">
        <v>120</v>
      </c>
      <c r="C178">
        <v>1</v>
      </c>
      <c r="D178" s="2" t="s">
        <v>228</v>
      </c>
      <c r="E178" s="2" t="s">
        <v>708</v>
      </c>
      <c r="F178" s="2" t="s">
        <v>709</v>
      </c>
      <c r="G178" s="2" t="s">
        <v>32</v>
      </c>
      <c r="H178" s="2" t="s">
        <v>124</v>
      </c>
      <c r="I178" s="2" t="s">
        <v>124</v>
      </c>
      <c r="J178" s="2" t="s">
        <v>35</v>
      </c>
      <c r="K178" s="2" t="s">
        <v>36</v>
      </c>
      <c r="L178" s="2" t="s">
        <v>37</v>
      </c>
      <c r="M178" s="2" t="s">
        <v>38</v>
      </c>
      <c r="N178" s="2" t="s">
        <v>39</v>
      </c>
      <c r="O178" s="2" t="s">
        <v>124</v>
      </c>
      <c r="P178" s="2" t="s">
        <v>53</v>
      </c>
      <c r="Q178" s="2" t="s">
        <v>39</v>
      </c>
      <c r="R178" s="4">
        <v>46141.607916666668</v>
      </c>
      <c r="S178" s="4">
        <v>46141.610763888886</v>
      </c>
      <c r="T178" s="2" t="s">
        <v>41</v>
      </c>
      <c r="U178" s="1" t="s">
        <v>83</v>
      </c>
      <c r="V178" s="1" t="s">
        <v>84</v>
      </c>
      <c r="W178" s="1" t="s">
        <v>709</v>
      </c>
      <c r="X178" s="1" t="s">
        <v>709</v>
      </c>
      <c r="Y178" s="1"/>
      <c r="Z178" s="1"/>
      <c r="AA178" s="1" t="s">
        <v>85</v>
      </c>
    </row>
    <row r="179" spans="1:27" ht="17.45" customHeight="1">
      <c r="A179" s="3" t="s">
        <v>710</v>
      </c>
      <c r="B179" s="3" t="s">
        <v>28</v>
      </c>
      <c r="C179">
        <v>1</v>
      </c>
      <c r="D179" s="3" t="s">
        <v>121</v>
      </c>
      <c r="E179" s="3" t="s">
        <v>711</v>
      </c>
      <c r="F179" s="3" t="s">
        <v>712</v>
      </c>
      <c r="G179" s="3" t="s">
        <v>32</v>
      </c>
      <c r="H179" s="3" t="s">
        <v>124</v>
      </c>
      <c r="I179" s="3" t="s">
        <v>147</v>
      </c>
      <c r="J179" s="3" t="s">
        <v>35</v>
      </c>
      <c r="K179" s="3" t="s">
        <v>36</v>
      </c>
      <c r="L179" s="3" t="s">
        <v>37</v>
      </c>
      <c r="M179" s="3" t="s">
        <v>128</v>
      </c>
      <c r="N179" s="3" t="s">
        <v>39</v>
      </c>
      <c r="O179" s="3" t="s">
        <v>124</v>
      </c>
      <c r="P179" s="3" t="s">
        <v>40</v>
      </c>
      <c r="Q179" s="3" t="s">
        <v>39</v>
      </c>
      <c r="R179" s="5">
        <v>46141.615995370368</v>
      </c>
      <c r="S179" s="5">
        <v>46141.615995370368</v>
      </c>
      <c r="T179" s="3" t="s">
        <v>41</v>
      </c>
      <c r="U179" s="1" t="s">
        <v>95</v>
      </c>
      <c r="V179" s="1" t="s">
        <v>329</v>
      </c>
      <c r="W179" s="1" t="s">
        <v>712</v>
      </c>
      <c r="X179" s="1" t="s">
        <v>712</v>
      </c>
      <c r="Y179" s="1"/>
      <c r="Z179" s="1"/>
      <c r="AA179" s="1" t="s">
        <v>98</v>
      </c>
    </row>
    <row r="180" spans="1:27" ht="17.45" customHeight="1">
      <c r="A180" s="2" t="s">
        <v>713</v>
      </c>
      <c r="B180" s="2" t="s">
        <v>28</v>
      </c>
      <c r="C180">
        <v>1</v>
      </c>
      <c r="D180" s="2" t="s">
        <v>228</v>
      </c>
      <c r="E180" s="2" t="s">
        <v>714</v>
      </c>
      <c r="F180" s="2" t="s">
        <v>715</v>
      </c>
      <c r="G180" s="2" t="s">
        <v>32</v>
      </c>
      <c r="H180" s="2" t="s">
        <v>124</v>
      </c>
      <c r="I180" s="2" t="s">
        <v>124</v>
      </c>
      <c r="J180" s="2" t="s">
        <v>35</v>
      </c>
      <c r="K180" s="2" t="s">
        <v>36</v>
      </c>
      <c r="L180" s="2" t="s">
        <v>51</v>
      </c>
      <c r="M180" s="2" t="s">
        <v>115</v>
      </c>
      <c r="N180" s="2" t="s">
        <v>39</v>
      </c>
      <c r="O180" s="2" t="s">
        <v>124</v>
      </c>
      <c r="P180" s="2" t="s">
        <v>53</v>
      </c>
      <c r="Q180" s="2" t="s">
        <v>39</v>
      </c>
      <c r="R180" s="4">
        <v>46141.619050925925</v>
      </c>
      <c r="S180" s="4">
        <v>46141.619050925925</v>
      </c>
      <c r="T180" s="2" t="s">
        <v>41</v>
      </c>
      <c r="U180" s="1" t="s">
        <v>569</v>
      </c>
      <c r="V180" s="1" t="s">
        <v>716</v>
      </c>
      <c r="W180" s="1" t="s">
        <v>715</v>
      </c>
      <c r="X180" s="1" t="s">
        <v>715</v>
      </c>
      <c r="Y180" s="1"/>
      <c r="Z180" s="1"/>
      <c r="AA180" s="1" t="s">
        <v>573</v>
      </c>
    </row>
    <row r="181" spans="1:27" ht="17.45" customHeight="1">
      <c r="A181" s="3" t="s">
        <v>717</v>
      </c>
      <c r="B181" s="3" t="s">
        <v>48</v>
      </c>
      <c r="C181">
        <v>1</v>
      </c>
      <c r="D181" s="3" t="s">
        <v>228</v>
      </c>
      <c r="E181" s="3" t="s">
        <v>718</v>
      </c>
      <c r="F181" s="3" t="s">
        <v>719</v>
      </c>
      <c r="G181" s="3" t="s">
        <v>32</v>
      </c>
      <c r="H181" s="3" t="s">
        <v>124</v>
      </c>
      <c r="I181" s="3" t="s">
        <v>124</v>
      </c>
      <c r="J181" s="3" t="s">
        <v>35</v>
      </c>
      <c r="K181" s="3" t="s">
        <v>36</v>
      </c>
      <c r="L181" s="3" t="s">
        <v>51</v>
      </c>
      <c r="M181" s="3" t="s">
        <v>64</v>
      </c>
      <c r="N181" s="3" t="s">
        <v>39</v>
      </c>
      <c r="O181" s="3" t="s">
        <v>124</v>
      </c>
      <c r="P181" s="3" t="s">
        <v>53</v>
      </c>
      <c r="Q181" s="3" t="s">
        <v>39</v>
      </c>
      <c r="R181" s="5">
        <v>46141.621724537035</v>
      </c>
      <c r="S181" s="5">
        <v>46141.621724537035</v>
      </c>
      <c r="T181" s="3" t="s">
        <v>41</v>
      </c>
      <c r="U181" s="1" t="s">
        <v>42</v>
      </c>
      <c r="V181" s="1" t="s">
        <v>74</v>
      </c>
      <c r="W181" s="1" t="s">
        <v>720</v>
      </c>
      <c r="X181" s="1" t="s">
        <v>720</v>
      </c>
      <c r="Y181" s="1"/>
      <c r="Z181" s="1"/>
      <c r="AA181" s="1" t="s">
        <v>46</v>
      </c>
    </row>
    <row r="182" spans="1:27" ht="17.45" customHeight="1">
      <c r="A182" s="2" t="s">
        <v>713</v>
      </c>
      <c r="B182" s="2" t="s">
        <v>28</v>
      </c>
      <c r="C182">
        <v>1</v>
      </c>
      <c r="D182" s="2" t="s">
        <v>228</v>
      </c>
      <c r="E182" s="2" t="s">
        <v>721</v>
      </c>
      <c r="F182" s="2" t="s">
        <v>722</v>
      </c>
      <c r="G182" s="2" t="s">
        <v>32</v>
      </c>
      <c r="H182" s="2" t="s">
        <v>124</v>
      </c>
      <c r="I182" s="2" t="s">
        <v>124</v>
      </c>
      <c r="J182" s="2" t="s">
        <v>35</v>
      </c>
      <c r="K182" s="2" t="s">
        <v>36</v>
      </c>
      <c r="L182" s="2" t="s">
        <v>51</v>
      </c>
      <c r="M182" s="2" t="s">
        <v>64</v>
      </c>
      <c r="N182" s="2" t="s">
        <v>39</v>
      </c>
      <c r="O182" s="2" t="s">
        <v>124</v>
      </c>
      <c r="P182" s="2" t="s">
        <v>53</v>
      </c>
      <c r="Q182" s="2" t="s">
        <v>39</v>
      </c>
      <c r="R182" s="4">
        <v>46141.624467592592</v>
      </c>
      <c r="S182" s="4">
        <v>46141.624467592592</v>
      </c>
      <c r="T182" s="2" t="s">
        <v>41</v>
      </c>
      <c r="U182" s="1" t="s">
        <v>95</v>
      </c>
      <c r="V182" s="1" t="s">
        <v>329</v>
      </c>
      <c r="W182" s="1" t="s">
        <v>723</v>
      </c>
      <c r="X182" s="1" t="s">
        <v>723</v>
      </c>
      <c r="Y182" s="1"/>
      <c r="Z182" s="1"/>
      <c r="AA182" s="1" t="s">
        <v>98</v>
      </c>
    </row>
    <row r="183" spans="1:27" ht="17.45" customHeight="1">
      <c r="A183" s="3" t="s">
        <v>252</v>
      </c>
      <c r="B183" s="3" t="s">
        <v>28</v>
      </c>
      <c r="C183">
        <v>1</v>
      </c>
      <c r="D183" s="3" t="s">
        <v>228</v>
      </c>
      <c r="E183" s="3" t="s">
        <v>724</v>
      </c>
      <c r="F183" s="3" t="s">
        <v>686</v>
      </c>
      <c r="G183" s="3" t="s">
        <v>32</v>
      </c>
      <c r="H183" s="3" t="s">
        <v>124</v>
      </c>
      <c r="I183" s="3" t="s">
        <v>124</v>
      </c>
      <c r="J183" s="3" t="s">
        <v>35</v>
      </c>
      <c r="K183" s="3" t="s">
        <v>36</v>
      </c>
      <c r="L183" s="3" t="s">
        <v>37</v>
      </c>
      <c r="M183" s="3" t="s">
        <v>52</v>
      </c>
      <c r="N183" s="3" t="s">
        <v>39</v>
      </c>
      <c r="O183" s="3" t="s">
        <v>124</v>
      </c>
      <c r="P183" s="3" t="s">
        <v>58</v>
      </c>
      <c r="Q183" s="3" t="s">
        <v>39</v>
      </c>
      <c r="R183" s="5">
        <v>46141.677789351852</v>
      </c>
      <c r="S183" s="5">
        <v>46141.677789351852</v>
      </c>
      <c r="T183" s="3" t="s">
        <v>41</v>
      </c>
      <c r="U183" s="1" t="s">
        <v>83</v>
      </c>
      <c r="V183" s="1" t="s">
        <v>84</v>
      </c>
      <c r="W183" s="1" t="s">
        <v>686</v>
      </c>
      <c r="X183" s="1" t="s">
        <v>686</v>
      </c>
      <c r="Y183" s="1"/>
      <c r="Z183" s="1"/>
      <c r="AA183" s="1" t="s">
        <v>85</v>
      </c>
    </row>
    <row r="184" spans="1:27" ht="17.45" customHeight="1">
      <c r="A184" s="2" t="s">
        <v>252</v>
      </c>
      <c r="B184" s="2" t="s">
        <v>28</v>
      </c>
      <c r="C184">
        <v>1</v>
      </c>
      <c r="D184" s="2" t="s">
        <v>228</v>
      </c>
      <c r="E184" s="2" t="s">
        <v>725</v>
      </c>
      <c r="F184" s="2" t="s">
        <v>686</v>
      </c>
      <c r="G184" s="2" t="s">
        <v>32</v>
      </c>
      <c r="H184" s="2" t="s">
        <v>124</v>
      </c>
      <c r="I184" s="2" t="s">
        <v>124</v>
      </c>
      <c r="J184" s="2" t="s">
        <v>35</v>
      </c>
      <c r="K184" s="2" t="s">
        <v>36</v>
      </c>
      <c r="L184" s="2" t="s">
        <v>37</v>
      </c>
      <c r="M184" s="2" t="s">
        <v>52</v>
      </c>
      <c r="N184" s="2" t="s">
        <v>39</v>
      </c>
      <c r="O184" s="2" t="s">
        <v>124</v>
      </c>
      <c r="P184" s="2" t="s">
        <v>58</v>
      </c>
      <c r="Q184" s="2" t="s">
        <v>39</v>
      </c>
      <c r="R184" s="4">
        <v>46141.678854166668</v>
      </c>
      <c r="S184" s="4">
        <v>46141.678854166668</v>
      </c>
      <c r="T184" s="2" t="s">
        <v>41</v>
      </c>
      <c r="U184" s="1" t="s">
        <v>83</v>
      </c>
      <c r="V184" s="1" t="s">
        <v>84</v>
      </c>
      <c r="W184" s="1" t="s">
        <v>686</v>
      </c>
      <c r="X184" s="1" t="s">
        <v>686</v>
      </c>
      <c r="Y184" s="1"/>
      <c r="Z184" s="1"/>
      <c r="AA184" s="1" t="s">
        <v>85</v>
      </c>
    </row>
    <row r="185" spans="1:27" ht="17.45" customHeight="1">
      <c r="A185" s="3" t="s">
        <v>162</v>
      </c>
      <c r="B185" s="3" t="s">
        <v>28</v>
      </c>
      <c r="C185">
        <v>1</v>
      </c>
      <c r="D185" s="3" t="s">
        <v>29</v>
      </c>
      <c r="E185" s="3" t="s">
        <v>726</v>
      </c>
      <c r="F185" s="3" t="s">
        <v>727</v>
      </c>
      <c r="G185" s="3" t="s">
        <v>32</v>
      </c>
      <c r="H185" s="3" t="s">
        <v>33</v>
      </c>
      <c r="I185" s="3" t="s">
        <v>34</v>
      </c>
      <c r="J185" s="3" t="s">
        <v>35</v>
      </c>
      <c r="K185" s="3" t="s">
        <v>36</v>
      </c>
      <c r="L185" s="3" t="s">
        <v>37</v>
      </c>
      <c r="M185" s="3" t="s">
        <v>52</v>
      </c>
      <c r="N185" s="3" t="s">
        <v>39</v>
      </c>
      <c r="O185" s="3" t="s">
        <v>33</v>
      </c>
      <c r="P185" s="3" t="s">
        <v>40</v>
      </c>
      <c r="Q185" s="3" t="s">
        <v>39</v>
      </c>
      <c r="R185" s="5">
        <v>46149.401284722226</v>
      </c>
      <c r="S185" s="5">
        <v>46149.439293981479</v>
      </c>
      <c r="T185" s="3" t="s">
        <v>41</v>
      </c>
      <c r="U185" s="1" t="s">
        <v>83</v>
      </c>
      <c r="V185" s="1" t="s">
        <v>84</v>
      </c>
      <c r="W185" s="1" t="s">
        <v>728</v>
      </c>
      <c r="X185" s="1" t="s">
        <v>729</v>
      </c>
      <c r="Y185" s="1"/>
      <c r="Z185" s="1"/>
      <c r="AA185" s="1" t="s">
        <v>85</v>
      </c>
    </row>
    <row r="186" spans="1:27" ht="17.45" customHeight="1">
      <c r="A186" s="2" t="s">
        <v>730</v>
      </c>
      <c r="B186" s="2" t="s">
        <v>28</v>
      </c>
      <c r="C186">
        <v>1</v>
      </c>
      <c r="D186" s="2" t="s">
        <v>121</v>
      </c>
      <c r="E186" s="2" t="s">
        <v>731</v>
      </c>
      <c r="F186" s="2" t="s">
        <v>732</v>
      </c>
      <c r="G186" s="2" t="s">
        <v>32</v>
      </c>
      <c r="H186" s="2" t="s">
        <v>124</v>
      </c>
      <c r="I186" s="2" t="s">
        <v>147</v>
      </c>
      <c r="J186" s="2" t="s">
        <v>35</v>
      </c>
      <c r="K186" s="2" t="s">
        <v>36</v>
      </c>
      <c r="L186" s="2" t="s">
        <v>51</v>
      </c>
      <c r="M186" s="2" t="s">
        <v>64</v>
      </c>
      <c r="N186" s="2" t="s">
        <v>39</v>
      </c>
      <c r="O186" s="2" t="s">
        <v>124</v>
      </c>
      <c r="P186" s="2" t="s">
        <v>53</v>
      </c>
      <c r="Q186" s="2" t="s">
        <v>39</v>
      </c>
      <c r="R186" s="4">
        <v>46149.45579861111</v>
      </c>
      <c r="S186" s="4">
        <v>46149.45579861111</v>
      </c>
      <c r="T186" s="2" t="s">
        <v>41</v>
      </c>
      <c r="U186" s="1" t="s">
        <v>95</v>
      </c>
      <c r="V186" s="1" t="s">
        <v>96</v>
      </c>
      <c r="W186" s="1" t="s">
        <v>733</v>
      </c>
      <c r="X186" s="1" t="s">
        <v>734</v>
      </c>
      <c r="Y186" s="1"/>
      <c r="Z186" s="1"/>
      <c r="AA186" s="1" t="s">
        <v>98</v>
      </c>
    </row>
    <row r="187" spans="1:27" ht="17.45" customHeight="1">
      <c r="A187" s="3" t="s">
        <v>735</v>
      </c>
      <c r="B187" s="3" t="s">
        <v>28</v>
      </c>
      <c r="C187">
        <v>1</v>
      </c>
      <c r="D187" s="3" t="s">
        <v>29</v>
      </c>
      <c r="E187" s="3" t="s">
        <v>736</v>
      </c>
      <c r="F187" s="3" t="s">
        <v>624</v>
      </c>
      <c r="G187" s="3" t="s">
        <v>32</v>
      </c>
      <c r="H187" s="3" t="s">
        <v>33</v>
      </c>
      <c r="I187" s="3" t="s">
        <v>34</v>
      </c>
      <c r="J187" s="3" t="s">
        <v>35</v>
      </c>
      <c r="K187" s="3" t="s">
        <v>36</v>
      </c>
      <c r="L187" s="3" t="s">
        <v>37</v>
      </c>
      <c r="M187" s="3" t="s">
        <v>64</v>
      </c>
      <c r="N187" s="3" t="s">
        <v>39</v>
      </c>
      <c r="O187" s="3" t="s">
        <v>33</v>
      </c>
      <c r="P187" s="3" t="s">
        <v>53</v>
      </c>
      <c r="Q187" s="3" t="s">
        <v>39</v>
      </c>
      <c r="R187" s="5">
        <v>46149.460196759261</v>
      </c>
      <c r="S187" s="5">
        <v>46149.460196759261</v>
      </c>
      <c r="T187" s="3" t="s">
        <v>41</v>
      </c>
      <c r="U187" s="1" t="s">
        <v>165</v>
      </c>
      <c r="V187" s="1" t="s">
        <v>625</v>
      </c>
      <c r="W187" s="1" t="s">
        <v>624</v>
      </c>
      <c r="X187" s="1" t="s">
        <v>624</v>
      </c>
      <c r="Y187" s="1"/>
      <c r="Z187" s="1"/>
      <c r="AA187" s="1" t="s">
        <v>169</v>
      </c>
    </row>
    <row r="188" spans="1:27" ht="17.45" customHeight="1">
      <c r="A188" s="2" t="s">
        <v>92</v>
      </c>
      <c r="B188" s="2" t="s">
        <v>28</v>
      </c>
      <c r="C188">
        <v>1</v>
      </c>
      <c r="D188" s="2" t="s">
        <v>29</v>
      </c>
      <c r="E188" s="2" t="s">
        <v>737</v>
      </c>
      <c r="F188" s="2" t="s">
        <v>624</v>
      </c>
      <c r="G188" s="2" t="s">
        <v>32</v>
      </c>
      <c r="H188" s="2" t="s">
        <v>33</v>
      </c>
      <c r="I188" s="2" t="s">
        <v>34</v>
      </c>
      <c r="J188" s="2" t="s">
        <v>35</v>
      </c>
      <c r="K188" s="2" t="s">
        <v>36</v>
      </c>
      <c r="L188" s="2" t="s">
        <v>37</v>
      </c>
      <c r="M188" s="2" t="s">
        <v>64</v>
      </c>
      <c r="N188" s="2" t="s">
        <v>39</v>
      </c>
      <c r="O188" s="2" t="s">
        <v>33</v>
      </c>
      <c r="P188" s="2" t="s">
        <v>53</v>
      </c>
      <c r="Q188" s="2" t="s">
        <v>39</v>
      </c>
      <c r="R188" s="4">
        <v>46149.464675925927</v>
      </c>
      <c r="S188" s="4">
        <v>46149.464675925927</v>
      </c>
      <c r="T188" s="2" t="s">
        <v>41</v>
      </c>
      <c r="U188" s="1" t="s">
        <v>165</v>
      </c>
      <c r="V188" s="1" t="s">
        <v>625</v>
      </c>
      <c r="W188" s="1" t="s">
        <v>624</v>
      </c>
      <c r="X188" s="1" t="s">
        <v>624</v>
      </c>
      <c r="Y188" s="1"/>
      <c r="Z188" s="1"/>
      <c r="AA188" s="1" t="s">
        <v>169</v>
      </c>
    </row>
    <row r="189" spans="1:27" ht="17.45" customHeight="1">
      <c r="A189" s="3" t="s">
        <v>738</v>
      </c>
      <c r="B189" s="3" t="s">
        <v>120</v>
      </c>
      <c r="C189">
        <v>1</v>
      </c>
      <c r="D189" s="3" t="s">
        <v>29</v>
      </c>
      <c r="E189" s="3" t="s">
        <v>739</v>
      </c>
      <c r="F189" s="3" t="s">
        <v>394</v>
      </c>
      <c r="G189" s="3" t="s">
        <v>32</v>
      </c>
      <c r="H189" s="3" t="s">
        <v>33</v>
      </c>
      <c r="I189" s="3" t="s">
        <v>33</v>
      </c>
      <c r="J189" s="3" t="s">
        <v>35</v>
      </c>
      <c r="K189" s="3" t="s">
        <v>36</v>
      </c>
      <c r="L189" s="3" t="s">
        <v>37</v>
      </c>
      <c r="M189" s="3" t="s">
        <v>52</v>
      </c>
      <c r="N189" s="3" t="s">
        <v>39</v>
      </c>
      <c r="O189" s="3" t="s">
        <v>33</v>
      </c>
      <c r="P189" s="3" t="s">
        <v>40</v>
      </c>
      <c r="Q189" s="3" t="s">
        <v>39</v>
      </c>
      <c r="R189" s="5">
        <v>46134.655057870368</v>
      </c>
      <c r="S189" s="5">
        <v>46134.655613425923</v>
      </c>
      <c r="T189" s="3" t="s">
        <v>41</v>
      </c>
      <c r="U189" s="1" t="s">
        <v>95</v>
      </c>
      <c r="V189" s="1" t="s">
        <v>96</v>
      </c>
      <c r="W189" s="1" t="s">
        <v>394</v>
      </c>
      <c r="X189" s="1" t="s">
        <v>394</v>
      </c>
      <c r="Y189" s="1"/>
      <c r="Z189" s="1"/>
      <c r="AA189" s="1" t="s">
        <v>98</v>
      </c>
    </row>
    <row r="190" spans="1:27" ht="17.45" customHeight="1">
      <c r="A190" s="2" t="s">
        <v>345</v>
      </c>
      <c r="B190" s="2" t="s">
        <v>120</v>
      </c>
      <c r="C190">
        <v>1</v>
      </c>
      <c r="D190" s="2" t="s">
        <v>29</v>
      </c>
      <c r="E190" s="2" t="s">
        <v>740</v>
      </c>
      <c r="F190" s="2" t="s">
        <v>741</v>
      </c>
      <c r="G190" s="2" t="s">
        <v>32</v>
      </c>
      <c r="H190" s="2" t="s">
        <v>33</v>
      </c>
      <c r="I190" s="2" t="s">
        <v>33</v>
      </c>
      <c r="J190" s="2" t="s">
        <v>35</v>
      </c>
      <c r="K190" s="2" t="s">
        <v>36</v>
      </c>
      <c r="L190" s="2" t="s">
        <v>51</v>
      </c>
      <c r="M190" s="2" t="s">
        <v>64</v>
      </c>
      <c r="N190" s="2" t="s">
        <v>39</v>
      </c>
      <c r="O190" s="2" t="s">
        <v>33</v>
      </c>
      <c r="P190" s="2" t="s">
        <v>53</v>
      </c>
      <c r="Q190" s="2" t="s">
        <v>39</v>
      </c>
      <c r="R190" s="4">
        <v>46134.697893518518</v>
      </c>
      <c r="S190" s="4">
        <v>46134.709976851853</v>
      </c>
      <c r="T190" s="2" t="s">
        <v>41</v>
      </c>
      <c r="U190" s="1" t="s">
        <v>42</v>
      </c>
      <c r="V190" s="1" t="s">
        <v>105</v>
      </c>
      <c r="W190" s="1" t="s">
        <v>742</v>
      </c>
      <c r="X190" s="1" t="s">
        <v>743</v>
      </c>
      <c r="Y190" s="1"/>
      <c r="Z190" s="1"/>
      <c r="AA190" s="1" t="s">
        <v>46</v>
      </c>
    </row>
    <row r="191" spans="1:27" ht="17.45" customHeight="1">
      <c r="A191" s="3" t="s">
        <v>744</v>
      </c>
      <c r="B191" s="3" t="s">
        <v>48</v>
      </c>
      <c r="C191">
        <v>1</v>
      </c>
      <c r="D191" s="3" t="s">
        <v>29</v>
      </c>
      <c r="E191" s="3" t="s">
        <v>745</v>
      </c>
      <c r="F191" s="3" t="s">
        <v>746</v>
      </c>
      <c r="G191" s="3" t="s">
        <v>32</v>
      </c>
      <c r="H191" s="3" t="s">
        <v>33</v>
      </c>
      <c r="I191" s="3" t="s">
        <v>33</v>
      </c>
      <c r="J191" s="3" t="s">
        <v>35</v>
      </c>
      <c r="K191" s="3" t="s">
        <v>36</v>
      </c>
      <c r="L191" s="3" t="s">
        <v>37</v>
      </c>
      <c r="M191" s="3" t="s">
        <v>52</v>
      </c>
      <c r="N191" s="3" t="s">
        <v>39</v>
      </c>
      <c r="O191" s="3" t="s">
        <v>33</v>
      </c>
      <c r="P191" s="3" t="s">
        <v>53</v>
      </c>
      <c r="Q191" s="3" t="s">
        <v>39</v>
      </c>
      <c r="R191" s="5">
        <v>46139.449571759258</v>
      </c>
      <c r="S191" s="5">
        <v>46139.449571759258</v>
      </c>
      <c r="T191" s="3" t="s">
        <v>41</v>
      </c>
      <c r="U191" s="1" t="s">
        <v>42</v>
      </c>
      <c r="V191" s="1" t="s">
        <v>74</v>
      </c>
      <c r="W191" s="1" t="s">
        <v>747</v>
      </c>
      <c r="X191" s="1" t="s">
        <v>747</v>
      </c>
      <c r="Y191" s="1"/>
      <c r="Z191" s="1"/>
      <c r="AA191" s="1" t="s">
        <v>46</v>
      </c>
    </row>
    <row r="192" spans="1:27" ht="17.45" customHeight="1">
      <c r="A192" s="2" t="s">
        <v>744</v>
      </c>
      <c r="B192" s="2" t="s">
        <v>48</v>
      </c>
      <c r="C192">
        <v>1</v>
      </c>
      <c r="D192" s="2" t="s">
        <v>29</v>
      </c>
      <c r="E192" s="2" t="s">
        <v>748</v>
      </c>
      <c r="F192" s="2" t="s">
        <v>749</v>
      </c>
      <c r="G192" s="2" t="s">
        <v>32</v>
      </c>
      <c r="H192" s="2" t="s">
        <v>33</v>
      </c>
      <c r="I192" s="2" t="s">
        <v>33</v>
      </c>
      <c r="J192" s="2" t="s">
        <v>35</v>
      </c>
      <c r="K192" s="2" t="s">
        <v>36</v>
      </c>
      <c r="L192" s="2" t="s">
        <v>37</v>
      </c>
      <c r="M192" s="2" t="s">
        <v>52</v>
      </c>
      <c r="N192" s="2" t="s">
        <v>39</v>
      </c>
      <c r="O192" s="2" t="s">
        <v>33</v>
      </c>
      <c r="P192" s="2" t="s">
        <v>40</v>
      </c>
      <c r="Q192" s="2" t="s">
        <v>39</v>
      </c>
      <c r="R192" s="4">
        <v>46139.449930555558</v>
      </c>
      <c r="S192" s="4">
        <v>46139.725671296299</v>
      </c>
      <c r="T192" s="2" t="s">
        <v>41</v>
      </c>
      <c r="U192" s="1" t="s">
        <v>95</v>
      </c>
      <c r="V192" s="1" t="s">
        <v>96</v>
      </c>
      <c r="W192" s="1" t="s">
        <v>749</v>
      </c>
      <c r="X192" s="1" t="s">
        <v>749</v>
      </c>
      <c r="Y192" s="1"/>
      <c r="Z192" s="1"/>
      <c r="AA192" s="1" t="s">
        <v>98</v>
      </c>
    </row>
    <row r="193" spans="1:27" ht="17.45" customHeight="1">
      <c r="A193" s="3" t="s">
        <v>750</v>
      </c>
      <c r="B193" s="3" t="s">
        <v>48</v>
      </c>
      <c r="C193">
        <v>1</v>
      </c>
      <c r="D193" s="3" t="s">
        <v>228</v>
      </c>
      <c r="E193" s="3" t="s">
        <v>751</v>
      </c>
      <c r="F193" s="3" t="s">
        <v>752</v>
      </c>
      <c r="G193" s="3" t="s">
        <v>32</v>
      </c>
      <c r="H193" s="3" t="s">
        <v>124</v>
      </c>
      <c r="I193" s="3" t="s">
        <v>124</v>
      </c>
      <c r="J193" s="3" t="s">
        <v>35</v>
      </c>
      <c r="K193" s="3" t="s">
        <v>36</v>
      </c>
      <c r="L193" s="3" t="s">
        <v>37</v>
      </c>
      <c r="M193" s="3" t="s">
        <v>38</v>
      </c>
      <c r="N193" s="3" t="s">
        <v>39</v>
      </c>
      <c r="O193" s="3" t="s">
        <v>124</v>
      </c>
      <c r="P193" s="3" t="s">
        <v>53</v>
      </c>
      <c r="Q193" s="3" t="s">
        <v>39</v>
      </c>
      <c r="R193" s="5">
        <v>46142.443935185183</v>
      </c>
      <c r="S193" s="5">
        <v>46142.443935185183</v>
      </c>
      <c r="T193" s="3" t="s">
        <v>41</v>
      </c>
      <c r="U193" s="1" t="s">
        <v>42</v>
      </c>
      <c r="V193" s="1" t="s">
        <v>74</v>
      </c>
      <c r="W193" s="1" t="s">
        <v>753</v>
      </c>
      <c r="X193" s="1" t="s">
        <v>752</v>
      </c>
      <c r="Y193" s="1"/>
      <c r="Z193" s="1"/>
      <c r="AA193" s="1" t="s">
        <v>46</v>
      </c>
    </row>
    <row r="194" spans="1:27" ht="17.45" customHeight="1">
      <c r="A194" s="2" t="s">
        <v>257</v>
      </c>
      <c r="B194" s="2" t="s">
        <v>28</v>
      </c>
      <c r="C194">
        <v>1</v>
      </c>
      <c r="D194" s="2" t="s">
        <v>228</v>
      </c>
      <c r="E194" s="2" t="s">
        <v>754</v>
      </c>
      <c r="F194" s="2" t="s">
        <v>755</v>
      </c>
      <c r="G194" s="2" t="s">
        <v>32</v>
      </c>
      <c r="H194" s="2" t="s">
        <v>124</v>
      </c>
      <c r="I194" s="2" t="s">
        <v>124</v>
      </c>
      <c r="J194" s="2" t="s">
        <v>35</v>
      </c>
      <c r="K194" s="2" t="s">
        <v>36</v>
      </c>
      <c r="L194" s="2" t="s">
        <v>51</v>
      </c>
      <c r="M194" s="2" t="s">
        <v>64</v>
      </c>
      <c r="N194" s="2" t="s">
        <v>39</v>
      </c>
      <c r="O194" s="2" t="s">
        <v>124</v>
      </c>
      <c r="P194" s="2" t="s">
        <v>53</v>
      </c>
      <c r="Q194" s="2" t="s">
        <v>39</v>
      </c>
      <c r="R194" s="4">
        <v>46142.465613425928</v>
      </c>
      <c r="S194" s="4">
        <v>46142.468310185184</v>
      </c>
      <c r="T194" s="2" t="s">
        <v>41</v>
      </c>
      <c r="U194" s="1" t="s">
        <v>95</v>
      </c>
      <c r="V194" s="1" t="s">
        <v>329</v>
      </c>
      <c r="W194" s="1" t="s">
        <v>756</v>
      </c>
      <c r="X194" s="1" t="s">
        <v>757</v>
      </c>
      <c r="Y194" s="1"/>
      <c r="Z194" s="1"/>
      <c r="AA194" s="1" t="s">
        <v>98</v>
      </c>
    </row>
    <row r="195" spans="1:27" ht="17.45" customHeight="1">
      <c r="A195" s="3" t="s">
        <v>758</v>
      </c>
      <c r="B195" s="3" t="s">
        <v>120</v>
      </c>
      <c r="C195">
        <v>1</v>
      </c>
      <c r="D195" s="3" t="s">
        <v>121</v>
      </c>
      <c r="E195" s="3" t="s">
        <v>759</v>
      </c>
      <c r="F195" s="3" t="s">
        <v>760</v>
      </c>
      <c r="G195" s="3" t="s">
        <v>32</v>
      </c>
      <c r="H195" s="3" t="s">
        <v>124</v>
      </c>
      <c r="I195" s="3" t="s">
        <v>761</v>
      </c>
      <c r="J195" s="3" t="s">
        <v>35</v>
      </c>
      <c r="K195" s="3" t="s">
        <v>36</v>
      </c>
      <c r="L195" s="3" t="s">
        <v>51</v>
      </c>
      <c r="M195" s="3" t="s">
        <v>64</v>
      </c>
      <c r="N195" s="3" t="s">
        <v>39</v>
      </c>
      <c r="O195" s="3" t="s">
        <v>124</v>
      </c>
      <c r="P195" s="3" t="s">
        <v>53</v>
      </c>
      <c r="Q195" s="3" t="s">
        <v>39</v>
      </c>
      <c r="R195" s="5">
        <v>46146.625740740739</v>
      </c>
      <c r="S195" s="5">
        <v>46146.625740740739</v>
      </c>
      <c r="T195" s="3" t="s">
        <v>41</v>
      </c>
      <c r="U195" s="1" t="s">
        <v>263</v>
      </c>
      <c r="V195" s="1" t="s">
        <v>264</v>
      </c>
      <c r="W195" s="1" t="s">
        <v>760</v>
      </c>
      <c r="X195" s="1" t="s">
        <v>760</v>
      </c>
      <c r="Y195" s="1"/>
      <c r="Z195" s="1"/>
      <c r="AA195" s="1" t="s">
        <v>265</v>
      </c>
    </row>
    <row r="196" spans="1:27" ht="17.45" customHeight="1">
      <c r="A196" s="2" t="s">
        <v>762</v>
      </c>
      <c r="B196" s="2" t="s">
        <v>120</v>
      </c>
      <c r="C196">
        <v>1</v>
      </c>
      <c r="D196" s="2" t="s">
        <v>121</v>
      </c>
      <c r="E196" s="2" t="s">
        <v>763</v>
      </c>
      <c r="F196" s="2" t="s">
        <v>764</v>
      </c>
      <c r="G196" s="2" t="s">
        <v>32</v>
      </c>
      <c r="H196" s="2" t="s">
        <v>124</v>
      </c>
      <c r="I196" s="2" t="s">
        <v>761</v>
      </c>
      <c r="J196" s="2" t="s">
        <v>35</v>
      </c>
      <c r="K196" s="2" t="s">
        <v>36</v>
      </c>
      <c r="L196" s="2" t="s">
        <v>51</v>
      </c>
      <c r="M196" s="2" t="s">
        <v>64</v>
      </c>
      <c r="N196" s="2" t="s">
        <v>39</v>
      </c>
      <c r="O196" s="2" t="s">
        <v>124</v>
      </c>
      <c r="P196" s="2" t="s">
        <v>53</v>
      </c>
      <c r="Q196" s="2" t="s">
        <v>39</v>
      </c>
      <c r="R196" s="4">
        <v>46146.637141203704</v>
      </c>
      <c r="S196" s="4">
        <v>46146.637141203704</v>
      </c>
      <c r="T196" s="2" t="s">
        <v>41</v>
      </c>
      <c r="U196" s="1" t="s">
        <v>83</v>
      </c>
      <c r="V196" s="1" t="s">
        <v>84</v>
      </c>
      <c r="W196" s="1" t="s">
        <v>764</v>
      </c>
      <c r="X196" s="1" t="s">
        <v>764</v>
      </c>
      <c r="Y196" s="1"/>
      <c r="Z196" s="1"/>
      <c r="AA196" s="1" t="s">
        <v>85</v>
      </c>
    </row>
    <row r="197" spans="1:27" ht="17.45" customHeight="1">
      <c r="A197" s="3" t="s">
        <v>765</v>
      </c>
      <c r="B197" s="3" t="s">
        <v>120</v>
      </c>
      <c r="C197">
        <v>1</v>
      </c>
      <c r="D197" s="3" t="s">
        <v>29</v>
      </c>
      <c r="E197" s="3" t="s">
        <v>766</v>
      </c>
      <c r="F197" s="3" t="s">
        <v>767</v>
      </c>
      <c r="G197" s="3" t="s">
        <v>32</v>
      </c>
      <c r="H197" s="3" t="s">
        <v>33</v>
      </c>
      <c r="I197" s="3" t="s">
        <v>34</v>
      </c>
      <c r="J197" s="3" t="s">
        <v>35</v>
      </c>
      <c r="K197" s="3" t="s">
        <v>36</v>
      </c>
      <c r="L197" s="3" t="s">
        <v>37</v>
      </c>
      <c r="M197" s="3" t="s">
        <v>64</v>
      </c>
      <c r="N197" s="3" t="s">
        <v>39</v>
      </c>
      <c r="O197" s="3" t="s">
        <v>33</v>
      </c>
      <c r="P197" s="3" t="s">
        <v>53</v>
      </c>
      <c r="Q197" s="3" t="s">
        <v>39</v>
      </c>
      <c r="R197" s="5">
        <v>46146.641226851854</v>
      </c>
      <c r="S197" s="5">
        <v>46146.641226851854</v>
      </c>
      <c r="T197" s="3" t="s">
        <v>41</v>
      </c>
      <c r="U197" s="1" t="s">
        <v>42</v>
      </c>
      <c r="V197" s="1" t="s">
        <v>43</v>
      </c>
      <c r="W197" s="1" t="s">
        <v>767</v>
      </c>
      <c r="X197" s="1" t="s">
        <v>767</v>
      </c>
      <c r="Y197" s="1"/>
      <c r="Z197" s="1"/>
      <c r="AA197" s="1" t="s">
        <v>46</v>
      </c>
    </row>
    <row r="198" spans="1:27" ht="17.45" customHeight="1">
      <c r="A198" s="2" t="s">
        <v>765</v>
      </c>
      <c r="B198" s="2" t="s">
        <v>120</v>
      </c>
      <c r="C198">
        <v>1</v>
      </c>
      <c r="D198" s="2" t="s">
        <v>29</v>
      </c>
      <c r="E198" s="2" t="s">
        <v>768</v>
      </c>
      <c r="F198" s="2" t="s">
        <v>624</v>
      </c>
      <c r="G198" s="2" t="s">
        <v>32</v>
      </c>
      <c r="H198" s="2" t="s">
        <v>33</v>
      </c>
      <c r="I198" s="2" t="s">
        <v>34</v>
      </c>
      <c r="J198" s="2" t="s">
        <v>35</v>
      </c>
      <c r="K198" s="2" t="s">
        <v>36</v>
      </c>
      <c r="L198" s="2" t="s">
        <v>37</v>
      </c>
      <c r="M198" s="2" t="s">
        <v>64</v>
      </c>
      <c r="N198" s="2" t="s">
        <v>39</v>
      </c>
      <c r="O198" s="2" t="s">
        <v>33</v>
      </c>
      <c r="P198" s="2" t="s">
        <v>53</v>
      </c>
      <c r="Q198" s="2" t="s">
        <v>39</v>
      </c>
      <c r="R198" s="4">
        <v>46146.645173611112</v>
      </c>
      <c r="S198" s="4">
        <v>46146.645173611112</v>
      </c>
      <c r="T198" s="2" t="s">
        <v>41</v>
      </c>
      <c r="U198" s="1" t="s">
        <v>165</v>
      </c>
      <c r="V198" s="1" t="s">
        <v>625</v>
      </c>
      <c r="W198" s="1" t="s">
        <v>624</v>
      </c>
      <c r="X198" s="1" t="s">
        <v>624</v>
      </c>
      <c r="Y198" s="1"/>
      <c r="Z198" s="1"/>
      <c r="AA198" s="1" t="s">
        <v>169</v>
      </c>
    </row>
    <row r="199" spans="1:27" ht="17.45" customHeight="1">
      <c r="A199" s="3" t="s">
        <v>769</v>
      </c>
      <c r="B199" s="3" t="s">
        <v>120</v>
      </c>
      <c r="C199">
        <v>1</v>
      </c>
      <c r="D199" s="3" t="s">
        <v>29</v>
      </c>
      <c r="E199" s="3" t="s">
        <v>770</v>
      </c>
      <c r="F199" s="3" t="s">
        <v>771</v>
      </c>
      <c r="G199" s="3" t="s">
        <v>32</v>
      </c>
      <c r="H199" s="3" t="s">
        <v>33</v>
      </c>
      <c r="I199" s="3" t="s">
        <v>34</v>
      </c>
      <c r="J199" s="3" t="s">
        <v>35</v>
      </c>
      <c r="K199" s="3" t="s">
        <v>36</v>
      </c>
      <c r="L199" s="3" t="s">
        <v>37</v>
      </c>
      <c r="M199" s="3" t="s">
        <v>52</v>
      </c>
      <c r="N199" s="3" t="s">
        <v>39</v>
      </c>
      <c r="O199" s="3" t="s">
        <v>33</v>
      </c>
      <c r="P199" s="3" t="s">
        <v>53</v>
      </c>
      <c r="Q199" s="3" t="s">
        <v>39</v>
      </c>
      <c r="R199" s="5">
        <v>46146.646689814814</v>
      </c>
      <c r="S199" s="5">
        <v>46146.646770833337</v>
      </c>
      <c r="T199" s="3" t="s">
        <v>41</v>
      </c>
      <c r="U199" s="1" t="s">
        <v>95</v>
      </c>
      <c r="V199" s="1" t="s">
        <v>96</v>
      </c>
      <c r="W199" s="1" t="s">
        <v>771</v>
      </c>
      <c r="X199" s="1" t="s">
        <v>771</v>
      </c>
      <c r="Y199" s="1"/>
      <c r="Z199" s="1"/>
      <c r="AA199" s="1" t="s">
        <v>98</v>
      </c>
    </row>
    <row r="200" spans="1:27" ht="17.45" customHeight="1">
      <c r="A200" s="2" t="s">
        <v>119</v>
      </c>
      <c r="B200" s="2" t="s">
        <v>120</v>
      </c>
      <c r="C200">
        <v>1</v>
      </c>
      <c r="D200" s="2" t="s">
        <v>121</v>
      </c>
      <c r="E200" s="2" t="s">
        <v>772</v>
      </c>
      <c r="F200" s="2" t="s">
        <v>773</v>
      </c>
      <c r="G200" s="2" t="s">
        <v>32</v>
      </c>
      <c r="H200" s="2" t="s">
        <v>124</v>
      </c>
      <c r="I200" s="2" t="s">
        <v>33</v>
      </c>
      <c r="J200" s="2" t="s">
        <v>35</v>
      </c>
      <c r="K200" s="2" t="s">
        <v>36</v>
      </c>
      <c r="L200" s="2" t="s">
        <v>51</v>
      </c>
      <c r="M200" s="2" t="s">
        <v>64</v>
      </c>
      <c r="N200" s="2" t="s">
        <v>39</v>
      </c>
      <c r="O200" s="2" t="s">
        <v>124</v>
      </c>
      <c r="P200" s="2" t="s">
        <v>53</v>
      </c>
      <c r="Q200" s="2" t="s">
        <v>39</v>
      </c>
      <c r="R200" s="4">
        <v>46146.658518518518</v>
      </c>
      <c r="S200" s="4">
        <v>46146.658518518518</v>
      </c>
      <c r="T200" s="2" t="s">
        <v>41</v>
      </c>
      <c r="U200" s="1" t="s">
        <v>59</v>
      </c>
      <c r="V200" s="1" t="s">
        <v>142</v>
      </c>
      <c r="W200" s="1" t="s">
        <v>774</v>
      </c>
      <c r="X200" s="1" t="s">
        <v>775</v>
      </c>
      <c r="Y200" s="1"/>
      <c r="Z200" s="1"/>
      <c r="AA200" s="1" t="s">
        <v>61</v>
      </c>
    </row>
    <row r="201" spans="1:27" ht="17.45" customHeight="1">
      <c r="A201" s="3" t="s">
        <v>776</v>
      </c>
      <c r="B201" s="3" t="s">
        <v>181</v>
      </c>
      <c r="C201">
        <v>1</v>
      </c>
      <c r="D201" s="3" t="s">
        <v>228</v>
      </c>
      <c r="E201" s="3" t="s">
        <v>777</v>
      </c>
      <c r="F201" s="3" t="s">
        <v>778</v>
      </c>
      <c r="G201" s="3" t="s">
        <v>32</v>
      </c>
      <c r="H201" s="3" t="s">
        <v>124</v>
      </c>
      <c r="I201" s="3" t="s">
        <v>124</v>
      </c>
      <c r="J201" s="3" t="s">
        <v>35</v>
      </c>
      <c r="K201" s="3" t="s">
        <v>36</v>
      </c>
      <c r="L201" s="3" t="s">
        <v>37</v>
      </c>
      <c r="M201" s="3" t="s">
        <v>52</v>
      </c>
      <c r="N201" s="3" t="s">
        <v>39</v>
      </c>
      <c r="O201" s="3" t="s">
        <v>124</v>
      </c>
      <c r="P201" s="3" t="s">
        <v>40</v>
      </c>
      <c r="Q201" s="3" t="s">
        <v>39</v>
      </c>
      <c r="R201" s="5">
        <v>46146.674050925925</v>
      </c>
      <c r="S201" s="5">
        <v>46146.674050925925</v>
      </c>
      <c r="T201" s="3" t="s">
        <v>41</v>
      </c>
      <c r="U201" s="1" t="s">
        <v>283</v>
      </c>
      <c r="V201" s="1" t="s">
        <v>284</v>
      </c>
      <c r="W201" s="1" t="s">
        <v>778</v>
      </c>
      <c r="X201" s="1" t="s">
        <v>778</v>
      </c>
      <c r="Y201" s="1"/>
      <c r="Z201" s="1"/>
      <c r="AA201" s="1" t="s">
        <v>285</v>
      </c>
    </row>
    <row r="202" spans="1:27" ht="17.45" customHeight="1">
      <c r="A202" s="2" t="s">
        <v>326</v>
      </c>
      <c r="B202" s="2" t="s">
        <v>120</v>
      </c>
      <c r="C202">
        <v>1</v>
      </c>
      <c r="D202" s="2" t="s">
        <v>29</v>
      </c>
      <c r="E202" s="2" t="s">
        <v>779</v>
      </c>
      <c r="F202" s="2" t="s">
        <v>624</v>
      </c>
      <c r="G202" s="2" t="s">
        <v>32</v>
      </c>
      <c r="H202" s="2" t="s">
        <v>33</v>
      </c>
      <c r="I202" s="2" t="s">
        <v>34</v>
      </c>
      <c r="J202" s="2" t="s">
        <v>35</v>
      </c>
      <c r="K202" s="2" t="s">
        <v>36</v>
      </c>
      <c r="L202" s="2" t="s">
        <v>37</v>
      </c>
      <c r="M202" s="2" t="s">
        <v>64</v>
      </c>
      <c r="N202" s="2" t="s">
        <v>39</v>
      </c>
      <c r="O202" s="2" t="s">
        <v>33</v>
      </c>
      <c r="P202" s="2" t="s">
        <v>53</v>
      </c>
      <c r="Q202" s="2" t="s">
        <v>39</v>
      </c>
      <c r="R202" s="4">
        <v>46146.677951388891</v>
      </c>
      <c r="S202" s="4">
        <v>46146.677951388891</v>
      </c>
      <c r="T202" s="2" t="s">
        <v>41</v>
      </c>
      <c r="U202" s="1" t="s">
        <v>165</v>
      </c>
      <c r="V202" s="1" t="s">
        <v>625</v>
      </c>
      <c r="W202" s="1" t="s">
        <v>624</v>
      </c>
      <c r="X202" s="1" t="s">
        <v>624</v>
      </c>
      <c r="Y202" s="1"/>
      <c r="Z202" s="1"/>
      <c r="AA202" s="1" t="s">
        <v>169</v>
      </c>
    </row>
    <row r="203" spans="1:27" ht="17.45" customHeight="1">
      <c r="A203" s="3" t="s">
        <v>382</v>
      </c>
      <c r="B203" s="3" t="s">
        <v>120</v>
      </c>
      <c r="C203">
        <v>1</v>
      </c>
      <c r="D203" s="3" t="s">
        <v>121</v>
      </c>
      <c r="E203" s="3" t="s">
        <v>780</v>
      </c>
      <c r="F203" s="3" t="s">
        <v>781</v>
      </c>
      <c r="G203" s="3" t="s">
        <v>32</v>
      </c>
      <c r="H203" s="3" t="s">
        <v>124</v>
      </c>
      <c r="I203" s="3" t="s">
        <v>157</v>
      </c>
      <c r="J203" s="3" t="s">
        <v>35</v>
      </c>
      <c r="K203" s="3" t="s">
        <v>36</v>
      </c>
      <c r="L203" s="3" t="s">
        <v>51</v>
      </c>
      <c r="M203" s="3" t="s">
        <v>64</v>
      </c>
      <c r="N203" s="3" t="s">
        <v>39</v>
      </c>
      <c r="O203" s="3" t="s">
        <v>124</v>
      </c>
      <c r="P203" s="3" t="s">
        <v>53</v>
      </c>
      <c r="Q203" s="3" t="s">
        <v>39</v>
      </c>
      <c r="R203" s="5">
        <v>46146.679189814815</v>
      </c>
      <c r="S203" s="5">
        <v>46146.679201388892</v>
      </c>
      <c r="T203" s="3" t="s">
        <v>41</v>
      </c>
      <c r="U203" s="1" t="s">
        <v>65</v>
      </c>
      <c r="V203" s="1" t="s">
        <v>782</v>
      </c>
      <c r="W203" s="1" t="s">
        <v>783</v>
      </c>
      <c r="X203" s="1" t="s">
        <v>783</v>
      </c>
      <c r="Y203" s="1"/>
      <c r="Z203" s="1"/>
      <c r="AA203" s="1" t="s">
        <v>67</v>
      </c>
    </row>
    <row r="204" spans="1:27" ht="17.45" customHeight="1">
      <c r="A204" s="2" t="s">
        <v>326</v>
      </c>
      <c r="B204" s="2" t="s">
        <v>120</v>
      </c>
      <c r="C204">
        <v>1</v>
      </c>
      <c r="D204" s="2" t="s">
        <v>29</v>
      </c>
      <c r="E204" s="2" t="s">
        <v>784</v>
      </c>
      <c r="F204" s="2" t="s">
        <v>785</v>
      </c>
      <c r="G204" s="2" t="s">
        <v>32</v>
      </c>
      <c r="H204" s="2" t="s">
        <v>33</v>
      </c>
      <c r="I204" s="2" t="s">
        <v>34</v>
      </c>
      <c r="J204" s="2" t="s">
        <v>35</v>
      </c>
      <c r="K204" s="2" t="s">
        <v>36</v>
      </c>
      <c r="L204" s="2" t="s">
        <v>37</v>
      </c>
      <c r="M204" s="2" t="s">
        <v>64</v>
      </c>
      <c r="N204" s="2" t="s">
        <v>39</v>
      </c>
      <c r="O204" s="2" t="s">
        <v>33</v>
      </c>
      <c r="P204" s="2" t="s">
        <v>53</v>
      </c>
      <c r="Q204" s="2" t="s">
        <v>39</v>
      </c>
      <c r="R204" s="4">
        <v>46146.679652777777</v>
      </c>
      <c r="S204" s="4">
        <v>46146.681064814817</v>
      </c>
      <c r="T204" s="2" t="s">
        <v>41</v>
      </c>
      <c r="U204" s="1" t="s">
        <v>42</v>
      </c>
      <c r="V204" s="1" t="s">
        <v>43</v>
      </c>
      <c r="W204" s="1" t="s">
        <v>785</v>
      </c>
      <c r="X204" s="1" t="s">
        <v>785</v>
      </c>
      <c r="Y204" s="1"/>
      <c r="Z204" s="1"/>
      <c r="AA204" s="1" t="s">
        <v>46</v>
      </c>
    </row>
    <row r="205" spans="1:27" ht="17.45" customHeight="1">
      <c r="A205" s="3" t="s">
        <v>402</v>
      </c>
      <c r="B205" s="3" t="s">
        <v>120</v>
      </c>
      <c r="C205">
        <v>1</v>
      </c>
      <c r="D205" s="3" t="s">
        <v>121</v>
      </c>
      <c r="E205" s="3" t="s">
        <v>786</v>
      </c>
      <c r="F205" s="3" t="s">
        <v>787</v>
      </c>
      <c r="G205" s="3" t="s">
        <v>32</v>
      </c>
      <c r="H205" s="3" t="s">
        <v>124</v>
      </c>
      <c r="I205" s="3" t="s">
        <v>157</v>
      </c>
      <c r="J205" s="3" t="s">
        <v>35</v>
      </c>
      <c r="K205" s="3" t="s">
        <v>36</v>
      </c>
      <c r="L205" s="3" t="s">
        <v>51</v>
      </c>
      <c r="M205" s="3" t="s">
        <v>64</v>
      </c>
      <c r="N205" s="3" t="s">
        <v>39</v>
      </c>
      <c r="O205" s="3" t="s">
        <v>124</v>
      </c>
      <c r="P205" s="3" t="s">
        <v>53</v>
      </c>
      <c r="Q205" s="3" t="s">
        <v>39</v>
      </c>
      <c r="R205" s="5">
        <v>46146.690266203703</v>
      </c>
      <c r="S205" s="5">
        <v>46146.69027777778</v>
      </c>
      <c r="T205" s="3" t="s">
        <v>41</v>
      </c>
      <c r="U205" s="1" t="s">
        <v>788</v>
      </c>
      <c r="V205" s="1" t="s">
        <v>789</v>
      </c>
      <c r="W205" s="1" t="s">
        <v>790</v>
      </c>
      <c r="X205" s="1" t="s">
        <v>790</v>
      </c>
      <c r="Y205" s="1"/>
      <c r="Z205" s="1"/>
      <c r="AA205" s="1" t="s">
        <v>791</v>
      </c>
    </row>
    <row r="206" spans="1:27" ht="17.45" customHeight="1">
      <c r="A206" s="2" t="s">
        <v>345</v>
      </c>
      <c r="B206" s="2" t="s">
        <v>120</v>
      </c>
      <c r="C206">
        <v>1</v>
      </c>
      <c r="D206" s="2" t="s">
        <v>29</v>
      </c>
      <c r="E206" s="2" t="s">
        <v>792</v>
      </c>
      <c r="F206" s="2" t="s">
        <v>793</v>
      </c>
      <c r="G206" s="2" t="s">
        <v>32</v>
      </c>
      <c r="H206" s="2" t="s">
        <v>33</v>
      </c>
      <c r="I206" s="2" t="s">
        <v>33</v>
      </c>
      <c r="J206" s="2" t="s">
        <v>35</v>
      </c>
      <c r="K206" s="2" t="s">
        <v>36</v>
      </c>
      <c r="L206" s="2" t="s">
        <v>37</v>
      </c>
      <c r="M206" s="2" t="s">
        <v>52</v>
      </c>
      <c r="N206" s="2" t="s">
        <v>39</v>
      </c>
      <c r="O206" s="2" t="s">
        <v>33</v>
      </c>
      <c r="P206" s="2" t="s">
        <v>58</v>
      </c>
      <c r="Q206" s="2" t="s">
        <v>39</v>
      </c>
      <c r="R206" s="4">
        <v>46146.697442129633</v>
      </c>
      <c r="S206" s="4">
        <v>46146.701863425929</v>
      </c>
      <c r="T206" s="2" t="s">
        <v>41</v>
      </c>
      <c r="U206" s="1" t="s">
        <v>42</v>
      </c>
      <c r="V206" s="1" t="s">
        <v>43</v>
      </c>
      <c r="W206" s="1" t="s">
        <v>794</v>
      </c>
      <c r="X206" s="1" t="s">
        <v>795</v>
      </c>
      <c r="Y206" s="1"/>
      <c r="Z206" s="1"/>
      <c r="AA206" s="1" t="s">
        <v>46</v>
      </c>
    </row>
    <row r="207" spans="1:27" ht="17.45" customHeight="1">
      <c r="A207" s="3" t="s">
        <v>796</v>
      </c>
      <c r="B207" s="3" t="s">
        <v>181</v>
      </c>
      <c r="C207">
        <v>1</v>
      </c>
      <c r="D207" s="3" t="s">
        <v>29</v>
      </c>
      <c r="E207" s="3" t="s">
        <v>797</v>
      </c>
      <c r="F207" s="3" t="s">
        <v>798</v>
      </c>
      <c r="G207" s="3" t="s">
        <v>32</v>
      </c>
      <c r="H207" s="3" t="s">
        <v>33</v>
      </c>
      <c r="I207" s="3" t="s">
        <v>78</v>
      </c>
      <c r="J207" s="3" t="s">
        <v>35</v>
      </c>
      <c r="K207" s="3" t="s">
        <v>36</v>
      </c>
      <c r="L207" s="3" t="s">
        <v>37</v>
      </c>
      <c r="M207" s="3" t="s">
        <v>38</v>
      </c>
      <c r="N207" s="3" t="s">
        <v>39</v>
      </c>
      <c r="O207" s="3" t="s">
        <v>33</v>
      </c>
      <c r="P207" s="3" t="s">
        <v>53</v>
      </c>
      <c r="Q207" s="3" t="s">
        <v>39</v>
      </c>
      <c r="R207" s="5">
        <v>46146.70175925926</v>
      </c>
      <c r="S207" s="5">
        <v>46146.70175925926</v>
      </c>
      <c r="T207" s="3" t="s">
        <v>41</v>
      </c>
      <c r="U207" s="1" t="s">
        <v>83</v>
      </c>
      <c r="V207" s="1" t="s">
        <v>84</v>
      </c>
      <c r="W207" s="1" t="s">
        <v>799</v>
      </c>
      <c r="X207" s="1" t="s">
        <v>799</v>
      </c>
      <c r="Y207" s="1"/>
      <c r="Z207" s="1"/>
      <c r="AA207" s="1" t="s">
        <v>85</v>
      </c>
    </row>
    <row r="208" spans="1:27" ht="17.45" customHeight="1">
      <c r="A208" s="2" t="s">
        <v>800</v>
      </c>
      <c r="B208" s="2" t="s">
        <v>181</v>
      </c>
      <c r="C208">
        <v>1</v>
      </c>
      <c r="D208" s="2" t="s">
        <v>29</v>
      </c>
      <c r="E208" s="2" t="s">
        <v>801</v>
      </c>
      <c r="F208" s="2" t="s">
        <v>802</v>
      </c>
      <c r="G208" s="2" t="s">
        <v>32</v>
      </c>
      <c r="H208" s="2" t="s">
        <v>33</v>
      </c>
      <c r="I208" s="2" t="s">
        <v>78</v>
      </c>
      <c r="J208" s="2" t="s">
        <v>35</v>
      </c>
      <c r="K208" s="2" t="s">
        <v>36</v>
      </c>
      <c r="L208" s="2" t="s">
        <v>37</v>
      </c>
      <c r="M208" s="2" t="s">
        <v>52</v>
      </c>
      <c r="N208" s="2" t="s">
        <v>39</v>
      </c>
      <c r="O208" s="2" t="s">
        <v>33</v>
      </c>
      <c r="P208" s="2" t="s">
        <v>58</v>
      </c>
      <c r="Q208" s="2" t="s">
        <v>39</v>
      </c>
      <c r="R208" s="4">
        <v>46146.703692129631</v>
      </c>
      <c r="S208" s="4">
        <v>46146.703692129631</v>
      </c>
      <c r="T208" s="2" t="s">
        <v>41</v>
      </c>
      <c r="U208" s="1" t="s">
        <v>95</v>
      </c>
      <c r="V208" s="1" t="s">
        <v>96</v>
      </c>
      <c r="W208" s="1" t="s">
        <v>802</v>
      </c>
      <c r="X208" s="1" t="s">
        <v>802</v>
      </c>
      <c r="Y208" s="1"/>
      <c r="Z208" s="1"/>
      <c r="AA208" s="1" t="s">
        <v>98</v>
      </c>
    </row>
    <row r="209" spans="1:27" ht="17.45" customHeight="1">
      <c r="A209" s="3" t="s">
        <v>345</v>
      </c>
      <c r="B209" s="3" t="s">
        <v>120</v>
      </c>
      <c r="C209">
        <v>1</v>
      </c>
      <c r="D209" s="3" t="s">
        <v>29</v>
      </c>
      <c r="E209" s="3" t="s">
        <v>803</v>
      </c>
      <c r="F209" s="3" t="s">
        <v>624</v>
      </c>
      <c r="G209" s="3" t="s">
        <v>32</v>
      </c>
      <c r="H209" s="3" t="s">
        <v>33</v>
      </c>
      <c r="I209" s="3" t="s">
        <v>33</v>
      </c>
      <c r="J209" s="3" t="s">
        <v>35</v>
      </c>
      <c r="K209" s="3" t="s">
        <v>36</v>
      </c>
      <c r="L209" s="3" t="s">
        <v>37</v>
      </c>
      <c r="M209" s="3" t="s">
        <v>64</v>
      </c>
      <c r="N209" s="3" t="s">
        <v>39</v>
      </c>
      <c r="O209" s="3" t="s">
        <v>33</v>
      </c>
      <c r="P209" s="3" t="s">
        <v>53</v>
      </c>
      <c r="Q209" s="3" t="s">
        <v>39</v>
      </c>
      <c r="R209" s="5">
        <v>46146.710740740738</v>
      </c>
      <c r="S209" s="5">
        <v>46146.710740740738</v>
      </c>
      <c r="T209" s="3" t="s">
        <v>41</v>
      </c>
      <c r="U209" s="1" t="s">
        <v>165</v>
      </c>
      <c r="V209" s="1" t="s">
        <v>625</v>
      </c>
      <c r="W209" s="1" t="s">
        <v>624</v>
      </c>
      <c r="X209" s="1" t="s">
        <v>624</v>
      </c>
      <c r="Y209" s="1"/>
      <c r="Z209" s="1"/>
      <c r="AA209" s="1" t="s">
        <v>169</v>
      </c>
    </row>
    <row r="210" spans="1:27" ht="17.45" customHeight="1">
      <c r="A210" s="2" t="s">
        <v>345</v>
      </c>
      <c r="B210" s="2" t="s">
        <v>120</v>
      </c>
      <c r="C210">
        <v>1</v>
      </c>
      <c r="D210" s="2" t="s">
        <v>29</v>
      </c>
      <c r="E210" s="2" t="s">
        <v>804</v>
      </c>
      <c r="F210" s="2" t="s">
        <v>805</v>
      </c>
      <c r="G210" s="2" t="s">
        <v>32</v>
      </c>
      <c r="H210" s="2" t="s">
        <v>33</v>
      </c>
      <c r="I210" s="2" t="s">
        <v>33</v>
      </c>
      <c r="J210" s="2" t="s">
        <v>35</v>
      </c>
      <c r="K210" s="2" t="s">
        <v>36</v>
      </c>
      <c r="L210" s="2" t="s">
        <v>37</v>
      </c>
      <c r="M210" s="2" t="s">
        <v>52</v>
      </c>
      <c r="N210" s="2" t="s">
        <v>39</v>
      </c>
      <c r="O210" s="2" t="s">
        <v>33</v>
      </c>
      <c r="P210" s="2" t="s">
        <v>40</v>
      </c>
      <c r="Q210" s="2" t="s">
        <v>39</v>
      </c>
      <c r="R210" s="4">
        <v>46146.718263888892</v>
      </c>
      <c r="S210" s="4">
        <v>46146.718263888892</v>
      </c>
      <c r="T210" s="2" t="s">
        <v>41</v>
      </c>
      <c r="U210" s="1" t="s">
        <v>59</v>
      </c>
      <c r="V210" s="1" t="s">
        <v>60</v>
      </c>
      <c r="W210" s="1" t="s">
        <v>806</v>
      </c>
      <c r="X210" s="1" t="s">
        <v>805</v>
      </c>
      <c r="Y210" s="1"/>
      <c r="Z210" s="1"/>
      <c r="AA210" s="1" t="s">
        <v>61</v>
      </c>
    </row>
    <row r="211" spans="1:27" ht="17.45" customHeight="1">
      <c r="A211" s="3" t="s">
        <v>326</v>
      </c>
      <c r="B211" s="3" t="s">
        <v>120</v>
      </c>
      <c r="C211">
        <v>1</v>
      </c>
      <c r="D211" s="3" t="s">
        <v>29</v>
      </c>
      <c r="E211" s="3" t="s">
        <v>807</v>
      </c>
      <c r="F211" s="3" t="s">
        <v>808</v>
      </c>
      <c r="G211" s="3" t="s">
        <v>32</v>
      </c>
      <c r="H211" s="3" t="s">
        <v>33</v>
      </c>
      <c r="I211" s="3" t="s">
        <v>34</v>
      </c>
      <c r="J211" s="3" t="s">
        <v>35</v>
      </c>
      <c r="K211" s="3" t="s">
        <v>36</v>
      </c>
      <c r="L211" s="3" t="s">
        <v>37</v>
      </c>
      <c r="M211" s="3" t="s">
        <v>82</v>
      </c>
      <c r="N211" s="3" t="s">
        <v>39</v>
      </c>
      <c r="O211" s="3" t="s">
        <v>33</v>
      </c>
      <c r="P211" s="3" t="s">
        <v>53</v>
      </c>
      <c r="Q211" s="3" t="s">
        <v>39</v>
      </c>
      <c r="R211" s="5">
        <v>46146.72074074074</v>
      </c>
      <c r="S211" s="5">
        <v>46146.72074074074</v>
      </c>
      <c r="T211" s="3" t="s">
        <v>41</v>
      </c>
      <c r="U211" s="1" t="s">
        <v>115</v>
      </c>
      <c r="V211" s="1" t="s">
        <v>116</v>
      </c>
      <c r="W211" s="1" t="s">
        <v>808</v>
      </c>
      <c r="X211" s="1" t="s">
        <v>808</v>
      </c>
      <c r="Y211" s="1"/>
      <c r="Z211" s="1"/>
      <c r="AA211" s="1" t="s">
        <v>118</v>
      </c>
    </row>
    <row r="212" spans="1:27" ht="17.45" customHeight="1">
      <c r="A212" s="2" t="s">
        <v>290</v>
      </c>
      <c r="B212" s="2" t="s">
        <v>120</v>
      </c>
      <c r="C212">
        <v>1</v>
      </c>
      <c r="D212" s="2" t="s">
        <v>121</v>
      </c>
      <c r="E212" s="2" t="s">
        <v>809</v>
      </c>
      <c r="F212" s="2" t="s">
        <v>810</v>
      </c>
      <c r="G212" s="2" t="s">
        <v>32</v>
      </c>
      <c r="H212" s="2" t="s">
        <v>124</v>
      </c>
      <c r="I212" s="2" t="s">
        <v>192</v>
      </c>
      <c r="J212" s="2" t="s">
        <v>35</v>
      </c>
      <c r="K212" s="2" t="s">
        <v>36</v>
      </c>
      <c r="L212" s="2" t="s">
        <v>51</v>
      </c>
      <c r="M212" s="2" t="s">
        <v>64</v>
      </c>
      <c r="N212" s="2" t="s">
        <v>39</v>
      </c>
      <c r="O212" s="2" t="s">
        <v>124</v>
      </c>
      <c r="P212" s="2" t="s">
        <v>53</v>
      </c>
      <c r="Q212" s="2" t="s">
        <v>39</v>
      </c>
      <c r="R212" s="4">
        <v>46148.370509259257</v>
      </c>
      <c r="S212" s="4">
        <v>46148.370520833334</v>
      </c>
      <c r="T212" s="2" t="s">
        <v>41</v>
      </c>
      <c r="U212" s="1" t="s">
        <v>42</v>
      </c>
      <c r="V212" s="1" t="s">
        <v>43</v>
      </c>
      <c r="W212" s="1" t="s">
        <v>811</v>
      </c>
      <c r="X212" s="1" t="s">
        <v>812</v>
      </c>
      <c r="Y212" s="1"/>
      <c r="Z212" s="1"/>
      <c r="AA212" s="1" t="s">
        <v>46</v>
      </c>
    </row>
    <row r="213" spans="1:27" ht="17.45" customHeight="1">
      <c r="A213" s="3" t="s">
        <v>55</v>
      </c>
      <c r="B213" s="3" t="s">
        <v>48</v>
      </c>
      <c r="C213">
        <v>1</v>
      </c>
      <c r="D213" s="3" t="s">
        <v>29</v>
      </c>
      <c r="E213" s="3" t="s">
        <v>813</v>
      </c>
      <c r="F213" s="3" t="s">
        <v>814</v>
      </c>
      <c r="G213" s="3" t="s">
        <v>32</v>
      </c>
      <c r="H213" s="3" t="s">
        <v>33</v>
      </c>
      <c r="I213" s="3" t="s">
        <v>33</v>
      </c>
      <c r="J213" s="3" t="s">
        <v>35</v>
      </c>
      <c r="K213" s="3" t="s">
        <v>36</v>
      </c>
      <c r="L213" s="3" t="s">
        <v>37</v>
      </c>
      <c r="M213" s="3" t="s">
        <v>52</v>
      </c>
      <c r="N213" s="3" t="s">
        <v>39</v>
      </c>
      <c r="O213" s="3" t="s">
        <v>33</v>
      </c>
      <c r="P213" s="3" t="s">
        <v>40</v>
      </c>
      <c r="Q213" s="3" t="s">
        <v>39</v>
      </c>
      <c r="R213" s="5">
        <v>46148.38449074074</v>
      </c>
      <c r="S213" s="5">
        <v>46148.38449074074</v>
      </c>
      <c r="T213" s="3" t="s">
        <v>41</v>
      </c>
      <c r="U213" s="1" t="s">
        <v>42</v>
      </c>
      <c r="V213" s="1" t="s">
        <v>74</v>
      </c>
      <c r="W213" s="1" t="s">
        <v>815</v>
      </c>
      <c r="X213" s="1" t="s">
        <v>814</v>
      </c>
      <c r="Y213" s="1"/>
      <c r="Z213" s="1"/>
      <c r="AA213" s="1" t="s">
        <v>46</v>
      </c>
    </row>
    <row r="214" spans="1:27" ht="17.45" customHeight="1">
      <c r="A214" s="2" t="s">
        <v>55</v>
      </c>
      <c r="B214" s="2" t="s">
        <v>48</v>
      </c>
      <c r="C214">
        <v>1</v>
      </c>
      <c r="D214" s="2" t="s">
        <v>29</v>
      </c>
      <c r="E214" s="2" t="s">
        <v>816</v>
      </c>
      <c r="F214" s="2" t="s">
        <v>817</v>
      </c>
      <c r="G214" s="2" t="s">
        <v>32</v>
      </c>
      <c r="H214" s="2" t="s">
        <v>33</v>
      </c>
      <c r="I214" s="2" t="s">
        <v>33</v>
      </c>
      <c r="J214" s="2" t="s">
        <v>35</v>
      </c>
      <c r="K214" s="2" t="s">
        <v>36</v>
      </c>
      <c r="L214" s="2" t="s">
        <v>37</v>
      </c>
      <c r="M214" s="2" t="s">
        <v>52</v>
      </c>
      <c r="N214" s="2" t="s">
        <v>39</v>
      </c>
      <c r="O214" s="2" t="s">
        <v>33</v>
      </c>
      <c r="P214" s="2" t="s">
        <v>40</v>
      </c>
      <c r="Q214" s="2" t="s">
        <v>39</v>
      </c>
      <c r="R214" s="4">
        <v>46148.389537037037</v>
      </c>
      <c r="S214" s="4">
        <v>46148.389537037037</v>
      </c>
      <c r="T214" s="2" t="s">
        <v>41</v>
      </c>
      <c r="U214" s="1" t="s">
        <v>95</v>
      </c>
      <c r="V214" s="1" t="s">
        <v>96</v>
      </c>
      <c r="W214" s="1" t="s">
        <v>818</v>
      </c>
      <c r="X214" s="1" t="s">
        <v>819</v>
      </c>
      <c r="Y214" s="1"/>
      <c r="Z214" s="1"/>
      <c r="AA214" s="1" t="s">
        <v>98</v>
      </c>
    </row>
    <row r="215" spans="1:27" ht="17.45" customHeight="1">
      <c r="A215" s="3" t="s">
        <v>820</v>
      </c>
      <c r="B215" s="3" t="s">
        <v>120</v>
      </c>
      <c r="C215">
        <v>1</v>
      </c>
      <c r="D215" s="3" t="s">
        <v>121</v>
      </c>
      <c r="E215" s="3" t="s">
        <v>821</v>
      </c>
      <c r="F215" s="3" t="s">
        <v>822</v>
      </c>
      <c r="G215" s="3" t="s">
        <v>32</v>
      </c>
      <c r="H215" s="3" t="s">
        <v>124</v>
      </c>
      <c r="I215" s="3" t="s">
        <v>147</v>
      </c>
      <c r="J215" s="3" t="s">
        <v>35</v>
      </c>
      <c r="K215" s="3" t="s">
        <v>36</v>
      </c>
      <c r="L215" s="3" t="s">
        <v>51</v>
      </c>
      <c r="M215" s="3" t="s">
        <v>64</v>
      </c>
      <c r="N215" s="3" t="s">
        <v>39</v>
      </c>
      <c r="O215" s="3" t="s">
        <v>124</v>
      </c>
      <c r="P215" s="3" t="s">
        <v>40</v>
      </c>
      <c r="Q215" s="3" t="s">
        <v>39</v>
      </c>
      <c r="R215" s="5">
        <v>46148.398090277777</v>
      </c>
      <c r="S215" s="5">
        <v>46148.398090277777</v>
      </c>
      <c r="T215" s="3" t="s">
        <v>41</v>
      </c>
      <c r="U215" s="1" t="s">
        <v>42</v>
      </c>
      <c r="V215" s="1" t="s">
        <v>74</v>
      </c>
      <c r="W215" s="1" t="s">
        <v>823</v>
      </c>
      <c r="X215" s="1" t="s">
        <v>824</v>
      </c>
      <c r="Y215" s="1"/>
      <c r="Z215" s="1"/>
      <c r="AA215" s="1" t="s">
        <v>46</v>
      </c>
    </row>
    <row r="216" spans="1:27" ht="17.45" customHeight="1">
      <c r="A216" s="2" t="s">
        <v>99</v>
      </c>
      <c r="B216" s="2" t="s">
        <v>48</v>
      </c>
      <c r="C216">
        <v>1</v>
      </c>
      <c r="D216" s="2" t="s">
        <v>29</v>
      </c>
      <c r="E216" s="2" t="s">
        <v>825</v>
      </c>
      <c r="F216" s="2" t="s">
        <v>826</v>
      </c>
      <c r="G216" s="2" t="s">
        <v>32</v>
      </c>
      <c r="H216" s="2" t="s">
        <v>33</v>
      </c>
      <c r="I216" s="2" t="s">
        <v>33</v>
      </c>
      <c r="J216" s="2" t="s">
        <v>35</v>
      </c>
      <c r="K216" s="2" t="s">
        <v>36</v>
      </c>
      <c r="L216" s="2" t="s">
        <v>37</v>
      </c>
      <c r="M216" s="2" t="s">
        <v>64</v>
      </c>
      <c r="N216" s="2" t="s">
        <v>39</v>
      </c>
      <c r="O216" s="2" t="s">
        <v>33</v>
      </c>
      <c r="P216" s="2" t="s">
        <v>53</v>
      </c>
      <c r="Q216" s="2" t="s">
        <v>39</v>
      </c>
      <c r="R216" s="4">
        <v>46148.407881944448</v>
      </c>
      <c r="S216" s="4">
        <v>46148.430358796293</v>
      </c>
      <c r="T216" s="2" t="s">
        <v>41</v>
      </c>
      <c r="U216" s="1" t="s">
        <v>95</v>
      </c>
      <c r="V216" s="1" t="s">
        <v>96</v>
      </c>
      <c r="W216" s="1" t="s">
        <v>827</v>
      </c>
      <c r="X216" s="1" t="s">
        <v>826</v>
      </c>
      <c r="Y216" s="1"/>
      <c r="Z216" s="1"/>
      <c r="AA216" s="1" t="s">
        <v>98</v>
      </c>
    </row>
    <row r="217" spans="1:27" ht="17.45" customHeight="1">
      <c r="A217" s="3" t="s">
        <v>828</v>
      </c>
      <c r="B217" s="3" t="s">
        <v>181</v>
      </c>
      <c r="C217">
        <v>1</v>
      </c>
      <c r="D217" s="3" t="s">
        <v>228</v>
      </c>
      <c r="E217" s="3" t="s">
        <v>829</v>
      </c>
      <c r="F217" s="3" t="s">
        <v>830</v>
      </c>
      <c r="G217" s="3" t="s">
        <v>32</v>
      </c>
      <c r="H217" s="3" t="s">
        <v>124</v>
      </c>
      <c r="I217" s="3" t="s">
        <v>124</v>
      </c>
      <c r="J217" s="3" t="s">
        <v>35</v>
      </c>
      <c r="K217" s="3" t="s">
        <v>36</v>
      </c>
      <c r="L217" s="3" t="s">
        <v>51</v>
      </c>
      <c r="M217" s="3" t="s">
        <v>52</v>
      </c>
      <c r="N217" s="3" t="s">
        <v>39</v>
      </c>
      <c r="O217" s="3" t="s">
        <v>124</v>
      </c>
      <c r="P217" s="3" t="s">
        <v>53</v>
      </c>
      <c r="Q217" s="3" t="s">
        <v>39</v>
      </c>
      <c r="R217" s="5">
        <v>46148.410740740743</v>
      </c>
      <c r="S217" s="5">
        <v>46148.410740740743</v>
      </c>
      <c r="T217" s="3" t="s">
        <v>41</v>
      </c>
      <c r="U217" s="1" t="s">
        <v>42</v>
      </c>
      <c r="V217" s="1" t="s">
        <v>105</v>
      </c>
      <c r="W217" s="1" t="s">
        <v>831</v>
      </c>
      <c r="X217" s="1" t="s">
        <v>830</v>
      </c>
      <c r="Y217" s="1"/>
      <c r="Z217" s="1"/>
      <c r="AA217" s="1" t="s">
        <v>46</v>
      </c>
    </row>
    <row r="218" spans="1:27" ht="17.45" customHeight="1">
      <c r="A218" s="2" t="s">
        <v>99</v>
      </c>
      <c r="B218" s="2" t="s">
        <v>48</v>
      </c>
      <c r="C218">
        <v>1</v>
      </c>
      <c r="D218" s="2" t="s">
        <v>29</v>
      </c>
      <c r="E218" s="2" t="s">
        <v>832</v>
      </c>
      <c r="F218" s="2" t="s">
        <v>833</v>
      </c>
      <c r="G218" s="2" t="s">
        <v>32</v>
      </c>
      <c r="H218" s="2" t="s">
        <v>33</v>
      </c>
      <c r="I218" s="2" t="s">
        <v>33</v>
      </c>
      <c r="J218" s="2" t="s">
        <v>35</v>
      </c>
      <c r="K218" s="2" t="s">
        <v>36</v>
      </c>
      <c r="L218" s="2" t="s">
        <v>37</v>
      </c>
      <c r="M218" s="2" t="s">
        <v>38</v>
      </c>
      <c r="N218" s="2" t="s">
        <v>39</v>
      </c>
      <c r="O218" s="2" t="s">
        <v>33</v>
      </c>
      <c r="P218" s="2" t="s">
        <v>53</v>
      </c>
      <c r="Q218" s="2" t="s">
        <v>39</v>
      </c>
      <c r="R218" s="4">
        <v>46148.42732638889</v>
      </c>
      <c r="S218" s="4">
        <v>46148.42732638889</v>
      </c>
      <c r="T218" s="2" t="s">
        <v>41</v>
      </c>
      <c r="U218" s="1" t="s">
        <v>115</v>
      </c>
      <c r="V218" s="1" t="s">
        <v>116</v>
      </c>
      <c r="W218" s="1" t="s">
        <v>833</v>
      </c>
      <c r="X218" s="1" t="s">
        <v>833</v>
      </c>
      <c r="Y218" s="1"/>
      <c r="Z218" s="1"/>
      <c r="AA218" s="1" t="s">
        <v>118</v>
      </c>
    </row>
    <row r="219" spans="1:27" ht="17.45" customHeight="1">
      <c r="A219" s="3" t="s">
        <v>834</v>
      </c>
      <c r="B219" s="3" t="s">
        <v>120</v>
      </c>
      <c r="C219">
        <v>1</v>
      </c>
      <c r="D219" s="3" t="s">
        <v>121</v>
      </c>
      <c r="E219" s="3" t="s">
        <v>835</v>
      </c>
      <c r="F219" s="3" t="s">
        <v>836</v>
      </c>
      <c r="G219" s="3" t="s">
        <v>32</v>
      </c>
      <c r="H219" s="3" t="s">
        <v>124</v>
      </c>
      <c r="I219" s="3" t="s">
        <v>147</v>
      </c>
      <c r="J219" s="3" t="s">
        <v>35</v>
      </c>
      <c r="K219" s="3" t="s">
        <v>36</v>
      </c>
      <c r="L219" s="3" t="s">
        <v>51</v>
      </c>
      <c r="M219" s="3" t="s">
        <v>64</v>
      </c>
      <c r="N219" s="3" t="s">
        <v>39</v>
      </c>
      <c r="O219" s="3" t="s">
        <v>124</v>
      </c>
      <c r="P219" s="3" t="s">
        <v>53</v>
      </c>
      <c r="Q219" s="3" t="s">
        <v>39</v>
      </c>
      <c r="R219" s="5">
        <v>46148.429259259261</v>
      </c>
      <c r="S219" s="5">
        <v>46148.429270833331</v>
      </c>
      <c r="T219" s="3" t="s">
        <v>41</v>
      </c>
      <c r="U219" s="1" t="s">
        <v>95</v>
      </c>
      <c r="V219" s="1" t="s">
        <v>329</v>
      </c>
      <c r="W219" s="1" t="s">
        <v>837</v>
      </c>
      <c r="X219" s="1" t="s">
        <v>837</v>
      </c>
      <c r="Y219" s="1"/>
      <c r="Z219" s="1"/>
      <c r="AA219" s="1" t="s">
        <v>98</v>
      </c>
    </row>
    <row r="220" spans="1:27" ht="17.45" customHeight="1">
      <c r="A220" s="2" t="s">
        <v>690</v>
      </c>
      <c r="B220" s="2" t="s">
        <v>120</v>
      </c>
      <c r="C220">
        <v>1</v>
      </c>
      <c r="D220" s="2" t="s">
        <v>121</v>
      </c>
      <c r="E220" s="2" t="s">
        <v>838</v>
      </c>
      <c r="F220" s="2" t="s">
        <v>836</v>
      </c>
      <c r="G220" s="2" t="s">
        <v>32</v>
      </c>
      <c r="H220" s="2" t="s">
        <v>124</v>
      </c>
      <c r="I220" s="2" t="s">
        <v>192</v>
      </c>
      <c r="J220" s="2" t="s">
        <v>35</v>
      </c>
      <c r="K220" s="2" t="s">
        <v>36</v>
      </c>
      <c r="L220" s="2" t="s">
        <v>51</v>
      </c>
      <c r="M220" s="2" t="s">
        <v>64</v>
      </c>
      <c r="N220" s="2" t="s">
        <v>39</v>
      </c>
      <c r="O220" s="2" t="s">
        <v>124</v>
      </c>
      <c r="P220" s="2" t="s">
        <v>53</v>
      </c>
      <c r="Q220" s="2" t="s">
        <v>39</v>
      </c>
      <c r="R220" s="4">
        <v>46148.448275462964</v>
      </c>
      <c r="S220" s="4">
        <v>46148.448275462964</v>
      </c>
      <c r="T220" s="2" t="s">
        <v>41</v>
      </c>
      <c r="U220" s="1" t="s">
        <v>95</v>
      </c>
      <c r="V220" s="1" t="s">
        <v>329</v>
      </c>
      <c r="W220" s="1" t="s">
        <v>837</v>
      </c>
      <c r="X220" s="1" t="s">
        <v>837</v>
      </c>
      <c r="Y220" s="1"/>
      <c r="Z220" s="1"/>
      <c r="AA220" s="1" t="s">
        <v>98</v>
      </c>
    </row>
    <row r="221" spans="1:27" ht="17.45" customHeight="1">
      <c r="A221" s="3" t="s">
        <v>839</v>
      </c>
      <c r="B221" s="3" t="s">
        <v>48</v>
      </c>
      <c r="C221">
        <v>1</v>
      </c>
      <c r="D221" s="3" t="s">
        <v>29</v>
      </c>
      <c r="E221" s="3" t="s">
        <v>840</v>
      </c>
      <c r="F221" s="3" t="s">
        <v>841</v>
      </c>
      <c r="G221" s="3" t="s">
        <v>32</v>
      </c>
      <c r="H221" s="3" t="s">
        <v>33</v>
      </c>
      <c r="I221" s="3" t="s">
        <v>33</v>
      </c>
      <c r="J221" s="3" t="s">
        <v>35</v>
      </c>
      <c r="K221" s="3" t="s">
        <v>36</v>
      </c>
      <c r="L221" s="3" t="s">
        <v>37</v>
      </c>
      <c r="M221" s="3" t="s">
        <v>38</v>
      </c>
      <c r="N221" s="3" t="s">
        <v>39</v>
      </c>
      <c r="O221" s="3" t="s">
        <v>33</v>
      </c>
      <c r="P221" s="3" t="s">
        <v>53</v>
      </c>
      <c r="Q221" s="3" t="s">
        <v>39</v>
      </c>
      <c r="R221" s="5">
        <v>46148.448472222219</v>
      </c>
      <c r="S221" s="5">
        <v>46148.449016203704</v>
      </c>
      <c r="T221" s="3" t="s">
        <v>41</v>
      </c>
      <c r="U221" s="1" t="s">
        <v>42</v>
      </c>
      <c r="V221" s="1" t="s">
        <v>74</v>
      </c>
      <c r="W221" s="1" t="s">
        <v>841</v>
      </c>
      <c r="X221" s="1" t="s">
        <v>841</v>
      </c>
      <c r="Y221" s="1"/>
      <c r="Z221" s="1"/>
      <c r="AA221" s="1" t="s">
        <v>46</v>
      </c>
    </row>
    <row r="222" spans="1:27" ht="17.45" customHeight="1">
      <c r="A222" s="2" t="s">
        <v>367</v>
      </c>
      <c r="B222" s="2" t="s">
        <v>48</v>
      </c>
      <c r="C222">
        <v>1</v>
      </c>
      <c r="D222" s="2" t="s">
        <v>29</v>
      </c>
      <c r="E222" s="2" t="s">
        <v>842</v>
      </c>
      <c r="F222" s="2" t="s">
        <v>843</v>
      </c>
      <c r="G222" s="2" t="s">
        <v>32</v>
      </c>
      <c r="H222" s="2" t="s">
        <v>33</v>
      </c>
      <c r="I222" s="2" t="s">
        <v>33</v>
      </c>
      <c r="J222" s="2" t="s">
        <v>35</v>
      </c>
      <c r="K222" s="2" t="s">
        <v>36</v>
      </c>
      <c r="L222" s="2" t="s">
        <v>37</v>
      </c>
      <c r="M222" s="2" t="s">
        <v>38</v>
      </c>
      <c r="N222" s="2" t="s">
        <v>39</v>
      </c>
      <c r="O222" s="2" t="s">
        <v>33</v>
      </c>
      <c r="P222" s="2" t="s">
        <v>53</v>
      </c>
      <c r="Q222" s="2" t="s">
        <v>39</v>
      </c>
      <c r="R222" s="4">
        <v>46148.452893518515</v>
      </c>
      <c r="S222" s="4">
        <v>46148.452893518515</v>
      </c>
      <c r="T222" s="2" t="s">
        <v>41</v>
      </c>
      <c r="U222" s="1" t="s">
        <v>115</v>
      </c>
      <c r="V222" s="1" t="s">
        <v>116</v>
      </c>
      <c r="W222" s="1" t="s">
        <v>843</v>
      </c>
      <c r="X222" s="1" t="s">
        <v>843</v>
      </c>
      <c r="Y222" s="1"/>
      <c r="Z222" s="1"/>
      <c r="AA222" s="1" t="s">
        <v>118</v>
      </c>
    </row>
    <row r="223" spans="1:27" ht="17.45" customHeight="1">
      <c r="A223" s="3" t="s">
        <v>844</v>
      </c>
      <c r="B223" s="3" t="s">
        <v>120</v>
      </c>
      <c r="C223">
        <v>1</v>
      </c>
      <c r="D223" s="3" t="s">
        <v>121</v>
      </c>
      <c r="E223" s="3" t="s">
        <v>845</v>
      </c>
      <c r="F223" s="3" t="s">
        <v>846</v>
      </c>
      <c r="G223" s="3" t="s">
        <v>32</v>
      </c>
      <c r="H223" s="3" t="s">
        <v>124</v>
      </c>
      <c r="I223" s="3" t="s">
        <v>157</v>
      </c>
      <c r="J223" s="3" t="s">
        <v>35</v>
      </c>
      <c r="K223" s="3" t="s">
        <v>36</v>
      </c>
      <c r="L223" s="3" t="s">
        <v>51</v>
      </c>
      <c r="M223" s="3" t="s">
        <v>64</v>
      </c>
      <c r="N223" s="3" t="s">
        <v>39</v>
      </c>
      <c r="O223" s="3" t="s">
        <v>124</v>
      </c>
      <c r="P223" s="3" t="s">
        <v>40</v>
      </c>
      <c r="Q223" s="3" t="s">
        <v>39</v>
      </c>
      <c r="R223" s="5">
        <v>46148.454224537039</v>
      </c>
      <c r="S223" s="5">
        <v>46148.454224537039</v>
      </c>
      <c r="T223" s="3" t="s">
        <v>41</v>
      </c>
      <c r="U223" s="1" t="s">
        <v>83</v>
      </c>
      <c r="V223" s="1" t="s">
        <v>84</v>
      </c>
      <c r="W223" s="1" t="s">
        <v>846</v>
      </c>
      <c r="X223" s="1" t="s">
        <v>846</v>
      </c>
      <c r="Y223" s="1"/>
      <c r="Z223" s="1"/>
      <c r="AA223" s="1" t="s">
        <v>85</v>
      </c>
    </row>
    <row r="224" spans="1:27" ht="17.45" customHeight="1">
      <c r="A224" s="2" t="s">
        <v>370</v>
      </c>
      <c r="B224" s="2" t="s">
        <v>48</v>
      </c>
      <c r="C224">
        <v>1</v>
      </c>
      <c r="D224" s="2" t="s">
        <v>29</v>
      </c>
      <c r="E224" s="2" t="s">
        <v>847</v>
      </c>
      <c r="F224" s="2" t="s">
        <v>848</v>
      </c>
      <c r="G224" s="2" t="s">
        <v>32</v>
      </c>
      <c r="H224" s="2" t="s">
        <v>33</v>
      </c>
      <c r="I224" s="2" t="s">
        <v>33</v>
      </c>
      <c r="J224" s="2" t="s">
        <v>35</v>
      </c>
      <c r="K224" s="2" t="s">
        <v>36</v>
      </c>
      <c r="L224" s="2" t="s">
        <v>37</v>
      </c>
      <c r="M224" s="2" t="s">
        <v>64</v>
      </c>
      <c r="N224" s="2" t="s">
        <v>39</v>
      </c>
      <c r="O224" s="2" t="s">
        <v>33</v>
      </c>
      <c r="P224" s="2" t="s">
        <v>53</v>
      </c>
      <c r="Q224" s="2" t="s">
        <v>39</v>
      </c>
      <c r="R224" s="4">
        <v>46148.462824074071</v>
      </c>
      <c r="S224" s="4">
        <v>46148.462824074071</v>
      </c>
      <c r="T224" s="2" t="s">
        <v>41</v>
      </c>
      <c r="U224" s="1" t="s">
        <v>177</v>
      </c>
      <c r="V224" s="1" t="s">
        <v>215</v>
      </c>
      <c r="W224" s="1" t="s">
        <v>848</v>
      </c>
      <c r="X224" s="1" t="s">
        <v>848</v>
      </c>
      <c r="Y224" s="1"/>
      <c r="Z224" s="1"/>
      <c r="AA224" s="1" t="s">
        <v>179</v>
      </c>
    </row>
    <row r="225" spans="1:27" ht="17.45" customHeight="1">
      <c r="A225" s="3" t="s">
        <v>309</v>
      </c>
      <c r="B225" s="3" t="s">
        <v>48</v>
      </c>
      <c r="C225">
        <v>1</v>
      </c>
      <c r="D225" s="3" t="s">
        <v>121</v>
      </c>
      <c r="E225" s="3" t="s">
        <v>849</v>
      </c>
      <c r="F225" s="3" t="s">
        <v>850</v>
      </c>
      <c r="G225" s="3" t="s">
        <v>32</v>
      </c>
      <c r="H225" s="3" t="s">
        <v>124</v>
      </c>
      <c r="I225" s="3" t="s">
        <v>212</v>
      </c>
      <c r="J225" s="3" t="s">
        <v>35</v>
      </c>
      <c r="K225" s="3" t="s">
        <v>36</v>
      </c>
      <c r="L225" s="3" t="s">
        <v>51</v>
      </c>
      <c r="M225" s="3" t="s">
        <v>64</v>
      </c>
      <c r="N225" s="3" t="s">
        <v>39</v>
      </c>
      <c r="O225" s="3" t="s">
        <v>124</v>
      </c>
      <c r="P225" s="3" t="s">
        <v>53</v>
      </c>
      <c r="Q225" s="3" t="s">
        <v>39</v>
      </c>
      <c r="R225" s="5">
        <v>46148.533078703702</v>
      </c>
      <c r="S225" s="5">
        <v>46148.533090277779</v>
      </c>
      <c r="T225" s="3" t="s">
        <v>41</v>
      </c>
      <c r="U225" s="1" t="s">
        <v>65</v>
      </c>
      <c r="V225" s="1" t="s">
        <v>70</v>
      </c>
      <c r="W225" s="1" t="s">
        <v>851</v>
      </c>
      <c r="X225" s="1" t="s">
        <v>852</v>
      </c>
      <c r="Y225" s="1"/>
      <c r="Z225" s="1"/>
      <c r="AA225" s="1" t="s">
        <v>67</v>
      </c>
    </row>
    <row r="226" spans="1:27" ht="17.45" customHeight="1">
      <c r="A226" s="2" t="s">
        <v>853</v>
      </c>
      <c r="B226" s="2" t="s">
        <v>28</v>
      </c>
      <c r="C226">
        <v>1</v>
      </c>
      <c r="D226" s="2" t="s">
        <v>29</v>
      </c>
      <c r="E226" s="2" t="s">
        <v>854</v>
      </c>
      <c r="F226" s="2" t="s">
        <v>855</v>
      </c>
      <c r="G226" s="2" t="s">
        <v>32</v>
      </c>
      <c r="H226" s="2" t="s">
        <v>33</v>
      </c>
      <c r="I226" s="2" t="s">
        <v>34</v>
      </c>
      <c r="J226" s="2" t="s">
        <v>35</v>
      </c>
      <c r="K226" s="2" t="s">
        <v>36</v>
      </c>
      <c r="L226" s="2" t="s">
        <v>37</v>
      </c>
      <c r="M226" s="2" t="s">
        <v>82</v>
      </c>
      <c r="N226" s="2" t="s">
        <v>39</v>
      </c>
      <c r="O226" s="2" t="s">
        <v>33</v>
      </c>
      <c r="P226" s="2" t="s">
        <v>53</v>
      </c>
      <c r="Q226" s="2" t="s">
        <v>39</v>
      </c>
      <c r="R226" s="4">
        <v>46149.443368055552</v>
      </c>
      <c r="S226" s="4">
        <v>46149.443368055552</v>
      </c>
      <c r="T226" s="2" t="s">
        <v>41</v>
      </c>
      <c r="U226" s="1" t="s">
        <v>42</v>
      </c>
      <c r="V226" s="1" t="s">
        <v>105</v>
      </c>
      <c r="W226" s="1" t="s">
        <v>856</v>
      </c>
      <c r="X226" s="1" t="s">
        <v>855</v>
      </c>
      <c r="Y226" s="1"/>
      <c r="Z226" s="1"/>
      <c r="AA226" s="1" t="s">
        <v>46</v>
      </c>
    </row>
    <row r="227" spans="1:27" ht="17.45" customHeight="1">
      <c r="A227" s="3" t="s">
        <v>102</v>
      </c>
      <c r="B227" s="3" t="s">
        <v>48</v>
      </c>
      <c r="C227">
        <v>1</v>
      </c>
      <c r="D227" s="3" t="s">
        <v>29</v>
      </c>
      <c r="E227" s="3" t="s">
        <v>857</v>
      </c>
      <c r="F227" s="3" t="s">
        <v>858</v>
      </c>
      <c r="G227" s="3" t="s">
        <v>32</v>
      </c>
      <c r="H227" s="3" t="s">
        <v>33</v>
      </c>
      <c r="I227" s="3" t="s">
        <v>33</v>
      </c>
      <c r="J227" s="3" t="s">
        <v>35</v>
      </c>
      <c r="K227" s="3" t="s">
        <v>36</v>
      </c>
      <c r="L227" s="3" t="s">
        <v>37</v>
      </c>
      <c r="M227" s="3" t="s">
        <v>52</v>
      </c>
      <c r="N227" s="3" t="s">
        <v>39</v>
      </c>
      <c r="O227" s="3" t="s">
        <v>33</v>
      </c>
      <c r="P227" s="3" t="s">
        <v>53</v>
      </c>
      <c r="Q227" s="3" t="s">
        <v>39</v>
      </c>
      <c r="R227" s="5">
        <v>46139.458067129628</v>
      </c>
      <c r="S227" s="5">
        <v>46139.458067129628</v>
      </c>
      <c r="T227" s="3" t="s">
        <v>41</v>
      </c>
      <c r="U227" s="1" t="s">
        <v>42</v>
      </c>
      <c r="V227" s="1" t="s">
        <v>74</v>
      </c>
      <c r="W227" s="1" t="s">
        <v>858</v>
      </c>
      <c r="X227" s="1" t="s">
        <v>858</v>
      </c>
      <c r="Y227" s="1"/>
      <c r="Z227" s="1"/>
      <c r="AA227" s="1" t="s">
        <v>46</v>
      </c>
    </row>
    <row r="228" spans="1:27" ht="17.45" customHeight="1">
      <c r="A228" s="2" t="s">
        <v>525</v>
      </c>
      <c r="B228" s="2" t="s">
        <v>48</v>
      </c>
      <c r="C228">
        <v>1</v>
      </c>
      <c r="D228" s="2" t="s">
        <v>29</v>
      </c>
      <c r="E228" s="2" t="s">
        <v>859</v>
      </c>
      <c r="F228" s="2" t="s">
        <v>860</v>
      </c>
      <c r="G228" s="2" t="s">
        <v>32</v>
      </c>
      <c r="H228" s="2" t="s">
        <v>33</v>
      </c>
      <c r="I228" s="2" t="s">
        <v>33</v>
      </c>
      <c r="J228" s="2" t="s">
        <v>35</v>
      </c>
      <c r="K228" s="2" t="s">
        <v>36</v>
      </c>
      <c r="L228" s="2" t="s">
        <v>37</v>
      </c>
      <c r="M228" s="2" t="s">
        <v>52</v>
      </c>
      <c r="N228" s="2" t="s">
        <v>39</v>
      </c>
      <c r="O228" s="2" t="s">
        <v>33</v>
      </c>
      <c r="P228" s="2" t="s">
        <v>53</v>
      </c>
      <c r="Q228" s="2" t="s">
        <v>39</v>
      </c>
      <c r="R228" s="4">
        <v>46139.562280092592</v>
      </c>
      <c r="S228" s="4">
        <v>46140.586388888885</v>
      </c>
      <c r="T228" s="2" t="s">
        <v>41</v>
      </c>
      <c r="U228" s="1" t="s">
        <v>42</v>
      </c>
      <c r="V228" s="1" t="s">
        <v>43</v>
      </c>
      <c r="W228" s="1" t="s">
        <v>861</v>
      </c>
      <c r="X228" s="1" t="s">
        <v>862</v>
      </c>
      <c r="Y228" s="1"/>
      <c r="Z228" s="1"/>
      <c r="AA228" s="1" t="s">
        <v>46</v>
      </c>
    </row>
    <row r="229" spans="1:27" ht="17.45" customHeight="1">
      <c r="A229" s="3" t="s">
        <v>162</v>
      </c>
      <c r="B229" s="3" t="s">
        <v>28</v>
      </c>
      <c r="C229">
        <v>1</v>
      </c>
      <c r="D229" s="3" t="s">
        <v>29</v>
      </c>
      <c r="E229" s="3" t="s">
        <v>863</v>
      </c>
      <c r="F229" s="3" t="s">
        <v>864</v>
      </c>
      <c r="G229" s="3" t="s">
        <v>32</v>
      </c>
      <c r="H229" s="3" t="s">
        <v>33</v>
      </c>
      <c r="I229" s="3" t="s">
        <v>34</v>
      </c>
      <c r="J229" s="3" t="s">
        <v>35</v>
      </c>
      <c r="K229" s="3" t="s">
        <v>36</v>
      </c>
      <c r="L229" s="3" t="s">
        <v>37</v>
      </c>
      <c r="M229" s="3" t="s">
        <v>52</v>
      </c>
      <c r="N229" s="3" t="s">
        <v>39</v>
      </c>
      <c r="O229" s="3" t="s">
        <v>33</v>
      </c>
      <c r="P229" s="3" t="s">
        <v>53</v>
      </c>
      <c r="Q229" s="3" t="s">
        <v>39</v>
      </c>
      <c r="R229" s="5">
        <v>46139.59070601852</v>
      </c>
      <c r="S229" s="5">
        <v>46139.59070601852</v>
      </c>
      <c r="T229" s="3" t="s">
        <v>41</v>
      </c>
      <c r="U229" s="1" t="s">
        <v>42</v>
      </c>
      <c r="V229" s="1" t="s">
        <v>54</v>
      </c>
      <c r="W229" s="1" t="s">
        <v>865</v>
      </c>
      <c r="X229" s="1" t="s">
        <v>866</v>
      </c>
      <c r="Y229" s="1"/>
      <c r="Z229" s="1"/>
      <c r="AA229" s="1" t="s">
        <v>46</v>
      </c>
    </row>
    <row r="230" spans="1:27" ht="17.45" customHeight="1">
      <c r="A230" s="2" t="s">
        <v>867</v>
      </c>
      <c r="B230" s="2" t="s">
        <v>181</v>
      </c>
      <c r="C230">
        <v>1</v>
      </c>
      <c r="D230" s="2" t="s">
        <v>228</v>
      </c>
      <c r="E230" s="2" t="s">
        <v>868</v>
      </c>
      <c r="F230" s="2" t="s">
        <v>869</v>
      </c>
      <c r="G230" s="2" t="s">
        <v>32</v>
      </c>
      <c r="H230" s="2" t="s">
        <v>124</v>
      </c>
      <c r="I230" s="2" t="s">
        <v>124</v>
      </c>
      <c r="J230" s="2" t="s">
        <v>35</v>
      </c>
      <c r="K230" s="2" t="s">
        <v>36</v>
      </c>
      <c r="L230" s="2" t="s">
        <v>51</v>
      </c>
      <c r="M230" s="2" t="s">
        <v>52</v>
      </c>
      <c r="N230" s="2" t="s">
        <v>39</v>
      </c>
      <c r="O230" s="2" t="s">
        <v>124</v>
      </c>
      <c r="P230" s="2" t="s">
        <v>53</v>
      </c>
      <c r="Q230" s="2" t="s">
        <v>39</v>
      </c>
      <c r="R230" s="4">
        <v>46139.688333333332</v>
      </c>
      <c r="S230" s="4">
        <v>46139.688333333332</v>
      </c>
      <c r="T230" s="2" t="s">
        <v>41</v>
      </c>
      <c r="U230" s="1" t="s">
        <v>59</v>
      </c>
      <c r="V230" s="1" t="s">
        <v>60</v>
      </c>
      <c r="W230" s="1" t="s">
        <v>870</v>
      </c>
      <c r="X230" s="1" t="s">
        <v>869</v>
      </c>
      <c r="Y230" s="1"/>
      <c r="Z230" s="1"/>
      <c r="AA230" s="1" t="s">
        <v>61</v>
      </c>
    </row>
    <row r="231" spans="1:27" ht="17.45" customHeight="1">
      <c r="A231" s="3" t="s">
        <v>871</v>
      </c>
      <c r="B231" s="3" t="s">
        <v>181</v>
      </c>
      <c r="C231">
        <v>1</v>
      </c>
      <c r="D231" s="3" t="s">
        <v>228</v>
      </c>
      <c r="E231" s="3" t="s">
        <v>872</v>
      </c>
      <c r="F231" s="3" t="s">
        <v>869</v>
      </c>
      <c r="G231" s="3" t="s">
        <v>32</v>
      </c>
      <c r="H231" s="3" t="s">
        <v>124</v>
      </c>
      <c r="I231" s="3" t="s">
        <v>124</v>
      </c>
      <c r="J231" s="3" t="s">
        <v>35</v>
      </c>
      <c r="K231" s="3" t="s">
        <v>36</v>
      </c>
      <c r="L231" s="3" t="s">
        <v>51</v>
      </c>
      <c r="M231" s="3" t="s">
        <v>52</v>
      </c>
      <c r="N231" s="3" t="s">
        <v>39</v>
      </c>
      <c r="O231" s="3" t="s">
        <v>124</v>
      </c>
      <c r="P231" s="3" t="s">
        <v>53</v>
      </c>
      <c r="Q231" s="3" t="s">
        <v>39</v>
      </c>
      <c r="R231" s="5">
        <v>46139.689201388886</v>
      </c>
      <c r="S231" s="5">
        <v>46139.689201388886</v>
      </c>
      <c r="T231" s="3" t="s">
        <v>41</v>
      </c>
      <c r="U231" s="1" t="s">
        <v>59</v>
      </c>
      <c r="V231" s="1" t="s">
        <v>60</v>
      </c>
      <c r="W231" s="1" t="s">
        <v>870</v>
      </c>
      <c r="X231" s="1" t="s">
        <v>869</v>
      </c>
      <c r="Y231" s="1"/>
      <c r="Z231" s="1"/>
      <c r="AA231" s="1" t="s">
        <v>61</v>
      </c>
    </row>
    <row r="232" spans="1:27" ht="17.45" customHeight="1">
      <c r="A232" s="2" t="s">
        <v>873</v>
      </c>
      <c r="B232" s="2" t="s">
        <v>181</v>
      </c>
      <c r="C232">
        <v>1</v>
      </c>
      <c r="D232" s="2" t="s">
        <v>228</v>
      </c>
      <c r="E232" s="2" t="s">
        <v>874</v>
      </c>
      <c r="F232" s="2" t="s">
        <v>869</v>
      </c>
      <c r="G232" s="2" t="s">
        <v>32</v>
      </c>
      <c r="H232" s="2" t="s">
        <v>124</v>
      </c>
      <c r="I232" s="2" t="s">
        <v>124</v>
      </c>
      <c r="J232" s="2" t="s">
        <v>35</v>
      </c>
      <c r="K232" s="2" t="s">
        <v>36</v>
      </c>
      <c r="L232" s="2" t="s">
        <v>51</v>
      </c>
      <c r="M232" s="2" t="s">
        <v>52</v>
      </c>
      <c r="N232" s="2" t="s">
        <v>39</v>
      </c>
      <c r="O232" s="2" t="s">
        <v>124</v>
      </c>
      <c r="P232" s="2" t="s">
        <v>53</v>
      </c>
      <c r="Q232" s="2" t="s">
        <v>39</v>
      </c>
      <c r="R232" s="4">
        <v>46139.690243055556</v>
      </c>
      <c r="S232" s="4">
        <v>46139.690243055556</v>
      </c>
      <c r="T232" s="2" t="s">
        <v>41</v>
      </c>
      <c r="U232" s="1" t="s">
        <v>59</v>
      </c>
      <c r="V232" s="1" t="s">
        <v>60</v>
      </c>
      <c r="W232" s="1" t="s">
        <v>870</v>
      </c>
      <c r="X232" s="1" t="s">
        <v>869</v>
      </c>
      <c r="Y232" s="1"/>
      <c r="Z232" s="1"/>
      <c r="AA232" s="1" t="s">
        <v>61</v>
      </c>
    </row>
    <row r="233" spans="1:27" ht="17.45" customHeight="1">
      <c r="A233" s="3" t="s">
        <v>367</v>
      </c>
      <c r="B233" s="3" t="s">
        <v>48</v>
      </c>
      <c r="C233">
        <v>1</v>
      </c>
      <c r="D233" s="3" t="s">
        <v>29</v>
      </c>
      <c r="E233" s="3" t="s">
        <v>875</v>
      </c>
      <c r="F233" s="3" t="s">
        <v>876</v>
      </c>
      <c r="G233" s="3" t="s">
        <v>32</v>
      </c>
      <c r="H233" s="3" t="s">
        <v>33</v>
      </c>
      <c r="I233" s="3" t="s">
        <v>33</v>
      </c>
      <c r="J233" s="3" t="s">
        <v>35</v>
      </c>
      <c r="K233" s="3" t="s">
        <v>36</v>
      </c>
      <c r="L233" s="3" t="s">
        <v>37</v>
      </c>
      <c r="M233" s="3" t="s">
        <v>52</v>
      </c>
      <c r="N233" s="3" t="s">
        <v>39</v>
      </c>
      <c r="O233" s="3" t="s">
        <v>33</v>
      </c>
      <c r="P233" s="3" t="s">
        <v>53</v>
      </c>
      <c r="Q233" s="3" t="s">
        <v>39</v>
      </c>
      <c r="R233" s="5">
        <v>46139.735729166663</v>
      </c>
      <c r="S233" s="5">
        <v>46139.735729166663</v>
      </c>
      <c r="T233" s="3" t="s">
        <v>41</v>
      </c>
      <c r="U233" s="1" t="s">
        <v>42</v>
      </c>
      <c r="V233" s="1" t="s">
        <v>74</v>
      </c>
      <c r="W233" s="1" t="s">
        <v>876</v>
      </c>
      <c r="X233" s="1" t="s">
        <v>876</v>
      </c>
      <c r="Y233" s="1"/>
      <c r="Z233" s="1"/>
      <c r="AA233" s="1" t="s">
        <v>46</v>
      </c>
    </row>
    <row r="234" spans="1:27" ht="17.45" customHeight="1">
      <c r="A234" s="2" t="s">
        <v>150</v>
      </c>
      <c r="B234" s="2" t="s">
        <v>28</v>
      </c>
      <c r="C234">
        <v>1</v>
      </c>
      <c r="D234" s="2" t="s">
        <v>29</v>
      </c>
      <c r="E234" s="2" t="s">
        <v>877</v>
      </c>
      <c r="F234" s="2" t="s">
        <v>878</v>
      </c>
      <c r="G234" s="2" t="s">
        <v>32</v>
      </c>
      <c r="H234" s="2" t="s">
        <v>33</v>
      </c>
      <c r="I234" s="2" t="s">
        <v>78</v>
      </c>
      <c r="J234" s="2" t="s">
        <v>35</v>
      </c>
      <c r="K234" s="2" t="s">
        <v>36</v>
      </c>
      <c r="L234" s="2" t="s">
        <v>37</v>
      </c>
      <c r="M234" s="2" t="s">
        <v>64</v>
      </c>
      <c r="N234" s="2" t="s">
        <v>39</v>
      </c>
      <c r="O234" s="2" t="s">
        <v>33</v>
      </c>
      <c r="P234" s="2" t="s">
        <v>40</v>
      </c>
      <c r="Q234" s="2" t="s">
        <v>39</v>
      </c>
      <c r="R234" s="4">
        <v>46140.457187499997</v>
      </c>
      <c r="S234" s="4">
        <v>46140.457187499997</v>
      </c>
      <c r="T234" s="2" t="s">
        <v>41</v>
      </c>
      <c r="U234" s="1" t="s">
        <v>243</v>
      </c>
      <c r="V234" s="1" t="s">
        <v>302</v>
      </c>
      <c r="W234" s="1" t="s">
        <v>879</v>
      </c>
      <c r="X234" s="1" t="s">
        <v>880</v>
      </c>
      <c r="Y234" s="1"/>
      <c r="Z234" s="1"/>
      <c r="AA234" s="1" t="s">
        <v>246</v>
      </c>
    </row>
    <row r="235" spans="1:27" ht="17.45" customHeight="1">
      <c r="A235" s="3" t="s">
        <v>512</v>
      </c>
      <c r="B235" s="3" t="s">
        <v>48</v>
      </c>
      <c r="C235">
        <v>1</v>
      </c>
      <c r="D235" s="3" t="s">
        <v>29</v>
      </c>
      <c r="E235" s="3" t="s">
        <v>881</v>
      </c>
      <c r="F235" s="3" t="s">
        <v>882</v>
      </c>
      <c r="G235" s="3" t="s">
        <v>32</v>
      </c>
      <c r="H235" s="3" t="s">
        <v>33</v>
      </c>
      <c r="I235" s="3" t="s">
        <v>34</v>
      </c>
      <c r="J235" s="3" t="s">
        <v>35</v>
      </c>
      <c r="K235" s="3" t="s">
        <v>36</v>
      </c>
      <c r="L235" s="3" t="s">
        <v>51</v>
      </c>
      <c r="M235" s="3" t="s">
        <v>64</v>
      </c>
      <c r="N235" s="3" t="s">
        <v>39</v>
      </c>
      <c r="O235" s="3" t="s">
        <v>33</v>
      </c>
      <c r="P235" s="3" t="s">
        <v>53</v>
      </c>
      <c r="Q235" s="3" t="s">
        <v>39</v>
      </c>
      <c r="R235" s="5">
        <v>46140.461921296293</v>
      </c>
      <c r="S235" s="5">
        <v>46140.461921296293</v>
      </c>
      <c r="T235" s="3" t="s">
        <v>41</v>
      </c>
      <c r="U235" s="1" t="s">
        <v>59</v>
      </c>
      <c r="V235" s="1" t="s">
        <v>60</v>
      </c>
      <c r="W235" s="1" t="s">
        <v>883</v>
      </c>
      <c r="X235" s="1" t="s">
        <v>884</v>
      </c>
      <c r="Y235" s="1"/>
      <c r="Z235" s="1"/>
      <c r="AA235" s="1" t="s">
        <v>61</v>
      </c>
    </row>
    <row r="236" spans="1:27" ht="17.45" customHeight="1">
      <c r="A236" s="2" t="s">
        <v>144</v>
      </c>
      <c r="B236" s="2" t="s">
        <v>120</v>
      </c>
      <c r="C236">
        <v>1</v>
      </c>
      <c r="D236" s="2" t="s">
        <v>121</v>
      </c>
      <c r="E236" s="2" t="s">
        <v>885</v>
      </c>
      <c r="F236" s="2" t="s">
        <v>886</v>
      </c>
      <c r="G236" s="2" t="s">
        <v>32</v>
      </c>
      <c r="H236" s="2" t="s">
        <v>124</v>
      </c>
      <c r="I236" s="2" t="s">
        <v>147</v>
      </c>
      <c r="J236" s="2" t="s">
        <v>35</v>
      </c>
      <c r="K236" s="2" t="s">
        <v>36</v>
      </c>
      <c r="L236" s="2" t="s">
        <v>37</v>
      </c>
      <c r="M236" s="2" t="s">
        <v>38</v>
      </c>
      <c r="N236" s="2" t="s">
        <v>39</v>
      </c>
      <c r="O236" s="2" t="s">
        <v>125</v>
      </c>
      <c r="P236" s="2" t="s">
        <v>53</v>
      </c>
      <c r="Q236" s="2" t="s">
        <v>39</v>
      </c>
      <c r="R236" s="4">
        <v>46140.466817129629</v>
      </c>
      <c r="S236" s="4">
        <v>46140.466817129629</v>
      </c>
      <c r="T236" s="2" t="s">
        <v>41</v>
      </c>
      <c r="U236" s="1" t="s">
        <v>95</v>
      </c>
      <c r="V236" s="1" t="s">
        <v>96</v>
      </c>
      <c r="W236" s="1" t="s">
        <v>886</v>
      </c>
      <c r="X236" s="1" t="s">
        <v>886</v>
      </c>
      <c r="Y236" s="1"/>
      <c r="Z236" s="1"/>
      <c r="AA236" s="1" t="s">
        <v>98</v>
      </c>
    </row>
    <row r="237" spans="1:27" ht="17.45" customHeight="1">
      <c r="A237" s="3" t="s">
        <v>800</v>
      </c>
      <c r="B237" s="3" t="s">
        <v>181</v>
      </c>
      <c r="C237">
        <v>1</v>
      </c>
      <c r="D237" s="3" t="s">
        <v>29</v>
      </c>
      <c r="E237" s="3" t="s">
        <v>887</v>
      </c>
      <c r="F237" s="3" t="s">
        <v>888</v>
      </c>
      <c r="G237" s="3" t="s">
        <v>32</v>
      </c>
      <c r="H237" s="3" t="s">
        <v>33</v>
      </c>
      <c r="I237" s="3" t="s">
        <v>78</v>
      </c>
      <c r="J237" s="3" t="s">
        <v>35</v>
      </c>
      <c r="K237" s="3" t="s">
        <v>36</v>
      </c>
      <c r="L237" s="3" t="s">
        <v>37</v>
      </c>
      <c r="M237" s="3" t="s">
        <v>115</v>
      </c>
      <c r="N237" s="3" t="s">
        <v>39</v>
      </c>
      <c r="O237" s="3" t="s">
        <v>33</v>
      </c>
      <c r="P237" s="3" t="s">
        <v>53</v>
      </c>
      <c r="Q237" s="3" t="s">
        <v>39</v>
      </c>
      <c r="R237" s="5">
        <v>46140.467187499999</v>
      </c>
      <c r="S237" s="5">
        <v>46140.467187499999</v>
      </c>
      <c r="T237" s="3" t="s">
        <v>41</v>
      </c>
      <c r="U237" s="1" t="s">
        <v>59</v>
      </c>
      <c r="V237" s="1" t="s">
        <v>60</v>
      </c>
      <c r="W237" s="1" t="s">
        <v>305</v>
      </c>
      <c r="X237" s="1" t="s">
        <v>305</v>
      </c>
      <c r="Y237" s="1"/>
      <c r="Z237" s="1"/>
      <c r="AA237" s="1" t="s">
        <v>61</v>
      </c>
    </row>
    <row r="238" spans="1:27" ht="17.45" customHeight="1">
      <c r="A238" s="2" t="s">
        <v>889</v>
      </c>
      <c r="B238" s="2" t="s">
        <v>181</v>
      </c>
      <c r="C238">
        <v>1</v>
      </c>
      <c r="D238" s="2" t="s">
        <v>29</v>
      </c>
      <c r="E238" s="2" t="s">
        <v>890</v>
      </c>
      <c r="F238" s="2" t="s">
        <v>891</v>
      </c>
      <c r="G238" s="2" t="s">
        <v>32</v>
      </c>
      <c r="H238" s="2" t="s">
        <v>33</v>
      </c>
      <c r="I238" s="2" t="s">
        <v>78</v>
      </c>
      <c r="J238" s="2" t="s">
        <v>35</v>
      </c>
      <c r="K238" s="2" t="s">
        <v>36</v>
      </c>
      <c r="L238" s="2" t="s">
        <v>51</v>
      </c>
      <c r="M238" s="2" t="s">
        <v>115</v>
      </c>
      <c r="N238" s="2" t="s">
        <v>39</v>
      </c>
      <c r="O238" s="2" t="s">
        <v>33</v>
      </c>
      <c r="P238" s="2" t="s">
        <v>53</v>
      </c>
      <c r="Q238" s="2" t="s">
        <v>39</v>
      </c>
      <c r="R238" s="4">
        <v>46140.467604166668</v>
      </c>
      <c r="S238" s="4">
        <v>46140.467604166668</v>
      </c>
      <c r="T238" s="2" t="s">
        <v>41</v>
      </c>
      <c r="U238" s="1" t="s">
        <v>59</v>
      </c>
      <c r="V238" s="1" t="s">
        <v>60</v>
      </c>
      <c r="W238" s="1" t="s">
        <v>892</v>
      </c>
      <c r="X238" s="1" t="s">
        <v>892</v>
      </c>
      <c r="Y238" s="1"/>
      <c r="Z238" s="1"/>
      <c r="AA238" s="1" t="s">
        <v>61</v>
      </c>
    </row>
    <row r="239" spans="1:27" ht="17.45" customHeight="1">
      <c r="A239" s="3" t="s">
        <v>512</v>
      </c>
      <c r="B239" s="3" t="s">
        <v>48</v>
      </c>
      <c r="C239">
        <v>1</v>
      </c>
      <c r="D239" s="3" t="s">
        <v>29</v>
      </c>
      <c r="E239" s="3" t="s">
        <v>893</v>
      </c>
      <c r="F239" s="3" t="s">
        <v>894</v>
      </c>
      <c r="G239" s="3" t="s">
        <v>32</v>
      </c>
      <c r="H239" s="3" t="s">
        <v>33</v>
      </c>
      <c r="I239" s="3" t="s">
        <v>34</v>
      </c>
      <c r="J239" s="3" t="s">
        <v>35</v>
      </c>
      <c r="K239" s="3" t="s">
        <v>36</v>
      </c>
      <c r="L239" s="3" t="s">
        <v>37</v>
      </c>
      <c r="M239" s="3" t="s">
        <v>141</v>
      </c>
      <c r="N239" s="3" t="s">
        <v>39</v>
      </c>
      <c r="O239" s="3" t="s">
        <v>33</v>
      </c>
      <c r="P239" s="3" t="s">
        <v>53</v>
      </c>
      <c r="Q239" s="3" t="s">
        <v>39</v>
      </c>
      <c r="R239" s="5">
        <v>46148.574305555558</v>
      </c>
      <c r="S239" s="5">
        <v>46148.575902777775</v>
      </c>
      <c r="T239" s="3" t="s">
        <v>41</v>
      </c>
      <c r="U239" s="1" t="s">
        <v>95</v>
      </c>
      <c r="V239" s="1" t="s">
        <v>96</v>
      </c>
      <c r="W239" s="1" t="s">
        <v>894</v>
      </c>
      <c r="X239" s="1" t="s">
        <v>894</v>
      </c>
      <c r="Y239" s="1"/>
      <c r="Z239" s="1"/>
      <c r="AA239" s="1" t="s">
        <v>98</v>
      </c>
    </row>
    <row r="240" spans="1:27" ht="17.45" customHeight="1">
      <c r="A240" s="2" t="s">
        <v>512</v>
      </c>
      <c r="B240" s="2" t="s">
        <v>48</v>
      </c>
      <c r="C240">
        <v>1</v>
      </c>
      <c r="D240" s="2" t="s">
        <v>29</v>
      </c>
      <c r="E240" s="2" t="s">
        <v>895</v>
      </c>
      <c r="F240" s="2" t="s">
        <v>896</v>
      </c>
      <c r="G240" s="2" t="s">
        <v>32</v>
      </c>
      <c r="H240" s="2" t="s">
        <v>33</v>
      </c>
      <c r="I240" s="2" t="s">
        <v>34</v>
      </c>
      <c r="J240" s="2" t="s">
        <v>35</v>
      </c>
      <c r="K240" s="2" t="s">
        <v>36</v>
      </c>
      <c r="L240" s="2" t="s">
        <v>37</v>
      </c>
      <c r="M240" s="2" t="s">
        <v>52</v>
      </c>
      <c r="N240" s="2" t="s">
        <v>39</v>
      </c>
      <c r="O240" s="2" t="s">
        <v>33</v>
      </c>
      <c r="P240" s="2" t="s">
        <v>40</v>
      </c>
      <c r="Q240" s="2" t="s">
        <v>39</v>
      </c>
      <c r="R240" s="4">
        <v>46148.581643518519</v>
      </c>
      <c r="S240" s="4">
        <v>46148.581979166665</v>
      </c>
      <c r="T240" s="2" t="s">
        <v>41</v>
      </c>
      <c r="U240" s="1" t="s">
        <v>177</v>
      </c>
      <c r="V240" s="1" t="s">
        <v>184</v>
      </c>
      <c r="W240" s="1" t="s">
        <v>897</v>
      </c>
      <c r="X240" s="1" t="s">
        <v>896</v>
      </c>
      <c r="Y240" s="1"/>
      <c r="Z240" s="1"/>
      <c r="AA240" s="1" t="s">
        <v>179</v>
      </c>
    </row>
    <row r="241" spans="1:27" ht="17.45" customHeight="1">
      <c r="A241" s="3" t="s">
        <v>512</v>
      </c>
      <c r="B241" s="3" t="s">
        <v>48</v>
      </c>
      <c r="C241">
        <v>1</v>
      </c>
      <c r="D241" s="3" t="s">
        <v>29</v>
      </c>
      <c r="E241" s="3" t="s">
        <v>898</v>
      </c>
      <c r="F241" s="3" t="s">
        <v>899</v>
      </c>
      <c r="G241" s="3" t="s">
        <v>32</v>
      </c>
      <c r="H241" s="3" t="s">
        <v>33</v>
      </c>
      <c r="I241" s="3" t="s">
        <v>34</v>
      </c>
      <c r="J241" s="3" t="s">
        <v>35</v>
      </c>
      <c r="K241" s="3" t="s">
        <v>36</v>
      </c>
      <c r="L241" s="3" t="s">
        <v>37</v>
      </c>
      <c r="M241" s="3" t="s">
        <v>64</v>
      </c>
      <c r="N241" s="3" t="s">
        <v>39</v>
      </c>
      <c r="O241" s="3" t="s">
        <v>33</v>
      </c>
      <c r="P241" s="3" t="s">
        <v>53</v>
      </c>
      <c r="Q241" s="3" t="s">
        <v>39</v>
      </c>
      <c r="R241" s="5">
        <v>46148.591840277775</v>
      </c>
      <c r="S241" s="5">
        <v>46148.591840277775</v>
      </c>
      <c r="T241" s="3" t="s">
        <v>41</v>
      </c>
      <c r="U241" s="1" t="s">
        <v>42</v>
      </c>
      <c r="V241" s="1" t="s">
        <v>74</v>
      </c>
      <c r="W241" s="1" t="s">
        <v>900</v>
      </c>
      <c r="X241" s="1" t="s">
        <v>899</v>
      </c>
      <c r="Y241" s="1"/>
      <c r="Z241" s="1"/>
      <c r="AA241" s="1" t="s">
        <v>46</v>
      </c>
    </row>
    <row r="242" spans="1:27" ht="17.45" customHeight="1">
      <c r="A242" s="2" t="s">
        <v>512</v>
      </c>
      <c r="B242" s="2" t="s">
        <v>48</v>
      </c>
      <c r="C242">
        <v>1</v>
      </c>
      <c r="D242" s="2" t="s">
        <v>29</v>
      </c>
      <c r="E242" s="2" t="s">
        <v>901</v>
      </c>
      <c r="F242" s="2" t="s">
        <v>902</v>
      </c>
      <c r="G242" s="2" t="s">
        <v>32</v>
      </c>
      <c r="H242" s="2" t="s">
        <v>33</v>
      </c>
      <c r="I242" s="2" t="s">
        <v>34</v>
      </c>
      <c r="J242" s="2" t="s">
        <v>35</v>
      </c>
      <c r="K242" s="2" t="s">
        <v>36</v>
      </c>
      <c r="L242" s="2" t="s">
        <v>37</v>
      </c>
      <c r="M242" s="2" t="s">
        <v>64</v>
      </c>
      <c r="N242" s="2" t="s">
        <v>39</v>
      </c>
      <c r="O242" s="2" t="s">
        <v>33</v>
      </c>
      <c r="P242" s="2" t="s">
        <v>53</v>
      </c>
      <c r="Q242" s="2" t="s">
        <v>39</v>
      </c>
      <c r="R242" s="4">
        <v>46148.596388888887</v>
      </c>
      <c r="S242" s="4">
        <v>46148.596388888887</v>
      </c>
      <c r="T242" s="2" t="s">
        <v>41</v>
      </c>
      <c r="U242" s="1" t="s">
        <v>177</v>
      </c>
      <c r="V242" s="1" t="s">
        <v>215</v>
      </c>
      <c r="W242" s="1" t="s">
        <v>903</v>
      </c>
      <c r="X242" s="1" t="s">
        <v>902</v>
      </c>
      <c r="Y242" s="1"/>
      <c r="Z242" s="1"/>
      <c r="AA242" s="1" t="s">
        <v>179</v>
      </c>
    </row>
    <row r="243" spans="1:27" ht="17.45" customHeight="1">
      <c r="A243" s="3" t="s">
        <v>820</v>
      </c>
      <c r="B243" s="3" t="s">
        <v>120</v>
      </c>
      <c r="C243">
        <v>1</v>
      </c>
      <c r="D243" s="3" t="s">
        <v>121</v>
      </c>
      <c r="E243" s="3" t="s">
        <v>904</v>
      </c>
      <c r="F243" s="3" t="s">
        <v>905</v>
      </c>
      <c r="G243" s="3" t="s">
        <v>32</v>
      </c>
      <c r="H243" s="3" t="s">
        <v>124</v>
      </c>
      <c r="I243" s="3" t="s">
        <v>147</v>
      </c>
      <c r="J243" s="3" t="s">
        <v>35</v>
      </c>
      <c r="K243" s="3" t="s">
        <v>36</v>
      </c>
      <c r="L243" s="3" t="s">
        <v>37</v>
      </c>
      <c r="M243" s="3" t="s">
        <v>52</v>
      </c>
      <c r="N243" s="3" t="s">
        <v>39</v>
      </c>
      <c r="O243" s="3" t="s">
        <v>125</v>
      </c>
      <c r="P243" s="3" t="s">
        <v>40</v>
      </c>
      <c r="Q243" s="3" t="s">
        <v>39</v>
      </c>
      <c r="R243" s="5">
        <v>46134.571018518516</v>
      </c>
      <c r="S243" s="5">
        <v>46134.571018518516</v>
      </c>
      <c r="T243" s="3" t="s">
        <v>41</v>
      </c>
      <c r="U243" s="1" t="s">
        <v>95</v>
      </c>
      <c r="V243" s="1" t="s">
        <v>96</v>
      </c>
      <c r="W243" s="1" t="s">
        <v>905</v>
      </c>
      <c r="X243" s="1" t="s">
        <v>905</v>
      </c>
      <c r="Y243" s="1"/>
      <c r="Z243" s="1"/>
      <c r="AA243" s="1" t="s">
        <v>98</v>
      </c>
    </row>
    <row r="244" spans="1:27" ht="17.45" customHeight="1">
      <c r="A244" s="2" t="s">
        <v>906</v>
      </c>
      <c r="B244" s="2" t="s">
        <v>120</v>
      </c>
      <c r="C244">
        <v>1</v>
      </c>
      <c r="D244" s="2" t="s">
        <v>121</v>
      </c>
      <c r="E244" s="2" t="s">
        <v>907</v>
      </c>
      <c r="F244" s="2" t="s">
        <v>908</v>
      </c>
      <c r="G244" s="2" t="s">
        <v>32</v>
      </c>
      <c r="H244" s="2" t="s">
        <v>124</v>
      </c>
      <c r="I244" s="2" t="s">
        <v>157</v>
      </c>
      <c r="J244" s="2" t="s">
        <v>35</v>
      </c>
      <c r="K244" s="2" t="s">
        <v>36</v>
      </c>
      <c r="L244" s="2" t="s">
        <v>37</v>
      </c>
      <c r="M244" s="2" t="s">
        <v>64</v>
      </c>
      <c r="N244" s="2" t="s">
        <v>39</v>
      </c>
      <c r="O244" s="2" t="s">
        <v>125</v>
      </c>
      <c r="P244" s="2" t="s">
        <v>53</v>
      </c>
      <c r="Q244" s="2" t="s">
        <v>39</v>
      </c>
      <c r="R244" s="4">
        <v>46134.608275462961</v>
      </c>
      <c r="S244" s="4">
        <v>46134.608287037037</v>
      </c>
      <c r="T244" s="2" t="s">
        <v>41</v>
      </c>
      <c r="U244" s="1" t="s">
        <v>165</v>
      </c>
      <c r="V244" s="1" t="s">
        <v>364</v>
      </c>
      <c r="W244" s="1" t="s">
        <v>908</v>
      </c>
      <c r="X244" s="1" t="s">
        <v>908</v>
      </c>
      <c r="Y244" s="1"/>
      <c r="Z244" s="1"/>
      <c r="AA244" s="1" t="s">
        <v>169</v>
      </c>
    </row>
    <row r="245" spans="1:27" ht="17.45" customHeight="1">
      <c r="A245" s="3" t="s">
        <v>260</v>
      </c>
      <c r="B245" s="3" t="s">
        <v>120</v>
      </c>
      <c r="C245">
        <v>1</v>
      </c>
      <c r="D245" s="3" t="s">
        <v>121</v>
      </c>
      <c r="E245" s="3" t="s">
        <v>909</v>
      </c>
      <c r="F245" s="3" t="s">
        <v>910</v>
      </c>
      <c r="G245" s="3" t="s">
        <v>32</v>
      </c>
      <c r="H245" s="3" t="s">
        <v>124</v>
      </c>
      <c r="I245" s="3" t="s">
        <v>192</v>
      </c>
      <c r="J245" s="3" t="s">
        <v>35</v>
      </c>
      <c r="K245" s="3" t="s">
        <v>36</v>
      </c>
      <c r="L245" s="3" t="s">
        <v>37</v>
      </c>
      <c r="M245" s="3" t="s">
        <v>38</v>
      </c>
      <c r="N245" s="3" t="s">
        <v>39</v>
      </c>
      <c r="O245" s="3" t="s">
        <v>125</v>
      </c>
      <c r="P245" s="3" t="s">
        <v>40</v>
      </c>
      <c r="Q245" s="3" t="s">
        <v>39</v>
      </c>
      <c r="R245" s="5">
        <v>46134.609710648147</v>
      </c>
      <c r="S245" s="5">
        <v>46134.609710648147</v>
      </c>
      <c r="T245" s="3" t="s">
        <v>41</v>
      </c>
      <c r="U245" s="1" t="s">
        <v>65</v>
      </c>
      <c r="V245" s="1" t="s">
        <v>70</v>
      </c>
      <c r="W245" s="1" t="s">
        <v>910</v>
      </c>
      <c r="X245" s="1" t="s">
        <v>910</v>
      </c>
      <c r="Y245" s="1"/>
      <c r="Z245" s="1"/>
      <c r="AA245" s="1" t="s">
        <v>67</v>
      </c>
    </row>
    <row r="246" spans="1:27" ht="17.45" customHeight="1">
      <c r="A246" s="2" t="s">
        <v>911</v>
      </c>
      <c r="B246" s="2" t="s">
        <v>120</v>
      </c>
      <c r="C246">
        <v>1</v>
      </c>
      <c r="D246" s="2" t="s">
        <v>29</v>
      </c>
      <c r="E246" s="2" t="s">
        <v>912</v>
      </c>
      <c r="F246" s="2" t="s">
        <v>913</v>
      </c>
      <c r="G246" s="2" t="s">
        <v>32</v>
      </c>
      <c r="H246" s="2" t="s">
        <v>33</v>
      </c>
      <c r="I246" s="2" t="s">
        <v>34</v>
      </c>
      <c r="J246" s="2" t="s">
        <v>35</v>
      </c>
      <c r="K246" s="2" t="s">
        <v>36</v>
      </c>
      <c r="L246" s="2" t="s">
        <v>51</v>
      </c>
      <c r="M246" s="2" t="s">
        <v>64</v>
      </c>
      <c r="N246" s="2" t="s">
        <v>39</v>
      </c>
      <c r="O246" s="2" t="s">
        <v>33</v>
      </c>
      <c r="P246" s="2" t="s">
        <v>53</v>
      </c>
      <c r="Q246" s="2" t="s">
        <v>39</v>
      </c>
      <c r="R246" s="4">
        <v>46134.610567129632</v>
      </c>
      <c r="S246" s="4">
        <v>46134.636076388888</v>
      </c>
      <c r="T246" s="2" t="s">
        <v>41</v>
      </c>
      <c r="U246" s="1" t="s">
        <v>59</v>
      </c>
      <c r="V246" s="1" t="s">
        <v>142</v>
      </c>
      <c r="W246" s="1" t="s">
        <v>914</v>
      </c>
      <c r="X246" s="1" t="s">
        <v>915</v>
      </c>
      <c r="Y246" s="1"/>
      <c r="Z246" s="1"/>
      <c r="AA246" s="1" t="s">
        <v>61</v>
      </c>
    </row>
    <row r="247" spans="1:27" ht="17.45" customHeight="1">
      <c r="A247" s="3" t="s">
        <v>916</v>
      </c>
      <c r="B247" s="3" t="s">
        <v>120</v>
      </c>
      <c r="C247">
        <v>1</v>
      </c>
      <c r="D247" s="3" t="s">
        <v>29</v>
      </c>
      <c r="E247" s="3" t="s">
        <v>917</v>
      </c>
      <c r="F247" s="3" t="s">
        <v>918</v>
      </c>
      <c r="G247" s="3" t="s">
        <v>32</v>
      </c>
      <c r="H247" s="3" t="s">
        <v>33</v>
      </c>
      <c r="I247" s="3" t="s">
        <v>33</v>
      </c>
      <c r="J247" s="3" t="s">
        <v>35</v>
      </c>
      <c r="K247" s="3" t="s">
        <v>36</v>
      </c>
      <c r="L247" s="3" t="s">
        <v>37</v>
      </c>
      <c r="M247" s="3" t="s">
        <v>52</v>
      </c>
      <c r="N247" s="3" t="s">
        <v>39</v>
      </c>
      <c r="O247" s="3" t="s">
        <v>33</v>
      </c>
      <c r="P247" s="3" t="s">
        <v>40</v>
      </c>
      <c r="Q247" s="3" t="s">
        <v>39</v>
      </c>
      <c r="R247" s="5">
        <v>46134.621377314812</v>
      </c>
      <c r="S247" s="5">
        <v>46134.621377314812</v>
      </c>
      <c r="T247" s="3" t="s">
        <v>41</v>
      </c>
      <c r="U247" s="1" t="s">
        <v>95</v>
      </c>
      <c r="V247" s="1" t="s">
        <v>96</v>
      </c>
      <c r="W247" s="1" t="s">
        <v>919</v>
      </c>
      <c r="X247" s="1" t="s">
        <v>920</v>
      </c>
      <c r="Y247" s="1"/>
      <c r="Z247" s="1"/>
      <c r="AA247" s="1" t="s">
        <v>98</v>
      </c>
    </row>
    <row r="248" spans="1:27" ht="17.45" customHeight="1">
      <c r="A248" s="2" t="s">
        <v>512</v>
      </c>
      <c r="B248" s="2" t="s">
        <v>48</v>
      </c>
      <c r="C248">
        <v>1</v>
      </c>
      <c r="D248" s="2" t="s">
        <v>29</v>
      </c>
      <c r="E248" s="2" t="s">
        <v>921</v>
      </c>
      <c r="F248" s="2" t="s">
        <v>922</v>
      </c>
      <c r="G248" s="2" t="s">
        <v>32</v>
      </c>
      <c r="H248" s="2" t="s">
        <v>33</v>
      </c>
      <c r="I248" s="2" t="s">
        <v>34</v>
      </c>
      <c r="J248" s="2" t="s">
        <v>35</v>
      </c>
      <c r="K248" s="2" t="s">
        <v>36</v>
      </c>
      <c r="L248" s="2" t="s">
        <v>37</v>
      </c>
      <c r="M248" s="2" t="s">
        <v>141</v>
      </c>
      <c r="N248" s="2" t="s">
        <v>39</v>
      </c>
      <c r="O248" s="2" t="s">
        <v>33</v>
      </c>
      <c r="P248" s="2" t="s">
        <v>53</v>
      </c>
      <c r="Q248" s="2" t="s">
        <v>39</v>
      </c>
      <c r="R248" s="4">
        <v>46148.603807870371</v>
      </c>
      <c r="S248" s="4">
        <v>46148.603807870371</v>
      </c>
      <c r="T248" s="2" t="s">
        <v>41</v>
      </c>
      <c r="U248" s="1" t="s">
        <v>283</v>
      </c>
      <c r="V248" s="1" t="s">
        <v>284</v>
      </c>
      <c r="W248" s="1" t="s">
        <v>923</v>
      </c>
      <c r="X248" s="1" t="s">
        <v>924</v>
      </c>
      <c r="Y248" s="1"/>
      <c r="Z248" s="1"/>
      <c r="AA248" s="1" t="s">
        <v>285</v>
      </c>
    </row>
    <row r="249" spans="1:27" ht="17.45" customHeight="1">
      <c r="A249" s="3" t="s">
        <v>512</v>
      </c>
      <c r="B249" s="3" t="s">
        <v>48</v>
      </c>
      <c r="C249">
        <v>1</v>
      </c>
      <c r="D249" s="3" t="s">
        <v>29</v>
      </c>
      <c r="E249" s="3" t="s">
        <v>925</v>
      </c>
      <c r="F249" s="3" t="s">
        <v>926</v>
      </c>
      <c r="G249" s="3" t="s">
        <v>32</v>
      </c>
      <c r="H249" s="3" t="s">
        <v>33</v>
      </c>
      <c r="I249" s="3" t="s">
        <v>34</v>
      </c>
      <c r="J249" s="3" t="s">
        <v>35</v>
      </c>
      <c r="K249" s="3" t="s">
        <v>36</v>
      </c>
      <c r="L249" s="3" t="s">
        <v>37</v>
      </c>
      <c r="M249" s="3" t="s">
        <v>64</v>
      </c>
      <c r="N249" s="3" t="s">
        <v>39</v>
      </c>
      <c r="O249" s="3" t="s">
        <v>33</v>
      </c>
      <c r="P249" s="3" t="s">
        <v>53</v>
      </c>
      <c r="Q249" s="3" t="s">
        <v>39</v>
      </c>
      <c r="R249" s="5">
        <v>46148.607986111114</v>
      </c>
      <c r="S249" s="5">
        <v>46148.607986111114</v>
      </c>
      <c r="T249" s="3" t="s">
        <v>41</v>
      </c>
      <c r="U249" s="1" t="s">
        <v>243</v>
      </c>
      <c r="V249" s="1" t="s">
        <v>302</v>
      </c>
      <c r="W249" s="1" t="s">
        <v>927</v>
      </c>
      <c r="X249" s="1" t="s">
        <v>926</v>
      </c>
      <c r="Y249" s="1"/>
      <c r="Z249" s="1"/>
      <c r="AA249" s="1" t="s">
        <v>246</v>
      </c>
    </row>
    <row r="250" spans="1:27" ht="17.45" customHeight="1">
      <c r="A250" s="2" t="s">
        <v>294</v>
      </c>
      <c r="B250" s="2" t="s">
        <v>48</v>
      </c>
      <c r="C250">
        <v>1</v>
      </c>
      <c r="D250" s="2" t="s">
        <v>121</v>
      </c>
      <c r="E250" s="2" t="s">
        <v>928</v>
      </c>
      <c r="F250" s="2" t="s">
        <v>929</v>
      </c>
      <c r="G250" s="2" t="s">
        <v>32</v>
      </c>
      <c r="H250" s="2" t="s">
        <v>124</v>
      </c>
      <c r="I250" s="2" t="s">
        <v>33</v>
      </c>
      <c r="J250" s="2" t="s">
        <v>35</v>
      </c>
      <c r="K250" s="2" t="s">
        <v>36</v>
      </c>
      <c r="L250" s="2" t="s">
        <v>51</v>
      </c>
      <c r="M250" s="2" t="s">
        <v>64</v>
      </c>
      <c r="N250" s="2" t="s">
        <v>39</v>
      </c>
      <c r="O250" s="2" t="s">
        <v>124</v>
      </c>
      <c r="P250" s="2" t="s">
        <v>53</v>
      </c>
      <c r="Q250" s="2" t="s">
        <v>39</v>
      </c>
      <c r="R250" s="4">
        <v>46148.608946759261</v>
      </c>
      <c r="S250" s="4">
        <v>46148.608946759261</v>
      </c>
      <c r="T250" s="2" t="s">
        <v>41</v>
      </c>
      <c r="U250" s="1" t="s">
        <v>42</v>
      </c>
      <c r="V250" s="1" t="s">
        <v>105</v>
      </c>
      <c r="W250" s="1" t="s">
        <v>930</v>
      </c>
      <c r="X250" s="1" t="s">
        <v>930</v>
      </c>
      <c r="Y250" s="1"/>
      <c r="Z250" s="1"/>
      <c r="AA250" s="1" t="s">
        <v>46</v>
      </c>
    </row>
    <row r="251" spans="1:27" ht="17.45" customHeight="1">
      <c r="A251" s="3" t="s">
        <v>512</v>
      </c>
      <c r="B251" s="3" t="s">
        <v>48</v>
      </c>
      <c r="C251">
        <v>1</v>
      </c>
      <c r="D251" s="3" t="s">
        <v>29</v>
      </c>
      <c r="E251" s="3" t="s">
        <v>931</v>
      </c>
      <c r="F251" s="3" t="s">
        <v>932</v>
      </c>
      <c r="G251" s="3" t="s">
        <v>32</v>
      </c>
      <c r="H251" s="3" t="s">
        <v>33</v>
      </c>
      <c r="I251" s="3" t="s">
        <v>34</v>
      </c>
      <c r="J251" s="3" t="s">
        <v>35</v>
      </c>
      <c r="K251" s="3" t="s">
        <v>36</v>
      </c>
      <c r="L251" s="3" t="s">
        <v>37</v>
      </c>
      <c r="M251" s="3" t="s">
        <v>64</v>
      </c>
      <c r="N251" s="3" t="s">
        <v>39</v>
      </c>
      <c r="O251" s="3" t="s">
        <v>33</v>
      </c>
      <c r="P251" s="3" t="s">
        <v>53</v>
      </c>
      <c r="Q251" s="3" t="s">
        <v>39</v>
      </c>
      <c r="R251" s="5">
        <v>46148.612835648149</v>
      </c>
      <c r="S251" s="5">
        <v>46148.612835648149</v>
      </c>
      <c r="T251" s="3" t="s">
        <v>41</v>
      </c>
      <c r="U251" s="1" t="s">
        <v>95</v>
      </c>
      <c r="V251" s="1" t="s">
        <v>96</v>
      </c>
      <c r="W251" s="1" t="s">
        <v>933</v>
      </c>
      <c r="X251" s="1" t="s">
        <v>934</v>
      </c>
      <c r="Y251" s="1"/>
      <c r="Z251" s="1"/>
      <c r="AA251" s="1" t="s">
        <v>98</v>
      </c>
    </row>
    <row r="252" spans="1:27" ht="17.45" customHeight="1">
      <c r="A252" s="2" t="s">
        <v>318</v>
      </c>
      <c r="B252" s="2" t="s">
        <v>48</v>
      </c>
      <c r="C252">
        <v>1</v>
      </c>
      <c r="D252" s="2" t="s">
        <v>121</v>
      </c>
      <c r="E252" s="2" t="s">
        <v>935</v>
      </c>
      <c r="F252" s="2" t="s">
        <v>936</v>
      </c>
      <c r="G252" s="2" t="s">
        <v>32</v>
      </c>
      <c r="H252" s="2" t="s">
        <v>124</v>
      </c>
      <c r="I252" s="2" t="s">
        <v>33</v>
      </c>
      <c r="J252" s="2" t="s">
        <v>35</v>
      </c>
      <c r="K252" s="2" t="s">
        <v>36</v>
      </c>
      <c r="L252" s="2" t="s">
        <v>37</v>
      </c>
      <c r="M252" s="2" t="s">
        <v>64</v>
      </c>
      <c r="N252" s="2" t="s">
        <v>39</v>
      </c>
      <c r="O252" s="2" t="s">
        <v>124</v>
      </c>
      <c r="P252" s="2" t="s">
        <v>58</v>
      </c>
      <c r="Q252" s="2" t="s">
        <v>39</v>
      </c>
      <c r="R252" s="4">
        <v>46148.617384259262</v>
      </c>
      <c r="S252" s="4">
        <v>46148.617384259262</v>
      </c>
      <c r="T252" s="2" t="s">
        <v>41</v>
      </c>
      <c r="U252" s="1" t="s">
        <v>115</v>
      </c>
      <c r="V252" s="1" t="s">
        <v>116</v>
      </c>
      <c r="W252" s="1" t="s">
        <v>936</v>
      </c>
      <c r="X252" s="1" t="s">
        <v>936</v>
      </c>
      <c r="Y252" s="1"/>
      <c r="Z252" s="1"/>
      <c r="AA252" s="1" t="s">
        <v>118</v>
      </c>
    </row>
    <row r="253" spans="1:27" ht="17.45" customHeight="1">
      <c r="A253" s="3" t="s">
        <v>112</v>
      </c>
      <c r="B253" s="3" t="s">
        <v>48</v>
      </c>
      <c r="C253">
        <v>1</v>
      </c>
      <c r="D253" s="3" t="s">
        <v>29</v>
      </c>
      <c r="E253" s="3" t="s">
        <v>937</v>
      </c>
      <c r="F253" s="3" t="s">
        <v>938</v>
      </c>
      <c r="G253" s="3" t="s">
        <v>32</v>
      </c>
      <c r="H253" s="3" t="s">
        <v>33</v>
      </c>
      <c r="I253" s="3" t="s">
        <v>33</v>
      </c>
      <c r="J253" s="3" t="s">
        <v>35</v>
      </c>
      <c r="K253" s="3" t="s">
        <v>36</v>
      </c>
      <c r="L253" s="3" t="s">
        <v>37</v>
      </c>
      <c r="M253" s="3" t="s">
        <v>64</v>
      </c>
      <c r="N253" s="3" t="s">
        <v>39</v>
      </c>
      <c r="O253" s="3" t="s">
        <v>33</v>
      </c>
      <c r="P253" s="3" t="s">
        <v>53</v>
      </c>
      <c r="Q253" s="3" t="s">
        <v>39</v>
      </c>
      <c r="R253" s="5">
        <v>46148.630046296297</v>
      </c>
      <c r="S253" s="5">
        <v>46148.630046296297</v>
      </c>
      <c r="T253" s="3" t="s">
        <v>41</v>
      </c>
      <c r="U253" s="1" t="s">
        <v>95</v>
      </c>
      <c r="V253" s="1" t="s">
        <v>329</v>
      </c>
      <c r="W253" s="1" t="s">
        <v>938</v>
      </c>
      <c r="X253" s="1" t="s">
        <v>938</v>
      </c>
      <c r="Y253" s="1"/>
      <c r="Z253" s="1"/>
      <c r="AA253" s="1" t="s">
        <v>98</v>
      </c>
    </row>
    <row r="254" spans="1:27" ht="17.45" customHeight="1">
      <c r="A254" s="2" t="s">
        <v>112</v>
      </c>
      <c r="B254" s="2" t="s">
        <v>48</v>
      </c>
      <c r="C254">
        <v>1</v>
      </c>
      <c r="D254" s="2" t="s">
        <v>29</v>
      </c>
      <c r="E254" s="2" t="s">
        <v>939</v>
      </c>
      <c r="F254" s="2" t="s">
        <v>940</v>
      </c>
      <c r="G254" s="2" t="s">
        <v>32</v>
      </c>
      <c r="H254" s="2" t="s">
        <v>33</v>
      </c>
      <c r="I254" s="2" t="s">
        <v>33</v>
      </c>
      <c r="J254" s="2" t="s">
        <v>35</v>
      </c>
      <c r="K254" s="2" t="s">
        <v>36</v>
      </c>
      <c r="L254" s="2" t="s">
        <v>37</v>
      </c>
      <c r="M254" s="2" t="s">
        <v>64</v>
      </c>
      <c r="N254" s="2" t="s">
        <v>39</v>
      </c>
      <c r="O254" s="2" t="s">
        <v>33</v>
      </c>
      <c r="P254" s="2" t="s">
        <v>53</v>
      </c>
      <c r="Q254" s="2" t="s">
        <v>39</v>
      </c>
      <c r="R254" s="4">
        <v>46148.636493055557</v>
      </c>
      <c r="S254" s="4">
        <v>46148.636493055557</v>
      </c>
      <c r="T254" s="2" t="s">
        <v>41</v>
      </c>
      <c r="U254" s="1" t="s">
        <v>95</v>
      </c>
      <c r="V254" s="1" t="s">
        <v>96</v>
      </c>
      <c r="W254" s="1" t="s">
        <v>941</v>
      </c>
      <c r="X254" s="1" t="s">
        <v>942</v>
      </c>
      <c r="Y254" s="1"/>
      <c r="Z254" s="1"/>
      <c r="AA254" s="1" t="s">
        <v>98</v>
      </c>
    </row>
    <row r="255" spans="1:27" ht="17.45" customHeight="1">
      <c r="A255" s="3" t="s">
        <v>112</v>
      </c>
      <c r="B255" s="3" t="s">
        <v>48</v>
      </c>
      <c r="C255">
        <v>1</v>
      </c>
      <c r="D255" s="3" t="s">
        <v>29</v>
      </c>
      <c r="E255" s="3" t="s">
        <v>943</v>
      </c>
      <c r="F255" s="3" t="s">
        <v>624</v>
      </c>
      <c r="G255" s="3" t="s">
        <v>32</v>
      </c>
      <c r="H255" s="3" t="s">
        <v>33</v>
      </c>
      <c r="I255" s="3" t="s">
        <v>33</v>
      </c>
      <c r="J255" s="3" t="s">
        <v>35</v>
      </c>
      <c r="K255" s="3" t="s">
        <v>36</v>
      </c>
      <c r="L255" s="3" t="s">
        <v>37</v>
      </c>
      <c r="M255" s="3" t="s">
        <v>64</v>
      </c>
      <c r="N255" s="3" t="s">
        <v>39</v>
      </c>
      <c r="O255" s="3" t="s">
        <v>33</v>
      </c>
      <c r="P255" s="3" t="s">
        <v>53</v>
      </c>
      <c r="Q255" s="3" t="s">
        <v>39</v>
      </c>
      <c r="R255" s="5">
        <v>46148.644016203703</v>
      </c>
      <c r="S255" s="5">
        <v>46148.70752314815</v>
      </c>
      <c r="T255" s="3" t="s">
        <v>41</v>
      </c>
      <c r="U255" s="1" t="s">
        <v>165</v>
      </c>
      <c r="V255" s="1" t="s">
        <v>625</v>
      </c>
      <c r="W255" s="1" t="s">
        <v>624</v>
      </c>
      <c r="X255" s="1" t="s">
        <v>624</v>
      </c>
      <c r="Y255" s="1"/>
      <c r="Z255" s="1"/>
      <c r="AA255" s="1" t="s">
        <v>169</v>
      </c>
    </row>
    <row r="256" spans="1:27" ht="17.45" customHeight="1">
      <c r="A256" s="2" t="s">
        <v>944</v>
      </c>
      <c r="B256" s="2" t="s">
        <v>28</v>
      </c>
      <c r="C256">
        <v>1</v>
      </c>
      <c r="D256" s="2" t="s">
        <v>121</v>
      </c>
      <c r="E256" s="2" t="s">
        <v>945</v>
      </c>
      <c r="F256" s="2" t="s">
        <v>946</v>
      </c>
      <c r="G256" s="2" t="s">
        <v>32</v>
      </c>
      <c r="H256" s="2" t="s">
        <v>124</v>
      </c>
      <c r="I256" s="2" t="s">
        <v>192</v>
      </c>
      <c r="J256" s="2" t="s">
        <v>35</v>
      </c>
      <c r="K256" s="2" t="s">
        <v>36</v>
      </c>
      <c r="L256" s="2" t="s">
        <v>51</v>
      </c>
      <c r="M256" s="2" t="s">
        <v>64</v>
      </c>
      <c r="N256" s="2" t="s">
        <v>39</v>
      </c>
      <c r="O256" s="2" t="s">
        <v>124</v>
      </c>
      <c r="P256" s="2" t="s">
        <v>53</v>
      </c>
      <c r="Q256" s="2" t="s">
        <v>39</v>
      </c>
      <c r="R256" s="4">
        <v>46148.655578703707</v>
      </c>
      <c r="S256" s="4">
        <v>46148.655578703707</v>
      </c>
      <c r="T256" s="2" t="s">
        <v>41</v>
      </c>
      <c r="U256" s="1" t="s">
        <v>83</v>
      </c>
      <c r="V256" s="1" t="s">
        <v>84</v>
      </c>
      <c r="W256" s="1" t="s">
        <v>946</v>
      </c>
      <c r="X256" s="1" t="s">
        <v>946</v>
      </c>
      <c r="Y256" s="1"/>
      <c r="Z256" s="1"/>
      <c r="AA256" s="1" t="s">
        <v>85</v>
      </c>
    </row>
    <row r="257" spans="1:27" ht="17.45" customHeight="1">
      <c r="A257" s="3" t="s">
        <v>947</v>
      </c>
      <c r="B257" s="3" t="s">
        <v>48</v>
      </c>
      <c r="C257">
        <v>1</v>
      </c>
      <c r="D257" s="3" t="s">
        <v>29</v>
      </c>
      <c r="E257" s="3" t="s">
        <v>948</v>
      </c>
      <c r="F257" s="3" t="s">
        <v>949</v>
      </c>
      <c r="G257" s="3" t="s">
        <v>32</v>
      </c>
      <c r="H257" s="3" t="s">
        <v>33</v>
      </c>
      <c r="I257" s="3" t="s">
        <v>33</v>
      </c>
      <c r="J257" s="3" t="s">
        <v>35</v>
      </c>
      <c r="K257" s="3" t="s">
        <v>36</v>
      </c>
      <c r="L257" s="3" t="s">
        <v>37</v>
      </c>
      <c r="M257" s="3" t="s">
        <v>52</v>
      </c>
      <c r="N257" s="3" t="s">
        <v>39</v>
      </c>
      <c r="O257" s="3" t="s">
        <v>33</v>
      </c>
      <c r="P257" s="3" t="s">
        <v>40</v>
      </c>
      <c r="Q257" s="3" t="s">
        <v>39</v>
      </c>
      <c r="R257" s="5">
        <v>46148.658043981479</v>
      </c>
      <c r="S257" s="5">
        <v>46148.658043981479</v>
      </c>
      <c r="T257" s="3" t="s">
        <v>41</v>
      </c>
      <c r="U257" s="1" t="s">
        <v>83</v>
      </c>
      <c r="V257" s="1" t="s">
        <v>84</v>
      </c>
      <c r="W257" s="1" t="s">
        <v>949</v>
      </c>
      <c r="X257" s="1" t="s">
        <v>949</v>
      </c>
      <c r="Y257" s="1"/>
      <c r="Z257" s="1"/>
      <c r="AA257" s="1" t="s">
        <v>85</v>
      </c>
    </row>
    <row r="258" spans="1:27" ht="17.45" customHeight="1">
      <c r="A258" s="2" t="s">
        <v>395</v>
      </c>
      <c r="B258" s="2" t="s">
        <v>120</v>
      </c>
      <c r="C258">
        <v>1</v>
      </c>
      <c r="D258" s="2" t="s">
        <v>29</v>
      </c>
      <c r="E258" s="2" t="s">
        <v>950</v>
      </c>
      <c r="F258" s="2" t="s">
        <v>951</v>
      </c>
      <c r="G258" s="2" t="s">
        <v>32</v>
      </c>
      <c r="H258" s="2" t="s">
        <v>33</v>
      </c>
      <c r="I258" s="2" t="s">
        <v>34</v>
      </c>
      <c r="J258" s="2" t="s">
        <v>35</v>
      </c>
      <c r="K258" s="2" t="s">
        <v>36</v>
      </c>
      <c r="L258" s="2" t="s">
        <v>51</v>
      </c>
      <c r="M258" s="2" t="s">
        <v>64</v>
      </c>
      <c r="N258" s="2" t="s">
        <v>39</v>
      </c>
      <c r="O258" s="2" t="s">
        <v>33</v>
      </c>
      <c r="P258" s="2" t="s">
        <v>53</v>
      </c>
      <c r="Q258" s="2" t="s">
        <v>39</v>
      </c>
      <c r="R258" s="4">
        <v>46134.637604166666</v>
      </c>
      <c r="S258" s="4">
        <v>46134.637604166666</v>
      </c>
      <c r="T258" s="2" t="s">
        <v>41</v>
      </c>
      <c r="U258" s="1" t="s">
        <v>952</v>
      </c>
      <c r="V258" s="1" t="s">
        <v>953</v>
      </c>
      <c r="W258" s="1" t="s">
        <v>951</v>
      </c>
      <c r="X258" s="1" t="s">
        <v>951</v>
      </c>
      <c r="Y258" s="1"/>
      <c r="Z258" s="1"/>
      <c r="AA258" s="1" t="s">
        <v>954</v>
      </c>
    </row>
    <row r="259" spans="1:27" ht="17.45" customHeight="1">
      <c r="A259" s="3" t="s">
        <v>955</v>
      </c>
      <c r="B259" s="3" t="s">
        <v>120</v>
      </c>
      <c r="C259">
        <v>1</v>
      </c>
      <c r="D259" s="3" t="s">
        <v>29</v>
      </c>
      <c r="E259" s="3" t="s">
        <v>956</v>
      </c>
      <c r="F259" s="3" t="s">
        <v>394</v>
      </c>
      <c r="G259" s="3" t="s">
        <v>32</v>
      </c>
      <c r="H259" s="3" t="s">
        <v>33</v>
      </c>
      <c r="I259" s="3" t="s">
        <v>33</v>
      </c>
      <c r="J259" s="3" t="s">
        <v>35</v>
      </c>
      <c r="K259" s="3" t="s">
        <v>36</v>
      </c>
      <c r="L259" s="3" t="s">
        <v>37</v>
      </c>
      <c r="M259" s="3" t="s">
        <v>52</v>
      </c>
      <c r="N259" s="3" t="s">
        <v>39</v>
      </c>
      <c r="O259" s="3" t="s">
        <v>33</v>
      </c>
      <c r="P259" s="3" t="s">
        <v>40</v>
      </c>
      <c r="Q259" s="3" t="s">
        <v>39</v>
      </c>
      <c r="R259" s="5">
        <v>46134.637731481482</v>
      </c>
      <c r="S259" s="5">
        <v>46134.637731481482</v>
      </c>
      <c r="T259" s="3" t="s">
        <v>41</v>
      </c>
      <c r="U259" s="1" t="s">
        <v>95</v>
      </c>
      <c r="V259" s="1" t="s">
        <v>96</v>
      </c>
      <c r="W259" s="1" t="s">
        <v>394</v>
      </c>
      <c r="X259" s="1" t="s">
        <v>394</v>
      </c>
      <c r="Y259" s="1"/>
      <c r="Z259" s="1"/>
      <c r="AA259" s="1" t="s">
        <v>98</v>
      </c>
    </row>
    <row r="260" spans="1:27" ht="17.45" customHeight="1">
      <c r="A260" s="2" t="s">
        <v>957</v>
      </c>
      <c r="B260" s="2" t="s">
        <v>28</v>
      </c>
      <c r="C260">
        <v>1</v>
      </c>
      <c r="D260" s="2" t="s">
        <v>121</v>
      </c>
      <c r="E260" s="2" t="s">
        <v>958</v>
      </c>
      <c r="F260" s="2" t="s">
        <v>959</v>
      </c>
      <c r="G260" s="2" t="s">
        <v>32</v>
      </c>
      <c r="H260" s="2" t="s">
        <v>124</v>
      </c>
      <c r="I260" s="2" t="s">
        <v>192</v>
      </c>
      <c r="J260" s="2" t="s">
        <v>35</v>
      </c>
      <c r="K260" s="2" t="s">
        <v>36</v>
      </c>
      <c r="L260" s="2" t="s">
        <v>51</v>
      </c>
      <c r="M260" s="2" t="s">
        <v>64</v>
      </c>
      <c r="N260" s="2" t="s">
        <v>39</v>
      </c>
      <c r="O260" s="2" t="s">
        <v>124</v>
      </c>
      <c r="P260" s="2" t="s">
        <v>53</v>
      </c>
      <c r="Q260" s="2" t="s">
        <v>39</v>
      </c>
      <c r="R260" s="4">
        <v>46148.673206018517</v>
      </c>
      <c r="S260" s="4">
        <v>46148.673206018517</v>
      </c>
      <c r="T260" s="2" t="s">
        <v>41</v>
      </c>
      <c r="U260" s="1" t="s">
        <v>95</v>
      </c>
      <c r="V260" s="1" t="s">
        <v>96</v>
      </c>
      <c r="W260" s="1" t="s">
        <v>959</v>
      </c>
      <c r="X260" s="1" t="s">
        <v>959</v>
      </c>
      <c r="Y260" s="1"/>
      <c r="Z260" s="1"/>
      <c r="AA260" s="1" t="s">
        <v>98</v>
      </c>
    </row>
    <row r="261" spans="1:27" ht="17.45" customHeight="1">
      <c r="A261" s="3" t="s">
        <v>960</v>
      </c>
      <c r="B261" s="3" t="s">
        <v>48</v>
      </c>
      <c r="C261">
        <v>1</v>
      </c>
      <c r="D261" s="3" t="s">
        <v>29</v>
      </c>
      <c r="E261" s="3" t="s">
        <v>961</v>
      </c>
      <c r="F261" s="3" t="s">
        <v>962</v>
      </c>
      <c r="G261" s="3" t="s">
        <v>32</v>
      </c>
      <c r="H261" s="3" t="s">
        <v>33</v>
      </c>
      <c r="I261" s="3" t="s">
        <v>33</v>
      </c>
      <c r="J261" s="3" t="s">
        <v>35</v>
      </c>
      <c r="K261" s="3" t="s">
        <v>36</v>
      </c>
      <c r="L261" s="3" t="s">
        <v>37</v>
      </c>
      <c r="M261" s="3" t="s">
        <v>64</v>
      </c>
      <c r="N261" s="3" t="s">
        <v>39</v>
      </c>
      <c r="O261" s="3" t="s">
        <v>33</v>
      </c>
      <c r="P261" s="3" t="s">
        <v>53</v>
      </c>
      <c r="Q261" s="3" t="s">
        <v>39</v>
      </c>
      <c r="R261" s="5">
        <v>46148.680798611109</v>
      </c>
      <c r="S261" s="5">
        <v>46148.680798611109</v>
      </c>
      <c r="T261" s="3" t="s">
        <v>41</v>
      </c>
      <c r="U261" s="1" t="s">
        <v>569</v>
      </c>
      <c r="V261" s="1" t="s">
        <v>963</v>
      </c>
      <c r="W261" s="1" t="s">
        <v>964</v>
      </c>
      <c r="X261" s="1" t="s">
        <v>962</v>
      </c>
      <c r="Y261" s="1"/>
      <c r="Z261" s="1"/>
      <c r="AA261" s="1" t="s">
        <v>573</v>
      </c>
    </row>
    <row r="262" spans="1:27" ht="17.45" customHeight="1">
      <c r="A262" s="2" t="s">
        <v>960</v>
      </c>
      <c r="B262" s="2" t="s">
        <v>48</v>
      </c>
      <c r="C262">
        <v>1</v>
      </c>
      <c r="D262" s="2" t="s">
        <v>29</v>
      </c>
      <c r="E262" s="2" t="s">
        <v>965</v>
      </c>
      <c r="F262" s="2" t="s">
        <v>966</v>
      </c>
      <c r="G262" s="2" t="s">
        <v>32</v>
      </c>
      <c r="H262" s="2" t="s">
        <v>33</v>
      </c>
      <c r="I262" s="2" t="s">
        <v>33</v>
      </c>
      <c r="J262" s="2" t="s">
        <v>35</v>
      </c>
      <c r="K262" s="2" t="s">
        <v>36</v>
      </c>
      <c r="L262" s="2" t="s">
        <v>51</v>
      </c>
      <c r="M262" s="2" t="s">
        <v>64</v>
      </c>
      <c r="N262" s="2" t="s">
        <v>39</v>
      </c>
      <c r="O262" s="2" t="s">
        <v>33</v>
      </c>
      <c r="P262" s="2" t="s">
        <v>53</v>
      </c>
      <c r="Q262" s="2" t="s">
        <v>39</v>
      </c>
      <c r="R262" s="4">
        <v>46148.682893518519</v>
      </c>
      <c r="S262" s="4">
        <v>46148.682893518519</v>
      </c>
      <c r="T262" s="2" t="s">
        <v>41</v>
      </c>
      <c r="U262" s="1" t="s">
        <v>59</v>
      </c>
      <c r="V262" s="1" t="s">
        <v>142</v>
      </c>
      <c r="W262" s="1" t="s">
        <v>967</v>
      </c>
      <c r="X262" s="1" t="s">
        <v>966</v>
      </c>
      <c r="Y262" s="1"/>
      <c r="Z262" s="1"/>
      <c r="AA262" s="1" t="s">
        <v>61</v>
      </c>
    </row>
    <row r="263" spans="1:27" ht="17.45" customHeight="1">
      <c r="A263" s="3" t="s">
        <v>968</v>
      </c>
      <c r="B263" s="3" t="s">
        <v>28</v>
      </c>
      <c r="C263">
        <v>1</v>
      </c>
      <c r="D263" s="3" t="s">
        <v>121</v>
      </c>
      <c r="E263" s="3" t="s">
        <v>969</v>
      </c>
      <c r="F263" s="3" t="s">
        <v>970</v>
      </c>
      <c r="G263" s="3" t="s">
        <v>32</v>
      </c>
      <c r="H263" s="3" t="s">
        <v>124</v>
      </c>
      <c r="I263" s="3" t="s">
        <v>147</v>
      </c>
      <c r="J263" s="3" t="s">
        <v>35</v>
      </c>
      <c r="K263" s="3" t="s">
        <v>36</v>
      </c>
      <c r="L263" s="3" t="s">
        <v>37</v>
      </c>
      <c r="M263" s="3" t="s">
        <v>64</v>
      </c>
      <c r="N263" s="3" t="s">
        <v>39</v>
      </c>
      <c r="O263" s="3" t="s">
        <v>124</v>
      </c>
      <c r="P263" s="3" t="s">
        <v>58</v>
      </c>
      <c r="Q263" s="3" t="s">
        <v>39</v>
      </c>
      <c r="R263" s="5">
        <v>46148.686493055553</v>
      </c>
      <c r="S263" s="5">
        <v>46148.697928240741</v>
      </c>
      <c r="T263" s="3" t="s">
        <v>41</v>
      </c>
      <c r="U263" s="1" t="s">
        <v>59</v>
      </c>
      <c r="V263" s="1" t="s">
        <v>971</v>
      </c>
      <c r="W263" s="1" t="s">
        <v>972</v>
      </c>
      <c r="X263" s="1" t="s">
        <v>972</v>
      </c>
      <c r="Y263" s="1"/>
      <c r="Z263" s="1"/>
      <c r="AA263" s="1" t="s">
        <v>61</v>
      </c>
    </row>
    <row r="264" spans="1:27" ht="17.45" customHeight="1">
      <c r="A264" s="2" t="s">
        <v>973</v>
      </c>
      <c r="B264" s="2" t="s">
        <v>48</v>
      </c>
      <c r="C264">
        <v>1</v>
      </c>
      <c r="D264" s="2" t="s">
        <v>29</v>
      </c>
      <c r="E264" s="2" t="s">
        <v>974</v>
      </c>
      <c r="F264" s="2" t="s">
        <v>975</v>
      </c>
      <c r="G264" s="2" t="s">
        <v>32</v>
      </c>
      <c r="H264" s="2" t="s">
        <v>33</v>
      </c>
      <c r="I264" s="2" t="s">
        <v>33</v>
      </c>
      <c r="J264" s="2" t="s">
        <v>35</v>
      </c>
      <c r="K264" s="2" t="s">
        <v>36</v>
      </c>
      <c r="L264" s="2" t="s">
        <v>37</v>
      </c>
      <c r="M264" s="2" t="s">
        <v>64</v>
      </c>
      <c r="N264" s="2" t="s">
        <v>39</v>
      </c>
      <c r="O264" s="2" t="s">
        <v>33</v>
      </c>
      <c r="P264" s="2" t="s">
        <v>53</v>
      </c>
      <c r="Q264" s="2" t="s">
        <v>39</v>
      </c>
      <c r="R264" s="4">
        <v>46148.692303240743</v>
      </c>
      <c r="S264" s="4">
        <v>46148.692303240743</v>
      </c>
      <c r="T264" s="2" t="s">
        <v>41</v>
      </c>
      <c r="U264" s="1" t="s">
        <v>165</v>
      </c>
      <c r="V264" s="1" t="s">
        <v>625</v>
      </c>
      <c r="W264" s="1" t="s">
        <v>624</v>
      </c>
      <c r="X264" s="1" t="s">
        <v>976</v>
      </c>
      <c r="Y264" s="1"/>
      <c r="Z264" s="1"/>
      <c r="AA264" s="1" t="s">
        <v>169</v>
      </c>
    </row>
    <row r="265" spans="1:27" ht="17.45" customHeight="1">
      <c r="A265" s="3" t="s">
        <v>614</v>
      </c>
      <c r="B265" s="3" t="s">
        <v>181</v>
      </c>
      <c r="C265">
        <v>1</v>
      </c>
      <c r="D265" s="3" t="s">
        <v>228</v>
      </c>
      <c r="E265" s="3" t="s">
        <v>977</v>
      </c>
      <c r="F265" s="3" t="s">
        <v>978</v>
      </c>
      <c r="G265" s="3" t="s">
        <v>32</v>
      </c>
      <c r="H265" s="3" t="s">
        <v>124</v>
      </c>
      <c r="I265" s="3" t="s">
        <v>124</v>
      </c>
      <c r="J265" s="3" t="s">
        <v>35</v>
      </c>
      <c r="K265" s="3" t="s">
        <v>36</v>
      </c>
      <c r="L265" s="3" t="s">
        <v>37</v>
      </c>
      <c r="M265" s="3" t="s">
        <v>52</v>
      </c>
      <c r="N265" s="3" t="s">
        <v>39</v>
      </c>
      <c r="O265" s="3" t="s">
        <v>124</v>
      </c>
      <c r="P265" s="3" t="s">
        <v>53</v>
      </c>
      <c r="Q265" s="3" t="s">
        <v>39</v>
      </c>
      <c r="R265" s="5">
        <v>46148.693969907406</v>
      </c>
      <c r="S265" s="5">
        <v>46148.693969907406</v>
      </c>
      <c r="T265" s="3" t="s">
        <v>41</v>
      </c>
      <c r="U265" s="1" t="s">
        <v>42</v>
      </c>
      <c r="V265" s="1" t="s">
        <v>74</v>
      </c>
      <c r="W265" s="1" t="s">
        <v>979</v>
      </c>
      <c r="X265" s="1" t="s">
        <v>980</v>
      </c>
      <c r="Y265" s="1"/>
      <c r="Z265" s="1"/>
      <c r="AA265" s="1" t="s">
        <v>46</v>
      </c>
    </row>
    <row r="266" spans="1:27" ht="17.45" customHeight="1">
      <c r="A266" s="2" t="s">
        <v>981</v>
      </c>
      <c r="B266" s="2" t="s">
        <v>28</v>
      </c>
      <c r="C266">
        <v>1</v>
      </c>
      <c r="D266" s="2" t="s">
        <v>121</v>
      </c>
      <c r="E266" s="2" t="s">
        <v>982</v>
      </c>
      <c r="F266" s="2" t="s">
        <v>983</v>
      </c>
      <c r="G266" s="2" t="s">
        <v>32</v>
      </c>
      <c r="H266" s="2" t="s">
        <v>124</v>
      </c>
      <c r="I266" s="2" t="s">
        <v>33</v>
      </c>
      <c r="J266" s="2" t="s">
        <v>35</v>
      </c>
      <c r="K266" s="2" t="s">
        <v>36</v>
      </c>
      <c r="L266" s="2" t="s">
        <v>37</v>
      </c>
      <c r="M266" s="2" t="s">
        <v>64</v>
      </c>
      <c r="N266" s="2" t="s">
        <v>39</v>
      </c>
      <c r="O266" s="2" t="s">
        <v>124</v>
      </c>
      <c r="P266" s="2" t="s">
        <v>40</v>
      </c>
      <c r="Q266" s="2" t="s">
        <v>39</v>
      </c>
      <c r="R266" s="4">
        <v>46148.729988425926</v>
      </c>
      <c r="S266" s="4">
        <v>46148.729988425926</v>
      </c>
      <c r="T266" s="2" t="s">
        <v>41</v>
      </c>
      <c r="U266" s="1" t="s">
        <v>59</v>
      </c>
      <c r="V266" s="1" t="s">
        <v>142</v>
      </c>
      <c r="W266" s="1" t="s">
        <v>984</v>
      </c>
      <c r="X266" s="1" t="s">
        <v>984</v>
      </c>
      <c r="Y266" s="1"/>
      <c r="Z266" s="1"/>
      <c r="AA266" s="1" t="s">
        <v>61</v>
      </c>
    </row>
    <row r="267" spans="1:27" ht="17.45" customHeight="1">
      <c r="A267" s="3" t="s">
        <v>636</v>
      </c>
      <c r="B267" s="3" t="s">
        <v>28</v>
      </c>
      <c r="C267">
        <v>1</v>
      </c>
      <c r="D267" s="3" t="s">
        <v>29</v>
      </c>
      <c r="E267" s="3" t="s">
        <v>985</v>
      </c>
      <c r="F267" s="3" t="s">
        <v>986</v>
      </c>
      <c r="G267" s="3" t="s">
        <v>32</v>
      </c>
      <c r="H267" s="3" t="s">
        <v>33</v>
      </c>
      <c r="I267" s="3" t="s">
        <v>78</v>
      </c>
      <c r="J267" s="3" t="s">
        <v>35</v>
      </c>
      <c r="K267" s="3" t="s">
        <v>36</v>
      </c>
      <c r="L267" s="3" t="s">
        <v>37</v>
      </c>
      <c r="M267" s="3" t="s">
        <v>52</v>
      </c>
      <c r="N267" s="3" t="s">
        <v>39</v>
      </c>
      <c r="O267" s="3" t="s">
        <v>33</v>
      </c>
      <c r="P267" s="3" t="s">
        <v>53</v>
      </c>
      <c r="Q267" s="3" t="s">
        <v>39</v>
      </c>
      <c r="R267" s="5">
        <v>46148.730636574073</v>
      </c>
      <c r="S267" s="5">
        <v>46148.730636574073</v>
      </c>
      <c r="T267" s="3" t="s">
        <v>41</v>
      </c>
      <c r="U267" s="1" t="s">
        <v>83</v>
      </c>
      <c r="V267" s="1" t="s">
        <v>429</v>
      </c>
      <c r="W267" s="1" t="s">
        <v>986</v>
      </c>
      <c r="X267" s="1" t="s">
        <v>986</v>
      </c>
      <c r="Y267" s="1"/>
      <c r="Z267" s="1"/>
      <c r="AA267" s="1" t="s">
        <v>85</v>
      </c>
    </row>
    <row r="268" spans="1:27" ht="17.45" customHeight="1">
      <c r="A268" s="2" t="s">
        <v>162</v>
      </c>
      <c r="B268" s="2" t="s">
        <v>28</v>
      </c>
      <c r="C268">
        <v>1</v>
      </c>
      <c r="D268" s="2" t="s">
        <v>29</v>
      </c>
      <c r="E268" s="2" t="s">
        <v>987</v>
      </c>
      <c r="F268" s="2" t="s">
        <v>988</v>
      </c>
      <c r="G268" s="2" t="s">
        <v>32</v>
      </c>
      <c r="H268" s="2" t="s">
        <v>33</v>
      </c>
      <c r="I268" s="2" t="s">
        <v>34</v>
      </c>
      <c r="J268" s="2" t="s">
        <v>35</v>
      </c>
      <c r="K268" s="2" t="s">
        <v>36</v>
      </c>
      <c r="L268" s="2" t="s">
        <v>37</v>
      </c>
      <c r="M268" s="2" t="s">
        <v>52</v>
      </c>
      <c r="N268" s="2" t="s">
        <v>39</v>
      </c>
      <c r="O268" s="2" t="s">
        <v>33</v>
      </c>
      <c r="P268" s="2" t="s">
        <v>40</v>
      </c>
      <c r="Q268" s="2" t="s">
        <v>39</v>
      </c>
      <c r="R268" s="4">
        <v>46149.371817129628</v>
      </c>
      <c r="S268" s="4">
        <v>46149.382118055553</v>
      </c>
      <c r="T268" s="2" t="s">
        <v>41</v>
      </c>
      <c r="U268" s="1" t="s">
        <v>65</v>
      </c>
      <c r="V268" s="1" t="s">
        <v>70</v>
      </c>
      <c r="W268" s="1" t="s">
        <v>989</v>
      </c>
      <c r="X268" s="1" t="s">
        <v>990</v>
      </c>
      <c r="Y268" s="1"/>
      <c r="Z268" s="1"/>
      <c r="AA268" s="1" t="s">
        <v>67</v>
      </c>
    </row>
    <row r="269" spans="1:27" ht="17.45" customHeight="1">
      <c r="A269" s="3" t="s">
        <v>991</v>
      </c>
      <c r="B269" s="3" t="s">
        <v>28</v>
      </c>
      <c r="C269">
        <v>1</v>
      </c>
      <c r="D269" s="3" t="s">
        <v>121</v>
      </c>
      <c r="E269" s="3" t="s">
        <v>992</v>
      </c>
      <c r="F269" s="3" t="s">
        <v>993</v>
      </c>
      <c r="G269" s="3" t="s">
        <v>32</v>
      </c>
      <c r="H269" s="3" t="s">
        <v>124</v>
      </c>
      <c r="I269" s="3" t="s">
        <v>192</v>
      </c>
      <c r="J269" s="3" t="s">
        <v>35</v>
      </c>
      <c r="K269" s="3" t="s">
        <v>36</v>
      </c>
      <c r="L269" s="3" t="s">
        <v>51</v>
      </c>
      <c r="M269" s="3" t="s">
        <v>64</v>
      </c>
      <c r="N269" s="3" t="s">
        <v>39</v>
      </c>
      <c r="O269" s="3" t="s">
        <v>124</v>
      </c>
      <c r="P269" s="3" t="s">
        <v>53</v>
      </c>
      <c r="Q269" s="3" t="s">
        <v>39</v>
      </c>
      <c r="R269" s="5">
        <v>46149.37263888889</v>
      </c>
      <c r="S269" s="5">
        <v>46149.37263888889</v>
      </c>
      <c r="T269" s="3" t="s">
        <v>41</v>
      </c>
      <c r="U269" s="1" t="s">
        <v>263</v>
      </c>
      <c r="V269" s="1" t="s">
        <v>264</v>
      </c>
      <c r="W269" s="1" t="s">
        <v>993</v>
      </c>
      <c r="X269" s="1" t="s">
        <v>993</v>
      </c>
      <c r="Y269" s="1"/>
      <c r="Z269" s="1"/>
      <c r="AA269" s="1" t="s">
        <v>265</v>
      </c>
    </row>
    <row r="270" spans="1:27" ht="17.45" customHeight="1">
      <c r="A270" s="2" t="s">
        <v>994</v>
      </c>
      <c r="B270" s="2" t="s">
        <v>181</v>
      </c>
      <c r="C270">
        <v>1</v>
      </c>
      <c r="D270" s="2" t="s">
        <v>228</v>
      </c>
      <c r="E270" s="2" t="s">
        <v>995</v>
      </c>
      <c r="F270" s="2" t="s">
        <v>996</v>
      </c>
      <c r="G270" s="2" t="s">
        <v>32</v>
      </c>
      <c r="H270" s="2" t="s">
        <v>124</v>
      </c>
      <c r="I270" s="2" t="s">
        <v>124</v>
      </c>
      <c r="J270" s="2" t="s">
        <v>35</v>
      </c>
      <c r="K270" s="2" t="s">
        <v>36</v>
      </c>
      <c r="L270" s="2" t="s">
        <v>37</v>
      </c>
      <c r="M270" s="2" t="s">
        <v>38</v>
      </c>
      <c r="N270" s="2" t="s">
        <v>39</v>
      </c>
      <c r="O270" s="2" t="s">
        <v>124</v>
      </c>
      <c r="P270" s="2" t="s">
        <v>58</v>
      </c>
      <c r="Q270" s="2" t="s">
        <v>39</v>
      </c>
      <c r="R270" s="4">
        <v>46149.391435185185</v>
      </c>
      <c r="S270" s="4">
        <v>46149.391435185185</v>
      </c>
      <c r="T270" s="2" t="s">
        <v>41</v>
      </c>
      <c r="U270" s="1" t="s">
        <v>59</v>
      </c>
      <c r="V270" s="1" t="s">
        <v>60</v>
      </c>
      <c r="W270" s="1" t="s">
        <v>997</v>
      </c>
      <c r="X270" s="1" t="s">
        <v>997</v>
      </c>
      <c r="Y270" s="1"/>
      <c r="Z270" s="1"/>
      <c r="AA270" s="1" t="s">
        <v>61</v>
      </c>
    </row>
    <row r="271" spans="1:27" ht="17.45" customHeight="1">
      <c r="A271" s="3" t="s">
        <v>162</v>
      </c>
      <c r="B271" s="3" t="s">
        <v>28</v>
      </c>
      <c r="C271">
        <v>1</v>
      </c>
      <c r="D271" s="3" t="s">
        <v>29</v>
      </c>
      <c r="E271" s="3" t="s">
        <v>998</v>
      </c>
      <c r="F271" s="3" t="s">
        <v>999</v>
      </c>
      <c r="G271" s="3" t="s">
        <v>32</v>
      </c>
      <c r="H271" s="3" t="s">
        <v>33</v>
      </c>
      <c r="I271" s="3" t="s">
        <v>34</v>
      </c>
      <c r="J271" s="3" t="s">
        <v>35</v>
      </c>
      <c r="K271" s="3" t="s">
        <v>36</v>
      </c>
      <c r="L271" s="3" t="s">
        <v>37</v>
      </c>
      <c r="M271" s="3" t="s">
        <v>52</v>
      </c>
      <c r="N271" s="3" t="s">
        <v>39</v>
      </c>
      <c r="O271" s="3" t="s">
        <v>33</v>
      </c>
      <c r="P271" s="3" t="s">
        <v>40</v>
      </c>
      <c r="Q271" s="3" t="s">
        <v>39</v>
      </c>
      <c r="R271" s="5">
        <v>46149.39335648148</v>
      </c>
      <c r="S271" s="5">
        <v>46149.39335648148</v>
      </c>
      <c r="T271" s="3" t="s">
        <v>41</v>
      </c>
      <c r="U271" s="1" t="s">
        <v>65</v>
      </c>
      <c r="V271" s="1" t="s">
        <v>89</v>
      </c>
      <c r="W271" s="1" t="s">
        <v>1000</v>
      </c>
      <c r="X271" s="1" t="s">
        <v>1001</v>
      </c>
      <c r="Y271" s="1"/>
      <c r="Z271" s="1"/>
      <c r="AA271" s="1" t="s">
        <v>67</v>
      </c>
    </row>
    <row r="272" spans="1:27" ht="17.45" customHeight="1">
      <c r="A272" s="2" t="s">
        <v>162</v>
      </c>
      <c r="B272" s="2" t="s">
        <v>28</v>
      </c>
      <c r="C272">
        <v>1</v>
      </c>
      <c r="D272" s="2" t="s">
        <v>29</v>
      </c>
      <c r="E272" s="2" t="s">
        <v>1002</v>
      </c>
      <c r="F272" s="2" t="s">
        <v>1003</v>
      </c>
      <c r="G272" s="2" t="s">
        <v>32</v>
      </c>
      <c r="H272" s="2" t="s">
        <v>33</v>
      </c>
      <c r="I272" s="2" t="s">
        <v>34</v>
      </c>
      <c r="J272" s="2" t="s">
        <v>35</v>
      </c>
      <c r="K272" s="2" t="s">
        <v>36</v>
      </c>
      <c r="L272" s="2" t="s">
        <v>37</v>
      </c>
      <c r="M272" s="2" t="s">
        <v>64</v>
      </c>
      <c r="N272" s="2" t="s">
        <v>39</v>
      </c>
      <c r="O272" s="2" t="s">
        <v>33</v>
      </c>
      <c r="P272" s="2" t="s">
        <v>53</v>
      </c>
      <c r="Q272" s="2" t="s">
        <v>39</v>
      </c>
      <c r="R272" s="4">
        <v>46149.404120370367</v>
      </c>
      <c r="S272" s="4">
        <v>46149.404120370367</v>
      </c>
      <c r="T272" s="2" t="s">
        <v>41</v>
      </c>
      <c r="U272" s="1" t="s">
        <v>115</v>
      </c>
      <c r="V272" s="1" t="s">
        <v>116</v>
      </c>
      <c r="W272" s="1" t="s">
        <v>1003</v>
      </c>
      <c r="X272" s="1" t="s">
        <v>1003</v>
      </c>
      <c r="Y272" s="1"/>
      <c r="Z272" s="1"/>
      <c r="AA272" s="1" t="s">
        <v>118</v>
      </c>
    </row>
    <row r="273" spans="1:27" ht="17.45" customHeight="1">
      <c r="A273" s="3" t="s">
        <v>322</v>
      </c>
      <c r="B273" s="3" t="s">
        <v>181</v>
      </c>
      <c r="C273">
        <v>1</v>
      </c>
      <c r="D273" s="3" t="s">
        <v>121</v>
      </c>
      <c r="E273" s="3" t="s">
        <v>1004</v>
      </c>
      <c r="F273" s="3" t="s">
        <v>1005</v>
      </c>
      <c r="G273" s="3" t="s">
        <v>32</v>
      </c>
      <c r="H273" s="3" t="s">
        <v>124</v>
      </c>
      <c r="I273" s="3" t="s">
        <v>125</v>
      </c>
      <c r="J273" s="3" t="s">
        <v>35</v>
      </c>
      <c r="K273" s="3" t="s">
        <v>36</v>
      </c>
      <c r="L273" s="3" t="s">
        <v>51</v>
      </c>
      <c r="M273" s="3" t="s">
        <v>64</v>
      </c>
      <c r="N273" s="3" t="s">
        <v>39</v>
      </c>
      <c r="O273" s="3" t="s">
        <v>124</v>
      </c>
      <c r="P273" s="3" t="s">
        <v>53</v>
      </c>
      <c r="Q273" s="3" t="s">
        <v>39</v>
      </c>
      <c r="R273" s="5">
        <v>46149.40519675926</v>
      </c>
      <c r="S273" s="5">
        <v>46149.40519675926</v>
      </c>
      <c r="T273" s="3" t="s">
        <v>41</v>
      </c>
      <c r="U273" s="1" t="s">
        <v>263</v>
      </c>
      <c r="V273" s="1" t="s">
        <v>264</v>
      </c>
      <c r="W273" s="1" t="s">
        <v>1005</v>
      </c>
      <c r="X273" s="1" t="s">
        <v>1005</v>
      </c>
      <c r="Y273" s="1"/>
      <c r="Z273" s="1"/>
      <c r="AA273" s="1" t="s">
        <v>265</v>
      </c>
    </row>
    <row r="274" spans="1:27" ht="17.45" customHeight="1">
      <c r="A274" s="2" t="s">
        <v>646</v>
      </c>
      <c r="B274" s="2" t="s">
        <v>28</v>
      </c>
      <c r="C274">
        <v>1</v>
      </c>
      <c r="D274" s="2" t="s">
        <v>29</v>
      </c>
      <c r="E274" s="2" t="s">
        <v>1006</v>
      </c>
      <c r="F274" s="2" t="s">
        <v>1007</v>
      </c>
      <c r="G274" s="2" t="s">
        <v>32</v>
      </c>
      <c r="H274" s="2" t="s">
        <v>33</v>
      </c>
      <c r="I274" s="2" t="s">
        <v>34</v>
      </c>
      <c r="J274" s="2" t="s">
        <v>35</v>
      </c>
      <c r="K274" s="2" t="s">
        <v>36</v>
      </c>
      <c r="L274" s="2" t="s">
        <v>37</v>
      </c>
      <c r="M274" s="2" t="s">
        <v>64</v>
      </c>
      <c r="N274" s="2" t="s">
        <v>39</v>
      </c>
      <c r="O274" s="2" t="s">
        <v>33</v>
      </c>
      <c r="P274" s="2" t="s">
        <v>53</v>
      </c>
      <c r="Q274" s="2" t="s">
        <v>39</v>
      </c>
      <c r="R274" s="4">
        <v>46149.409918981481</v>
      </c>
      <c r="S274" s="4">
        <v>46149.409930555557</v>
      </c>
      <c r="T274" s="2" t="s">
        <v>41</v>
      </c>
      <c r="U274" s="1" t="s">
        <v>115</v>
      </c>
      <c r="V274" s="1" t="s">
        <v>116</v>
      </c>
      <c r="W274" s="1" t="s">
        <v>1007</v>
      </c>
      <c r="X274" s="1" t="s">
        <v>1007</v>
      </c>
      <c r="Y274" s="1"/>
      <c r="Z274" s="1"/>
      <c r="AA274" s="1" t="s">
        <v>118</v>
      </c>
    </row>
    <row r="275" spans="1:27" ht="17.45" customHeight="1">
      <c r="A275" s="3" t="s">
        <v>92</v>
      </c>
      <c r="B275" s="3" t="s">
        <v>28</v>
      </c>
      <c r="C275">
        <v>1</v>
      </c>
      <c r="D275" s="3" t="s">
        <v>29</v>
      </c>
      <c r="E275" s="3" t="s">
        <v>1008</v>
      </c>
      <c r="F275" s="3" t="s">
        <v>1009</v>
      </c>
      <c r="G275" s="3" t="s">
        <v>32</v>
      </c>
      <c r="H275" s="3" t="s">
        <v>33</v>
      </c>
      <c r="I275" s="3" t="s">
        <v>34</v>
      </c>
      <c r="J275" s="3" t="s">
        <v>35</v>
      </c>
      <c r="K275" s="3" t="s">
        <v>36</v>
      </c>
      <c r="L275" s="3" t="s">
        <v>37</v>
      </c>
      <c r="M275" s="3" t="s">
        <v>52</v>
      </c>
      <c r="N275" s="3" t="s">
        <v>39</v>
      </c>
      <c r="O275" s="3" t="s">
        <v>33</v>
      </c>
      <c r="P275" s="3" t="s">
        <v>58</v>
      </c>
      <c r="Q275" s="3" t="s">
        <v>39</v>
      </c>
      <c r="R275" s="5">
        <v>46149.415509259263</v>
      </c>
      <c r="S275" s="5">
        <v>46149.415868055556</v>
      </c>
      <c r="T275" s="3" t="s">
        <v>41</v>
      </c>
      <c r="U275" s="1" t="s">
        <v>115</v>
      </c>
      <c r="V275" s="1" t="s">
        <v>116</v>
      </c>
      <c r="W275" s="1" t="s">
        <v>1009</v>
      </c>
      <c r="X275" s="1" t="s">
        <v>1009</v>
      </c>
      <c r="Y275" s="1"/>
      <c r="Z275" s="1"/>
      <c r="AA275" s="1" t="s">
        <v>118</v>
      </c>
    </row>
    <row r="276" spans="1:27" ht="17.45" customHeight="1">
      <c r="A276" s="2" t="s">
        <v>646</v>
      </c>
      <c r="B276" s="2" t="s">
        <v>28</v>
      </c>
      <c r="C276">
        <v>1</v>
      </c>
      <c r="D276" s="2" t="s">
        <v>29</v>
      </c>
      <c r="E276" s="2" t="s">
        <v>1010</v>
      </c>
      <c r="F276" s="2" t="s">
        <v>1011</v>
      </c>
      <c r="G276" s="2" t="s">
        <v>32</v>
      </c>
      <c r="H276" s="2" t="s">
        <v>33</v>
      </c>
      <c r="I276" s="2" t="s">
        <v>34</v>
      </c>
      <c r="J276" s="2" t="s">
        <v>35</v>
      </c>
      <c r="K276" s="2" t="s">
        <v>36</v>
      </c>
      <c r="L276" s="2" t="s">
        <v>37</v>
      </c>
      <c r="M276" s="2" t="s">
        <v>52</v>
      </c>
      <c r="N276" s="2" t="s">
        <v>39</v>
      </c>
      <c r="O276" s="2" t="s">
        <v>33</v>
      </c>
      <c r="P276" s="2" t="s">
        <v>58</v>
      </c>
      <c r="Q276" s="2" t="s">
        <v>39</v>
      </c>
      <c r="R276" s="4">
        <v>46149.416412037041</v>
      </c>
      <c r="S276" s="4">
        <v>46149.416412037041</v>
      </c>
      <c r="T276" s="2" t="s">
        <v>41</v>
      </c>
      <c r="U276" s="1" t="s">
        <v>65</v>
      </c>
      <c r="V276" s="1" t="s">
        <v>70</v>
      </c>
      <c r="W276" s="1" t="s">
        <v>1011</v>
      </c>
      <c r="X276" s="1" t="s">
        <v>1011</v>
      </c>
      <c r="Y276" s="1"/>
      <c r="Z276" s="1"/>
      <c r="AA276" s="1" t="s">
        <v>67</v>
      </c>
    </row>
    <row r="277" spans="1:27" ht="17.45" customHeight="1">
      <c r="A277" s="3" t="s">
        <v>92</v>
      </c>
      <c r="B277" s="3" t="s">
        <v>28</v>
      </c>
      <c r="C277">
        <v>1</v>
      </c>
      <c r="D277" s="3" t="s">
        <v>29</v>
      </c>
      <c r="E277" s="3" t="s">
        <v>1012</v>
      </c>
      <c r="F277" s="3" t="s">
        <v>1013</v>
      </c>
      <c r="G277" s="3" t="s">
        <v>32</v>
      </c>
      <c r="H277" s="3" t="s">
        <v>33</v>
      </c>
      <c r="I277" s="3" t="s">
        <v>34</v>
      </c>
      <c r="J277" s="3" t="s">
        <v>35</v>
      </c>
      <c r="K277" s="3" t="s">
        <v>36</v>
      </c>
      <c r="L277" s="3" t="s">
        <v>37</v>
      </c>
      <c r="M277" s="3" t="s">
        <v>38</v>
      </c>
      <c r="N277" s="3" t="s">
        <v>39</v>
      </c>
      <c r="O277" s="3" t="s">
        <v>33</v>
      </c>
      <c r="P277" s="3" t="s">
        <v>53</v>
      </c>
      <c r="Q277" s="3" t="s">
        <v>39</v>
      </c>
      <c r="R277" s="5">
        <v>46149.473321759258</v>
      </c>
      <c r="S277" s="5">
        <v>46149.473321759258</v>
      </c>
      <c r="T277" s="3" t="s">
        <v>41</v>
      </c>
      <c r="U277" s="1" t="s">
        <v>95</v>
      </c>
      <c r="V277" s="1" t="s">
        <v>96</v>
      </c>
      <c r="W277" s="1" t="s">
        <v>1013</v>
      </c>
      <c r="X277" s="1" t="s">
        <v>1013</v>
      </c>
      <c r="Y277" s="1"/>
      <c r="Z277" s="1"/>
      <c r="AA277" s="1" t="s">
        <v>98</v>
      </c>
    </row>
    <row r="278" spans="1:27" ht="17.45" customHeight="1">
      <c r="A278" s="2" t="s">
        <v>1014</v>
      </c>
      <c r="B278" s="2" t="s">
        <v>181</v>
      </c>
      <c r="C278">
        <v>1</v>
      </c>
      <c r="D278" s="2" t="s">
        <v>228</v>
      </c>
      <c r="E278" s="2" t="s">
        <v>1015</v>
      </c>
      <c r="F278" s="2" t="s">
        <v>1016</v>
      </c>
      <c r="G278" s="2" t="s">
        <v>32</v>
      </c>
      <c r="H278" s="2" t="s">
        <v>124</v>
      </c>
      <c r="I278" s="2" t="s">
        <v>124</v>
      </c>
      <c r="J278" s="2" t="s">
        <v>35</v>
      </c>
      <c r="K278" s="2" t="s">
        <v>36</v>
      </c>
      <c r="L278" s="2" t="s">
        <v>37</v>
      </c>
      <c r="M278" s="2" t="s">
        <v>64</v>
      </c>
      <c r="N278" s="2" t="s">
        <v>39</v>
      </c>
      <c r="O278" s="2" t="s">
        <v>124</v>
      </c>
      <c r="P278" s="2" t="s">
        <v>53</v>
      </c>
      <c r="Q278" s="2" t="s">
        <v>39</v>
      </c>
      <c r="R278" s="4">
        <v>46136.728483796294</v>
      </c>
      <c r="S278" s="4">
        <v>46136.740648148145</v>
      </c>
      <c r="T278" s="2" t="s">
        <v>41</v>
      </c>
      <c r="U278" s="1" t="s">
        <v>59</v>
      </c>
      <c r="V278" s="1" t="s">
        <v>60</v>
      </c>
      <c r="W278" s="1" t="s">
        <v>1017</v>
      </c>
      <c r="X278" s="1" t="s">
        <v>1018</v>
      </c>
      <c r="Y278" s="1"/>
      <c r="Z278" s="1"/>
      <c r="AA278" s="1" t="s">
        <v>61</v>
      </c>
    </row>
    <row r="279" spans="1:27" ht="17.45" customHeight="1">
      <c r="A279" s="3" t="s">
        <v>150</v>
      </c>
      <c r="B279" s="3" t="s">
        <v>28</v>
      </c>
      <c r="C279">
        <v>1</v>
      </c>
      <c r="D279" s="3" t="s">
        <v>29</v>
      </c>
      <c r="E279" s="3" t="s">
        <v>1019</v>
      </c>
      <c r="F279" s="3" t="s">
        <v>1020</v>
      </c>
      <c r="G279" s="3" t="s">
        <v>32</v>
      </c>
      <c r="H279" s="3" t="s">
        <v>33</v>
      </c>
      <c r="I279" s="3" t="s">
        <v>78</v>
      </c>
      <c r="J279" s="3" t="s">
        <v>35</v>
      </c>
      <c r="K279" s="3" t="s">
        <v>36</v>
      </c>
      <c r="L279" s="3" t="s">
        <v>37</v>
      </c>
      <c r="M279" s="3" t="s">
        <v>52</v>
      </c>
      <c r="N279" s="3" t="s">
        <v>39</v>
      </c>
      <c r="O279" s="3" t="s">
        <v>33</v>
      </c>
      <c r="P279" s="3" t="s">
        <v>58</v>
      </c>
      <c r="Q279" s="3" t="s">
        <v>39</v>
      </c>
      <c r="R279" s="5">
        <v>46139.573206018518</v>
      </c>
      <c r="S279" s="5">
        <v>46139.573206018518</v>
      </c>
      <c r="T279" s="3" t="s">
        <v>41</v>
      </c>
      <c r="U279" s="1" t="s">
        <v>272</v>
      </c>
      <c r="V279" s="1" t="s">
        <v>273</v>
      </c>
      <c r="W279" s="1" t="s">
        <v>1021</v>
      </c>
      <c r="X279" s="1" t="s">
        <v>1022</v>
      </c>
      <c r="Y279" s="1"/>
      <c r="Z279" s="1"/>
      <c r="AA279" s="1" t="s">
        <v>274</v>
      </c>
    </row>
    <row r="280" spans="1:27" ht="17.45" customHeight="1">
      <c r="A280" s="2" t="s">
        <v>1023</v>
      </c>
      <c r="B280" s="2" t="s">
        <v>28</v>
      </c>
      <c r="C280">
        <v>1</v>
      </c>
      <c r="D280" s="2" t="s">
        <v>29</v>
      </c>
      <c r="E280" s="2" t="s">
        <v>1024</v>
      </c>
      <c r="F280" s="2" t="s">
        <v>161</v>
      </c>
      <c r="G280" s="2" t="s">
        <v>32</v>
      </c>
      <c r="H280" s="2" t="s">
        <v>33</v>
      </c>
      <c r="I280" s="2" t="s">
        <v>34</v>
      </c>
      <c r="J280" s="2" t="s">
        <v>35</v>
      </c>
      <c r="K280" s="2" t="s">
        <v>36</v>
      </c>
      <c r="L280" s="2" t="s">
        <v>37</v>
      </c>
      <c r="M280" s="2" t="s">
        <v>38</v>
      </c>
      <c r="N280" s="2" t="s">
        <v>39</v>
      </c>
      <c r="O280" s="2" t="s">
        <v>33</v>
      </c>
      <c r="P280" s="2" t="s">
        <v>53</v>
      </c>
      <c r="Q280" s="2" t="s">
        <v>39</v>
      </c>
      <c r="R280" s="4">
        <v>46139.575486111113</v>
      </c>
      <c r="S280" s="4">
        <v>46139.575486111113</v>
      </c>
      <c r="T280" s="2" t="s">
        <v>41</v>
      </c>
      <c r="U280" s="1" t="s">
        <v>95</v>
      </c>
      <c r="V280" s="1" t="s">
        <v>96</v>
      </c>
      <c r="W280" s="1" t="s">
        <v>161</v>
      </c>
      <c r="X280" s="1" t="s">
        <v>161</v>
      </c>
      <c r="Y280" s="1"/>
      <c r="Z280" s="1"/>
      <c r="AA280" s="1" t="s">
        <v>98</v>
      </c>
    </row>
    <row r="281" spans="1:27" ht="17.45" customHeight="1">
      <c r="A281" s="3" t="s">
        <v>1023</v>
      </c>
      <c r="B281" s="3" t="s">
        <v>28</v>
      </c>
      <c r="C281">
        <v>1</v>
      </c>
      <c r="D281" s="3" t="s">
        <v>29</v>
      </c>
      <c r="E281" s="3" t="s">
        <v>1025</v>
      </c>
      <c r="F281" s="3" t="s">
        <v>1026</v>
      </c>
      <c r="G281" s="3" t="s">
        <v>32</v>
      </c>
      <c r="H281" s="3" t="s">
        <v>33</v>
      </c>
      <c r="I281" s="3" t="s">
        <v>34</v>
      </c>
      <c r="J281" s="3" t="s">
        <v>35</v>
      </c>
      <c r="K281" s="3" t="s">
        <v>36</v>
      </c>
      <c r="L281" s="3" t="s">
        <v>37</v>
      </c>
      <c r="M281" s="3" t="s">
        <v>38</v>
      </c>
      <c r="N281" s="3" t="s">
        <v>39</v>
      </c>
      <c r="O281" s="3" t="s">
        <v>33</v>
      </c>
      <c r="P281" s="3" t="s">
        <v>53</v>
      </c>
      <c r="Q281" s="3" t="s">
        <v>39</v>
      </c>
      <c r="R281" s="5">
        <v>46139.575659722221</v>
      </c>
      <c r="S281" s="5">
        <v>46139.575659722221</v>
      </c>
      <c r="T281" s="3" t="s">
        <v>41</v>
      </c>
      <c r="U281" s="1" t="s">
        <v>95</v>
      </c>
      <c r="V281" s="1" t="s">
        <v>96</v>
      </c>
      <c r="W281" s="1" t="s">
        <v>1026</v>
      </c>
      <c r="X281" s="1" t="s">
        <v>1026</v>
      </c>
      <c r="Y281" s="1"/>
      <c r="Z281" s="1"/>
      <c r="AA281" s="1" t="s">
        <v>98</v>
      </c>
    </row>
    <row r="282" spans="1:27" ht="17.45" customHeight="1">
      <c r="A282" s="2" t="s">
        <v>853</v>
      </c>
      <c r="B282" s="2" t="s">
        <v>28</v>
      </c>
      <c r="C282">
        <v>1</v>
      </c>
      <c r="D282" s="2" t="s">
        <v>29</v>
      </c>
      <c r="E282" s="2" t="s">
        <v>1027</v>
      </c>
      <c r="F282" s="2" t="s">
        <v>1028</v>
      </c>
      <c r="G282" s="2" t="s">
        <v>32</v>
      </c>
      <c r="H282" s="2" t="s">
        <v>33</v>
      </c>
      <c r="I282" s="2" t="s">
        <v>34</v>
      </c>
      <c r="J282" s="2" t="s">
        <v>35</v>
      </c>
      <c r="K282" s="2" t="s">
        <v>36</v>
      </c>
      <c r="L282" s="2" t="s">
        <v>51</v>
      </c>
      <c r="M282" s="2" t="s">
        <v>38</v>
      </c>
      <c r="N282" s="2" t="s">
        <v>39</v>
      </c>
      <c r="O282" s="2" t="s">
        <v>33</v>
      </c>
      <c r="P282" s="2" t="s">
        <v>53</v>
      </c>
      <c r="Q282" s="2" t="s">
        <v>39</v>
      </c>
      <c r="R282" s="4">
        <v>46139.612997685188</v>
      </c>
      <c r="S282" s="4">
        <v>46139.612997685188</v>
      </c>
      <c r="T282" s="2" t="s">
        <v>41</v>
      </c>
      <c r="U282" s="1" t="s">
        <v>42</v>
      </c>
      <c r="V282" s="1" t="s">
        <v>105</v>
      </c>
      <c r="W282" s="1" t="s">
        <v>1029</v>
      </c>
      <c r="X282" s="1" t="s">
        <v>1030</v>
      </c>
      <c r="Y282" s="1"/>
      <c r="Z282" s="1"/>
      <c r="AA282" s="1" t="s">
        <v>46</v>
      </c>
    </row>
    <row r="283" spans="1:27" ht="17.45" customHeight="1">
      <c r="A283" s="3" t="s">
        <v>1031</v>
      </c>
      <c r="B283" s="3" t="s">
        <v>28</v>
      </c>
      <c r="C283">
        <v>1</v>
      </c>
      <c r="D283" s="3" t="s">
        <v>29</v>
      </c>
      <c r="E283" s="3" t="s">
        <v>1032</v>
      </c>
      <c r="F283" s="3" t="s">
        <v>1033</v>
      </c>
      <c r="G283" s="3" t="s">
        <v>32</v>
      </c>
      <c r="H283" s="3" t="s">
        <v>33</v>
      </c>
      <c r="I283" s="3" t="s">
        <v>34</v>
      </c>
      <c r="J283" s="3" t="s">
        <v>35</v>
      </c>
      <c r="K283" s="3" t="s">
        <v>36</v>
      </c>
      <c r="L283" s="3" t="s">
        <v>37</v>
      </c>
      <c r="M283" s="3" t="s">
        <v>52</v>
      </c>
      <c r="N283" s="3" t="s">
        <v>39</v>
      </c>
      <c r="O283" s="3" t="s">
        <v>33</v>
      </c>
      <c r="P283" s="3" t="s">
        <v>53</v>
      </c>
      <c r="Q283" s="3" t="s">
        <v>39</v>
      </c>
      <c r="R283" s="5">
        <v>46139.614282407405</v>
      </c>
      <c r="S283" s="5">
        <v>46139.614282407405</v>
      </c>
      <c r="T283" s="3" t="s">
        <v>41</v>
      </c>
      <c r="U283" s="1" t="s">
        <v>42</v>
      </c>
      <c r="V283" s="1" t="s">
        <v>74</v>
      </c>
      <c r="W283" s="1" t="s">
        <v>1033</v>
      </c>
      <c r="X283" s="1" t="s">
        <v>1033</v>
      </c>
      <c r="Y283" s="1"/>
      <c r="Z283" s="1"/>
      <c r="AA283" s="1" t="s">
        <v>46</v>
      </c>
    </row>
    <row r="284" spans="1:27" ht="17.45" customHeight="1">
      <c r="A284" s="2" t="s">
        <v>657</v>
      </c>
      <c r="B284" s="2" t="s">
        <v>28</v>
      </c>
      <c r="C284">
        <v>1</v>
      </c>
      <c r="D284" s="2" t="s">
        <v>29</v>
      </c>
      <c r="E284" s="2" t="s">
        <v>1034</v>
      </c>
      <c r="F284" s="2" t="s">
        <v>1035</v>
      </c>
      <c r="G284" s="2" t="s">
        <v>32</v>
      </c>
      <c r="H284" s="2" t="s">
        <v>33</v>
      </c>
      <c r="I284" s="2" t="s">
        <v>34</v>
      </c>
      <c r="J284" s="2" t="s">
        <v>35</v>
      </c>
      <c r="K284" s="2" t="s">
        <v>36</v>
      </c>
      <c r="L284" s="2" t="s">
        <v>37</v>
      </c>
      <c r="M284" s="2" t="s">
        <v>128</v>
      </c>
      <c r="N284" s="2" t="s">
        <v>39</v>
      </c>
      <c r="O284" s="2" t="s">
        <v>33</v>
      </c>
      <c r="P284" s="2" t="s">
        <v>53</v>
      </c>
      <c r="Q284" s="2" t="s">
        <v>39</v>
      </c>
      <c r="R284" s="4">
        <v>46139.615856481483</v>
      </c>
      <c r="S284" s="4">
        <v>46139.615856481483</v>
      </c>
      <c r="T284" s="2" t="s">
        <v>41</v>
      </c>
      <c r="U284" s="1" t="s">
        <v>42</v>
      </c>
      <c r="V284" s="1" t="s">
        <v>105</v>
      </c>
      <c r="W284" s="1" t="s">
        <v>1036</v>
      </c>
      <c r="X284" s="1" t="s">
        <v>1035</v>
      </c>
      <c r="Y284" s="1"/>
      <c r="Z284" s="1"/>
      <c r="AA284" s="1" t="s">
        <v>46</v>
      </c>
    </row>
    <row r="285" spans="1:27" ht="17.45" customHeight="1">
      <c r="A285" s="3" t="s">
        <v>661</v>
      </c>
      <c r="B285" s="3" t="s">
        <v>28</v>
      </c>
      <c r="C285">
        <v>1</v>
      </c>
      <c r="D285" s="3" t="s">
        <v>29</v>
      </c>
      <c r="E285" s="3" t="s">
        <v>1037</v>
      </c>
      <c r="F285" s="3" t="s">
        <v>1038</v>
      </c>
      <c r="G285" s="3" t="s">
        <v>32</v>
      </c>
      <c r="H285" s="3" t="s">
        <v>33</v>
      </c>
      <c r="I285" s="3" t="s">
        <v>78</v>
      </c>
      <c r="J285" s="3" t="s">
        <v>35</v>
      </c>
      <c r="K285" s="3" t="s">
        <v>36</v>
      </c>
      <c r="L285" s="3" t="s">
        <v>51</v>
      </c>
      <c r="M285" s="3" t="s">
        <v>128</v>
      </c>
      <c r="N285" s="3" t="s">
        <v>39</v>
      </c>
      <c r="O285" s="3" t="s">
        <v>33</v>
      </c>
      <c r="P285" s="3" t="s">
        <v>53</v>
      </c>
      <c r="Q285" s="3" t="s">
        <v>39</v>
      </c>
      <c r="R285" s="5">
        <v>46139.628831018519</v>
      </c>
      <c r="S285" s="5">
        <v>46139.628831018519</v>
      </c>
      <c r="T285" s="3" t="s">
        <v>41</v>
      </c>
      <c r="U285" s="1" t="s">
        <v>42</v>
      </c>
      <c r="V285" s="1" t="s">
        <v>105</v>
      </c>
      <c r="W285" s="1" t="s">
        <v>1039</v>
      </c>
      <c r="X285" s="1" t="s">
        <v>1040</v>
      </c>
      <c r="Y285" s="1"/>
      <c r="Z285" s="1"/>
      <c r="AA285" s="1" t="s">
        <v>46</v>
      </c>
    </row>
    <row r="286" spans="1:27" ht="17.45" customHeight="1">
      <c r="A286" s="2" t="s">
        <v>1041</v>
      </c>
      <c r="B286" s="2" t="s">
        <v>171</v>
      </c>
      <c r="C286">
        <v>1</v>
      </c>
      <c r="D286" s="2" t="s">
        <v>29</v>
      </c>
      <c r="E286" s="2" t="s">
        <v>1042</v>
      </c>
      <c r="F286" s="2" t="s">
        <v>1043</v>
      </c>
      <c r="G286" s="2" t="s">
        <v>32</v>
      </c>
      <c r="H286" s="2" t="s">
        <v>33</v>
      </c>
      <c r="I286" s="2" t="s">
        <v>34</v>
      </c>
      <c r="J286" s="2" t="s">
        <v>35</v>
      </c>
      <c r="K286" s="2" t="s">
        <v>36</v>
      </c>
      <c r="L286" s="2" t="s">
        <v>37</v>
      </c>
      <c r="M286" s="2" t="s">
        <v>38</v>
      </c>
      <c r="N286" s="2" t="s">
        <v>39</v>
      </c>
      <c r="O286" s="2" t="s">
        <v>33</v>
      </c>
      <c r="P286" s="2" t="s">
        <v>40</v>
      </c>
      <c r="Q286" s="2" t="s">
        <v>39</v>
      </c>
      <c r="R286" s="4">
        <v>46139.637662037036</v>
      </c>
      <c r="S286" s="4">
        <v>46139.637662037036</v>
      </c>
      <c r="T286" s="2" t="s">
        <v>41</v>
      </c>
      <c r="U286" s="1" t="s">
        <v>42</v>
      </c>
      <c r="V286" s="1" t="s">
        <v>74</v>
      </c>
      <c r="W286" s="1" t="s">
        <v>1044</v>
      </c>
      <c r="X286" s="1" t="s">
        <v>1045</v>
      </c>
      <c r="Y286" s="1"/>
      <c r="Z286" s="1"/>
      <c r="AA286" s="1" t="s">
        <v>46</v>
      </c>
    </row>
    <row r="287" spans="1:27" ht="17.45" customHeight="1">
      <c r="A287" s="3" t="s">
        <v>92</v>
      </c>
      <c r="B287" s="3" t="s">
        <v>28</v>
      </c>
      <c r="C287">
        <v>1</v>
      </c>
      <c r="D287" s="3" t="s">
        <v>29</v>
      </c>
      <c r="E287" s="3" t="s">
        <v>1046</v>
      </c>
      <c r="F287" s="3" t="s">
        <v>1047</v>
      </c>
      <c r="G287" s="3" t="s">
        <v>32</v>
      </c>
      <c r="H287" s="3" t="s">
        <v>33</v>
      </c>
      <c r="I287" s="3" t="s">
        <v>34</v>
      </c>
      <c r="J287" s="3" t="s">
        <v>35</v>
      </c>
      <c r="K287" s="3" t="s">
        <v>36</v>
      </c>
      <c r="L287" s="3" t="s">
        <v>37</v>
      </c>
      <c r="M287" s="3" t="s">
        <v>52</v>
      </c>
      <c r="N287" s="3" t="s">
        <v>39</v>
      </c>
      <c r="O287" s="3" t="s">
        <v>33</v>
      </c>
      <c r="P287" s="3" t="s">
        <v>53</v>
      </c>
      <c r="Q287" s="3" t="s">
        <v>39</v>
      </c>
      <c r="R287" s="5">
        <v>46140.388564814813</v>
      </c>
      <c r="S287" s="5">
        <v>46140.388564814813</v>
      </c>
      <c r="T287" s="3" t="s">
        <v>41</v>
      </c>
      <c r="U287" s="1" t="s">
        <v>95</v>
      </c>
      <c r="V287" s="1" t="s">
        <v>96</v>
      </c>
      <c r="W287" s="1" t="s">
        <v>1048</v>
      </c>
      <c r="X287" s="1" t="s">
        <v>1047</v>
      </c>
      <c r="Y287" s="1"/>
      <c r="Z287" s="1"/>
      <c r="AA287" s="1" t="s">
        <v>98</v>
      </c>
    </row>
    <row r="288" spans="1:27" ht="17.45" customHeight="1">
      <c r="A288" s="2" t="s">
        <v>92</v>
      </c>
      <c r="B288" s="2" t="s">
        <v>28</v>
      </c>
      <c r="C288">
        <v>1</v>
      </c>
      <c r="D288" s="2" t="s">
        <v>29</v>
      </c>
      <c r="E288" s="2" t="s">
        <v>1049</v>
      </c>
      <c r="F288" s="2" t="s">
        <v>1050</v>
      </c>
      <c r="G288" s="2" t="s">
        <v>32</v>
      </c>
      <c r="H288" s="2" t="s">
        <v>33</v>
      </c>
      <c r="I288" s="2" t="s">
        <v>34</v>
      </c>
      <c r="J288" s="2" t="s">
        <v>35</v>
      </c>
      <c r="K288" s="2" t="s">
        <v>36</v>
      </c>
      <c r="L288" s="2" t="s">
        <v>37</v>
      </c>
      <c r="M288" s="2" t="s">
        <v>64</v>
      </c>
      <c r="N288" s="2" t="s">
        <v>39</v>
      </c>
      <c r="O288" s="2" t="s">
        <v>33</v>
      </c>
      <c r="P288" s="2" t="s">
        <v>53</v>
      </c>
      <c r="Q288" s="2" t="s">
        <v>39</v>
      </c>
      <c r="R288" s="4">
        <v>46140.399965277778</v>
      </c>
      <c r="S288" s="4">
        <v>46140.399965277778</v>
      </c>
      <c r="T288" s="2" t="s">
        <v>41</v>
      </c>
      <c r="U288" s="1" t="s">
        <v>42</v>
      </c>
      <c r="V288" s="1" t="s">
        <v>74</v>
      </c>
      <c r="W288" s="1" t="s">
        <v>1051</v>
      </c>
      <c r="X288" s="1" t="s">
        <v>1050</v>
      </c>
      <c r="Y288" s="1"/>
      <c r="Z288" s="1"/>
      <c r="AA288" s="1" t="s">
        <v>46</v>
      </c>
    </row>
    <row r="289" spans="1:27" ht="17.45" customHeight="1">
      <c r="A289" s="3" t="s">
        <v>1052</v>
      </c>
      <c r="B289" s="3" t="s">
        <v>171</v>
      </c>
      <c r="C289">
        <v>1</v>
      </c>
      <c r="D289" s="3" t="s">
        <v>29</v>
      </c>
      <c r="E289" s="3" t="s">
        <v>1053</v>
      </c>
      <c r="F289" s="3" t="s">
        <v>1054</v>
      </c>
      <c r="G289" s="3" t="s">
        <v>32</v>
      </c>
      <c r="H289" s="3" t="s">
        <v>33</v>
      </c>
      <c r="I289" s="3" t="s">
        <v>34</v>
      </c>
      <c r="J289" s="3" t="s">
        <v>35</v>
      </c>
      <c r="K289" s="3" t="s">
        <v>36</v>
      </c>
      <c r="L289" s="3" t="s">
        <v>51</v>
      </c>
      <c r="M289" s="3" t="s">
        <v>38</v>
      </c>
      <c r="N289" s="3" t="s">
        <v>39</v>
      </c>
      <c r="O289" s="3" t="s">
        <v>33</v>
      </c>
      <c r="P289" s="3" t="s">
        <v>53</v>
      </c>
      <c r="Q289" s="3" t="s">
        <v>39</v>
      </c>
      <c r="R289" s="5">
        <v>46140.400694444441</v>
      </c>
      <c r="S289" s="5">
        <v>46140.400694444441</v>
      </c>
      <c r="T289" s="3" t="s">
        <v>41</v>
      </c>
      <c r="U289" s="1" t="s">
        <v>165</v>
      </c>
      <c r="V289" s="1" t="s">
        <v>166</v>
      </c>
      <c r="W289" s="1" t="s">
        <v>1055</v>
      </c>
      <c r="X289" s="1" t="s">
        <v>1056</v>
      </c>
      <c r="Y289" s="1"/>
      <c r="Z289" s="1"/>
      <c r="AA289" s="1" t="s">
        <v>169</v>
      </c>
    </row>
    <row r="290" spans="1:27" ht="17.45" customHeight="1">
      <c r="A290" s="2" t="s">
        <v>512</v>
      </c>
      <c r="B290" s="2" t="s">
        <v>48</v>
      </c>
      <c r="C290">
        <v>1</v>
      </c>
      <c r="D290" s="2" t="s">
        <v>29</v>
      </c>
      <c r="E290" s="2" t="s">
        <v>1057</v>
      </c>
      <c r="F290" s="2" t="s">
        <v>1058</v>
      </c>
      <c r="G290" s="2" t="s">
        <v>32</v>
      </c>
      <c r="H290" s="2" t="s">
        <v>33</v>
      </c>
      <c r="I290" s="2" t="s">
        <v>34</v>
      </c>
      <c r="J290" s="2" t="s">
        <v>35</v>
      </c>
      <c r="K290" s="2" t="s">
        <v>36</v>
      </c>
      <c r="L290" s="2" t="s">
        <v>37</v>
      </c>
      <c r="M290" s="2" t="s">
        <v>52</v>
      </c>
      <c r="N290" s="2" t="s">
        <v>39</v>
      </c>
      <c r="O290" s="2" t="s">
        <v>33</v>
      </c>
      <c r="P290" s="2" t="s">
        <v>53</v>
      </c>
      <c r="Q290" s="2" t="s">
        <v>39</v>
      </c>
      <c r="R290" s="4">
        <v>46140.407650462963</v>
      </c>
      <c r="S290" s="4">
        <v>46140.604548611111</v>
      </c>
      <c r="T290" s="2" t="s">
        <v>41</v>
      </c>
      <c r="U290" s="1" t="s">
        <v>243</v>
      </c>
      <c r="V290" s="1" t="s">
        <v>340</v>
      </c>
      <c r="W290" s="1" t="s">
        <v>1059</v>
      </c>
      <c r="X290" s="1" t="s">
        <v>1060</v>
      </c>
      <c r="Y290" s="1"/>
      <c r="Z290" s="1"/>
      <c r="AA290" s="1" t="s">
        <v>246</v>
      </c>
    </row>
    <row r="291" spans="1:27" ht="17.45" customHeight="1">
      <c r="A291" s="3" t="s">
        <v>512</v>
      </c>
      <c r="B291" s="3" t="s">
        <v>48</v>
      </c>
      <c r="C291">
        <v>1</v>
      </c>
      <c r="D291" s="3" t="s">
        <v>29</v>
      </c>
      <c r="E291" s="3" t="s">
        <v>1061</v>
      </c>
      <c r="F291" s="3" t="s">
        <v>1062</v>
      </c>
      <c r="G291" s="3" t="s">
        <v>32</v>
      </c>
      <c r="H291" s="3" t="s">
        <v>33</v>
      </c>
      <c r="I291" s="3" t="s">
        <v>34</v>
      </c>
      <c r="J291" s="3" t="s">
        <v>35</v>
      </c>
      <c r="K291" s="3" t="s">
        <v>36</v>
      </c>
      <c r="L291" s="3" t="s">
        <v>51</v>
      </c>
      <c r="M291" s="3" t="s">
        <v>52</v>
      </c>
      <c r="N291" s="3" t="s">
        <v>39</v>
      </c>
      <c r="O291" s="3" t="s">
        <v>33</v>
      </c>
      <c r="P291" s="3" t="s">
        <v>53</v>
      </c>
      <c r="Q291" s="3" t="s">
        <v>39</v>
      </c>
      <c r="R291" s="5">
        <v>46140.415324074071</v>
      </c>
      <c r="S291" s="5">
        <v>46140.604270833333</v>
      </c>
      <c r="T291" s="3" t="s">
        <v>41</v>
      </c>
      <c r="U291" s="1" t="s">
        <v>283</v>
      </c>
      <c r="V291" s="1" t="s">
        <v>410</v>
      </c>
      <c r="W291" s="1" t="s">
        <v>1062</v>
      </c>
      <c r="X291" s="1" t="s">
        <v>1062</v>
      </c>
      <c r="Y291" s="1"/>
      <c r="Z291" s="1"/>
      <c r="AA291" s="1" t="s">
        <v>285</v>
      </c>
    </row>
    <row r="292" spans="1:27" ht="17.45" customHeight="1">
      <c r="A292" s="2" t="s">
        <v>646</v>
      </c>
      <c r="B292" s="2" t="s">
        <v>28</v>
      </c>
      <c r="C292">
        <v>1</v>
      </c>
      <c r="D292" s="2" t="s">
        <v>29</v>
      </c>
      <c r="E292" s="2" t="s">
        <v>1063</v>
      </c>
      <c r="F292" s="2" t="s">
        <v>1064</v>
      </c>
      <c r="G292" s="2" t="s">
        <v>32</v>
      </c>
      <c r="H292" s="2" t="s">
        <v>33</v>
      </c>
      <c r="I292" s="2" t="s">
        <v>34</v>
      </c>
      <c r="J292" s="2" t="s">
        <v>35</v>
      </c>
      <c r="K292" s="2" t="s">
        <v>36</v>
      </c>
      <c r="L292" s="2" t="s">
        <v>37</v>
      </c>
      <c r="M292" s="2" t="s">
        <v>64</v>
      </c>
      <c r="N292" s="2" t="s">
        <v>39</v>
      </c>
      <c r="O292" s="2" t="s">
        <v>33</v>
      </c>
      <c r="P292" s="2" t="s">
        <v>53</v>
      </c>
      <c r="Q292" s="2" t="s">
        <v>39</v>
      </c>
      <c r="R292" s="4">
        <v>46140.424756944441</v>
      </c>
      <c r="S292" s="4">
        <v>46140.424756944441</v>
      </c>
      <c r="T292" s="2" t="s">
        <v>41</v>
      </c>
      <c r="U292" s="1" t="s">
        <v>243</v>
      </c>
      <c r="V292" s="1" t="s">
        <v>340</v>
      </c>
      <c r="W292" s="1" t="s">
        <v>1064</v>
      </c>
      <c r="X292" s="1" t="s">
        <v>1064</v>
      </c>
      <c r="Y292" s="1"/>
      <c r="Z292" s="1"/>
      <c r="AA292" s="1" t="s">
        <v>246</v>
      </c>
    </row>
    <row r="293" spans="1:27" ht="17.45" customHeight="1">
      <c r="A293" s="3" t="s">
        <v>796</v>
      </c>
      <c r="B293" s="3" t="s">
        <v>181</v>
      </c>
      <c r="C293">
        <v>1</v>
      </c>
      <c r="D293" s="3" t="s">
        <v>29</v>
      </c>
      <c r="E293" s="3" t="s">
        <v>1065</v>
      </c>
      <c r="F293" s="3" t="s">
        <v>1066</v>
      </c>
      <c r="G293" s="3" t="s">
        <v>32</v>
      </c>
      <c r="H293" s="3" t="s">
        <v>33</v>
      </c>
      <c r="I293" s="3" t="s">
        <v>78</v>
      </c>
      <c r="J293" s="3" t="s">
        <v>35</v>
      </c>
      <c r="K293" s="3" t="s">
        <v>36</v>
      </c>
      <c r="L293" s="3" t="s">
        <v>51</v>
      </c>
      <c r="M293" s="3" t="s">
        <v>115</v>
      </c>
      <c r="N293" s="3" t="s">
        <v>39</v>
      </c>
      <c r="O293" s="3" t="s">
        <v>33</v>
      </c>
      <c r="P293" s="3" t="s">
        <v>53</v>
      </c>
      <c r="Q293" s="3" t="s">
        <v>39</v>
      </c>
      <c r="R293" s="5">
        <v>46140.543622685182</v>
      </c>
      <c r="S293" s="5">
        <v>46140.543622685182</v>
      </c>
      <c r="T293" s="3" t="s">
        <v>41</v>
      </c>
      <c r="U293" s="1" t="s">
        <v>59</v>
      </c>
      <c r="V293" s="1" t="s">
        <v>60</v>
      </c>
      <c r="W293" s="1" t="s">
        <v>1066</v>
      </c>
      <c r="X293" s="1" t="s">
        <v>1066</v>
      </c>
      <c r="Y293" s="1"/>
      <c r="Z293" s="1"/>
      <c r="AA293" s="1" t="s">
        <v>61</v>
      </c>
    </row>
    <row r="294" spans="1:27" ht="17.45" customHeight="1">
      <c r="A294" s="2" t="s">
        <v>55</v>
      </c>
      <c r="B294" s="2" t="s">
        <v>48</v>
      </c>
      <c r="C294">
        <v>1</v>
      </c>
      <c r="D294" s="2" t="s">
        <v>29</v>
      </c>
      <c r="E294" s="2" t="s">
        <v>1067</v>
      </c>
      <c r="F294" s="2" t="s">
        <v>1068</v>
      </c>
      <c r="G294" s="2" t="s">
        <v>32</v>
      </c>
      <c r="H294" s="2" t="s">
        <v>33</v>
      </c>
      <c r="I294" s="2" t="s">
        <v>33</v>
      </c>
      <c r="J294" s="2" t="s">
        <v>35</v>
      </c>
      <c r="K294" s="2" t="s">
        <v>36</v>
      </c>
      <c r="L294" s="2" t="s">
        <v>37</v>
      </c>
      <c r="M294" s="2" t="s">
        <v>52</v>
      </c>
      <c r="N294" s="2" t="s">
        <v>39</v>
      </c>
      <c r="O294" s="2" t="s">
        <v>33</v>
      </c>
      <c r="P294" s="2" t="s">
        <v>53</v>
      </c>
      <c r="Q294" s="2" t="s">
        <v>39</v>
      </c>
      <c r="R294" s="4">
        <v>46140.562951388885</v>
      </c>
      <c r="S294" s="4">
        <v>46140.562951388885</v>
      </c>
      <c r="T294" s="2" t="s">
        <v>41</v>
      </c>
      <c r="U294" s="1" t="s">
        <v>42</v>
      </c>
      <c r="V294" s="1" t="s">
        <v>74</v>
      </c>
      <c r="W294" s="1" t="s">
        <v>1068</v>
      </c>
      <c r="X294" s="1" t="s">
        <v>1068</v>
      </c>
      <c r="Y294" s="1"/>
      <c r="Z294" s="1"/>
      <c r="AA294" s="1" t="s">
        <v>46</v>
      </c>
    </row>
    <row r="295" spans="1:27" ht="17.45" customHeight="1">
      <c r="A295" s="3" t="s">
        <v>189</v>
      </c>
      <c r="B295" s="3" t="s">
        <v>120</v>
      </c>
      <c r="C295">
        <v>1</v>
      </c>
      <c r="D295" s="3" t="s">
        <v>121</v>
      </c>
      <c r="E295" s="3" t="s">
        <v>1069</v>
      </c>
      <c r="F295" s="3" t="s">
        <v>1070</v>
      </c>
      <c r="G295" s="3" t="s">
        <v>32</v>
      </c>
      <c r="H295" s="3" t="s">
        <v>124</v>
      </c>
      <c r="I295" s="3" t="s">
        <v>192</v>
      </c>
      <c r="J295" s="3" t="s">
        <v>35</v>
      </c>
      <c r="K295" s="3" t="s">
        <v>36</v>
      </c>
      <c r="L295" s="3" t="s">
        <v>37</v>
      </c>
      <c r="M295" s="3" t="s">
        <v>52</v>
      </c>
      <c r="N295" s="3" t="s">
        <v>39</v>
      </c>
      <c r="O295" s="3" t="s">
        <v>125</v>
      </c>
      <c r="P295" s="3" t="s">
        <v>40</v>
      </c>
      <c r="Q295" s="3" t="s">
        <v>39</v>
      </c>
      <c r="R295" s="5">
        <v>46140.563032407408</v>
      </c>
      <c r="S295" s="5">
        <v>46140.563032407408</v>
      </c>
      <c r="T295" s="3" t="s">
        <v>41</v>
      </c>
      <c r="U295" s="1" t="s">
        <v>65</v>
      </c>
      <c r="V295" s="1" t="s">
        <v>70</v>
      </c>
      <c r="W295" s="1" t="s">
        <v>1071</v>
      </c>
      <c r="X295" s="1" t="s">
        <v>1072</v>
      </c>
      <c r="Y295" s="1"/>
      <c r="Z295" s="1"/>
      <c r="AA295" s="1" t="s">
        <v>67</v>
      </c>
    </row>
    <row r="296" spans="1:27" ht="17.45" customHeight="1">
      <c r="A296" s="2" t="s">
        <v>1023</v>
      </c>
      <c r="B296" s="2" t="s">
        <v>28</v>
      </c>
      <c r="C296">
        <v>1</v>
      </c>
      <c r="D296" s="2" t="s">
        <v>29</v>
      </c>
      <c r="E296" s="2" t="s">
        <v>1073</v>
      </c>
      <c r="F296" s="2" t="s">
        <v>1074</v>
      </c>
      <c r="G296" s="2" t="s">
        <v>32</v>
      </c>
      <c r="H296" s="2" t="s">
        <v>33</v>
      </c>
      <c r="I296" s="2" t="s">
        <v>34</v>
      </c>
      <c r="J296" s="2" t="s">
        <v>35</v>
      </c>
      <c r="K296" s="2" t="s">
        <v>36</v>
      </c>
      <c r="L296" s="2" t="s">
        <v>37</v>
      </c>
      <c r="M296" s="2" t="s">
        <v>141</v>
      </c>
      <c r="N296" s="2" t="s">
        <v>39</v>
      </c>
      <c r="O296" s="2" t="s">
        <v>33</v>
      </c>
      <c r="P296" s="2" t="s">
        <v>40</v>
      </c>
      <c r="Q296" s="2" t="s">
        <v>39</v>
      </c>
      <c r="R296" s="4">
        <v>46140.563252314816</v>
      </c>
      <c r="S296" s="4">
        <v>46140.563252314816</v>
      </c>
      <c r="T296" s="2" t="s">
        <v>41</v>
      </c>
      <c r="U296" s="1" t="s">
        <v>283</v>
      </c>
      <c r="V296" s="1" t="s">
        <v>410</v>
      </c>
      <c r="W296" s="1" t="s">
        <v>1075</v>
      </c>
      <c r="X296" s="1" t="s">
        <v>1076</v>
      </c>
      <c r="Y296" s="1"/>
      <c r="Z296" s="1"/>
      <c r="AA296" s="1" t="s">
        <v>285</v>
      </c>
    </row>
    <row r="297" spans="1:27" ht="17.45" customHeight="1">
      <c r="A297" s="3" t="s">
        <v>370</v>
      </c>
      <c r="B297" s="3" t="s">
        <v>48</v>
      </c>
      <c r="C297">
        <v>1</v>
      </c>
      <c r="D297" s="3" t="s">
        <v>29</v>
      </c>
      <c r="E297" s="3" t="s">
        <v>1077</v>
      </c>
      <c r="F297" s="3" t="s">
        <v>1078</v>
      </c>
      <c r="G297" s="3" t="s">
        <v>32</v>
      </c>
      <c r="H297" s="3" t="s">
        <v>33</v>
      </c>
      <c r="I297" s="3" t="s">
        <v>33</v>
      </c>
      <c r="J297" s="3" t="s">
        <v>35</v>
      </c>
      <c r="K297" s="3" t="s">
        <v>36</v>
      </c>
      <c r="L297" s="3" t="s">
        <v>51</v>
      </c>
      <c r="M297" s="3" t="s">
        <v>64</v>
      </c>
      <c r="N297" s="3" t="s">
        <v>39</v>
      </c>
      <c r="O297" s="3" t="s">
        <v>33</v>
      </c>
      <c r="P297" s="3" t="s">
        <v>53</v>
      </c>
      <c r="Q297" s="3" t="s">
        <v>39</v>
      </c>
      <c r="R297" s="5">
        <v>46140.570520833331</v>
      </c>
      <c r="S297" s="5">
        <v>46140.570520833331</v>
      </c>
      <c r="T297" s="3" t="s">
        <v>41</v>
      </c>
      <c r="U297" s="1" t="s">
        <v>42</v>
      </c>
      <c r="V297" s="1" t="s">
        <v>74</v>
      </c>
      <c r="W297" s="1" t="s">
        <v>1078</v>
      </c>
      <c r="X297" s="1" t="s">
        <v>1078</v>
      </c>
      <c r="Y297" s="1"/>
      <c r="Z297" s="1"/>
      <c r="AA297" s="1" t="s">
        <v>46</v>
      </c>
    </row>
    <row r="298" spans="1:27" ht="17.45" customHeight="1">
      <c r="A298" s="2" t="s">
        <v>189</v>
      </c>
      <c r="B298" s="2" t="s">
        <v>120</v>
      </c>
      <c r="C298">
        <v>1</v>
      </c>
      <c r="D298" s="2" t="s">
        <v>121</v>
      </c>
      <c r="E298" s="2" t="s">
        <v>1079</v>
      </c>
      <c r="F298" s="2" t="s">
        <v>1080</v>
      </c>
      <c r="G298" s="2" t="s">
        <v>32</v>
      </c>
      <c r="H298" s="2" t="s">
        <v>124</v>
      </c>
      <c r="I298" s="2" t="s">
        <v>192</v>
      </c>
      <c r="J298" s="2" t="s">
        <v>35</v>
      </c>
      <c r="K298" s="2" t="s">
        <v>36</v>
      </c>
      <c r="L298" s="2" t="s">
        <v>51</v>
      </c>
      <c r="M298" s="2" t="s">
        <v>64</v>
      </c>
      <c r="N298" s="2" t="s">
        <v>39</v>
      </c>
      <c r="O298" s="2" t="s">
        <v>125</v>
      </c>
      <c r="P298" s="2" t="s">
        <v>53</v>
      </c>
      <c r="Q298" s="2" t="s">
        <v>39</v>
      </c>
      <c r="R298" s="4">
        <v>46140.598425925928</v>
      </c>
      <c r="S298" s="4">
        <v>46140.598425925928</v>
      </c>
      <c r="T298" s="2" t="s">
        <v>41</v>
      </c>
      <c r="U298" s="1" t="s">
        <v>263</v>
      </c>
      <c r="V298" s="1" t="s">
        <v>264</v>
      </c>
      <c r="W298" s="1" t="s">
        <v>1080</v>
      </c>
      <c r="X298" s="1" t="s">
        <v>1080</v>
      </c>
      <c r="Y298" s="1"/>
      <c r="Z298" s="1"/>
      <c r="AA298" s="1" t="s">
        <v>265</v>
      </c>
    </row>
    <row r="299" spans="1:27" ht="17.45" customHeight="1">
      <c r="A299" s="3" t="s">
        <v>695</v>
      </c>
      <c r="B299" s="3" t="s">
        <v>181</v>
      </c>
      <c r="C299">
        <v>1</v>
      </c>
      <c r="D299" s="3" t="s">
        <v>29</v>
      </c>
      <c r="E299" s="3" t="s">
        <v>1081</v>
      </c>
      <c r="F299" s="3" t="s">
        <v>1082</v>
      </c>
      <c r="G299" s="3" t="s">
        <v>32</v>
      </c>
      <c r="H299" s="3" t="s">
        <v>33</v>
      </c>
      <c r="I299" s="3" t="s">
        <v>78</v>
      </c>
      <c r="J299" s="3" t="s">
        <v>35</v>
      </c>
      <c r="K299" s="3" t="s">
        <v>36</v>
      </c>
      <c r="L299" s="3" t="s">
        <v>51</v>
      </c>
      <c r="M299" s="3" t="s">
        <v>115</v>
      </c>
      <c r="N299" s="3" t="s">
        <v>39</v>
      </c>
      <c r="O299" s="3" t="s">
        <v>33</v>
      </c>
      <c r="P299" s="3" t="s">
        <v>53</v>
      </c>
      <c r="Q299" s="3" t="s">
        <v>39</v>
      </c>
      <c r="R299" s="5">
        <v>46140.70511574074</v>
      </c>
      <c r="S299" s="5">
        <v>46140.70511574074</v>
      </c>
      <c r="T299" s="3" t="s">
        <v>41</v>
      </c>
      <c r="U299" s="1" t="s">
        <v>263</v>
      </c>
      <c r="V299" s="1" t="s">
        <v>264</v>
      </c>
      <c r="W299" s="1" t="s">
        <v>1082</v>
      </c>
      <c r="X299" s="1" t="s">
        <v>1082</v>
      </c>
      <c r="Y299" s="1"/>
      <c r="Z299" s="1"/>
      <c r="AA299" s="1" t="s">
        <v>265</v>
      </c>
    </row>
    <row r="300" spans="1:27" ht="17.45" customHeight="1">
      <c r="A300" s="2" t="s">
        <v>566</v>
      </c>
      <c r="B300" s="2" t="s">
        <v>120</v>
      </c>
      <c r="C300">
        <v>1</v>
      </c>
      <c r="D300" s="2" t="s">
        <v>29</v>
      </c>
      <c r="E300" s="2" t="s">
        <v>1083</v>
      </c>
      <c r="F300" s="2" t="s">
        <v>1084</v>
      </c>
      <c r="G300" s="2" t="s">
        <v>32</v>
      </c>
      <c r="H300" s="2" t="s">
        <v>33</v>
      </c>
      <c r="I300" s="2" t="s">
        <v>34</v>
      </c>
      <c r="J300" s="2" t="s">
        <v>35</v>
      </c>
      <c r="K300" s="2" t="s">
        <v>36</v>
      </c>
      <c r="L300" s="2" t="s">
        <v>51</v>
      </c>
      <c r="M300" s="2" t="s">
        <v>64</v>
      </c>
      <c r="N300" s="2" t="s">
        <v>39</v>
      </c>
      <c r="O300" s="2" t="s">
        <v>33</v>
      </c>
      <c r="P300" s="2" t="s">
        <v>53</v>
      </c>
      <c r="Q300" s="2" t="s">
        <v>39</v>
      </c>
      <c r="R300" s="4">
        <v>46140.709328703706</v>
      </c>
      <c r="S300" s="4">
        <v>46140.709328703706</v>
      </c>
      <c r="T300" s="2" t="s">
        <v>41</v>
      </c>
      <c r="U300" s="1" t="s">
        <v>177</v>
      </c>
      <c r="V300" s="1" t="s">
        <v>215</v>
      </c>
      <c r="W300" s="1" t="s">
        <v>1084</v>
      </c>
      <c r="X300" s="1" t="s">
        <v>1084</v>
      </c>
      <c r="Y300" s="1"/>
      <c r="Z300" s="1"/>
      <c r="AA300" s="1" t="s">
        <v>179</v>
      </c>
    </row>
    <row r="301" spans="1:27" ht="17.45" customHeight="1">
      <c r="A301" s="3" t="s">
        <v>695</v>
      </c>
      <c r="B301" s="3" t="s">
        <v>181</v>
      </c>
      <c r="C301">
        <v>1</v>
      </c>
      <c r="D301" s="3" t="s">
        <v>29</v>
      </c>
      <c r="E301" s="3" t="s">
        <v>1085</v>
      </c>
      <c r="F301" s="3" t="s">
        <v>1086</v>
      </c>
      <c r="G301" s="3" t="s">
        <v>32</v>
      </c>
      <c r="H301" s="3" t="s">
        <v>33</v>
      </c>
      <c r="I301" s="3" t="s">
        <v>78</v>
      </c>
      <c r="J301" s="3" t="s">
        <v>35</v>
      </c>
      <c r="K301" s="3" t="s">
        <v>36</v>
      </c>
      <c r="L301" s="3" t="s">
        <v>51</v>
      </c>
      <c r="M301" s="3" t="s">
        <v>64</v>
      </c>
      <c r="N301" s="3" t="s">
        <v>39</v>
      </c>
      <c r="O301" s="3" t="s">
        <v>33</v>
      </c>
      <c r="P301" s="3" t="s">
        <v>53</v>
      </c>
      <c r="Q301" s="3" t="s">
        <v>39</v>
      </c>
      <c r="R301" s="5">
        <v>46140.710729166669</v>
      </c>
      <c r="S301" s="5">
        <v>46140.710729166669</v>
      </c>
      <c r="T301" s="3" t="s">
        <v>41</v>
      </c>
      <c r="U301" s="1" t="s">
        <v>95</v>
      </c>
      <c r="V301" s="1" t="s">
        <v>96</v>
      </c>
      <c r="W301" s="1" t="s">
        <v>1087</v>
      </c>
      <c r="X301" s="1" t="s">
        <v>1088</v>
      </c>
      <c r="Y301" s="1"/>
      <c r="Z301" s="1"/>
      <c r="AA301" s="1" t="s">
        <v>98</v>
      </c>
    </row>
    <row r="302" spans="1:27" ht="17.45" customHeight="1">
      <c r="A302" s="2" t="s">
        <v>1089</v>
      </c>
      <c r="B302" s="2" t="s">
        <v>181</v>
      </c>
      <c r="C302">
        <v>1</v>
      </c>
      <c r="D302" s="2" t="s">
        <v>29</v>
      </c>
      <c r="E302" s="2" t="s">
        <v>1090</v>
      </c>
      <c r="F302" s="2" t="s">
        <v>1091</v>
      </c>
      <c r="G302" s="2" t="s">
        <v>32</v>
      </c>
      <c r="H302" s="2" t="s">
        <v>33</v>
      </c>
      <c r="I302" s="2" t="s">
        <v>78</v>
      </c>
      <c r="J302" s="2" t="s">
        <v>35</v>
      </c>
      <c r="K302" s="2" t="s">
        <v>36</v>
      </c>
      <c r="L302" s="2" t="s">
        <v>51</v>
      </c>
      <c r="M302" s="2" t="s">
        <v>64</v>
      </c>
      <c r="N302" s="2" t="s">
        <v>39</v>
      </c>
      <c r="O302" s="2" t="s">
        <v>33</v>
      </c>
      <c r="P302" s="2" t="s">
        <v>53</v>
      </c>
      <c r="Q302" s="2" t="s">
        <v>39</v>
      </c>
      <c r="R302" s="4">
        <v>46140.733437499999</v>
      </c>
      <c r="S302" s="4">
        <v>46140.733437499999</v>
      </c>
      <c r="T302" s="2" t="s">
        <v>41</v>
      </c>
      <c r="U302" s="1" t="s">
        <v>95</v>
      </c>
      <c r="V302" s="1" t="s">
        <v>96</v>
      </c>
      <c r="W302" s="1" t="s">
        <v>1092</v>
      </c>
      <c r="X302" s="1" t="s">
        <v>1092</v>
      </c>
      <c r="Y302" s="1"/>
      <c r="Z302" s="1"/>
      <c r="AA302" s="1" t="s">
        <v>98</v>
      </c>
    </row>
    <row r="303" spans="1:27" ht="17.45" customHeight="1">
      <c r="A303" s="3" t="s">
        <v>299</v>
      </c>
      <c r="B303" s="3" t="s">
        <v>181</v>
      </c>
      <c r="C303">
        <v>1</v>
      </c>
      <c r="D303" s="3" t="s">
        <v>29</v>
      </c>
      <c r="E303" s="3" t="s">
        <v>1093</v>
      </c>
      <c r="F303" s="3" t="s">
        <v>1094</v>
      </c>
      <c r="G303" s="3" t="s">
        <v>32</v>
      </c>
      <c r="H303" s="3" t="s">
        <v>33</v>
      </c>
      <c r="I303" s="3" t="s">
        <v>78</v>
      </c>
      <c r="J303" s="3" t="s">
        <v>35</v>
      </c>
      <c r="K303" s="3" t="s">
        <v>36</v>
      </c>
      <c r="L303" s="3" t="s">
        <v>51</v>
      </c>
      <c r="M303" s="3" t="s">
        <v>64</v>
      </c>
      <c r="N303" s="3" t="s">
        <v>39</v>
      </c>
      <c r="O303" s="3" t="s">
        <v>33</v>
      </c>
      <c r="P303" s="3" t="s">
        <v>53</v>
      </c>
      <c r="Q303" s="3" t="s">
        <v>39</v>
      </c>
      <c r="R303" s="5">
        <v>46140.735127314816</v>
      </c>
      <c r="S303" s="5">
        <v>46140.735138888886</v>
      </c>
      <c r="T303" s="3" t="s">
        <v>41</v>
      </c>
      <c r="U303" s="1" t="s">
        <v>83</v>
      </c>
      <c r="V303" s="1" t="s">
        <v>84</v>
      </c>
      <c r="W303" s="1" t="s">
        <v>1095</v>
      </c>
      <c r="X303" s="1" t="s">
        <v>1095</v>
      </c>
      <c r="Y303" s="1"/>
      <c r="Z303" s="1"/>
      <c r="AA303" s="1" t="s">
        <v>85</v>
      </c>
    </row>
    <row r="304" spans="1:27" ht="17.45" customHeight="1">
      <c r="A304" s="2" t="s">
        <v>1089</v>
      </c>
      <c r="B304" s="2" t="s">
        <v>181</v>
      </c>
      <c r="C304">
        <v>1</v>
      </c>
      <c r="D304" s="2" t="s">
        <v>29</v>
      </c>
      <c r="E304" s="2" t="s">
        <v>1096</v>
      </c>
      <c r="F304" s="2" t="s">
        <v>1094</v>
      </c>
      <c r="G304" s="2" t="s">
        <v>32</v>
      </c>
      <c r="H304" s="2" t="s">
        <v>33</v>
      </c>
      <c r="I304" s="2" t="s">
        <v>78</v>
      </c>
      <c r="J304" s="2" t="s">
        <v>35</v>
      </c>
      <c r="K304" s="2" t="s">
        <v>36</v>
      </c>
      <c r="L304" s="2" t="s">
        <v>51</v>
      </c>
      <c r="M304" s="2" t="s">
        <v>64</v>
      </c>
      <c r="N304" s="2" t="s">
        <v>39</v>
      </c>
      <c r="O304" s="2" t="s">
        <v>33</v>
      </c>
      <c r="P304" s="2" t="s">
        <v>53</v>
      </c>
      <c r="Q304" s="2" t="s">
        <v>39</v>
      </c>
      <c r="R304" s="4">
        <v>46140.735752314817</v>
      </c>
      <c r="S304" s="4">
        <v>46140.735752314817</v>
      </c>
      <c r="T304" s="2" t="s">
        <v>41</v>
      </c>
      <c r="U304" s="1" t="s">
        <v>83</v>
      </c>
      <c r="V304" s="1" t="s">
        <v>84</v>
      </c>
      <c r="W304" s="1" t="s">
        <v>1095</v>
      </c>
      <c r="X304" s="1" t="s">
        <v>1095</v>
      </c>
      <c r="Y304" s="1"/>
      <c r="Z304" s="1"/>
      <c r="AA304" s="1" t="s">
        <v>85</v>
      </c>
    </row>
    <row r="305" spans="1:27" ht="17.45" customHeight="1">
      <c r="A305" s="3" t="s">
        <v>1097</v>
      </c>
      <c r="B305" s="3" t="s">
        <v>181</v>
      </c>
      <c r="C305">
        <v>1</v>
      </c>
      <c r="D305" s="3" t="s">
        <v>29</v>
      </c>
      <c r="E305" s="3" t="s">
        <v>1098</v>
      </c>
      <c r="F305" s="3" t="s">
        <v>1099</v>
      </c>
      <c r="G305" s="3" t="s">
        <v>32</v>
      </c>
      <c r="H305" s="3" t="s">
        <v>33</v>
      </c>
      <c r="I305" s="3" t="s">
        <v>78</v>
      </c>
      <c r="J305" s="3" t="s">
        <v>35</v>
      </c>
      <c r="K305" s="3" t="s">
        <v>36</v>
      </c>
      <c r="L305" s="3" t="s">
        <v>51</v>
      </c>
      <c r="M305" s="3" t="s">
        <v>64</v>
      </c>
      <c r="N305" s="3" t="s">
        <v>39</v>
      </c>
      <c r="O305" s="3" t="s">
        <v>33</v>
      </c>
      <c r="P305" s="3" t="s">
        <v>53</v>
      </c>
      <c r="Q305" s="3" t="s">
        <v>39</v>
      </c>
      <c r="R305" s="5">
        <v>46140.740127314813</v>
      </c>
      <c r="S305" s="5">
        <v>46140.740127314813</v>
      </c>
      <c r="T305" s="3" t="s">
        <v>41</v>
      </c>
      <c r="U305" s="1" t="s">
        <v>42</v>
      </c>
      <c r="V305" s="1" t="s">
        <v>74</v>
      </c>
      <c r="W305" s="1" t="s">
        <v>1100</v>
      </c>
      <c r="X305" s="1" t="s">
        <v>1100</v>
      </c>
      <c r="Y305" s="1"/>
      <c r="Z305" s="1"/>
      <c r="AA305" s="1" t="s">
        <v>46</v>
      </c>
    </row>
    <row r="306" spans="1:27" ht="17.45" customHeight="1">
      <c r="A306" s="2" t="s">
        <v>204</v>
      </c>
      <c r="B306" s="2" t="s">
        <v>181</v>
      </c>
      <c r="C306">
        <v>1</v>
      </c>
      <c r="D306" s="2" t="s">
        <v>121</v>
      </c>
      <c r="E306" s="2" t="s">
        <v>1101</v>
      </c>
      <c r="F306" s="2" t="s">
        <v>1102</v>
      </c>
      <c r="G306" s="2" t="s">
        <v>32</v>
      </c>
      <c r="H306" s="2" t="s">
        <v>124</v>
      </c>
      <c r="I306" s="2" t="s">
        <v>33</v>
      </c>
      <c r="J306" s="2" t="s">
        <v>35</v>
      </c>
      <c r="K306" s="2" t="s">
        <v>36</v>
      </c>
      <c r="L306" s="2" t="s">
        <v>51</v>
      </c>
      <c r="M306" s="2" t="s">
        <v>64</v>
      </c>
      <c r="N306" s="2" t="s">
        <v>39</v>
      </c>
      <c r="O306" s="2" t="s">
        <v>124</v>
      </c>
      <c r="P306" s="2" t="s">
        <v>53</v>
      </c>
      <c r="Q306" s="2" t="s">
        <v>39</v>
      </c>
      <c r="R306" s="4">
        <v>46141.427777777775</v>
      </c>
      <c r="S306" s="4">
        <v>46141.436990740738</v>
      </c>
      <c r="T306" s="2" t="s">
        <v>41</v>
      </c>
      <c r="U306" s="1" t="s">
        <v>83</v>
      </c>
      <c r="V306" s="1" t="s">
        <v>84</v>
      </c>
      <c r="W306" s="1" t="s">
        <v>1102</v>
      </c>
      <c r="X306" s="1" t="s">
        <v>1102</v>
      </c>
      <c r="Y306" s="1"/>
      <c r="Z306" s="1"/>
      <c r="AA306" s="1" t="s">
        <v>85</v>
      </c>
    </row>
    <row r="307" spans="1:27" ht="17.45" customHeight="1">
      <c r="A307" s="3" t="s">
        <v>1103</v>
      </c>
      <c r="B307" s="3" t="s">
        <v>48</v>
      </c>
      <c r="C307">
        <v>1</v>
      </c>
      <c r="D307" s="3" t="s">
        <v>121</v>
      </c>
      <c r="E307" s="3" t="s">
        <v>1104</v>
      </c>
      <c r="F307" s="3" t="s">
        <v>211</v>
      </c>
      <c r="G307" s="3" t="s">
        <v>32</v>
      </c>
      <c r="H307" s="3" t="s">
        <v>124</v>
      </c>
      <c r="I307" s="3" t="s">
        <v>212</v>
      </c>
      <c r="J307" s="3" t="s">
        <v>35</v>
      </c>
      <c r="K307" s="3" t="s">
        <v>36</v>
      </c>
      <c r="L307" s="3" t="s">
        <v>37</v>
      </c>
      <c r="M307" s="3" t="s">
        <v>64</v>
      </c>
      <c r="N307" s="3" t="s">
        <v>39</v>
      </c>
      <c r="O307" s="3" t="s">
        <v>124</v>
      </c>
      <c r="P307" s="3" t="s">
        <v>53</v>
      </c>
      <c r="Q307" s="3" t="s">
        <v>39</v>
      </c>
      <c r="R307" s="5">
        <v>46141.428773148145</v>
      </c>
      <c r="S307" s="5">
        <v>46141.428773148145</v>
      </c>
      <c r="T307" s="3" t="s">
        <v>41</v>
      </c>
      <c r="U307" s="1" t="s">
        <v>65</v>
      </c>
      <c r="V307" s="1" t="s">
        <v>70</v>
      </c>
      <c r="W307" s="1" t="s">
        <v>211</v>
      </c>
      <c r="X307" s="1" t="s">
        <v>211</v>
      </c>
      <c r="Y307" s="1"/>
      <c r="Z307" s="1"/>
      <c r="AA307" s="1" t="s">
        <v>67</v>
      </c>
    </row>
    <row r="308" spans="1:27" ht="17.45" customHeight="1">
      <c r="A308" s="2" t="s">
        <v>204</v>
      </c>
      <c r="B308" s="2" t="s">
        <v>181</v>
      </c>
      <c r="C308">
        <v>1</v>
      </c>
      <c r="D308" s="2" t="s">
        <v>121</v>
      </c>
      <c r="E308" s="2" t="s">
        <v>1105</v>
      </c>
      <c r="F308" s="2" t="s">
        <v>1106</v>
      </c>
      <c r="G308" s="2" t="s">
        <v>32</v>
      </c>
      <c r="H308" s="2" t="s">
        <v>124</v>
      </c>
      <c r="I308" s="2" t="s">
        <v>33</v>
      </c>
      <c r="J308" s="2" t="s">
        <v>35</v>
      </c>
      <c r="K308" s="2" t="s">
        <v>36</v>
      </c>
      <c r="L308" s="2" t="s">
        <v>37</v>
      </c>
      <c r="M308" s="2" t="s">
        <v>52</v>
      </c>
      <c r="N308" s="2" t="s">
        <v>39</v>
      </c>
      <c r="O308" s="2" t="s">
        <v>124</v>
      </c>
      <c r="P308" s="2" t="s">
        <v>40</v>
      </c>
      <c r="Q308" s="2" t="s">
        <v>39</v>
      </c>
      <c r="R308" s="4">
        <v>46141.442766203705</v>
      </c>
      <c r="S308" s="4">
        <v>46141.444247685184</v>
      </c>
      <c r="T308" s="2" t="s">
        <v>41</v>
      </c>
      <c r="U308" s="1" t="s">
        <v>65</v>
      </c>
      <c r="V308" s="1" t="s">
        <v>70</v>
      </c>
      <c r="W308" s="1" t="s">
        <v>1107</v>
      </c>
      <c r="X308" s="1" t="s">
        <v>1108</v>
      </c>
      <c r="Y308" s="1"/>
      <c r="Z308" s="1"/>
      <c r="AA308" s="1" t="s">
        <v>67</v>
      </c>
    </row>
    <row r="309" spans="1:27" ht="17.45" customHeight="1">
      <c r="A309" s="3" t="s">
        <v>1109</v>
      </c>
      <c r="B309" s="3" t="s">
        <v>181</v>
      </c>
      <c r="C309">
        <v>1</v>
      </c>
      <c r="D309" s="3" t="s">
        <v>228</v>
      </c>
      <c r="E309" s="3" t="s">
        <v>1110</v>
      </c>
      <c r="F309" s="3" t="s">
        <v>1111</v>
      </c>
      <c r="G309" s="3" t="s">
        <v>32</v>
      </c>
      <c r="H309" s="3" t="s">
        <v>124</v>
      </c>
      <c r="I309" s="3" t="s">
        <v>124</v>
      </c>
      <c r="J309" s="3" t="s">
        <v>35</v>
      </c>
      <c r="K309" s="3" t="s">
        <v>36</v>
      </c>
      <c r="L309" s="3" t="s">
        <v>37</v>
      </c>
      <c r="M309" s="3" t="s">
        <v>52</v>
      </c>
      <c r="N309" s="3" t="s">
        <v>39</v>
      </c>
      <c r="O309" s="3" t="s">
        <v>124</v>
      </c>
      <c r="P309" s="3" t="s">
        <v>40</v>
      </c>
      <c r="Q309" s="3" t="s">
        <v>39</v>
      </c>
      <c r="R309" s="5">
        <v>46141.442986111113</v>
      </c>
      <c r="S309" s="5">
        <v>46141.442986111113</v>
      </c>
      <c r="T309" s="3" t="s">
        <v>41</v>
      </c>
      <c r="U309" s="1" t="s">
        <v>95</v>
      </c>
      <c r="V309" s="1" t="s">
        <v>96</v>
      </c>
      <c r="W309" s="1" t="s">
        <v>1112</v>
      </c>
      <c r="X309" s="1" t="s">
        <v>1113</v>
      </c>
      <c r="Y309" s="1"/>
      <c r="Z309" s="1"/>
      <c r="AA309" s="1" t="s">
        <v>98</v>
      </c>
    </row>
    <row r="310" spans="1:27" ht="17.45" customHeight="1">
      <c r="A310" s="2" t="s">
        <v>204</v>
      </c>
      <c r="B310" s="2" t="s">
        <v>181</v>
      </c>
      <c r="C310">
        <v>1</v>
      </c>
      <c r="D310" s="2" t="s">
        <v>121</v>
      </c>
      <c r="E310" s="2" t="s">
        <v>1114</v>
      </c>
      <c r="F310" s="2" t="s">
        <v>1115</v>
      </c>
      <c r="G310" s="2" t="s">
        <v>32</v>
      </c>
      <c r="H310" s="2" t="s">
        <v>124</v>
      </c>
      <c r="I310" s="2" t="s">
        <v>33</v>
      </c>
      <c r="J310" s="2" t="s">
        <v>35</v>
      </c>
      <c r="K310" s="2" t="s">
        <v>36</v>
      </c>
      <c r="L310" s="2" t="s">
        <v>51</v>
      </c>
      <c r="M310" s="2" t="s">
        <v>64</v>
      </c>
      <c r="N310" s="2" t="s">
        <v>39</v>
      </c>
      <c r="O310" s="2" t="s">
        <v>124</v>
      </c>
      <c r="P310" s="2" t="s">
        <v>53</v>
      </c>
      <c r="Q310" s="2" t="s">
        <v>39</v>
      </c>
      <c r="R310" s="4">
        <v>46141.459189814814</v>
      </c>
      <c r="S310" s="4">
        <v>46141.459189814814</v>
      </c>
      <c r="T310" s="2" t="s">
        <v>41</v>
      </c>
      <c r="U310" s="1" t="s">
        <v>263</v>
      </c>
      <c r="V310" s="1" t="s">
        <v>264</v>
      </c>
      <c r="W310" s="1" t="s">
        <v>1116</v>
      </c>
      <c r="X310" s="1" t="s">
        <v>1116</v>
      </c>
      <c r="Y310" s="1"/>
      <c r="Z310" s="1"/>
      <c r="AA310" s="1" t="s">
        <v>265</v>
      </c>
    </row>
    <row r="311" spans="1:27" ht="17.45" customHeight="1">
      <c r="A311" s="3" t="s">
        <v>326</v>
      </c>
      <c r="B311" s="3" t="s">
        <v>120</v>
      </c>
      <c r="C311">
        <v>1</v>
      </c>
      <c r="D311" s="3" t="s">
        <v>29</v>
      </c>
      <c r="E311" s="3" t="s">
        <v>1117</v>
      </c>
      <c r="F311" s="3" t="s">
        <v>328</v>
      </c>
      <c r="G311" s="3" t="s">
        <v>32</v>
      </c>
      <c r="H311" s="3" t="s">
        <v>33</v>
      </c>
      <c r="I311" s="3" t="s">
        <v>34</v>
      </c>
      <c r="J311" s="3" t="s">
        <v>35</v>
      </c>
      <c r="K311" s="3" t="s">
        <v>36</v>
      </c>
      <c r="L311" s="3" t="s">
        <v>51</v>
      </c>
      <c r="M311" s="3" t="s">
        <v>64</v>
      </c>
      <c r="N311" s="3" t="s">
        <v>39</v>
      </c>
      <c r="O311" s="3" t="s">
        <v>33</v>
      </c>
      <c r="P311" s="3" t="s">
        <v>53</v>
      </c>
      <c r="Q311" s="3" t="s">
        <v>39</v>
      </c>
      <c r="R311" s="5">
        <v>46141.45957175926</v>
      </c>
      <c r="S311" s="5">
        <v>46141.45957175926</v>
      </c>
      <c r="T311" s="3" t="s">
        <v>41</v>
      </c>
      <c r="U311" s="1" t="s">
        <v>95</v>
      </c>
      <c r="V311" s="1" t="s">
        <v>329</v>
      </c>
      <c r="W311" s="1" t="s">
        <v>328</v>
      </c>
      <c r="X311" s="1" t="s">
        <v>328</v>
      </c>
      <c r="Y311" s="1"/>
      <c r="Z311" s="1"/>
      <c r="AA311" s="1" t="s">
        <v>98</v>
      </c>
    </row>
    <row r="312" spans="1:27" ht="17.45" customHeight="1">
      <c r="A312" s="2" t="s">
        <v>326</v>
      </c>
      <c r="B312" s="2" t="s">
        <v>120</v>
      </c>
      <c r="C312">
        <v>1</v>
      </c>
      <c r="D312" s="2" t="s">
        <v>29</v>
      </c>
      <c r="E312" s="2" t="s">
        <v>1118</v>
      </c>
      <c r="F312" s="2" t="s">
        <v>1119</v>
      </c>
      <c r="G312" s="2" t="s">
        <v>32</v>
      </c>
      <c r="H312" s="2" t="s">
        <v>33</v>
      </c>
      <c r="I312" s="2" t="s">
        <v>34</v>
      </c>
      <c r="J312" s="2" t="s">
        <v>35</v>
      </c>
      <c r="K312" s="2" t="s">
        <v>36</v>
      </c>
      <c r="L312" s="2" t="s">
        <v>51</v>
      </c>
      <c r="M312" s="2" t="s">
        <v>64</v>
      </c>
      <c r="N312" s="2" t="s">
        <v>39</v>
      </c>
      <c r="O312" s="2" t="s">
        <v>33</v>
      </c>
      <c r="P312" s="2" t="s">
        <v>53</v>
      </c>
      <c r="Q312" s="2" t="s">
        <v>39</v>
      </c>
      <c r="R312" s="4">
        <v>46141.463599537034</v>
      </c>
      <c r="S312" s="4">
        <v>46141.463599537034</v>
      </c>
      <c r="T312" s="2" t="s">
        <v>41</v>
      </c>
      <c r="U312" s="1" t="s">
        <v>95</v>
      </c>
      <c r="V312" s="1" t="s">
        <v>96</v>
      </c>
      <c r="W312" s="1" t="s">
        <v>1119</v>
      </c>
      <c r="X312" s="1" t="s">
        <v>1119</v>
      </c>
      <c r="Y312" s="1"/>
      <c r="Z312" s="1"/>
      <c r="AA312" s="1" t="s">
        <v>98</v>
      </c>
    </row>
    <row r="313" spans="1:27" ht="17.45" customHeight="1">
      <c r="A313" s="3" t="s">
        <v>204</v>
      </c>
      <c r="B313" s="3" t="s">
        <v>181</v>
      </c>
      <c r="C313">
        <v>1</v>
      </c>
      <c r="D313" s="3" t="s">
        <v>121</v>
      </c>
      <c r="E313" s="3" t="s">
        <v>1120</v>
      </c>
      <c r="F313" s="3" t="s">
        <v>1121</v>
      </c>
      <c r="G313" s="3" t="s">
        <v>32</v>
      </c>
      <c r="H313" s="3" t="s">
        <v>124</v>
      </c>
      <c r="I313" s="3" t="s">
        <v>33</v>
      </c>
      <c r="J313" s="3" t="s">
        <v>35</v>
      </c>
      <c r="K313" s="3" t="s">
        <v>36</v>
      </c>
      <c r="L313" s="3" t="s">
        <v>51</v>
      </c>
      <c r="M313" s="3" t="s">
        <v>64</v>
      </c>
      <c r="N313" s="3" t="s">
        <v>39</v>
      </c>
      <c r="O313" s="3" t="s">
        <v>124</v>
      </c>
      <c r="P313" s="3" t="s">
        <v>53</v>
      </c>
      <c r="Q313" s="3" t="s">
        <v>39</v>
      </c>
      <c r="R313" s="5">
        <v>46141.471875000003</v>
      </c>
      <c r="S313" s="5">
        <v>46141.471875000003</v>
      </c>
      <c r="T313" s="3" t="s">
        <v>41</v>
      </c>
      <c r="U313" s="1" t="s">
        <v>83</v>
      </c>
      <c r="V313" s="1" t="s">
        <v>84</v>
      </c>
      <c r="W313" s="1" t="s">
        <v>1122</v>
      </c>
      <c r="X313" s="1" t="s">
        <v>1122</v>
      </c>
      <c r="Y313" s="1"/>
      <c r="Z313" s="1"/>
      <c r="AA313" s="1" t="s">
        <v>85</v>
      </c>
    </row>
    <row r="314" spans="1:27" ht="17.45" customHeight="1">
      <c r="A314" s="2" t="s">
        <v>357</v>
      </c>
      <c r="B314" s="2" t="s">
        <v>120</v>
      </c>
      <c r="C314">
        <v>1</v>
      </c>
      <c r="D314" s="2" t="s">
        <v>228</v>
      </c>
      <c r="E314" s="2" t="s">
        <v>1123</v>
      </c>
      <c r="F314" s="2" t="s">
        <v>1124</v>
      </c>
      <c r="G314" s="2" t="s">
        <v>32</v>
      </c>
      <c r="H314" s="2" t="s">
        <v>124</v>
      </c>
      <c r="I314" s="2" t="s">
        <v>124</v>
      </c>
      <c r="J314" s="2" t="s">
        <v>35</v>
      </c>
      <c r="K314" s="2" t="s">
        <v>36</v>
      </c>
      <c r="L314" s="2" t="s">
        <v>37</v>
      </c>
      <c r="M314" s="2" t="s">
        <v>64</v>
      </c>
      <c r="N314" s="2" t="s">
        <v>39</v>
      </c>
      <c r="O314" s="2" t="s">
        <v>124</v>
      </c>
      <c r="P314" s="2" t="s">
        <v>40</v>
      </c>
      <c r="Q314" s="2" t="s">
        <v>39</v>
      </c>
      <c r="R314" s="4">
        <v>46141.605763888889</v>
      </c>
      <c r="S314" s="4">
        <v>46141.610578703701</v>
      </c>
      <c r="T314" s="2" t="s">
        <v>41</v>
      </c>
      <c r="U314" s="1" t="s">
        <v>165</v>
      </c>
      <c r="V314" s="1" t="s">
        <v>625</v>
      </c>
      <c r="W314" s="1" t="s">
        <v>1124</v>
      </c>
      <c r="X314" s="1" t="s">
        <v>1124</v>
      </c>
      <c r="Y314" s="1"/>
      <c r="Z314" s="1"/>
      <c r="AA314" s="1" t="s">
        <v>169</v>
      </c>
    </row>
    <row r="315" spans="1:27" ht="17.45" customHeight="1">
      <c r="A315" s="3" t="s">
        <v>713</v>
      </c>
      <c r="B315" s="3" t="s">
        <v>28</v>
      </c>
      <c r="C315">
        <v>1</v>
      </c>
      <c r="D315" s="3" t="s">
        <v>228</v>
      </c>
      <c r="E315" s="3" t="s">
        <v>1125</v>
      </c>
      <c r="F315" s="3" t="s">
        <v>1126</v>
      </c>
      <c r="G315" s="3" t="s">
        <v>32</v>
      </c>
      <c r="H315" s="3" t="s">
        <v>124</v>
      </c>
      <c r="I315" s="3" t="s">
        <v>124</v>
      </c>
      <c r="J315" s="3" t="s">
        <v>35</v>
      </c>
      <c r="K315" s="3" t="s">
        <v>36</v>
      </c>
      <c r="L315" s="3" t="s">
        <v>51</v>
      </c>
      <c r="M315" s="3" t="s">
        <v>52</v>
      </c>
      <c r="N315" s="3" t="s">
        <v>39</v>
      </c>
      <c r="O315" s="3" t="s">
        <v>124</v>
      </c>
      <c r="P315" s="3" t="s">
        <v>40</v>
      </c>
      <c r="Q315" s="3" t="s">
        <v>39</v>
      </c>
      <c r="R315" s="5">
        <v>46141.62699074074</v>
      </c>
      <c r="S315" s="5">
        <v>46141.62699074074</v>
      </c>
      <c r="T315" s="3" t="s">
        <v>41</v>
      </c>
      <c r="U315" s="1" t="s">
        <v>42</v>
      </c>
      <c r="V315" s="1" t="s">
        <v>105</v>
      </c>
      <c r="W315" s="1" t="s">
        <v>1127</v>
      </c>
      <c r="X315" s="1" t="s">
        <v>1128</v>
      </c>
      <c r="Y315" s="1"/>
      <c r="Z315" s="1"/>
      <c r="AA315" s="1" t="s">
        <v>46</v>
      </c>
    </row>
    <row r="316" spans="1:27" ht="17.45" customHeight="1">
      <c r="A316" s="2" t="s">
        <v>1129</v>
      </c>
      <c r="B316" s="2" t="s">
        <v>120</v>
      </c>
      <c r="C316">
        <v>1</v>
      </c>
      <c r="D316" s="2" t="s">
        <v>228</v>
      </c>
      <c r="E316" s="2" t="s">
        <v>1130</v>
      </c>
      <c r="F316" s="2" t="s">
        <v>1131</v>
      </c>
      <c r="G316" s="2" t="s">
        <v>32</v>
      </c>
      <c r="H316" s="2" t="s">
        <v>124</v>
      </c>
      <c r="I316" s="2" t="s">
        <v>124</v>
      </c>
      <c r="J316" s="2" t="s">
        <v>35</v>
      </c>
      <c r="K316" s="2" t="s">
        <v>36</v>
      </c>
      <c r="L316" s="2" t="s">
        <v>37</v>
      </c>
      <c r="M316" s="2" t="s">
        <v>38</v>
      </c>
      <c r="N316" s="2" t="s">
        <v>39</v>
      </c>
      <c r="O316" s="2" t="s">
        <v>124</v>
      </c>
      <c r="P316" s="2" t="s">
        <v>40</v>
      </c>
      <c r="Q316" s="2" t="s">
        <v>39</v>
      </c>
      <c r="R316" s="4">
        <v>46141.630995370368</v>
      </c>
      <c r="S316" s="4">
        <v>46141.631006944444</v>
      </c>
      <c r="T316" s="2" t="s">
        <v>41</v>
      </c>
      <c r="U316" s="1" t="s">
        <v>83</v>
      </c>
      <c r="V316" s="1" t="s">
        <v>429</v>
      </c>
      <c r="W316" s="1" t="s">
        <v>1132</v>
      </c>
      <c r="X316" s="1" t="s">
        <v>1131</v>
      </c>
      <c r="Y316" s="1"/>
      <c r="Z316" s="1"/>
      <c r="AA316" s="1" t="s">
        <v>85</v>
      </c>
    </row>
    <row r="317" spans="1:27" ht="17.45" customHeight="1">
      <c r="A317" s="3" t="s">
        <v>1133</v>
      </c>
      <c r="B317" s="3" t="s">
        <v>48</v>
      </c>
      <c r="C317">
        <v>1</v>
      </c>
      <c r="D317" s="3" t="s">
        <v>228</v>
      </c>
      <c r="E317" s="3" t="s">
        <v>1134</v>
      </c>
      <c r="F317" s="3" t="s">
        <v>1135</v>
      </c>
      <c r="G317" s="3" t="s">
        <v>32</v>
      </c>
      <c r="H317" s="3" t="s">
        <v>124</v>
      </c>
      <c r="I317" s="3" t="s">
        <v>124</v>
      </c>
      <c r="J317" s="3" t="s">
        <v>35</v>
      </c>
      <c r="K317" s="3" t="s">
        <v>36</v>
      </c>
      <c r="L317" s="3" t="s">
        <v>37</v>
      </c>
      <c r="M317" s="3" t="s">
        <v>82</v>
      </c>
      <c r="N317" s="3" t="s">
        <v>39</v>
      </c>
      <c r="O317" s="3" t="s">
        <v>124</v>
      </c>
      <c r="P317" s="3" t="s">
        <v>53</v>
      </c>
      <c r="Q317" s="3" t="s">
        <v>39</v>
      </c>
      <c r="R317" s="5">
        <v>46141.641875000001</v>
      </c>
      <c r="S317" s="5">
        <v>46141.641875000001</v>
      </c>
      <c r="T317" s="3" t="s">
        <v>41</v>
      </c>
      <c r="U317" s="1" t="s">
        <v>115</v>
      </c>
      <c r="V317" s="1" t="s">
        <v>116</v>
      </c>
      <c r="W317" s="1" t="s">
        <v>1135</v>
      </c>
      <c r="X317" s="1" t="s">
        <v>1135</v>
      </c>
      <c r="Y317" s="1"/>
      <c r="Z317" s="1"/>
      <c r="AA317" s="1" t="s">
        <v>118</v>
      </c>
    </row>
    <row r="318" spans="1:27" ht="17.45" customHeight="1">
      <c r="A318" s="2" t="s">
        <v>1136</v>
      </c>
      <c r="B318" s="2" t="s">
        <v>28</v>
      </c>
      <c r="C318">
        <v>1</v>
      </c>
      <c r="D318" s="2" t="s">
        <v>228</v>
      </c>
      <c r="E318" s="2" t="s">
        <v>1137</v>
      </c>
      <c r="F318" s="2" t="s">
        <v>1138</v>
      </c>
      <c r="G318" s="2" t="s">
        <v>32</v>
      </c>
      <c r="H318" s="2" t="s">
        <v>124</v>
      </c>
      <c r="I318" s="2" t="s">
        <v>124</v>
      </c>
      <c r="J318" s="2" t="s">
        <v>35</v>
      </c>
      <c r="K318" s="2" t="s">
        <v>36</v>
      </c>
      <c r="L318" s="2" t="s">
        <v>51</v>
      </c>
      <c r="M318" s="2" t="s">
        <v>64</v>
      </c>
      <c r="N318" s="2" t="s">
        <v>39</v>
      </c>
      <c r="O318" s="2" t="s">
        <v>124</v>
      </c>
      <c r="P318" s="2" t="s">
        <v>53</v>
      </c>
      <c r="Q318" s="2" t="s">
        <v>39</v>
      </c>
      <c r="R318" s="4">
        <v>46142.548217592594</v>
      </c>
      <c r="S318" s="4">
        <v>46142.548217592594</v>
      </c>
      <c r="T318" s="2" t="s">
        <v>41</v>
      </c>
      <c r="U318" s="1" t="s">
        <v>42</v>
      </c>
      <c r="V318" s="1" t="s">
        <v>74</v>
      </c>
      <c r="W318" s="1" t="s">
        <v>1139</v>
      </c>
      <c r="X318" s="1" t="s">
        <v>1140</v>
      </c>
      <c r="Y318" s="1"/>
      <c r="Z318" s="1"/>
      <c r="AA318" s="1" t="s">
        <v>46</v>
      </c>
    </row>
    <row r="319" spans="1:27" ht="17.45" customHeight="1">
      <c r="A319" s="3" t="s">
        <v>603</v>
      </c>
      <c r="B319" s="3" t="s">
        <v>120</v>
      </c>
      <c r="C319">
        <v>1</v>
      </c>
      <c r="D319" s="3" t="s">
        <v>29</v>
      </c>
      <c r="E319" s="3" t="s">
        <v>1141</v>
      </c>
      <c r="F319" s="3" t="s">
        <v>1142</v>
      </c>
      <c r="G319" s="3" t="s">
        <v>32</v>
      </c>
      <c r="H319" s="3" t="s">
        <v>33</v>
      </c>
      <c r="I319" s="3" t="s">
        <v>34</v>
      </c>
      <c r="J319" s="3" t="s">
        <v>35</v>
      </c>
      <c r="K319" s="3" t="s">
        <v>36</v>
      </c>
      <c r="L319" s="3" t="s">
        <v>37</v>
      </c>
      <c r="M319" s="3" t="s">
        <v>64</v>
      </c>
      <c r="N319" s="3" t="s">
        <v>39</v>
      </c>
      <c r="O319" s="3" t="s">
        <v>33</v>
      </c>
      <c r="P319" s="3" t="s">
        <v>53</v>
      </c>
      <c r="Q319" s="3" t="s">
        <v>39</v>
      </c>
      <c r="R319" s="5">
        <v>46146.631990740738</v>
      </c>
      <c r="S319" s="5">
        <v>46146.631990740738</v>
      </c>
      <c r="T319" s="3" t="s">
        <v>41</v>
      </c>
      <c r="U319" s="1" t="s">
        <v>95</v>
      </c>
      <c r="V319" s="1" t="s">
        <v>96</v>
      </c>
      <c r="W319" s="1" t="s">
        <v>1143</v>
      </c>
      <c r="X319" s="1" t="s">
        <v>1142</v>
      </c>
      <c r="Y319" s="1"/>
      <c r="Z319" s="1"/>
      <c r="AA319" s="1" t="s">
        <v>98</v>
      </c>
    </row>
    <row r="320" spans="1:27" ht="17.45" customHeight="1">
      <c r="A320" s="2" t="s">
        <v>55</v>
      </c>
      <c r="B320" s="2" t="s">
        <v>48</v>
      </c>
      <c r="C320">
        <v>1</v>
      </c>
      <c r="D320" s="2" t="s">
        <v>29</v>
      </c>
      <c r="E320" s="2" t="s">
        <v>1144</v>
      </c>
      <c r="F320" s="2" t="s">
        <v>1145</v>
      </c>
      <c r="G320" s="2" t="s">
        <v>32</v>
      </c>
      <c r="H320" s="2" t="s">
        <v>33</v>
      </c>
      <c r="I320" s="2" t="s">
        <v>33</v>
      </c>
      <c r="J320" s="2" t="s">
        <v>35</v>
      </c>
      <c r="K320" s="2" t="s">
        <v>36</v>
      </c>
      <c r="L320" s="2" t="s">
        <v>37</v>
      </c>
      <c r="M320" s="2" t="s">
        <v>141</v>
      </c>
      <c r="N320" s="2" t="s">
        <v>39</v>
      </c>
      <c r="O320" s="2" t="s">
        <v>33</v>
      </c>
      <c r="P320" s="2" t="s">
        <v>53</v>
      </c>
      <c r="Q320" s="2" t="s">
        <v>39</v>
      </c>
      <c r="R320" s="4">
        <v>46148.37605324074</v>
      </c>
      <c r="S320" s="4">
        <v>46148.37605324074</v>
      </c>
      <c r="T320" s="2" t="s">
        <v>41</v>
      </c>
      <c r="U320" s="1" t="s">
        <v>95</v>
      </c>
      <c r="V320" s="1" t="s">
        <v>96</v>
      </c>
      <c r="W320" s="1" t="s">
        <v>1146</v>
      </c>
      <c r="X320" s="1" t="s">
        <v>1145</v>
      </c>
      <c r="Y320" s="1"/>
      <c r="Z320" s="1"/>
      <c r="AA320" s="1" t="s">
        <v>98</v>
      </c>
    </row>
    <row r="321" spans="1:27" ht="17.45" customHeight="1">
      <c r="A321" s="3" t="s">
        <v>99</v>
      </c>
      <c r="B321" s="3" t="s">
        <v>48</v>
      </c>
      <c r="C321">
        <v>1</v>
      </c>
      <c r="D321" s="3" t="s">
        <v>29</v>
      </c>
      <c r="E321" s="3" t="s">
        <v>1147</v>
      </c>
      <c r="F321" s="3" t="s">
        <v>1148</v>
      </c>
      <c r="G321" s="3" t="s">
        <v>32</v>
      </c>
      <c r="H321" s="3" t="s">
        <v>33</v>
      </c>
      <c r="I321" s="3" t="s">
        <v>33</v>
      </c>
      <c r="J321" s="3" t="s">
        <v>35</v>
      </c>
      <c r="K321" s="3" t="s">
        <v>36</v>
      </c>
      <c r="L321" s="3" t="s">
        <v>37</v>
      </c>
      <c r="M321" s="3" t="s">
        <v>64</v>
      </c>
      <c r="N321" s="3" t="s">
        <v>39</v>
      </c>
      <c r="O321" s="3" t="s">
        <v>33</v>
      </c>
      <c r="P321" s="3" t="s">
        <v>53</v>
      </c>
      <c r="Q321" s="3" t="s">
        <v>39</v>
      </c>
      <c r="R321" s="5">
        <v>46148.401099537034</v>
      </c>
      <c r="S321" s="5">
        <v>46148.401099537034</v>
      </c>
      <c r="T321" s="3" t="s">
        <v>41</v>
      </c>
      <c r="U321" s="1" t="s">
        <v>569</v>
      </c>
      <c r="V321" s="1" t="s">
        <v>570</v>
      </c>
      <c r="W321" s="1" t="s">
        <v>1148</v>
      </c>
      <c r="X321" s="1" t="s">
        <v>1148</v>
      </c>
      <c r="Y321" s="1"/>
      <c r="Z321" s="1"/>
      <c r="AA321" s="1" t="s">
        <v>573</v>
      </c>
    </row>
    <row r="322" spans="1:27" ht="17.45" customHeight="1">
      <c r="A322" s="2" t="s">
        <v>1149</v>
      </c>
      <c r="B322" s="2" t="s">
        <v>120</v>
      </c>
      <c r="C322">
        <v>1</v>
      </c>
      <c r="D322" s="2" t="s">
        <v>121</v>
      </c>
      <c r="E322" s="2" t="s">
        <v>1150</v>
      </c>
      <c r="F322" s="2" t="s">
        <v>1151</v>
      </c>
      <c r="G322" s="2" t="s">
        <v>32</v>
      </c>
      <c r="H322" s="2" t="s">
        <v>124</v>
      </c>
      <c r="I322" s="2" t="s">
        <v>157</v>
      </c>
      <c r="J322" s="2" t="s">
        <v>35</v>
      </c>
      <c r="K322" s="2" t="s">
        <v>36</v>
      </c>
      <c r="L322" s="2" t="s">
        <v>51</v>
      </c>
      <c r="M322" s="2" t="s">
        <v>64</v>
      </c>
      <c r="N322" s="2" t="s">
        <v>39</v>
      </c>
      <c r="O322" s="2" t="s">
        <v>124</v>
      </c>
      <c r="P322" s="2" t="s">
        <v>53</v>
      </c>
      <c r="Q322" s="2" t="s">
        <v>39</v>
      </c>
      <c r="R322" s="4">
        <v>46148.440601851849</v>
      </c>
      <c r="S322" s="4">
        <v>46148.440601851849</v>
      </c>
      <c r="T322" s="2" t="s">
        <v>41</v>
      </c>
      <c r="U322" s="1" t="s">
        <v>243</v>
      </c>
      <c r="V322" s="1" t="s">
        <v>302</v>
      </c>
      <c r="W322" s="1" t="s">
        <v>1152</v>
      </c>
      <c r="X322" s="1" t="s">
        <v>502</v>
      </c>
      <c r="Y322" s="1"/>
      <c r="Z322" s="1"/>
      <c r="AA322" s="1" t="s">
        <v>246</v>
      </c>
    </row>
    <row r="323" spans="1:27" ht="17.45" customHeight="1">
      <c r="A323" s="3" t="s">
        <v>367</v>
      </c>
      <c r="B323" s="3" t="s">
        <v>48</v>
      </c>
      <c r="C323">
        <v>1</v>
      </c>
      <c r="D323" s="3" t="s">
        <v>29</v>
      </c>
      <c r="E323" s="3" t="s">
        <v>1153</v>
      </c>
      <c r="F323" s="3" t="s">
        <v>1154</v>
      </c>
      <c r="G323" s="3" t="s">
        <v>32</v>
      </c>
      <c r="H323" s="3" t="s">
        <v>33</v>
      </c>
      <c r="I323" s="3" t="s">
        <v>33</v>
      </c>
      <c r="J323" s="3" t="s">
        <v>35</v>
      </c>
      <c r="K323" s="3" t="s">
        <v>36</v>
      </c>
      <c r="L323" s="3" t="s">
        <v>37</v>
      </c>
      <c r="M323" s="3" t="s">
        <v>64</v>
      </c>
      <c r="N323" s="3" t="s">
        <v>39</v>
      </c>
      <c r="O323" s="3" t="s">
        <v>33</v>
      </c>
      <c r="P323" s="3" t="s">
        <v>53</v>
      </c>
      <c r="Q323" s="3" t="s">
        <v>39</v>
      </c>
      <c r="R323" s="5">
        <v>46148.453611111108</v>
      </c>
      <c r="S323" s="5">
        <v>46148.453611111108</v>
      </c>
      <c r="T323" s="3" t="s">
        <v>41</v>
      </c>
      <c r="U323" s="1" t="s">
        <v>115</v>
      </c>
      <c r="V323" s="1" t="s">
        <v>116</v>
      </c>
      <c r="W323" s="1" t="s">
        <v>1154</v>
      </c>
      <c r="X323" s="1" t="s">
        <v>1154</v>
      </c>
      <c r="Y323" s="1"/>
      <c r="Z323" s="1"/>
      <c r="AA323" s="1" t="s">
        <v>118</v>
      </c>
    </row>
    <row r="324" spans="1:27" ht="17.45" customHeight="1">
      <c r="A324" s="2" t="s">
        <v>370</v>
      </c>
      <c r="B324" s="2" t="s">
        <v>48</v>
      </c>
      <c r="C324">
        <v>1</v>
      </c>
      <c r="D324" s="2" t="s">
        <v>29</v>
      </c>
      <c r="E324" s="2" t="s">
        <v>1155</v>
      </c>
      <c r="F324" s="2" t="s">
        <v>1156</v>
      </c>
      <c r="G324" s="2" t="s">
        <v>32</v>
      </c>
      <c r="H324" s="2" t="s">
        <v>33</v>
      </c>
      <c r="I324" s="2" t="s">
        <v>33</v>
      </c>
      <c r="J324" s="2" t="s">
        <v>35</v>
      </c>
      <c r="K324" s="2" t="s">
        <v>36</v>
      </c>
      <c r="L324" s="2" t="s">
        <v>51</v>
      </c>
      <c r="M324" s="2" t="s">
        <v>64</v>
      </c>
      <c r="N324" s="2" t="s">
        <v>39</v>
      </c>
      <c r="O324" s="2" t="s">
        <v>33</v>
      </c>
      <c r="P324" s="2" t="s">
        <v>53</v>
      </c>
      <c r="Q324" s="2" t="s">
        <v>39</v>
      </c>
      <c r="R324" s="4">
        <v>46148.460787037038</v>
      </c>
      <c r="S324" s="4">
        <v>46148.460798611108</v>
      </c>
      <c r="T324" s="2" t="s">
        <v>41</v>
      </c>
      <c r="U324" s="1" t="s">
        <v>95</v>
      </c>
      <c r="V324" s="1" t="s">
        <v>96</v>
      </c>
      <c r="W324" s="1" t="s">
        <v>1156</v>
      </c>
      <c r="X324" s="1" t="s">
        <v>1156</v>
      </c>
      <c r="Y324" s="1"/>
      <c r="Z324" s="1"/>
      <c r="AA324" s="1" t="s">
        <v>98</v>
      </c>
    </row>
    <row r="325" spans="1:27" ht="17.45" customHeight="1">
      <c r="A325" s="3" t="s">
        <v>1157</v>
      </c>
      <c r="B325" s="3" t="s">
        <v>181</v>
      </c>
      <c r="C325">
        <v>1</v>
      </c>
      <c r="D325" s="3" t="s">
        <v>228</v>
      </c>
      <c r="E325" s="3" t="s">
        <v>1158</v>
      </c>
      <c r="F325" s="3" t="s">
        <v>1159</v>
      </c>
      <c r="G325" s="3" t="s">
        <v>32</v>
      </c>
      <c r="H325" s="3" t="s">
        <v>124</v>
      </c>
      <c r="I325" s="3" t="s">
        <v>124</v>
      </c>
      <c r="J325" s="3" t="s">
        <v>35</v>
      </c>
      <c r="K325" s="3" t="s">
        <v>36</v>
      </c>
      <c r="L325" s="3" t="s">
        <v>37</v>
      </c>
      <c r="M325" s="3" t="s">
        <v>38</v>
      </c>
      <c r="N325" s="3" t="s">
        <v>39</v>
      </c>
      <c r="O325" s="3" t="s">
        <v>124</v>
      </c>
      <c r="P325" s="3" t="s">
        <v>53</v>
      </c>
      <c r="Q325" s="3" t="s">
        <v>39</v>
      </c>
      <c r="R325" s="5">
        <v>46148.46130787037</v>
      </c>
      <c r="S325" s="5">
        <v>46148.46130787037</v>
      </c>
      <c r="T325" s="3" t="s">
        <v>41</v>
      </c>
      <c r="U325" s="1" t="s">
        <v>42</v>
      </c>
      <c r="V325" s="1" t="s">
        <v>105</v>
      </c>
      <c r="W325" s="1" t="s">
        <v>1160</v>
      </c>
      <c r="X325" s="1" t="s">
        <v>1161</v>
      </c>
      <c r="Y325" s="1"/>
      <c r="Z325" s="1"/>
      <c r="AA325" s="1" t="s">
        <v>46</v>
      </c>
    </row>
    <row r="326" spans="1:27" ht="17.45" customHeight="1">
      <c r="A326" s="2" t="s">
        <v>370</v>
      </c>
      <c r="B326" s="2" t="s">
        <v>48</v>
      </c>
      <c r="C326">
        <v>1</v>
      </c>
      <c r="D326" s="2" t="s">
        <v>29</v>
      </c>
      <c r="E326" s="2" t="s">
        <v>1162</v>
      </c>
      <c r="F326" s="2" t="s">
        <v>1163</v>
      </c>
      <c r="G326" s="2" t="s">
        <v>32</v>
      </c>
      <c r="H326" s="2" t="s">
        <v>33</v>
      </c>
      <c r="I326" s="2" t="s">
        <v>33</v>
      </c>
      <c r="J326" s="2" t="s">
        <v>35</v>
      </c>
      <c r="K326" s="2" t="s">
        <v>36</v>
      </c>
      <c r="L326" s="2" t="s">
        <v>37</v>
      </c>
      <c r="M326" s="2" t="s">
        <v>64</v>
      </c>
      <c r="N326" s="2" t="s">
        <v>39</v>
      </c>
      <c r="O326" s="2" t="s">
        <v>33</v>
      </c>
      <c r="P326" s="2" t="s">
        <v>53</v>
      </c>
      <c r="Q326" s="2" t="s">
        <v>39</v>
      </c>
      <c r="R326" s="4">
        <v>46148.46607638889</v>
      </c>
      <c r="S326" s="4">
        <v>46148.466956018521</v>
      </c>
      <c r="T326" s="2" t="s">
        <v>41</v>
      </c>
      <c r="U326" s="1" t="s">
        <v>115</v>
      </c>
      <c r="V326" s="1" t="s">
        <v>116</v>
      </c>
      <c r="W326" s="1" t="s">
        <v>1163</v>
      </c>
      <c r="X326" s="1" t="s">
        <v>1163</v>
      </c>
      <c r="Y326" s="1"/>
      <c r="Z326" s="1"/>
      <c r="AA326" s="1" t="s">
        <v>118</v>
      </c>
    </row>
    <row r="327" spans="1:27" ht="17.45" customHeight="1">
      <c r="A327" s="3" t="s">
        <v>313</v>
      </c>
      <c r="B327" s="3" t="s">
        <v>48</v>
      </c>
      <c r="C327">
        <v>1</v>
      </c>
      <c r="D327" s="3" t="s">
        <v>121</v>
      </c>
      <c r="E327" s="3" t="s">
        <v>1164</v>
      </c>
      <c r="F327" s="3" t="s">
        <v>1165</v>
      </c>
      <c r="G327" s="3" t="s">
        <v>32</v>
      </c>
      <c r="H327" s="3" t="s">
        <v>124</v>
      </c>
      <c r="I327" s="3" t="s">
        <v>212</v>
      </c>
      <c r="J327" s="3" t="s">
        <v>35</v>
      </c>
      <c r="K327" s="3" t="s">
        <v>36</v>
      </c>
      <c r="L327" s="3" t="s">
        <v>51</v>
      </c>
      <c r="M327" s="3" t="s">
        <v>64</v>
      </c>
      <c r="N327" s="3" t="s">
        <v>39</v>
      </c>
      <c r="O327" s="3" t="s">
        <v>124</v>
      </c>
      <c r="P327" s="3" t="s">
        <v>53</v>
      </c>
      <c r="Q327" s="3" t="s">
        <v>39</v>
      </c>
      <c r="R327" s="5">
        <v>46148.56386574074</v>
      </c>
      <c r="S327" s="5">
        <v>46148.563877314817</v>
      </c>
      <c r="T327" s="3" t="s">
        <v>41</v>
      </c>
      <c r="U327" s="1" t="s">
        <v>59</v>
      </c>
      <c r="V327" s="1" t="s">
        <v>60</v>
      </c>
      <c r="W327" s="1" t="s">
        <v>1166</v>
      </c>
      <c r="X327" s="1" t="s">
        <v>1167</v>
      </c>
      <c r="Y327" s="1"/>
      <c r="Z327" s="1"/>
      <c r="AA327" s="1" t="s">
        <v>61</v>
      </c>
    </row>
    <row r="328" spans="1:27" ht="17.45" customHeight="1">
      <c r="A328" s="2" t="s">
        <v>973</v>
      </c>
      <c r="B328" s="2" t="s">
        <v>48</v>
      </c>
      <c r="C328">
        <v>1</v>
      </c>
      <c r="D328" s="2" t="s">
        <v>29</v>
      </c>
      <c r="E328" s="2" t="s">
        <v>1168</v>
      </c>
      <c r="F328" s="2" t="s">
        <v>1169</v>
      </c>
      <c r="G328" s="2" t="s">
        <v>32</v>
      </c>
      <c r="H328" s="2" t="s">
        <v>33</v>
      </c>
      <c r="I328" s="2" t="s">
        <v>33</v>
      </c>
      <c r="J328" s="2" t="s">
        <v>35</v>
      </c>
      <c r="K328" s="2" t="s">
        <v>36</v>
      </c>
      <c r="L328" s="2" t="s">
        <v>51</v>
      </c>
      <c r="M328" s="2" t="s">
        <v>141</v>
      </c>
      <c r="N328" s="2" t="s">
        <v>39</v>
      </c>
      <c r="O328" s="2" t="s">
        <v>33</v>
      </c>
      <c r="P328" s="2" t="s">
        <v>53</v>
      </c>
      <c r="Q328" s="2" t="s">
        <v>39</v>
      </c>
      <c r="R328" s="4">
        <v>46148.695937500001</v>
      </c>
      <c r="S328" s="4">
        <v>46148.695937500001</v>
      </c>
      <c r="T328" s="2" t="s">
        <v>41</v>
      </c>
      <c r="U328" s="1" t="s">
        <v>165</v>
      </c>
      <c r="V328" s="1" t="s">
        <v>625</v>
      </c>
      <c r="W328" s="1" t="s">
        <v>1170</v>
      </c>
      <c r="X328" s="1" t="s">
        <v>1171</v>
      </c>
      <c r="Y328" s="1"/>
      <c r="Z328" s="1"/>
      <c r="AA328" s="1" t="s">
        <v>169</v>
      </c>
    </row>
    <row r="329" spans="1:27" ht="17.45" customHeight="1">
      <c r="A329" s="3" t="s">
        <v>973</v>
      </c>
      <c r="B329" s="3" t="s">
        <v>48</v>
      </c>
      <c r="C329">
        <v>1</v>
      </c>
      <c r="D329" s="3" t="s">
        <v>29</v>
      </c>
      <c r="E329" s="3" t="s">
        <v>1172</v>
      </c>
      <c r="F329" s="3" t="s">
        <v>1173</v>
      </c>
      <c r="G329" s="3" t="s">
        <v>32</v>
      </c>
      <c r="H329" s="3" t="s">
        <v>33</v>
      </c>
      <c r="I329" s="3" t="s">
        <v>33</v>
      </c>
      <c r="J329" s="3" t="s">
        <v>35</v>
      </c>
      <c r="K329" s="3" t="s">
        <v>36</v>
      </c>
      <c r="L329" s="3" t="s">
        <v>51</v>
      </c>
      <c r="M329" s="3" t="s">
        <v>64</v>
      </c>
      <c r="N329" s="3" t="s">
        <v>39</v>
      </c>
      <c r="O329" s="3" t="s">
        <v>33</v>
      </c>
      <c r="P329" s="3" t="s">
        <v>53</v>
      </c>
      <c r="Q329" s="3" t="s">
        <v>39</v>
      </c>
      <c r="R329" s="5">
        <v>46148.697500000002</v>
      </c>
      <c r="S329" s="5">
        <v>46148.697500000002</v>
      </c>
      <c r="T329" s="3" t="s">
        <v>41</v>
      </c>
      <c r="U329" s="1" t="s">
        <v>263</v>
      </c>
      <c r="V329" s="1" t="s">
        <v>264</v>
      </c>
      <c r="W329" s="1" t="s">
        <v>1173</v>
      </c>
      <c r="X329" s="1" t="s">
        <v>1173</v>
      </c>
      <c r="Y329" s="1"/>
      <c r="Z329" s="1"/>
      <c r="AA329" s="1" t="s">
        <v>265</v>
      </c>
    </row>
    <row r="330" spans="1:27" ht="17.45" customHeight="1">
      <c r="A330" s="2" t="s">
        <v>991</v>
      </c>
      <c r="B330" s="2" t="s">
        <v>28</v>
      </c>
      <c r="C330">
        <v>1</v>
      </c>
      <c r="D330" s="2" t="s">
        <v>121</v>
      </c>
      <c r="E330" s="2" t="s">
        <v>1174</v>
      </c>
      <c r="F330" s="2" t="s">
        <v>1175</v>
      </c>
      <c r="G330" s="2" t="s">
        <v>32</v>
      </c>
      <c r="H330" s="2" t="s">
        <v>124</v>
      </c>
      <c r="I330" s="2" t="s">
        <v>192</v>
      </c>
      <c r="J330" s="2" t="s">
        <v>35</v>
      </c>
      <c r="K330" s="2" t="s">
        <v>36</v>
      </c>
      <c r="L330" s="2" t="s">
        <v>51</v>
      </c>
      <c r="M330" s="2" t="s">
        <v>64</v>
      </c>
      <c r="N330" s="2" t="s">
        <v>39</v>
      </c>
      <c r="O330" s="2" t="s">
        <v>124</v>
      </c>
      <c r="P330" s="2" t="s">
        <v>53</v>
      </c>
      <c r="Q330" s="2" t="s">
        <v>39</v>
      </c>
      <c r="R330" s="4">
        <v>46149.384409722225</v>
      </c>
      <c r="S330" s="4">
        <v>46149.384409722225</v>
      </c>
      <c r="T330" s="2" t="s">
        <v>41</v>
      </c>
      <c r="U330" s="1" t="s">
        <v>95</v>
      </c>
      <c r="V330" s="1" t="s">
        <v>96</v>
      </c>
      <c r="W330" s="1" t="s">
        <v>1176</v>
      </c>
      <c r="X330" s="1" t="s">
        <v>1177</v>
      </c>
      <c r="Y330" s="1"/>
      <c r="Z330" s="1"/>
      <c r="AA330" s="1" t="s">
        <v>98</v>
      </c>
    </row>
    <row r="331" spans="1:27" ht="17.45" customHeight="1">
      <c r="A331" s="3" t="s">
        <v>646</v>
      </c>
      <c r="B331" s="3" t="s">
        <v>28</v>
      </c>
      <c r="C331">
        <v>1</v>
      </c>
      <c r="D331" s="3" t="s">
        <v>29</v>
      </c>
      <c r="E331" s="3" t="s">
        <v>1178</v>
      </c>
      <c r="F331" s="3" t="s">
        <v>1179</v>
      </c>
      <c r="G331" s="3" t="s">
        <v>32</v>
      </c>
      <c r="H331" s="3" t="s">
        <v>33</v>
      </c>
      <c r="I331" s="3" t="s">
        <v>34</v>
      </c>
      <c r="J331" s="3" t="s">
        <v>35</v>
      </c>
      <c r="K331" s="3" t="s">
        <v>36</v>
      </c>
      <c r="L331" s="3" t="s">
        <v>37</v>
      </c>
      <c r="M331" s="3" t="s">
        <v>64</v>
      </c>
      <c r="N331" s="3" t="s">
        <v>39</v>
      </c>
      <c r="O331" s="3" t="s">
        <v>33</v>
      </c>
      <c r="P331" s="3" t="s">
        <v>53</v>
      </c>
      <c r="Q331" s="3" t="s">
        <v>39</v>
      </c>
      <c r="R331" s="5">
        <v>46149.407754629632</v>
      </c>
      <c r="S331" s="5">
        <v>46149.407754629632</v>
      </c>
      <c r="T331" s="3" t="s">
        <v>41</v>
      </c>
      <c r="U331" s="1" t="s">
        <v>115</v>
      </c>
      <c r="V331" s="1" t="s">
        <v>116</v>
      </c>
      <c r="W331" s="1" t="s">
        <v>1179</v>
      </c>
      <c r="X331" s="1" t="s">
        <v>1179</v>
      </c>
      <c r="Y331" s="1"/>
      <c r="Z331" s="1"/>
      <c r="AA331" s="1" t="s">
        <v>118</v>
      </c>
    </row>
    <row r="332" spans="1:27" ht="17.45" customHeight="1">
      <c r="A332" s="2" t="s">
        <v>1180</v>
      </c>
      <c r="B332" s="2" t="s">
        <v>28</v>
      </c>
      <c r="C332">
        <v>1</v>
      </c>
      <c r="D332" s="2" t="s">
        <v>29</v>
      </c>
      <c r="E332" s="2" t="s">
        <v>1181</v>
      </c>
      <c r="F332" s="2" t="s">
        <v>1182</v>
      </c>
      <c r="G332" s="2" t="s">
        <v>32</v>
      </c>
      <c r="H332" s="2" t="s">
        <v>33</v>
      </c>
      <c r="I332" s="2" t="s">
        <v>78</v>
      </c>
      <c r="J332" s="2" t="s">
        <v>35</v>
      </c>
      <c r="K332" s="2" t="s">
        <v>36</v>
      </c>
      <c r="L332" s="2" t="s">
        <v>37</v>
      </c>
      <c r="M332" s="2" t="s">
        <v>64</v>
      </c>
      <c r="N332" s="2" t="s">
        <v>39</v>
      </c>
      <c r="O332" s="2" t="s">
        <v>33</v>
      </c>
      <c r="P332" s="2" t="s">
        <v>53</v>
      </c>
      <c r="Q332" s="2" t="s">
        <v>39</v>
      </c>
      <c r="R332" s="4">
        <v>46149.426817129628</v>
      </c>
      <c r="S332" s="4">
        <v>46149.426817129628</v>
      </c>
      <c r="T332" s="2" t="s">
        <v>41</v>
      </c>
      <c r="U332" s="1" t="s">
        <v>95</v>
      </c>
      <c r="V332" s="1" t="s">
        <v>96</v>
      </c>
      <c r="W332" s="1" t="s">
        <v>1182</v>
      </c>
      <c r="X332" s="1" t="s">
        <v>1182</v>
      </c>
      <c r="Y332" s="1"/>
      <c r="Z332" s="1"/>
      <c r="AA332" s="1" t="s">
        <v>98</v>
      </c>
    </row>
    <row r="333" spans="1:27" ht="17.45" customHeight="1">
      <c r="A333" s="3" t="s">
        <v>699</v>
      </c>
      <c r="B333" s="3" t="s">
        <v>181</v>
      </c>
      <c r="C333">
        <v>1</v>
      </c>
      <c r="D333" s="3" t="s">
        <v>121</v>
      </c>
      <c r="E333" s="3" t="s">
        <v>1183</v>
      </c>
      <c r="F333" s="3" t="s">
        <v>653</v>
      </c>
      <c r="G333" s="3" t="s">
        <v>32</v>
      </c>
      <c r="H333" s="3" t="s">
        <v>124</v>
      </c>
      <c r="I333" s="3" t="s">
        <v>147</v>
      </c>
      <c r="J333" s="3" t="s">
        <v>35</v>
      </c>
      <c r="K333" s="3" t="s">
        <v>36</v>
      </c>
      <c r="L333" s="3" t="s">
        <v>51</v>
      </c>
      <c r="M333" s="3" t="s">
        <v>64</v>
      </c>
      <c r="N333" s="3" t="s">
        <v>39</v>
      </c>
      <c r="O333" s="3" t="s">
        <v>124</v>
      </c>
      <c r="P333" s="3" t="s">
        <v>53</v>
      </c>
      <c r="Q333" s="3" t="s">
        <v>39</v>
      </c>
      <c r="R333" s="5">
        <v>46149.427731481483</v>
      </c>
      <c r="S333" s="5">
        <v>46149.427731481483</v>
      </c>
      <c r="T333" s="3" t="s">
        <v>41</v>
      </c>
      <c r="U333" s="1" t="s">
        <v>272</v>
      </c>
      <c r="V333" s="1" t="s">
        <v>273</v>
      </c>
      <c r="W333" s="1" t="s">
        <v>653</v>
      </c>
      <c r="X333" s="1" t="s">
        <v>653</v>
      </c>
      <c r="Y333" s="1"/>
      <c r="Z333" s="1"/>
      <c r="AA333" s="1" t="s">
        <v>274</v>
      </c>
    </row>
    <row r="334" spans="1:27" ht="17.45" customHeight="1">
      <c r="A334" s="2" t="s">
        <v>1184</v>
      </c>
      <c r="B334" s="2" t="s">
        <v>181</v>
      </c>
      <c r="C334">
        <v>1</v>
      </c>
      <c r="D334" s="2" t="s">
        <v>121</v>
      </c>
      <c r="E334" s="2" t="s">
        <v>1185</v>
      </c>
      <c r="F334" s="2" t="s">
        <v>1186</v>
      </c>
      <c r="G334" s="2" t="s">
        <v>32</v>
      </c>
      <c r="H334" s="2" t="s">
        <v>124</v>
      </c>
      <c r="I334" s="2" t="s">
        <v>147</v>
      </c>
      <c r="J334" s="2" t="s">
        <v>35</v>
      </c>
      <c r="K334" s="2" t="s">
        <v>36</v>
      </c>
      <c r="L334" s="2" t="s">
        <v>51</v>
      </c>
      <c r="M334" s="2" t="s">
        <v>64</v>
      </c>
      <c r="N334" s="2" t="s">
        <v>39</v>
      </c>
      <c r="O334" s="2" t="s">
        <v>124</v>
      </c>
      <c r="P334" s="2" t="s">
        <v>53</v>
      </c>
      <c r="Q334" s="2" t="s">
        <v>39</v>
      </c>
      <c r="R334" s="4">
        <v>46149.428043981483</v>
      </c>
      <c r="S334" s="4">
        <v>46149.428043981483</v>
      </c>
      <c r="T334" s="2" t="s">
        <v>41</v>
      </c>
      <c r="U334" s="1" t="s">
        <v>272</v>
      </c>
      <c r="V334" s="1" t="s">
        <v>273</v>
      </c>
      <c r="W334" s="1" t="s">
        <v>1186</v>
      </c>
      <c r="X334" s="1" t="s">
        <v>1186</v>
      </c>
      <c r="Y334" s="1"/>
      <c r="Z334" s="1"/>
      <c r="AA334" s="1" t="s">
        <v>274</v>
      </c>
    </row>
    <row r="335" spans="1:27" ht="17.45" customHeight="1">
      <c r="A335" s="3" t="s">
        <v>1187</v>
      </c>
      <c r="B335" s="3" t="s">
        <v>181</v>
      </c>
      <c r="C335">
        <v>1</v>
      </c>
      <c r="D335" s="3" t="s">
        <v>121</v>
      </c>
      <c r="E335" s="3" t="s">
        <v>1188</v>
      </c>
      <c r="F335" s="3" t="s">
        <v>1186</v>
      </c>
      <c r="G335" s="3" t="s">
        <v>32</v>
      </c>
      <c r="H335" s="3" t="s">
        <v>124</v>
      </c>
      <c r="I335" s="3" t="s">
        <v>157</v>
      </c>
      <c r="J335" s="3" t="s">
        <v>35</v>
      </c>
      <c r="K335" s="3" t="s">
        <v>36</v>
      </c>
      <c r="L335" s="3" t="s">
        <v>51</v>
      </c>
      <c r="M335" s="3" t="s">
        <v>64</v>
      </c>
      <c r="N335" s="3" t="s">
        <v>39</v>
      </c>
      <c r="O335" s="3" t="s">
        <v>124</v>
      </c>
      <c r="P335" s="3" t="s">
        <v>53</v>
      </c>
      <c r="Q335" s="3" t="s">
        <v>39</v>
      </c>
      <c r="R335" s="5">
        <v>46149.428888888891</v>
      </c>
      <c r="S335" s="5">
        <v>46149.428888888891</v>
      </c>
      <c r="T335" s="3" t="s">
        <v>41</v>
      </c>
      <c r="U335" s="1" t="s">
        <v>272</v>
      </c>
      <c r="V335" s="1" t="s">
        <v>273</v>
      </c>
      <c r="W335" s="1" t="s">
        <v>1186</v>
      </c>
      <c r="X335" s="1" t="s">
        <v>1186</v>
      </c>
      <c r="Y335" s="1"/>
      <c r="Z335" s="1"/>
      <c r="AA335" s="1" t="s">
        <v>274</v>
      </c>
    </row>
    <row r="336" spans="1:27" ht="17.45" customHeight="1">
      <c r="A336" s="2" t="s">
        <v>1189</v>
      </c>
      <c r="B336" s="2" t="s">
        <v>28</v>
      </c>
      <c r="C336">
        <v>1</v>
      </c>
      <c r="D336" s="2" t="s">
        <v>29</v>
      </c>
      <c r="E336" s="2" t="s">
        <v>1190</v>
      </c>
      <c r="F336" s="2" t="s">
        <v>663</v>
      </c>
      <c r="G336" s="2" t="s">
        <v>32</v>
      </c>
      <c r="H336" s="2" t="s">
        <v>33</v>
      </c>
      <c r="I336" s="2" t="s">
        <v>34</v>
      </c>
      <c r="J336" s="2" t="s">
        <v>35</v>
      </c>
      <c r="K336" s="2" t="s">
        <v>36</v>
      </c>
      <c r="L336" s="2" t="s">
        <v>37</v>
      </c>
      <c r="M336" s="2" t="s">
        <v>64</v>
      </c>
      <c r="N336" s="2" t="s">
        <v>39</v>
      </c>
      <c r="O336" s="2" t="s">
        <v>33</v>
      </c>
      <c r="P336" s="2" t="s">
        <v>53</v>
      </c>
      <c r="Q336" s="2" t="s">
        <v>39</v>
      </c>
      <c r="R336" s="4">
        <v>46149.45349537037</v>
      </c>
      <c r="S336" s="4">
        <v>46149.45349537037</v>
      </c>
      <c r="T336" s="2" t="s">
        <v>41</v>
      </c>
      <c r="U336" s="1" t="s">
        <v>59</v>
      </c>
      <c r="V336" s="1" t="s">
        <v>142</v>
      </c>
      <c r="W336" s="1" t="s">
        <v>663</v>
      </c>
      <c r="X336" s="1" t="s">
        <v>663</v>
      </c>
      <c r="Y336" s="1"/>
      <c r="Z336" s="1"/>
      <c r="AA336" s="1" t="s">
        <v>61</v>
      </c>
    </row>
    <row r="337" spans="1:27" ht="17.45" customHeight="1">
      <c r="A337" s="3" t="s">
        <v>1191</v>
      </c>
      <c r="B337" s="3" t="s">
        <v>28</v>
      </c>
      <c r="C337">
        <v>1</v>
      </c>
      <c r="D337" s="3" t="s">
        <v>29</v>
      </c>
      <c r="E337" s="3" t="s">
        <v>1192</v>
      </c>
      <c r="F337" s="3" t="s">
        <v>663</v>
      </c>
      <c r="G337" s="3" t="s">
        <v>32</v>
      </c>
      <c r="H337" s="3" t="s">
        <v>33</v>
      </c>
      <c r="I337" s="3" t="s">
        <v>34</v>
      </c>
      <c r="J337" s="3" t="s">
        <v>35</v>
      </c>
      <c r="K337" s="3" t="s">
        <v>36</v>
      </c>
      <c r="L337" s="3" t="s">
        <v>37</v>
      </c>
      <c r="M337" s="3" t="s">
        <v>64</v>
      </c>
      <c r="N337" s="3" t="s">
        <v>39</v>
      </c>
      <c r="O337" s="3" t="s">
        <v>33</v>
      </c>
      <c r="P337" s="3" t="s">
        <v>53</v>
      </c>
      <c r="Q337" s="3" t="s">
        <v>39</v>
      </c>
      <c r="R337" s="5">
        <v>46149.454097222224</v>
      </c>
      <c r="S337" s="5">
        <v>46149.454097222224</v>
      </c>
      <c r="T337" s="3" t="s">
        <v>41</v>
      </c>
      <c r="U337" s="1" t="s">
        <v>59</v>
      </c>
      <c r="V337" s="1" t="s">
        <v>142</v>
      </c>
      <c r="W337" s="1" t="s">
        <v>663</v>
      </c>
      <c r="X337" s="1" t="s">
        <v>663</v>
      </c>
      <c r="Y337" s="1"/>
      <c r="Z337" s="1"/>
      <c r="AA337" s="1" t="s">
        <v>61</v>
      </c>
    </row>
    <row r="338" spans="1:27" ht="17.45" customHeight="1">
      <c r="A338" s="2" t="s">
        <v>119</v>
      </c>
      <c r="B338" s="2" t="s">
        <v>120</v>
      </c>
      <c r="C338">
        <v>1</v>
      </c>
      <c r="D338" s="2" t="s">
        <v>121</v>
      </c>
      <c r="E338" s="2" t="s">
        <v>1193</v>
      </c>
      <c r="F338" s="2" t="s">
        <v>1194</v>
      </c>
      <c r="G338" s="2" t="s">
        <v>32</v>
      </c>
      <c r="H338" s="2" t="s">
        <v>124</v>
      </c>
      <c r="I338" s="2" t="s">
        <v>33</v>
      </c>
      <c r="J338" s="2" t="s">
        <v>35</v>
      </c>
      <c r="K338" s="2" t="s">
        <v>36</v>
      </c>
      <c r="L338" s="2" t="s">
        <v>51</v>
      </c>
      <c r="M338" s="2" t="s">
        <v>38</v>
      </c>
      <c r="N338" s="2" t="s">
        <v>39</v>
      </c>
      <c r="O338" s="2" t="s">
        <v>125</v>
      </c>
      <c r="P338" s="2" t="s">
        <v>53</v>
      </c>
      <c r="Q338" s="2" t="s">
        <v>39</v>
      </c>
      <c r="R338" s="4">
        <v>46134.439629629633</v>
      </c>
      <c r="S338" s="4">
        <v>46134.439629629633</v>
      </c>
      <c r="T338" s="2" t="s">
        <v>41</v>
      </c>
      <c r="U338" s="1" t="s">
        <v>65</v>
      </c>
      <c r="V338" s="1" t="s">
        <v>70</v>
      </c>
      <c r="W338" s="1" t="s">
        <v>1195</v>
      </c>
      <c r="X338" s="1" t="s">
        <v>1196</v>
      </c>
      <c r="Y338" s="1"/>
      <c r="Z338" s="1"/>
      <c r="AA338" s="1" t="s">
        <v>67</v>
      </c>
    </row>
    <row r="339" spans="1:27" ht="17.45" customHeight="1">
      <c r="A339" s="3" t="s">
        <v>382</v>
      </c>
      <c r="B339" s="3" t="s">
        <v>120</v>
      </c>
      <c r="C339">
        <v>1</v>
      </c>
      <c r="D339" s="3" t="s">
        <v>121</v>
      </c>
      <c r="E339" s="3" t="s">
        <v>1197</v>
      </c>
      <c r="F339" s="3" t="s">
        <v>1198</v>
      </c>
      <c r="G339" s="3" t="s">
        <v>32</v>
      </c>
      <c r="H339" s="3" t="s">
        <v>124</v>
      </c>
      <c r="I339" s="3" t="s">
        <v>157</v>
      </c>
      <c r="J339" s="3" t="s">
        <v>35</v>
      </c>
      <c r="K339" s="3" t="s">
        <v>36</v>
      </c>
      <c r="L339" s="3" t="s">
        <v>37</v>
      </c>
      <c r="M339" s="3" t="s">
        <v>38</v>
      </c>
      <c r="N339" s="3" t="s">
        <v>39</v>
      </c>
      <c r="O339" s="3" t="s">
        <v>125</v>
      </c>
      <c r="P339" s="3" t="s">
        <v>40</v>
      </c>
      <c r="Q339" s="3" t="s">
        <v>39</v>
      </c>
      <c r="R339" s="5">
        <v>46134.460243055553</v>
      </c>
      <c r="S339" s="5">
        <v>46134.460243055553</v>
      </c>
      <c r="T339" s="3" t="s">
        <v>41</v>
      </c>
      <c r="U339" s="1" t="s">
        <v>95</v>
      </c>
      <c r="V339" s="1" t="s">
        <v>96</v>
      </c>
      <c r="W339" s="1" t="s">
        <v>1198</v>
      </c>
      <c r="X339" s="1" t="s">
        <v>1198</v>
      </c>
      <c r="Y339" s="1"/>
      <c r="Z339" s="1"/>
      <c r="AA339" s="1" t="s">
        <v>98</v>
      </c>
    </row>
    <row r="340" spans="1:27" ht="17.45" customHeight="1">
      <c r="A340" s="2" t="s">
        <v>566</v>
      </c>
      <c r="B340" s="2" t="s">
        <v>120</v>
      </c>
      <c r="C340">
        <v>1</v>
      </c>
      <c r="D340" s="2" t="s">
        <v>29</v>
      </c>
      <c r="E340" s="2" t="s">
        <v>1199</v>
      </c>
      <c r="F340" s="2" t="s">
        <v>1200</v>
      </c>
      <c r="G340" s="2" t="s">
        <v>32</v>
      </c>
      <c r="H340" s="2" t="s">
        <v>33</v>
      </c>
      <c r="I340" s="2" t="s">
        <v>34</v>
      </c>
      <c r="J340" s="2" t="s">
        <v>35</v>
      </c>
      <c r="K340" s="2" t="s">
        <v>36</v>
      </c>
      <c r="L340" s="2" t="s">
        <v>51</v>
      </c>
      <c r="M340" s="2" t="s">
        <v>64</v>
      </c>
      <c r="N340" s="2" t="s">
        <v>39</v>
      </c>
      <c r="O340" s="2" t="s">
        <v>33</v>
      </c>
      <c r="P340" s="2" t="s">
        <v>53</v>
      </c>
      <c r="Q340" s="2" t="s">
        <v>39</v>
      </c>
      <c r="R340" s="4">
        <v>46134.545648148145</v>
      </c>
      <c r="S340" s="4">
        <v>46134.548229166663</v>
      </c>
      <c r="T340" s="2" t="s">
        <v>41</v>
      </c>
      <c r="U340" s="1" t="s">
        <v>59</v>
      </c>
      <c r="V340" s="1" t="s">
        <v>60</v>
      </c>
      <c r="W340" s="1" t="s">
        <v>1201</v>
      </c>
      <c r="X340" s="1" t="s">
        <v>1202</v>
      </c>
      <c r="Y340" s="1"/>
      <c r="Z340" s="1"/>
      <c r="AA340" s="1" t="s">
        <v>61</v>
      </c>
    </row>
    <row r="341" spans="1:27" ht="17.45" customHeight="1">
      <c r="A341" s="3" t="s">
        <v>765</v>
      </c>
      <c r="B341" s="3" t="s">
        <v>120</v>
      </c>
      <c r="C341">
        <v>1</v>
      </c>
      <c r="D341" s="3" t="s">
        <v>29</v>
      </c>
      <c r="E341" s="3" t="s">
        <v>1203</v>
      </c>
      <c r="F341" s="3" t="s">
        <v>1204</v>
      </c>
      <c r="G341" s="3" t="s">
        <v>32</v>
      </c>
      <c r="H341" s="3" t="s">
        <v>33</v>
      </c>
      <c r="I341" s="3" t="s">
        <v>34</v>
      </c>
      <c r="J341" s="3" t="s">
        <v>35</v>
      </c>
      <c r="K341" s="3" t="s">
        <v>36</v>
      </c>
      <c r="L341" s="3" t="s">
        <v>37</v>
      </c>
      <c r="M341" s="3" t="s">
        <v>64</v>
      </c>
      <c r="N341" s="3" t="s">
        <v>39</v>
      </c>
      <c r="O341" s="3" t="s">
        <v>33</v>
      </c>
      <c r="P341" s="3" t="s">
        <v>58</v>
      </c>
      <c r="Q341" s="3" t="s">
        <v>39</v>
      </c>
      <c r="R341" s="5">
        <v>46134.664386574077</v>
      </c>
      <c r="S341" s="5">
        <v>46134.664386574077</v>
      </c>
      <c r="T341" s="3" t="s">
        <v>41</v>
      </c>
      <c r="U341" s="1" t="s">
        <v>42</v>
      </c>
      <c r="V341" s="1" t="s">
        <v>43</v>
      </c>
      <c r="W341" s="1" t="s">
        <v>1204</v>
      </c>
      <c r="X341" s="1" t="s">
        <v>1204</v>
      </c>
      <c r="Y341" s="1"/>
      <c r="Z341" s="1"/>
      <c r="AA341" s="1" t="s">
        <v>46</v>
      </c>
    </row>
    <row r="342" spans="1:27" ht="17.45" customHeight="1">
      <c r="A342" s="2" t="s">
        <v>189</v>
      </c>
      <c r="B342" s="2" t="s">
        <v>120</v>
      </c>
      <c r="C342">
        <v>1</v>
      </c>
      <c r="D342" s="2" t="s">
        <v>121</v>
      </c>
      <c r="E342" s="2" t="s">
        <v>1205</v>
      </c>
      <c r="F342" s="2" t="s">
        <v>1206</v>
      </c>
      <c r="G342" s="2" t="s">
        <v>32</v>
      </c>
      <c r="H342" s="2" t="s">
        <v>124</v>
      </c>
      <c r="I342" s="2" t="s">
        <v>192</v>
      </c>
      <c r="J342" s="2" t="s">
        <v>35</v>
      </c>
      <c r="K342" s="2" t="s">
        <v>36</v>
      </c>
      <c r="L342" s="2" t="s">
        <v>37</v>
      </c>
      <c r="M342" s="2" t="s">
        <v>52</v>
      </c>
      <c r="N342" s="2" t="s">
        <v>39</v>
      </c>
      <c r="O342" s="2" t="s">
        <v>125</v>
      </c>
      <c r="P342" s="2" t="s">
        <v>53</v>
      </c>
      <c r="Q342" s="2" t="s">
        <v>39</v>
      </c>
      <c r="R342" s="4">
        <v>46134.540694444448</v>
      </c>
      <c r="S342" s="4">
        <v>46134.540694444448</v>
      </c>
      <c r="T342" s="2" t="s">
        <v>41</v>
      </c>
      <c r="U342" s="1" t="s">
        <v>65</v>
      </c>
      <c r="V342" s="1" t="s">
        <v>70</v>
      </c>
      <c r="W342" s="1" t="s">
        <v>1206</v>
      </c>
      <c r="X342" s="1" t="s">
        <v>1206</v>
      </c>
      <c r="Y342" s="1"/>
      <c r="Z342" s="1"/>
      <c r="AA342" s="1" t="s">
        <v>67</v>
      </c>
    </row>
    <row r="343" spans="1:27" ht="17.45" customHeight="1">
      <c r="A343" s="3" t="s">
        <v>566</v>
      </c>
      <c r="B343" s="3" t="s">
        <v>120</v>
      </c>
      <c r="C343">
        <v>1</v>
      </c>
      <c r="D343" s="3" t="s">
        <v>29</v>
      </c>
      <c r="E343" s="3" t="s">
        <v>1207</v>
      </c>
      <c r="F343" s="3" t="s">
        <v>1208</v>
      </c>
      <c r="G343" s="3" t="s">
        <v>32</v>
      </c>
      <c r="H343" s="3" t="s">
        <v>33</v>
      </c>
      <c r="I343" s="3" t="s">
        <v>34</v>
      </c>
      <c r="J343" s="3" t="s">
        <v>35</v>
      </c>
      <c r="K343" s="3" t="s">
        <v>36</v>
      </c>
      <c r="L343" s="3" t="s">
        <v>51</v>
      </c>
      <c r="M343" s="3" t="s">
        <v>64</v>
      </c>
      <c r="N343" s="3" t="s">
        <v>39</v>
      </c>
      <c r="O343" s="3" t="s">
        <v>33</v>
      </c>
      <c r="P343" s="3" t="s">
        <v>53</v>
      </c>
      <c r="Q343" s="3" t="s">
        <v>39</v>
      </c>
      <c r="R343" s="5">
        <v>46134.582627314812</v>
      </c>
      <c r="S343" s="5">
        <v>46134.623564814814</v>
      </c>
      <c r="T343" s="3" t="s">
        <v>41</v>
      </c>
      <c r="U343" s="1" t="s">
        <v>59</v>
      </c>
      <c r="V343" s="1" t="s">
        <v>142</v>
      </c>
      <c r="W343" s="1" t="s">
        <v>1209</v>
      </c>
      <c r="X343" s="1" t="s">
        <v>1210</v>
      </c>
      <c r="Y343" s="1"/>
      <c r="Z343" s="1"/>
      <c r="AA343" s="1" t="s">
        <v>61</v>
      </c>
    </row>
    <row r="344" spans="1:27" ht="17.45" customHeight="1">
      <c r="A344" s="2" t="s">
        <v>395</v>
      </c>
      <c r="B344" s="2" t="s">
        <v>120</v>
      </c>
      <c r="C344">
        <v>1</v>
      </c>
      <c r="D344" s="2" t="s">
        <v>29</v>
      </c>
      <c r="E344" s="2" t="s">
        <v>1211</v>
      </c>
      <c r="F344" s="2" t="s">
        <v>1212</v>
      </c>
      <c r="G344" s="2" t="s">
        <v>32</v>
      </c>
      <c r="H344" s="2" t="s">
        <v>33</v>
      </c>
      <c r="I344" s="2" t="s">
        <v>34</v>
      </c>
      <c r="J344" s="2" t="s">
        <v>35</v>
      </c>
      <c r="K344" s="2" t="s">
        <v>36</v>
      </c>
      <c r="L344" s="2" t="s">
        <v>51</v>
      </c>
      <c r="M344" s="2" t="s">
        <v>64</v>
      </c>
      <c r="N344" s="2" t="s">
        <v>39</v>
      </c>
      <c r="O344" s="2" t="s">
        <v>33</v>
      </c>
      <c r="P344" s="2" t="s">
        <v>53</v>
      </c>
      <c r="Q344" s="2" t="s">
        <v>39</v>
      </c>
      <c r="R344" s="4">
        <v>46134.644745370373</v>
      </c>
      <c r="S344" s="4">
        <v>46134.649953703702</v>
      </c>
      <c r="T344" s="2" t="s">
        <v>41</v>
      </c>
      <c r="U344" s="1" t="s">
        <v>59</v>
      </c>
      <c r="V344" s="1" t="s">
        <v>142</v>
      </c>
      <c r="W344" s="1" t="s">
        <v>1213</v>
      </c>
      <c r="X344" s="1" t="s">
        <v>1214</v>
      </c>
      <c r="Y344" s="1"/>
      <c r="Z344" s="1"/>
      <c r="AA344" s="1" t="s">
        <v>61</v>
      </c>
    </row>
    <row r="345" spans="1:27" ht="17.45" customHeight="1">
      <c r="A345" s="3" t="s">
        <v>1215</v>
      </c>
      <c r="B345" s="3" t="s">
        <v>120</v>
      </c>
      <c r="C345">
        <v>1</v>
      </c>
      <c r="D345" s="3" t="s">
        <v>29</v>
      </c>
      <c r="E345" s="3" t="s">
        <v>1216</v>
      </c>
      <c r="F345" s="3" t="s">
        <v>918</v>
      </c>
      <c r="G345" s="3" t="s">
        <v>32</v>
      </c>
      <c r="H345" s="3" t="s">
        <v>33</v>
      </c>
      <c r="I345" s="3" t="s">
        <v>33</v>
      </c>
      <c r="J345" s="3" t="s">
        <v>35</v>
      </c>
      <c r="K345" s="3" t="s">
        <v>36</v>
      </c>
      <c r="L345" s="3" t="s">
        <v>37</v>
      </c>
      <c r="M345" s="3" t="s">
        <v>52</v>
      </c>
      <c r="N345" s="3" t="s">
        <v>39</v>
      </c>
      <c r="O345" s="3" t="s">
        <v>33</v>
      </c>
      <c r="P345" s="3" t="s">
        <v>40</v>
      </c>
      <c r="Q345" s="3" t="s">
        <v>39</v>
      </c>
      <c r="R345" s="5">
        <v>46134.646006944444</v>
      </c>
      <c r="S345" s="5">
        <v>46134.646469907406</v>
      </c>
      <c r="T345" s="3" t="s">
        <v>41</v>
      </c>
      <c r="U345" s="1" t="s">
        <v>95</v>
      </c>
      <c r="V345" s="1" t="s">
        <v>96</v>
      </c>
      <c r="W345" s="1" t="s">
        <v>919</v>
      </c>
      <c r="X345" s="1" t="s">
        <v>920</v>
      </c>
      <c r="Y345" s="1"/>
      <c r="Z345" s="1"/>
      <c r="AA345" s="1" t="s">
        <v>98</v>
      </c>
    </row>
    <row r="346" spans="1:27" ht="17.45" customHeight="1">
      <c r="A346" s="2" t="s">
        <v>566</v>
      </c>
      <c r="B346" s="2" t="s">
        <v>120</v>
      </c>
      <c r="C346">
        <v>1</v>
      </c>
      <c r="D346" s="2" t="s">
        <v>29</v>
      </c>
      <c r="E346" s="2" t="s">
        <v>1217</v>
      </c>
      <c r="F346" s="2" t="s">
        <v>1218</v>
      </c>
      <c r="G346" s="2" t="s">
        <v>32</v>
      </c>
      <c r="H346" s="2" t="s">
        <v>33</v>
      </c>
      <c r="I346" s="2" t="s">
        <v>34</v>
      </c>
      <c r="J346" s="2" t="s">
        <v>35</v>
      </c>
      <c r="K346" s="2" t="s">
        <v>36</v>
      </c>
      <c r="L346" s="2" t="s">
        <v>51</v>
      </c>
      <c r="M346" s="2" t="s">
        <v>64</v>
      </c>
      <c r="N346" s="2" t="s">
        <v>39</v>
      </c>
      <c r="O346" s="2" t="s">
        <v>33</v>
      </c>
      <c r="P346" s="2" t="s">
        <v>53</v>
      </c>
      <c r="Q346" s="2" t="s">
        <v>39</v>
      </c>
      <c r="R346" s="4">
        <v>46134.574178240742</v>
      </c>
      <c r="S346" s="4">
        <v>46134.574178240742</v>
      </c>
      <c r="T346" s="2" t="s">
        <v>41</v>
      </c>
      <c r="U346" s="1" t="s">
        <v>243</v>
      </c>
      <c r="V346" s="1" t="s">
        <v>340</v>
      </c>
      <c r="W346" s="1" t="s">
        <v>1219</v>
      </c>
      <c r="X346" s="1" t="s">
        <v>1220</v>
      </c>
      <c r="Y346" s="1"/>
      <c r="Z346" s="1"/>
      <c r="AA346" s="1" t="s">
        <v>246</v>
      </c>
    </row>
    <row r="347" spans="1:27" ht="17.45" customHeight="1">
      <c r="A347" s="3" t="s">
        <v>1221</v>
      </c>
      <c r="B347" s="3" t="s">
        <v>120</v>
      </c>
      <c r="C347">
        <v>1</v>
      </c>
      <c r="D347" s="3" t="s">
        <v>29</v>
      </c>
      <c r="E347" s="3" t="s">
        <v>1222</v>
      </c>
      <c r="F347" s="3" t="s">
        <v>1223</v>
      </c>
      <c r="G347" s="3" t="s">
        <v>32</v>
      </c>
      <c r="H347" s="3" t="s">
        <v>33</v>
      </c>
      <c r="I347" s="3" t="s">
        <v>34</v>
      </c>
      <c r="J347" s="3" t="s">
        <v>35</v>
      </c>
      <c r="K347" s="3" t="s">
        <v>36</v>
      </c>
      <c r="L347" s="3" t="s">
        <v>37</v>
      </c>
      <c r="M347" s="3" t="s">
        <v>64</v>
      </c>
      <c r="N347" s="3" t="s">
        <v>39</v>
      </c>
      <c r="O347" s="3" t="s">
        <v>33</v>
      </c>
      <c r="P347" s="3" t="s">
        <v>58</v>
      </c>
      <c r="Q347" s="3" t="s">
        <v>39</v>
      </c>
      <c r="R347" s="5">
        <v>46134.714756944442</v>
      </c>
      <c r="S347" s="5">
        <v>46134.714756944442</v>
      </c>
      <c r="T347" s="3" t="s">
        <v>41</v>
      </c>
      <c r="U347" s="1" t="s">
        <v>95</v>
      </c>
      <c r="V347" s="1" t="s">
        <v>1224</v>
      </c>
      <c r="W347" s="1" t="s">
        <v>1225</v>
      </c>
      <c r="X347" s="1" t="s">
        <v>1223</v>
      </c>
      <c r="Y347" s="1"/>
      <c r="Z347" s="1"/>
      <c r="AA347" s="1" t="s">
        <v>98</v>
      </c>
    </row>
    <row r="348" spans="1:27" ht="17.45" customHeight="1">
      <c r="A348" s="2" t="s">
        <v>1226</v>
      </c>
      <c r="B348" s="2" t="s">
        <v>120</v>
      </c>
      <c r="C348">
        <v>1</v>
      </c>
      <c r="D348" s="2" t="s">
        <v>29</v>
      </c>
      <c r="E348" s="2" t="s">
        <v>1227</v>
      </c>
      <c r="F348" s="2" t="s">
        <v>1228</v>
      </c>
      <c r="G348" s="2" t="s">
        <v>32</v>
      </c>
      <c r="H348" s="2" t="s">
        <v>33</v>
      </c>
      <c r="I348" s="2" t="s">
        <v>34</v>
      </c>
      <c r="J348" s="2" t="s">
        <v>35</v>
      </c>
      <c r="K348" s="2" t="s">
        <v>36</v>
      </c>
      <c r="L348" s="2" t="s">
        <v>37</v>
      </c>
      <c r="M348" s="2" t="s">
        <v>64</v>
      </c>
      <c r="N348" s="2" t="s">
        <v>39</v>
      </c>
      <c r="O348" s="2" t="s">
        <v>33</v>
      </c>
      <c r="P348" s="2" t="s">
        <v>58</v>
      </c>
      <c r="Q348" s="2" t="s">
        <v>39</v>
      </c>
      <c r="R348" s="4">
        <v>46134.718935185185</v>
      </c>
      <c r="S348" s="4">
        <v>46134.718935185185</v>
      </c>
      <c r="T348" s="2" t="s">
        <v>41</v>
      </c>
      <c r="U348" s="1" t="s">
        <v>115</v>
      </c>
      <c r="V348" s="1" t="s">
        <v>116</v>
      </c>
      <c r="W348" s="1" t="s">
        <v>1228</v>
      </c>
      <c r="X348" s="1" t="s">
        <v>1228</v>
      </c>
      <c r="Y348" s="1"/>
      <c r="Z348" s="1"/>
      <c r="AA348" s="1" t="s">
        <v>118</v>
      </c>
    </row>
    <row r="349" spans="1:27" ht="17.45" customHeight="1">
      <c r="A349" s="3" t="s">
        <v>765</v>
      </c>
      <c r="B349" s="3" t="s">
        <v>120</v>
      </c>
      <c r="C349">
        <v>1</v>
      </c>
      <c r="D349" s="3" t="s">
        <v>29</v>
      </c>
      <c r="E349" s="3" t="s">
        <v>1229</v>
      </c>
      <c r="F349" s="3" t="s">
        <v>1230</v>
      </c>
      <c r="G349" s="3" t="s">
        <v>32</v>
      </c>
      <c r="H349" s="3" t="s">
        <v>33</v>
      </c>
      <c r="I349" s="3" t="s">
        <v>34</v>
      </c>
      <c r="J349" s="3" t="s">
        <v>35</v>
      </c>
      <c r="K349" s="3" t="s">
        <v>36</v>
      </c>
      <c r="L349" s="3" t="s">
        <v>51</v>
      </c>
      <c r="M349" s="3" t="s">
        <v>64</v>
      </c>
      <c r="N349" s="3" t="s">
        <v>39</v>
      </c>
      <c r="O349" s="3" t="s">
        <v>33</v>
      </c>
      <c r="P349" s="3" t="s">
        <v>53</v>
      </c>
      <c r="Q349" s="3" t="s">
        <v>39</v>
      </c>
      <c r="R349" s="5">
        <v>46134.683738425927</v>
      </c>
      <c r="S349" s="5">
        <v>46134.689791666664</v>
      </c>
      <c r="T349" s="3" t="s">
        <v>41</v>
      </c>
      <c r="U349" s="1" t="s">
        <v>59</v>
      </c>
      <c r="V349" s="1" t="s">
        <v>142</v>
      </c>
      <c r="W349" s="1" t="s">
        <v>1231</v>
      </c>
      <c r="X349" s="1" t="s">
        <v>1232</v>
      </c>
      <c r="Y349" s="1"/>
      <c r="Z349" s="1"/>
      <c r="AA349" s="1" t="s">
        <v>61</v>
      </c>
    </row>
    <row r="350" spans="1:27" ht="17.45" customHeight="1">
      <c r="A350" s="2" t="s">
        <v>326</v>
      </c>
      <c r="B350" s="2" t="s">
        <v>120</v>
      </c>
      <c r="C350">
        <v>1</v>
      </c>
      <c r="D350" s="2" t="s">
        <v>29</v>
      </c>
      <c r="E350" s="2" t="s">
        <v>1233</v>
      </c>
      <c r="F350" s="2" t="s">
        <v>1234</v>
      </c>
      <c r="G350" s="2" t="s">
        <v>32</v>
      </c>
      <c r="H350" s="2" t="s">
        <v>33</v>
      </c>
      <c r="I350" s="2" t="s">
        <v>34</v>
      </c>
      <c r="J350" s="2" t="s">
        <v>35</v>
      </c>
      <c r="K350" s="2" t="s">
        <v>36</v>
      </c>
      <c r="L350" s="2" t="s">
        <v>37</v>
      </c>
      <c r="M350" s="2" t="s">
        <v>52</v>
      </c>
      <c r="N350" s="2" t="s">
        <v>39</v>
      </c>
      <c r="O350" s="2" t="s">
        <v>33</v>
      </c>
      <c r="P350" s="2" t="s">
        <v>40</v>
      </c>
      <c r="Q350" s="2" t="s">
        <v>39</v>
      </c>
      <c r="R350" s="4">
        <v>46134.689930555556</v>
      </c>
      <c r="S350" s="4">
        <v>46134.689930555556</v>
      </c>
      <c r="T350" s="2" t="s">
        <v>41</v>
      </c>
      <c r="U350" s="1" t="s">
        <v>95</v>
      </c>
      <c r="V350" s="1" t="s">
        <v>96</v>
      </c>
      <c r="W350" s="1" t="s">
        <v>1234</v>
      </c>
      <c r="X350" s="1" t="s">
        <v>1234</v>
      </c>
      <c r="Y350" s="1"/>
      <c r="Z350" s="1"/>
      <c r="AA350" s="1" t="s">
        <v>98</v>
      </c>
    </row>
    <row r="351" spans="1:27" ht="17.45" customHeight="1">
      <c r="A351" s="3" t="s">
        <v>603</v>
      </c>
      <c r="B351" s="3" t="s">
        <v>120</v>
      </c>
      <c r="C351">
        <v>1</v>
      </c>
      <c r="D351" s="3" t="s">
        <v>29</v>
      </c>
      <c r="E351" s="3" t="s">
        <v>1235</v>
      </c>
      <c r="F351" s="3" t="s">
        <v>1236</v>
      </c>
      <c r="G351" s="3" t="s">
        <v>32</v>
      </c>
      <c r="H351" s="3" t="s">
        <v>33</v>
      </c>
      <c r="I351" s="3" t="s">
        <v>34</v>
      </c>
      <c r="J351" s="3" t="s">
        <v>35</v>
      </c>
      <c r="K351" s="3" t="s">
        <v>36</v>
      </c>
      <c r="L351" s="3" t="s">
        <v>51</v>
      </c>
      <c r="M351" s="3" t="s">
        <v>64</v>
      </c>
      <c r="N351" s="3" t="s">
        <v>39</v>
      </c>
      <c r="O351" s="3" t="s">
        <v>33</v>
      </c>
      <c r="P351" s="3" t="s">
        <v>53</v>
      </c>
      <c r="Q351" s="3" t="s">
        <v>39</v>
      </c>
      <c r="R351" s="5">
        <v>46134.691493055558</v>
      </c>
      <c r="S351" s="5">
        <v>46134.691805555558</v>
      </c>
      <c r="T351" s="3" t="s">
        <v>41</v>
      </c>
      <c r="U351" s="1" t="s">
        <v>59</v>
      </c>
      <c r="V351" s="1" t="s">
        <v>60</v>
      </c>
      <c r="W351" s="1" t="s">
        <v>1237</v>
      </c>
      <c r="X351" s="1" t="s">
        <v>1238</v>
      </c>
      <c r="Y351" s="1"/>
      <c r="Z351" s="1"/>
      <c r="AA351" s="1" t="s">
        <v>61</v>
      </c>
    </row>
    <row r="352" spans="1:27" ht="17.45" customHeight="1">
      <c r="A352" s="2" t="s">
        <v>99</v>
      </c>
      <c r="B352" s="2" t="s">
        <v>48</v>
      </c>
      <c r="C352">
        <v>1</v>
      </c>
      <c r="D352" s="2" t="s">
        <v>29</v>
      </c>
      <c r="E352" s="2" t="s">
        <v>1239</v>
      </c>
      <c r="F352" s="2" t="s">
        <v>1240</v>
      </c>
      <c r="G352" s="2" t="s">
        <v>32</v>
      </c>
      <c r="H352" s="2" t="s">
        <v>33</v>
      </c>
      <c r="I352" s="2" t="s">
        <v>33</v>
      </c>
      <c r="J352" s="2" t="s">
        <v>35</v>
      </c>
      <c r="K352" s="2" t="s">
        <v>36</v>
      </c>
      <c r="L352" s="2" t="s">
        <v>37</v>
      </c>
      <c r="M352" s="2" t="s">
        <v>38</v>
      </c>
      <c r="N352" s="2" t="s">
        <v>39</v>
      </c>
      <c r="O352" s="2" t="s">
        <v>33</v>
      </c>
      <c r="P352" s="2" t="s">
        <v>53</v>
      </c>
      <c r="Q352" s="2" t="s">
        <v>39</v>
      </c>
      <c r="R352" s="4">
        <v>46139.439768518518</v>
      </c>
      <c r="S352" s="4">
        <v>46139.723113425927</v>
      </c>
      <c r="T352" s="2" t="s">
        <v>41</v>
      </c>
      <c r="U352" s="1" t="s">
        <v>42</v>
      </c>
      <c r="V352" s="1" t="s">
        <v>105</v>
      </c>
      <c r="W352" s="1" t="s">
        <v>1241</v>
      </c>
      <c r="X352" s="1" t="s">
        <v>1240</v>
      </c>
      <c r="Y352" s="1"/>
      <c r="Z352" s="1"/>
      <c r="AA352" s="1" t="s">
        <v>46</v>
      </c>
    </row>
    <row r="353" spans="1:27" ht="17.45" customHeight="1">
      <c r="A353" s="3" t="s">
        <v>370</v>
      </c>
      <c r="B353" s="3" t="s">
        <v>48</v>
      </c>
      <c r="C353">
        <v>1</v>
      </c>
      <c r="D353" s="3" t="s">
        <v>29</v>
      </c>
      <c r="E353" s="3" t="s">
        <v>1242</v>
      </c>
      <c r="F353" s="3" t="s">
        <v>1243</v>
      </c>
      <c r="G353" s="3" t="s">
        <v>32</v>
      </c>
      <c r="H353" s="3" t="s">
        <v>33</v>
      </c>
      <c r="I353" s="3" t="s">
        <v>33</v>
      </c>
      <c r="J353" s="3" t="s">
        <v>35</v>
      </c>
      <c r="K353" s="3" t="s">
        <v>36</v>
      </c>
      <c r="L353" s="3" t="s">
        <v>37</v>
      </c>
      <c r="M353" s="3" t="s">
        <v>52</v>
      </c>
      <c r="N353" s="3" t="s">
        <v>39</v>
      </c>
      <c r="O353" s="3" t="s">
        <v>33</v>
      </c>
      <c r="P353" s="3" t="s">
        <v>53</v>
      </c>
      <c r="Q353" s="3" t="s">
        <v>39</v>
      </c>
      <c r="R353" s="5">
        <v>46139.546215277776</v>
      </c>
      <c r="S353" s="5">
        <v>46139.546215277776</v>
      </c>
      <c r="T353" s="3" t="s">
        <v>41</v>
      </c>
      <c r="U353" s="1" t="s">
        <v>95</v>
      </c>
      <c r="V353" s="1" t="s">
        <v>96</v>
      </c>
      <c r="W353" s="1" t="s">
        <v>161</v>
      </c>
      <c r="X353" s="1" t="s">
        <v>161</v>
      </c>
      <c r="Y353" s="1"/>
      <c r="Z353" s="1"/>
      <c r="AA353" s="1" t="s">
        <v>98</v>
      </c>
    </row>
    <row r="354" spans="1:27" ht="17.45" customHeight="1">
      <c r="A354" s="2" t="s">
        <v>135</v>
      </c>
      <c r="B354" s="2" t="s">
        <v>48</v>
      </c>
      <c r="C354">
        <v>1</v>
      </c>
      <c r="D354" s="2" t="s">
        <v>29</v>
      </c>
      <c r="E354" s="2" t="s">
        <v>1244</v>
      </c>
      <c r="F354" s="2" t="s">
        <v>1245</v>
      </c>
      <c r="G354" s="2" t="s">
        <v>32</v>
      </c>
      <c r="H354" s="2" t="s">
        <v>33</v>
      </c>
      <c r="I354" s="2" t="s">
        <v>34</v>
      </c>
      <c r="J354" s="2" t="s">
        <v>35</v>
      </c>
      <c r="K354" s="2" t="s">
        <v>36</v>
      </c>
      <c r="L354" s="2" t="s">
        <v>37</v>
      </c>
      <c r="M354" s="2" t="s">
        <v>52</v>
      </c>
      <c r="N354" s="2" t="s">
        <v>39</v>
      </c>
      <c r="O354" s="2" t="s">
        <v>33</v>
      </c>
      <c r="P354" s="2" t="s">
        <v>40</v>
      </c>
      <c r="Q354" s="2" t="s">
        <v>39</v>
      </c>
      <c r="R354" s="4">
        <v>46139.568645833337</v>
      </c>
      <c r="S354" s="4">
        <v>46140.464456018519</v>
      </c>
      <c r="T354" s="2" t="s">
        <v>41</v>
      </c>
      <c r="U354" s="1" t="s">
        <v>283</v>
      </c>
      <c r="V354" s="1" t="s">
        <v>284</v>
      </c>
      <c r="W354" s="1" t="s">
        <v>1245</v>
      </c>
      <c r="X354" s="1" t="s">
        <v>1245</v>
      </c>
      <c r="Y354" s="1"/>
      <c r="Z354" s="1"/>
      <c r="AA354" s="1" t="s">
        <v>285</v>
      </c>
    </row>
    <row r="355" spans="1:27" ht="17.45" customHeight="1">
      <c r="A355" s="3" t="s">
        <v>639</v>
      </c>
      <c r="B355" s="3" t="s">
        <v>28</v>
      </c>
      <c r="C355">
        <v>1</v>
      </c>
      <c r="D355" s="3" t="s">
        <v>121</v>
      </c>
      <c r="E355" s="3" t="s">
        <v>1246</v>
      </c>
      <c r="F355" s="3" t="s">
        <v>1247</v>
      </c>
      <c r="G355" s="3" t="s">
        <v>32</v>
      </c>
      <c r="H355" s="3" t="s">
        <v>124</v>
      </c>
      <c r="I355" s="3" t="s">
        <v>212</v>
      </c>
      <c r="J355" s="3" t="s">
        <v>35</v>
      </c>
      <c r="K355" s="3" t="s">
        <v>36</v>
      </c>
      <c r="L355" s="3" t="s">
        <v>37</v>
      </c>
      <c r="M355" s="3" t="s">
        <v>52</v>
      </c>
      <c r="N355" s="3" t="s">
        <v>1248</v>
      </c>
      <c r="O355" s="3" t="s">
        <v>41</v>
      </c>
      <c r="P355" s="3" t="s">
        <v>40</v>
      </c>
      <c r="Q355" s="3" t="s">
        <v>1248</v>
      </c>
      <c r="R355" s="5">
        <v>46139.699317129627</v>
      </c>
      <c r="S355" s="5">
        <v>46141.360081018516</v>
      </c>
      <c r="T355" s="3" t="s">
        <v>1249</v>
      </c>
      <c r="U355" s="1" t="s">
        <v>59</v>
      </c>
      <c r="V355" s="1" t="s">
        <v>60</v>
      </c>
      <c r="W355" s="1" t="s">
        <v>1250</v>
      </c>
      <c r="X355" s="1" t="s">
        <v>1251</v>
      </c>
      <c r="Y355" s="1" t="s">
        <v>1252</v>
      </c>
      <c r="Z355" s="1" t="s">
        <v>1253</v>
      </c>
      <c r="AA355" s="1" t="s">
        <v>61</v>
      </c>
    </row>
    <row r="356" spans="1:27" ht="17.45" customHeight="1">
      <c r="A356" s="2" t="s">
        <v>758</v>
      </c>
      <c r="B356" s="2" t="s">
        <v>120</v>
      </c>
      <c r="C356">
        <v>1</v>
      </c>
      <c r="D356" s="2" t="s">
        <v>121</v>
      </c>
      <c r="E356" s="2" t="s">
        <v>1254</v>
      </c>
      <c r="F356" s="2" t="s">
        <v>1255</v>
      </c>
      <c r="G356" s="2" t="s">
        <v>32</v>
      </c>
      <c r="H356" s="2" t="s">
        <v>124</v>
      </c>
      <c r="I356" s="2" t="s">
        <v>761</v>
      </c>
      <c r="J356" s="2" t="s">
        <v>35</v>
      </c>
      <c r="K356" s="2" t="s">
        <v>36</v>
      </c>
      <c r="L356" s="2" t="s">
        <v>37</v>
      </c>
      <c r="M356" s="2" t="s">
        <v>82</v>
      </c>
      <c r="N356" s="2" t="s">
        <v>1248</v>
      </c>
      <c r="O356" s="2" t="s">
        <v>41</v>
      </c>
      <c r="P356" s="2" t="s">
        <v>58</v>
      </c>
      <c r="Q356" s="2" t="s">
        <v>1248</v>
      </c>
      <c r="R356" s="4">
        <v>46140.403935185182</v>
      </c>
      <c r="S356" s="4">
        <v>46141.316701388889</v>
      </c>
      <c r="T356" s="2" t="s">
        <v>1256</v>
      </c>
      <c r="U356" s="1" t="s">
        <v>115</v>
      </c>
      <c r="V356" s="1" t="s">
        <v>116</v>
      </c>
      <c r="W356" s="1" t="s">
        <v>1255</v>
      </c>
      <c r="X356" s="1" t="s">
        <v>1255</v>
      </c>
      <c r="Y356" s="1" t="s">
        <v>1257</v>
      </c>
      <c r="Z356" s="1" t="s">
        <v>1253</v>
      </c>
      <c r="AA356" s="1" t="s">
        <v>118</v>
      </c>
    </row>
    <row r="357" spans="1:27" ht="17.45" customHeight="1">
      <c r="A357" s="3" t="s">
        <v>534</v>
      </c>
      <c r="B357" s="3" t="s">
        <v>181</v>
      </c>
      <c r="C357">
        <v>1</v>
      </c>
      <c r="D357" s="3" t="s">
        <v>29</v>
      </c>
      <c r="E357" s="3" t="s">
        <v>1258</v>
      </c>
      <c r="F357" s="3" t="s">
        <v>1259</v>
      </c>
      <c r="G357" s="3" t="s">
        <v>32</v>
      </c>
      <c r="H357" s="3" t="s">
        <v>33</v>
      </c>
      <c r="I357" s="3" t="s">
        <v>34</v>
      </c>
      <c r="J357" s="3" t="s">
        <v>35</v>
      </c>
      <c r="K357" s="3" t="s">
        <v>36</v>
      </c>
      <c r="L357" s="3" t="s">
        <v>51</v>
      </c>
      <c r="M357" s="3" t="s">
        <v>64</v>
      </c>
      <c r="N357" s="3" t="s">
        <v>1248</v>
      </c>
      <c r="O357" s="3" t="s">
        <v>41</v>
      </c>
      <c r="P357" s="3" t="s">
        <v>53</v>
      </c>
      <c r="Q357" s="3" t="s">
        <v>1248</v>
      </c>
      <c r="R357" s="5">
        <v>46140.409525462965</v>
      </c>
      <c r="S357" s="5">
        <v>46142.605405092596</v>
      </c>
      <c r="T357" s="3" t="s">
        <v>1260</v>
      </c>
      <c r="U357" s="1" t="s">
        <v>283</v>
      </c>
      <c r="V357" s="1" t="s">
        <v>293</v>
      </c>
      <c r="W357" s="1" t="s">
        <v>1259</v>
      </c>
      <c r="X357" s="1" t="s">
        <v>1259</v>
      </c>
      <c r="Y357" s="1" t="s">
        <v>1261</v>
      </c>
      <c r="Z357" s="1" t="s">
        <v>1253</v>
      </c>
      <c r="AA357" s="1" t="s">
        <v>285</v>
      </c>
    </row>
    <row r="358" spans="1:27" ht="17.45" customHeight="1">
      <c r="A358" s="2" t="s">
        <v>534</v>
      </c>
      <c r="B358" s="2" t="s">
        <v>181</v>
      </c>
      <c r="C358">
        <v>1</v>
      </c>
      <c r="D358" s="2" t="s">
        <v>29</v>
      </c>
      <c r="E358" s="2" t="s">
        <v>1262</v>
      </c>
      <c r="F358" s="2" t="s">
        <v>1263</v>
      </c>
      <c r="G358" s="2" t="s">
        <v>32</v>
      </c>
      <c r="H358" s="2" t="s">
        <v>33</v>
      </c>
      <c r="I358" s="2" t="s">
        <v>34</v>
      </c>
      <c r="J358" s="2" t="s">
        <v>35</v>
      </c>
      <c r="K358" s="2" t="s">
        <v>36</v>
      </c>
      <c r="L358" s="2" t="s">
        <v>51</v>
      </c>
      <c r="M358" s="2" t="s">
        <v>115</v>
      </c>
      <c r="N358" s="2" t="s">
        <v>1248</v>
      </c>
      <c r="O358" s="2" t="s">
        <v>41</v>
      </c>
      <c r="P358" s="2" t="s">
        <v>40</v>
      </c>
      <c r="Q358" s="2" t="s">
        <v>1248</v>
      </c>
      <c r="R358" s="4">
        <v>46140.416956018518</v>
      </c>
      <c r="S358" s="4">
        <v>46142.612199074072</v>
      </c>
      <c r="T358" s="2" t="s">
        <v>1264</v>
      </c>
      <c r="U358" s="1" t="s">
        <v>95</v>
      </c>
      <c r="V358" s="1" t="s">
        <v>96</v>
      </c>
      <c r="W358" s="1" t="s">
        <v>1265</v>
      </c>
      <c r="X358" s="1" t="s">
        <v>1265</v>
      </c>
      <c r="Y358" s="1" t="s">
        <v>1266</v>
      </c>
      <c r="Z358" s="1" t="s">
        <v>1267</v>
      </c>
      <c r="AA358" s="1" t="s">
        <v>98</v>
      </c>
    </row>
    <row r="359" spans="1:27" ht="17.45" customHeight="1">
      <c r="A359" s="3" t="s">
        <v>313</v>
      </c>
      <c r="B359" s="3" t="s">
        <v>48</v>
      </c>
      <c r="C359">
        <v>1</v>
      </c>
      <c r="D359" s="3" t="s">
        <v>121</v>
      </c>
      <c r="E359" s="3" t="s">
        <v>1268</v>
      </c>
      <c r="F359" s="3" t="s">
        <v>1269</v>
      </c>
      <c r="G359" s="3" t="s">
        <v>32</v>
      </c>
      <c r="H359" s="3" t="s">
        <v>124</v>
      </c>
      <c r="I359" s="3" t="s">
        <v>212</v>
      </c>
      <c r="J359" s="3" t="s">
        <v>35</v>
      </c>
      <c r="K359" s="3" t="s">
        <v>36</v>
      </c>
      <c r="L359" s="3" t="s">
        <v>51</v>
      </c>
      <c r="M359" s="3" t="s">
        <v>52</v>
      </c>
      <c r="N359" s="3" t="s">
        <v>1248</v>
      </c>
      <c r="O359" s="3" t="s">
        <v>41</v>
      </c>
      <c r="P359" s="3" t="s">
        <v>53</v>
      </c>
      <c r="Q359" s="3" t="s">
        <v>1248</v>
      </c>
      <c r="R359" s="5">
        <v>46140.544537037036</v>
      </c>
      <c r="S359" s="5">
        <v>46141.401377314818</v>
      </c>
      <c r="T359" s="3" t="s">
        <v>1270</v>
      </c>
      <c r="U359" s="1" t="s">
        <v>42</v>
      </c>
      <c r="V359" s="1" t="s">
        <v>43</v>
      </c>
      <c r="W359" s="1" t="s">
        <v>1269</v>
      </c>
      <c r="X359" s="1" t="s">
        <v>1269</v>
      </c>
      <c r="Y359" s="1" t="s">
        <v>1271</v>
      </c>
      <c r="Z359" s="1" t="s">
        <v>1253</v>
      </c>
      <c r="AA359" s="1" t="s">
        <v>46</v>
      </c>
    </row>
    <row r="360" spans="1:27" ht="17.45" customHeight="1">
      <c r="A360" s="2" t="s">
        <v>1272</v>
      </c>
      <c r="B360" s="2" t="s">
        <v>48</v>
      </c>
      <c r="C360">
        <v>1</v>
      </c>
      <c r="D360" s="2" t="s">
        <v>1273</v>
      </c>
      <c r="E360" s="2" t="s">
        <v>1274</v>
      </c>
      <c r="F360" s="2" t="s">
        <v>1275</v>
      </c>
      <c r="G360" s="2" t="s">
        <v>32</v>
      </c>
      <c r="H360" s="2" t="s">
        <v>1276</v>
      </c>
      <c r="I360" s="2" t="s">
        <v>1277</v>
      </c>
      <c r="J360" s="2" t="s">
        <v>35</v>
      </c>
      <c r="K360" s="2" t="s">
        <v>36</v>
      </c>
      <c r="L360" s="2" t="s">
        <v>51</v>
      </c>
      <c r="M360" s="2" t="s">
        <v>64</v>
      </c>
      <c r="N360" s="2" t="s">
        <v>1248</v>
      </c>
      <c r="O360" s="2" t="s">
        <v>41</v>
      </c>
      <c r="P360" s="2" t="s">
        <v>53</v>
      </c>
      <c r="Q360" s="2" t="s">
        <v>1248</v>
      </c>
      <c r="R360" s="4">
        <v>46140.700439814813</v>
      </c>
      <c r="S360" s="4">
        <v>46142.374641203707</v>
      </c>
      <c r="T360" s="2" t="s">
        <v>1278</v>
      </c>
      <c r="U360" s="1" t="s">
        <v>65</v>
      </c>
      <c r="V360" s="1" t="s">
        <v>70</v>
      </c>
      <c r="W360" s="1" t="s">
        <v>1279</v>
      </c>
      <c r="X360" s="1" t="s">
        <v>1280</v>
      </c>
      <c r="Y360" s="1" t="s">
        <v>1281</v>
      </c>
      <c r="Z360" s="1" t="s">
        <v>1267</v>
      </c>
      <c r="AA360" s="1" t="s">
        <v>67</v>
      </c>
    </row>
    <row r="361" spans="1:27" ht="17.45" customHeight="1">
      <c r="A361" s="3" t="s">
        <v>1282</v>
      </c>
      <c r="B361" s="3" t="s">
        <v>48</v>
      </c>
      <c r="C361">
        <v>1</v>
      </c>
      <c r="D361" s="3" t="s">
        <v>1273</v>
      </c>
      <c r="E361" s="3" t="s">
        <v>1283</v>
      </c>
      <c r="F361" s="3" t="s">
        <v>1284</v>
      </c>
      <c r="G361" s="3" t="s">
        <v>32</v>
      </c>
      <c r="H361" s="3" t="s">
        <v>1276</v>
      </c>
      <c r="I361" s="3" t="s">
        <v>1285</v>
      </c>
      <c r="J361" s="3" t="s">
        <v>35</v>
      </c>
      <c r="K361" s="3" t="s">
        <v>36</v>
      </c>
      <c r="L361" s="3" t="s">
        <v>51</v>
      </c>
      <c r="M361" s="3" t="s">
        <v>64</v>
      </c>
      <c r="N361" s="3" t="s">
        <v>1248</v>
      </c>
      <c r="O361" s="3" t="s">
        <v>41</v>
      </c>
      <c r="P361" s="3" t="s">
        <v>53</v>
      </c>
      <c r="Q361" s="3" t="s">
        <v>1248</v>
      </c>
      <c r="R361" s="5">
        <v>46140.735532407409</v>
      </c>
      <c r="S361" s="5">
        <v>46142.443391203706</v>
      </c>
      <c r="T361" s="3" t="s">
        <v>1286</v>
      </c>
      <c r="U361" s="1" t="s">
        <v>42</v>
      </c>
      <c r="V361" s="1" t="s">
        <v>105</v>
      </c>
      <c r="W361" s="1" t="s">
        <v>1287</v>
      </c>
      <c r="X361" s="1" t="s">
        <v>1287</v>
      </c>
      <c r="Y361" s="1" t="s">
        <v>1288</v>
      </c>
      <c r="Z361" s="1" t="s">
        <v>1267</v>
      </c>
      <c r="AA361" s="1" t="s">
        <v>46</v>
      </c>
    </row>
    <row r="362" spans="1:27" ht="17.45" customHeight="1">
      <c r="A362" s="2" t="s">
        <v>1289</v>
      </c>
      <c r="B362" s="2" t="s">
        <v>171</v>
      </c>
      <c r="C362">
        <v>1</v>
      </c>
      <c r="D362" s="2" t="s">
        <v>1273</v>
      </c>
      <c r="E362" s="2" t="s">
        <v>1290</v>
      </c>
      <c r="F362" s="2" t="s">
        <v>1291</v>
      </c>
      <c r="G362" s="2" t="s">
        <v>32</v>
      </c>
      <c r="H362" s="2" t="s">
        <v>1276</v>
      </c>
      <c r="I362" s="2" t="s">
        <v>1292</v>
      </c>
      <c r="J362" s="2" t="s">
        <v>35</v>
      </c>
      <c r="K362" s="2" t="s">
        <v>36</v>
      </c>
      <c r="L362" s="2" t="s">
        <v>37</v>
      </c>
      <c r="M362" s="2" t="s">
        <v>64</v>
      </c>
      <c r="N362" s="2" t="s">
        <v>1248</v>
      </c>
      <c r="O362" s="2" t="s">
        <v>41</v>
      </c>
      <c r="P362" s="2" t="s">
        <v>53</v>
      </c>
      <c r="Q362" s="2" t="s">
        <v>1248</v>
      </c>
      <c r="R362" s="4">
        <v>46141.620069444441</v>
      </c>
      <c r="S362" s="4">
        <v>46142.557928240742</v>
      </c>
      <c r="T362" s="2" t="s">
        <v>1293</v>
      </c>
      <c r="U362" s="1" t="s">
        <v>283</v>
      </c>
      <c r="V362" s="1" t="s">
        <v>293</v>
      </c>
      <c r="W362" s="1" t="s">
        <v>1294</v>
      </c>
      <c r="X362" s="1" t="s">
        <v>1295</v>
      </c>
      <c r="Y362" s="1" t="s">
        <v>1296</v>
      </c>
      <c r="Z362" s="1" t="s">
        <v>1297</v>
      </c>
      <c r="AA362" s="1" t="s">
        <v>285</v>
      </c>
    </row>
    <row r="363" spans="1:27" ht="17.45" customHeight="1">
      <c r="A363" s="3" t="s">
        <v>227</v>
      </c>
      <c r="B363" s="3" t="s">
        <v>48</v>
      </c>
      <c r="C363">
        <v>1</v>
      </c>
      <c r="D363" s="3" t="s">
        <v>228</v>
      </c>
      <c r="E363" s="3" t="s">
        <v>1298</v>
      </c>
      <c r="F363" s="3" t="s">
        <v>1299</v>
      </c>
      <c r="G363" s="3" t="s">
        <v>32</v>
      </c>
      <c r="H363" s="3" t="s">
        <v>124</v>
      </c>
      <c r="I363" s="3" t="s">
        <v>124</v>
      </c>
      <c r="J363" s="3" t="s">
        <v>35</v>
      </c>
      <c r="K363" s="3" t="s">
        <v>36</v>
      </c>
      <c r="L363" s="3" t="s">
        <v>51</v>
      </c>
      <c r="M363" s="3" t="s">
        <v>64</v>
      </c>
      <c r="N363" s="3" t="s">
        <v>1248</v>
      </c>
      <c r="O363" s="3" t="s">
        <v>41</v>
      </c>
      <c r="P363" s="3" t="s">
        <v>53</v>
      </c>
      <c r="Q363" s="3" t="s">
        <v>1248</v>
      </c>
      <c r="R363" s="5">
        <v>46141.645462962966</v>
      </c>
      <c r="S363" s="5">
        <v>46149.819201388891</v>
      </c>
      <c r="T363" s="3" t="s">
        <v>1300</v>
      </c>
      <c r="U363" s="1" t="s">
        <v>263</v>
      </c>
      <c r="V363" s="1" t="s">
        <v>264</v>
      </c>
      <c r="W363" s="1" t="s">
        <v>1301</v>
      </c>
      <c r="X363" s="1" t="s">
        <v>1301</v>
      </c>
      <c r="Y363" s="1" t="s">
        <v>1302</v>
      </c>
      <c r="Z363" s="1" t="s">
        <v>1253</v>
      </c>
      <c r="AA363" s="1" t="s">
        <v>265</v>
      </c>
    </row>
    <row r="364" spans="1:27" ht="17.45" customHeight="1">
      <c r="A364" s="2" t="s">
        <v>1303</v>
      </c>
      <c r="B364" s="2" t="s">
        <v>171</v>
      </c>
      <c r="C364">
        <v>1</v>
      </c>
      <c r="D364" s="2" t="s">
        <v>1273</v>
      </c>
      <c r="E364" s="2" t="s">
        <v>1304</v>
      </c>
      <c r="F364" s="2" t="s">
        <v>1305</v>
      </c>
      <c r="G364" s="2" t="s">
        <v>32</v>
      </c>
      <c r="H364" s="2" t="s">
        <v>1276</v>
      </c>
      <c r="I364" s="2" t="s">
        <v>1285</v>
      </c>
      <c r="J364" s="2" t="s">
        <v>35</v>
      </c>
      <c r="K364" s="2" t="s">
        <v>36</v>
      </c>
      <c r="L364" s="2" t="s">
        <v>37</v>
      </c>
      <c r="M364" s="2" t="s">
        <v>64</v>
      </c>
      <c r="N364" s="2" t="s">
        <v>1248</v>
      </c>
      <c r="O364" s="2" t="s">
        <v>41</v>
      </c>
      <c r="P364" s="2" t="s">
        <v>53</v>
      </c>
      <c r="Q364" s="2" t="s">
        <v>1248</v>
      </c>
      <c r="R364" s="4">
        <v>46141.670960648145</v>
      </c>
      <c r="S364" s="4">
        <v>46142.431458333333</v>
      </c>
      <c r="T364" s="2" t="s">
        <v>1306</v>
      </c>
      <c r="U364" s="1" t="s">
        <v>283</v>
      </c>
      <c r="V364" s="1" t="s">
        <v>410</v>
      </c>
      <c r="W364" s="1" t="s">
        <v>1305</v>
      </c>
      <c r="X364" s="1" t="s">
        <v>1305</v>
      </c>
      <c r="Y364" s="1" t="s">
        <v>1307</v>
      </c>
      <c r="Z364" s="1" t="s">
        <v>1253</v>
      </c>
      <c r="AA364" s="1" t="s">
        <v>285</v>
      </c>
    </row>
    <row r="365" spans="1:27" ht="17.45" customHeight="1">
      <c r="A365" s="3" t="s">
        <v>227</v>
      </c>
      <c r="B365" s="3" t="s">
        <v>48</v>
      </c>
      <c r="C365">
        <v>1</v>
      </c>
      <c r="D365" s="3" t="s">
        <v>228</v>
      </c>
      <c r="E365" s="3" t="s">
        <v>1308</v>
      </c>
      <c r="F365" s="3" t="s">
        <v>1309</v>
      </c>
      <c r="G365" s="3" t="s">
        <v>32</v>
      </c>
      <c r="H365" s="3" t="s">
        <v>124</v>
      </c>
      <c r="I365" s="3" t="s">
        <v>124</v>
      </c>
      <c r="J365" s="3" t="s">
        <v>35</v>
      </c>
      <c r="K365" s="3" t="s">
        <v>36</v>
      </c>
      <c r="L365" s="3" t="s">
        <v>51</v>
      </c>
      <c r="M365" s="3" t="s">
        <v>38</v>
      </c>
      <c r="N365" s="3" t="s">
        <v>1248</v>
      </c>
      <c r="O365" s="3" t="s">
        <v>41</v>
      </c>
      <c r="P365" s="3" t="s">
        <v>53</v>
      </c>
      <c r="Q365" s="3" t="s">
        <v>1248</v>
      </c>
      <c r="R365" s="5">
        <v>46141.671030092592</v>
      </c>
      <c r="S365" s="5">
        <v>46148.676446759258</v>
      </c>
      <c r="T365" s="3" t="s">
        <v>1310</v>
      </c>
      <c r="U365" s="1" t="s">
        <v>569</v>
      </c>
      <c r="V365" s="1" t="s">
        <v>570</v>
      </c>
      <c r="W365" s="1" t="s">
        <v>1311</v>
      </c>
      <c r="X365" s="1" t="s">
        <v>1311</v>
      </c>
      <c r="Y365" s="1" t="s">
        <v>1312</v>
      </c>
      <c r="Z365" s="1" t="s">
        <v>1253</v>
      </c>
      <c r="AA365" s="1" t="s">
        <v>573</v>
      </c>
    </row>
    <row r="366" spans="1:27" ht="17.45" customHeight="1">
      <c r="A366" s="2" t="s">
        <v>1313</v>
      </c>
      <c r="B366" s="2" t="s">
        <v>171</v>
      </c>
      <c r="C366">
        <v>1</v>
      </c>
      <c r="D366" s="2" t="s">
        <v>1273</v>
      </c>
      <c r="E366" s="2" t="s">
        <v>1314</v>
      </c>
      <c r="F366" s="2" t="s">
        <v>1315</v>
      </c>
      <c r="G366" s="2" t="s">
        <v>32</v>
      </c>
      <c r="H366" s="2" t="s">
        <v>1276</v>
      </c>
      <c r="I366" s="2" t="s">
        <v>1277</v>
      </c>
      <c r="J366" s="2" t="s">
        <v>35</v>
      </c>
      <c r="K366" s="2" t="s">
        <v>36</v>
      </c>
      <c r="L366" s="2" t="s">
        <v>37</v>
      </c>
      <c r="M366" s="2" t="s">
        <v>128</v>
      </c>
      <c r="N366" s="2" t="s">
        <v>1248</v>
      </c>
      <c r="O366" s="2" t="s">
        <v>41</v>
      </c>
      <c r="P366" s="2" t="s">
        <v>53</v>
      </c>
      <c r="Q366" s="2" t="s">
        <v>1248</v>
      </c>
      <c r="R366" s="4">
        <v>46141.705925925926</v>
      </c>
      <c r="S366" s="4">
        <v>46141.788182870368</v>
      </c>
      <c r="T366" s="2" t="s">
        <v>1316</v>
      </c>
      <c r="U366" s="1" t="s">
        <v>177</v>
      </c>
      <c r="V366" s="1" t="s">
        <v>184</v>
      </c>
      <c r="W366" s="1" t="s">
        <v>1315</v>
      </c>
      <c r="X366" s="1" t="s">
        <v>1315</v>
      </c>
      <c r="Y366" s="1" t="s">
        <v>1317</v>
      </c>
      <c r="Z366" s="1" t="s">
        <v>1253</v>
      </c>
      <c r="AA366" s="1" t="s">
        <v>179</v>
      </c>
    </row>
    <row r="367" spans="1:27" ht="17.45" customHeight="1">
      <c r="A367" s="3" t="s">
        <v>1318</v>
      </c>
      <c r="B367" s="3" t="s">
        <v>171</v>
      </c>
      <c r="C367">
        <v>1</v>
      </c>
      <c r="D367" s="3" t="s">
        <v>1273</v>
      </c>
      <c r="E367" s="3" t="s">
        <v>1319</v>
      </c>
      <c r="F367" s="3" t="s">
        <v>1320</v>
      </c>
      <c r="G367" s="3" t="s">
        <v>32</v>
      </c>
      <c r="H367" s="3" t="s">
        <v>1276</v>
      </c>
      <c r="I367" s="3" t="s">
        <v>1285</v>
      </c>
      <c r="J367" s="3" t="s">
        <v>35</v>
      </c>
      <c r="K367" s="3" t="s">
        <v>36</v>
      </c>
      <c r="L367" s="3" t="s">
        <v>37</v>
      </c>
      <c r="M367" s="3" t="s">
        <v>52</v>
      </c>
      <c r="N367" s="3" t="s">
        <v>1248</v>
      </c>
      <c r="O367" s="3" t="s">
        <v>41</v>
      </c>
      <c r="P367" s="3" t="s">
        <v>53</v>
      </c>
      <c r="Q367" s="3" t="s">
        <v>1248</v>
      </c>
      <c r="R367" s="5">
        <v>46141.74355324074</v>
      </c>
      <c r="S367" s="5">
        <v>46142.368680555555</v>
      </c>
      <c r="T367" s="3" t="s">
        <v>1321</v>
      </c>
      <c r="U367" s="1" t="s">
        <v>177</v>
      </c>
      <c r="V367" s="1" t="s">
        <v>184</v>
      </c>
      <c r="W367" s="1" t="s">
        <v>1322</v>
      </c>
      <c r="X367" s="1" t="s">
        <v>1323</v>
      </c>
      <c r="Y367" s="1" t="s">
        <v>1324</v>
      </c>
      <c r="Z367" s="1" t="s">
        <v>1267</v>
      </c>
      <c r="AA367" s="1" t="s">
        <v>179</v>
      </c>
    </row>
    <row r="368" spans="1:27" ht="17.45" customHeight="1">
      <c r="A368" s="2" t="s">
        <v>1325</v>
      </c>
      <c r="B368" s="2" t="s">
        <v>28</v>
      </c>
      <c r="C368">
        <v>1</v>
      </c>
      <c r="D368" s="2" t="s">
        <v>228</v>
      </c>
      <c r="E368" s="2" t="s">
        <v>1326</v>
      </c>
      <c r="F368" s="2" t="s">
        <v>1327</v>
      </c>
      <c r="G368" s="2" t="s">
        <v>32</v>
      </c>
      <c r="H368" s="2" t="s">
        <v>124</v>
      </c>
      <c r="I368" s="2" t="s">
        <v>124</v>
      </c>
      <c r="J368" s="2" t="s">
        <v>35</v>
      </c>
      <c r="K368" s="2" t="s">
        <v>36</v>
      </c>
      <c r="L368" s="2" t="s">
        <v>51</v>
      </c>
      <c r="M368" s="2" t="s">
        <v>64</v>
      </c>
      <c r="N368" s="2" t="s">
        <v>1248</v>
      </c>
      <c r="O368" s="2" t="s">
        <v>41</v>
      </c>
      <c r="P368" s="2" t="s">
        <v>53</v>
      </c>
      <c r="Q368" s="2" t="s">
        <v>1248</v>
      </c>
      <c r="R368" s="4">
        <v>46142.598564814813</v>
      </c>
      <c r="S368" s="4">
        <v>46148.695381944446</v>
      </c>
      <c r="T368" s="2" t="s">
        <v>1328</v>
      </c>
      <c r="U368" s="1" t="s">
        <v>42</v>
      </c>
      <c r="V368" s="1" t="s">
        <v>105</v>
      </c>
      <c r="W368" s="1" t="s">
        <v>1329</v>
      </c>
      <c r="X368" s="1" t="s">
        <v>1330</v>
      </c>
      <c r="Y368" s="1" t="s">
        <v>1331</v>
      </c>
      <c r="Z368" s="1" t="s">
        <v>1253</v>
      </c>
      <c r="AA368" s="1" t="s">
        <v>46</v>
      </c>
    </row>
    <row r="369" spans="1:27" ht="17.45" customHeight="1">
      <c r="A369" s="3" t="s">
        <v>154</v>
      </c>
      <c r="B369" s="3" t="s">
        <v>120</v>
      </c>
      <c r="C369">
        <v>1</v>
      </c>
      <c r="D369" s="3" t="s">
        <v>121</v>
      </c>
      <c r="E369" s="3" t="s">
        <v>1332</v>
      </c>
      <c r="F369" s="3" t="s">
        <v>1333</v>
      </c>
      <c r="G369" s="3" t="s">
        <v>32</v>
      </c>
      <c r="H369" s="3" t="s">
        <v>124</v>
      </c>
      <c r="I369" s="3" t="s">
        <v>157</v>
      </c>
      <c r="J369" s="3" t="s">
        <v>35</v>
      </c>
      <c r="K369" s="3" t="s">
        <v>36</v>
      </c>
      <c r="L369" s="3" t="s">
        <v>37</v>
      </c>
      <c r="M369" s="3" t="s">
        <v>38</v>
      </c>
      <c r="N369" s="3" t="s">
        <v>1248</v>
      </c>
      <c r="O369" s="3" t="s">
        <v>41</v>
      </c>
      <c r="P369" s="3" t="s">
        <v>40</v>
      </c>
      <c r="Q369" s="3" t="s">
        <v>1248</v>
      </c>
      <c r="R369" s="5">
        <v>46134.465358796297</v>
      </c>
      <c r="S369" s="5">
        <v>46139.567199074074</v>
      </c>
      <c r="T369" s="3" t="s">
        <v>1334</v>
      </c>
      <c r="U369" s="1" t="s">
        <v>83</v>
      </c>
      <c r="V369" s="1" t="s">
        <v>84</v>
      </c>
      <c r="W369" s="1" t="s">
        <v>1333</v>
      </c>
      <c r="X369" s="1" t="s">
        <v>1333</v>
      </c>
      <c r="Y369" s="1" t="s">
        <v>1335</v>
      </c>
      <c r="Z369" s="1" t="s">
        <v>1253</v>
      </c>
      <c r="AA369" s="1" t="s">
        <v>85</v>
      </c>
    </row>
    <row r="370" spans="1:27" ht="17.45" customHeight="1">
      <c r="A370" s="2" t="s">
        <v>844</v>
      </c>
      <c r="B370" s="2" t="s">
        <v>120</v>
      </c>
      <c r="C370">
        <v>1</v>
      </c>
      <c r="D370" s="2" t="s">
        <v>121</v>
      </c>
      <c r="E370" s="2" t="s">
        <v>1336</v>
      </c>
      <c r="F370" s="2" t="s">
        <v>1337</v>
      </c>
      <c r="G370" s="2" t="s">
        <v>32</v>
      </c>
      <c r="H370" s="2" t="s">
        <v>124</v>
      </c>
      <c r="I370" s="2" t="s">
        <v>157</v>
      </c>
      <c r="J370" s="2" t="s">
        <v>35</v>
      </c>
      <c r="K370" s="2" t="s">
        <v>36</v>
      </c>
      <c r="L370" s="2" t="s">
        <v>37</v>
      </c>
      <c r="M370" s="2" t="s">
        <v>38</v>
      </c>
      <c r="N370" s="2" t="s">
        <v>1248</v>
      </c>
      <c r="O370" s="2" t="s">
        <v>41</v>
      </c>
      <c r="P370" s="2" t="s">
        <v>53</v>
      </c>
      <c r="Q370" s="2" t="s">
        <v>1248</v>
      </c>
      <c r="R370" s="4">
        <v>46134.579965277779</v>
      </c>
      <c r="S370" s="4">
        <v>46139.567395833335</v>
      </c>
      <c r="T370" s="2" t="s">
        <v>1334</v>
      </c>
      <c r="U370" s="1" t="s">
        <v>83</v>
      </c>
      <c r="V370" s="1" t="s">
        <v>84</v>
      </c>
      <c r="W370" s="1" t="s">
        <v>1337</v>
      </c>
      <c r="X370" s="1" t="s">
        <v>1337</v>
      </c>
      <c r="Y370" s="1" t="s">
        <v>1335</v>
      </c>
      <c r="Z370" s="1" t="s">
        <v>1253</v>
      </c>
      <c r="AA370" s="1" t="s">
        <v>85</v>
      </c>
    </row>
    <row r="371" spans="1:27" ht="17.45" customHeight="1">
      <c r="A371" s="3" t="s">
        <v>1149</v>
      </c>
      <c r="B371" s="3" t="s">
        <v>120</v>
      </c>
      <c r="C371">
        <v>1</v>
      </c>
      <c r="D371" s="3" t="s">
        <v>121</v>
      </c>
      <c r="E371" s="3" t="s">
        <v>1338</v>
      </c>
      <c r="F371" s="3" t="s">
        <v>1337</v>
      </c>
      <c r="G371" s="3" t="s">
        <v>32</v>
      </c>
      <c r="H371" s="3" t="s">
        <v>124</v>
      </c>
      <c r="I371" s="3" t="s">
        <v>157</v>
      </c>
      <c r="J371" s="3" t="s">
        <v>35</v>
      </c>
      <c r="K371" s="3" t="s">
        <v>36</v>
      </c>
      <c r="L371" s="3" t="s">
        <v>37</v>
      </c>
      <c r="M371" s="3" t="s">
        <v>38</v>
      </c>
      <c r="N371" s="3" t="s">
        <v>1248</v>
      </c>
      <c r="O371" s="3" t="s">
        <v>41</v>
      </c>
      <c r="P371" s="3" t="s">
        <v>53</v>
      </c>
      <c r="Q371" s="3" t="s">
        <v>1248</v>
      </c>
      <c r="R371" s="5">
        <v>46134.582303240742</v>
      </c>
      <c r="S371" s="5">
        <v>46139.56759259259</v>
      </c>
      <c r="T371" s="3" t="s">
        <v>1334</v>
      </c>
      <c r="U371" s="1" t="s">
        <v>83</v>
      </c>
      <c r="V371" s="1" t="s">
        <v>84</v>
      </c>
      <c r="W371" s="1" t="s">
        <v>1337</v>
      </c>
      <c r="X371" s="1" t="s">
        <v>1337</v>
      </c>
      <c r="Y371" s="1" t="s">
        <v>1335</v>
      </c>
      <c r="Z371" s="1" t="s">
        <v>1253</v>
      </c>
      <c r="AA371" s="1" t="s">
        <v>85</v>
      </c>
    </row>
    <row r="372" spans="1:27" ht="17.45" customHeight="1">
      <c r="A372" s="2" t="s">
        <v>1339</v>
      </c>
      <c r="B372" s="2" t="s">
        <v>120</v>
      </c>
      <c r="C372">
        <v>1</v>
      </c>
      <c r="D372" s="2" t="s">
        <v>121</v>
      </c>
      <c r="E372" s="2" t="s">
        <v>1340</v>
      </c>
      <c r="F372" s="2" t="s">
        <v>1341</v>
      </c>
      <c r="G372" s="2" t="s">
        <v>32</v>
      </c>
      <c r="H372" s="2" t="s">
        <v>124</v>
      </c>
      <c r="I372" s="2" t="s">
        <v>157</v>
      </c>
      <c r="J372" s="2" t="s">
        <v>35</v>
      </c>
      <c r="K372" s="2" t="s">
        <v>36</v>
      </c>
      <c r="L372" s="2" t="s">
        <v>37</v>
      </c>
      <c r="M372" s="2" t="s">
        <v>38</v>
      </c>
      <c r="N372" s="2" t="s">
        <v>1248</v>
      </c>
      <c r="O372" s="2" t="s">
        <v>41</v>
      </c>
      <c r="P372" s="2" t="s">
        <v>53</v>
      </c>
      <c r="Q372" s="2" t="s">
        <v>1248</v>
      </c>
      <c r="R372" s="4">
        <v>46134.595393518517</v>
      </c>
      <c r="S372" s="4">
        <v>46139.567800925928</v>
      </c>
      <c r="T372" s="2" t="s">
        <v>1334</v>
      </c>
      <c r="U372" s="1" t="s">
        <v>83</v>
      </c>
      <c r="V372" s="1" t="s">
        <v>84</v>
      </c>
      <c r="W372" s="1" t="s">
        <v>1341</v>
      </c>
      <c r="X372" s="1" t="s">
        <v>1341</v>
      </c>
      <c r="Y372" s="1" t="s">
        <v>1335</v>
      </c>
      <c r="Z372" s="1" t="s">
        <v>1253</v>
      </c>
      <c r="AA372" s="1" t="s">
        <v>85</v>
      </c>
    </row>
    <row r="373" spans="1:27" ht="17.45" customHeight="1">
      <c r="A373" s="3" t="s">
        <v>1342</v>
      </c>
      <c r="B373" s="3" t="s">
        <v>120</v>
      </c>
      <c r="C373">
        <v>1</v>
      </c>
      <c r="D373" s="3" t="s">
        <v>1273</v>
      </c>
      <c r="E373" s="3" t="s">
        <v>1343</v>
      </c>
      <c r="F373" s="3" t="s">
        <v>1344</v>
      </c>
      <c r="G373" s="3" t="s">
        <v>32</v>
      </c>
      <c r="H373" s="3" t="s">
        <v>1276</v>
      </c>
      <c r="I373" s="3" t="s">
        <v>1292</v>
      </c>
      <c r="J373" s="3" t="s">
        <v>35</v>
      </c>
      <c r="K373" s="3" t="s">
        <v>36</v>
      </c>
      <c r="L373" s="3" t="s">
        <v>51</v>
      </c>
      <c r="M373" s="3" t="s">
        <v>64</v>
      </c>
      <c r="N373" s="3" t="s">
        <v>1248</v>
      </c>
      <c r="O373" s="3" t="s">
        <v>41</v>
      </c>
      <c r="P373" s="3" t="s">
        <v>53</v>
      </c>
      <c r="Q373" s="3" t="s">
        <v>1248</v>
      </c>
      <c r="R373" s="5">
        <v>46135.548726851855</v>
      </c>
      <c r="S373" s="5">
        <v>46135.725416666668</v>
      </c>
      <c r="T373" s="3" t="s">
        <v>1345</v>
      </c>
      <c r="U373" s="1" t="s">
        <v>59</v>
      </c>
      <c r="V373" s="1" t="s">
        <v>60</v>
      </c>
      <c r="W373" s="1" t="s">
        <v>1346</v>
      </c>
      <c r="X373" s="1" t="s">
        <v>1347</v>
      </c>
      <c r="Y373" s="1" t="s">
        <v>1348</v>
      </c>
      <c r="Z373" s="1" t="s">
        <v>1297</v>
      </c>
      <c r="AA373" s="1" t="s">
        <v>61</v>
      </c>
    </row>
    <row r="374" spans="1:27" ht="17.45" customHeight="1">
      <c r="A374" s="2" t="s">
        <v>1349</v>
      </c>
      <c r="B374" s="2" t="s">
        <v>120</v>
      </c>
      <c r="C374">
        <v>1</v>
      </c>
      <c r="D374" s="2" t="s">
        <v>1273</v>
      </c>
      <c r="E374" s="2" t="s">
        <v>1350</v>
      </c>
      <c r="F374" s="2" t="s">
        <v>1351</v>
      </c>
      <c r="G374" s="2" t="s">
        <v>32</v>
      </c>
      <c r="H374" s="2" t="s">
        <v>1276</v>
      </c>
      <c r="I374" s="2" t="s">
        <v>1292</v>
      </c>
      <c r="J374" s="2" t="s">
        <v>35</v>
      </c>
      <c r="K374" s="2" t="s">
        <v>36</v>
      </c>
      <c r="L374" s="2" t="s">
        <v>51</v>
      </c>
      <c r="M374" s="2" t="s">
        <v>64</v>
      </c>
      <c r="N374" s="2" t="s">
        <v>1248</v>
      </c>
      <c r="O374" s="2" t="s">
        <v>41</v>
      </c>
      <c r="P374" s="2" t="s">
        <v>40</v>
      </c>
      <c r="Q374" s="2" t="s">
        <v>1248</v>
      </c>
      <c r="R374" s="4">
        <v>46135.57912037037</v>
      </c>
      <c r="S374" s="4">
        <v>46148.393831018519</v>
      </c>
      <c r="T374" s="2" t="s">
        <v>1352</v>
      </c>
      <c r="U374" s="1" t="s">
        <v>59</v>
      </c>
      <c r="V374" s="1" t="s">
        <v>60</v>
      </c>
      <c r="W374" s="1" t="s">
        <v>1353</v>
      </c>
      <c r="X374" s="1" t="s">
        <v>1354</v>
      </c>
      <c r="Y374" s="1" t="s">
        <v>1355</v>
      </c>
      <c r="Z374" s="1" t="s">
        <v>1267</v>
      </c>
      <c r="AA374" s="1" t="s">
        <v>61</v>
      </c>
    </row>
    <row r="375" spans="1:27" ht="17.45" customHeight="1">
      <c r="A375" s="3" t="s">
        <v>1356</v>
      </c>
      <c r="B375" s="3" t="s">
        <v>28</v>
      </c>
      <c r="C375">
        <v>1</v>
      </c>
      <c r="D375" s="3" t="s">
        <v>1273</v>
      </c>
      <c r="E375" s="3" t="s">
        <v>1357</v>
      </c>
      <c r="F375" s="3" t="s">
        <v>1358</v>
      </c>
      <c r="G375" s="3" t="s">
        <v>32</v>
      </c>
      <c r="H375" s="3" t="s">
        <v>1276</v>
      </c>
      <c r="I375" s="3" t="s">
        <v>1277</v>
      </c>
      <c r="J375" s="3" t="s">
        <v>35</v>
      </c>
      <c r="K375" s="3" t="s">
        <v>36</v>
      </c>
      <c r="L375" s="3" t="s">
        <v>37</v>
      </c>
      <c r="M375" s="3" t="s">
        <v>52</v>
      </c>
      <c r="N375" s="3" t="s">
        <v>1248</v>
      </c>
      <c r="O375" s="3" t="s">
        <v>41</v>
      </c>
      <c r="P375" s="3" t="s">
        <v>40</v>
      </c>
      <c r="Q375" s="3" t="s">
        <v>1248</v>
      </c>
      <c r="R375" s="5">
        <v>46135.668634259258</v>
      </c>
      <c r="S375" s="5">
        <v>46136.611145833333</v>
      </c>
      <c r="T375" s="3" t="s">
        <v>1359</v>
      </c>
      <c r="U375" s="1" t="s">
        <v>283</v>
      </c>
      <c r="V375" s="1" t="s">
        <v>293</v>
      </c>
      <c r="W375" s="1" t="s">
        <v>1358</v>
      </c>
      <c r="X375" s="1" t="s">
        <v>1358</v>
      </c>
      <c r="Y375" s="1" t="s">
        <v>1360</v>
      </c>
      <c r="Z375" s="1" t="s">
        <v>1267</v>
      </c>
      <c r="AA375" s="1" t="s">
        <v>285</v>
      </c>
    </row>
    <row r="376" spans="1:27" ht="17.45" customHeight="1">
      <c r="A376" s="2" t="s">
        <v>1361</v>
      </c>
      <c r="B376" s="2" t="s">
        <v>28</v>
      </c>
      <c r="C376">
        <v>1</v>
      </c>
      <c r="D376" s="2" t="s">
        <v>1273</v>
      </c>
      <c r="E376" s="2" t="s">
        <v>1362</v>
      </c>
      <c r="F376" s="2" t="s">
        <v>1363</v>
      </c>
      <c r="G376" s="2" t="s">
        <v>32</v>
      </c>
      <c r="H376" s="2" t="s">
        <v>1276</v>
      </c>
      <c r="I376" s="2" t="s">
        <v>1277</v>
      </c>
      <c r="J376" s="2" t="s">
        <v>35</v>
      </c>
      <c r="K376" s="2" t="s">
        <v>36</v>
      </c>
      <c r="L376" s="2" t="s">
        <v>37</v>
      </c>
      <c r="M376" s="2" t="s">
        <v>52</v>
      </c>
      <c r="N376" s="2" t="s">
        <v>1248</v>
      </c>
      <c r="O376" s="2" t="s">
        <v>41</v>
      </c>
      <c r="P376" s="2" t="s">
        <v>40</v>
      </c>
      <c r="Q376" s="2" t="s">
        <v>1248</v>
      </c>
      <c r="R376" s="4">
        <v>46135.677986111114</v>
      </c>
      <c r="S376" s="4">
        <v>46136.61142361111</v>
      </c>
      <c r="T376" s="2" t="s">
        <v>1359</v>
      </c>
      <c r="U376" s="1" t="s">
        <v>283</v>
      </c>
      <c r="V376" s="1" t="s">
        <v>293</v>
      </c>
      <c r="W376" s="1" t="s">
        <v>1363</v>
      </c>
      <c r="X376" s="1" t="s">
        <v>1363</v>
      </c>
      <c r="Y376" s="1" t="s">
        <v>1360</v>
      </c>
      <c r="Z376" s="1" t="s">
        <v>1267</v>
      </c>
      <c r="AA376" s="1" t="s">
        <v>285</v>
      </c>
    </row>
    <row r="377" spans="1:27" ht="17.45" customHeight="1">
      <c r="A377" s="3" t="s">
        <v>1364</v>
      </c>
      <c r="B377" s="3" t="s">
        <v>181</v>
      </c>
      <c r="C377">
        <v>1</v>
      </c>
      <c r="D377" s="3" t="s">
        <v>228</v>
      </c>
      <c r="E377" s="3" t="s">
        <v>1365</v>
      </c>
      <c r="F377" s="3" t="s">
        <v>1366</v>
      </c>
      <c r="G377" s="3" t="s">
        <v>32</v>
      </c>
      <c r="H377" s="3" t="s">
        <v>124</v>
      </c>
      <c r="I377" s="3" t="s">
        <v>124</v>
      </c>
      <c r="J377" s="3" t="s">
        <v>35</v>
      </c>
      <c r="K377" s="3" t="s">
        <v>36</v>
      </c>
      <c r="L377" s="3" t="s">
        <v>51</v>
      </c>
      <c r="M377" s="3" t="s">
        <v>64</v>
      </c>
      <c r="N377" s="3" t="s">
        <v>1248</v>
      </c>
      <c r="O377" s="3" t="s">
        <v>41</v>
      </c>
      <c r="P377" s="3" t="s">
        <v>53</v>
      </c>
      <c r="Q377" s="3" t="s">
        <v>1248</v>
      </c>
      <c r="R377" s="5">
        <v>46136.699895833335</v>
      </c>
      <c r="S377" s="5">
        <v>46149.752789351849</v>
      </c>
      <c r="T377" s="3" t="s">
        <v>1367</v>
      </c>
      <c r="U377" s="1" t="s">
        <v>59</v>
      </c>
      <c r="V377" s="1" t="s">
        <v>60</v>
      </c>
      <c r="W377" s="1" t="s">
        <v>1366</v>
      </c>
      <c r="X377" s="1" t="s">
        <v>1366</v>
      </c>
      <c r="Y377" s="1" t="s">
        <v>1368</v>
      </c>
      <c r="Z377" s="1" t="s">
        <v>1253</v>
      </c>
      <c r="AA377" s="1" t="s">
        <v>61</v>
      </c>
    </row>
    <row r="378" spans="1:27" ht="17.45" customHeight="1">
      <c r="A378" s="2" t="s">
        <v>1369</v>
      </c>
      <c r="B378" s="2" t="s">
        <v>28</v>
      </c>
      <c r="C378">
        <v>1</v>
      </c>
      <c r="D378" s="2" t="s">
        <v>121</v>
      </c>
      <c r="E378" s="2" t="s">
        <v>1370</v>
      </c>
      <c r="F378" s="2" t="s">
        <v>1371</v>
      </c>
      <c r="G378" s="2" t="s">
        <v>32</v>
      </c>
      <c r="H378" s="2" t="s">
        <v>124</v>
      </c>
      <c r="I378" s="2" t="s">
        <v>157</v>
      </c>
      <c r="J378" s="2" t="s">
        <v>35</v>
      </c>
      <c r="K378" s="2" t="s">
        <v>36</v>
      </c>
      <c r="L378" s="2" t="s">
        <v>51</v>
      </c>
      <c r="M378" s="2" t="s">
        <v>64</v>
      </c>
      <c r="N378" s="2" t="s">
        <v>1248</v>
      </c>
      <c r="O378" s="2" t="s">
        <v>41</v>
      </c>
      <c r="P378" s="2" t="s">
        <v>53</v>
      </c>
      <c r="Q378" s="2" t="s">
        <v>1248</v>
      </c>
      <c r="R378" s="4">
        <v>46139.430555555555</v>
      </c>
      <c r="S378" s="4">
        <v>46141.337835648148</v>
      </c>
      <c r="T378" s="2" t="s">
        <v>1372</v>
      </c>
      <c r="U378" s="1" t="s">
        <v>83</v>
      </c>
      <c r="V378" s="1" t="s">
        <v>84</v>
      </c>
      <c r="W378" s="1" t="s">
        <v>1371</v>
      </c>
      <c r="X378" s="1" t="s">
        <v>1371</v>
      </c>
      <c r="Y378" s="1" t="s">
        <v>1373</v>
      </c>
      <c r="Z378" s="1" t="s">
        <v>1253</v>
      </c>
      <c r="AA378" s="1" t="s">
        <v>85</v>
      </c>
    </row>
    <row r="379" spans="1:27" ht="17.45" customHeight="1">
      <c r="A379" s="3" t="s">
        <v>1374</v>
      </c>
      <c r="B379" s="3" t="s">
        <v>28</v>
      </c>
      <c r="C379">
        <v>1</v>
      </c>
      <c r="D379" s="3" t="s">
        <v>121</v>
      </c>
      <c r="E379" s="3" t="s">
        <v>1375</v>
      </c>
      <c r="F379" s="3" t="s">
        <v>1376</v>
      </c>
      <c r="G379" s="3" t="s">
        <v>32</v>
      </c>
      <c r="H379" s="3" t="s">
        <v>124</v>
      </c>
      <c r="I379" s="3" t="s">
        <v>33</v>
      </c>
      <c r="J379" s="3" t="s">
        <v>35</v>
      </c>
      <c r="K379" s="3" t="s">
        <v>36</v>
      </c>
      <c r="L379" s="3" t="s">
        <v>51</v>
      </c>
      <c r="M379" s="3" t="s">
        <v>64</v>
      </c>
      <c r="N379" s="3" t="s">
        <v>1248</v>
      </c>
      <c r="O379" s="3" t="s">
        <v>41</v>
      </c>
      <c r="P379" s="3" t="s">
        <v>53</v>
      </c>
      <c r="Q379" s="3" t="s">
        <v>1248</v>
      </c>
      <c r="R379" s="5">
        <v>46139.544999999998</v>
      </c>
      <c r="S379" s="5">
        <v>46139.572662037041</v>
      </c>
      <c r="T379" s="3" t="s">
        <v>1377</v>
      </c>
      <c r="U379" s="1" t="s">
        <v>59</v>
      </c>
      <c r="V379" s="1" t="s">
        <v>60</v>
      </c>
      <c r="W379" s="1" t="s">
        <v>1378</v>
      </c>
      <c r="X379" s="1" t="s">
        <v>1379</v>
      </c>
      <c r="Y379" s="1" t="s">
        <v>1380</v>
      </c>
      <c r="Z379" s="1" t="s">
        <v>1267</v>
      </c>
      <c r="AA379" s="1" t="s">
        <v>61</v>
      </c>
    </row>
    <row r="380" spans="1:27" ht="17.45" customHeight="1">
      <c r="A380" s="2" t="s">
        <v>518</v>
      </c>
      <c r="B380" s="2" t="s">
        <v>28</v>
      </c>
      <c r="C380">
        <v>1</v>
      </c>
      <c r="D380" s="2" t="s">
        <v>121</v>
      </c>
      <c r="E380" s="2" t="s">
        <v>1381</v>
      </c>
      <c r="F380" s="2" t="s">
        <v>1371</v>
      </c>
      <c r="G380" s="2" t="s">
        <v>32</v>
      </c>
      <c r="H380" s="2" t="s">
        <v>124</v>
      </c>
      <c r="I380" s="2" t="s">
        <v>157</v>
      </c>
      <c r="J380" s="2" t="s">
        <v>35</v>
      </c>
      <c r="K380" s="2" t="s">
        <v>36</v>
      </c>
      <c r="L380" s="2" t="s">
        <v>51</v>
      </c>
      <c r="M380" s="2" t="s">
        <v>64</v>
      </c>
      <c r="N380" s="2" t="s">
        <v>1248</v>
      </c>
      <c r="O380" s="2" t="s">
        <v>41</v>
      </c>
      <c r="P380" s="2" t="s">
        <v>53</v>
      </c>
      <c r="Q380" s="2" t="s">
        <v>1248</v>
      </c>
      <c r="R380" s="4">
        <v>46139.450381944444</v>
      </c>
      <c r="S380" s="4">
        <v>46141.39471064815</v>
      </c>
      <c r="T380" s="2" t="s">
        <v>1372</v>
      </c>
      <c r="U380" s="1" t="s">
        <v>83</v>
      </c>
      <c r="V380" s="1" t="s">
        <v>84</v>
      </c>
      <c r="W380" s="1" t="s">
        <v>1371</v>
      </c>
      <c r="X380" s="1" t="s">
        <v>1371</v>
      </c>
      <c r="Y380" s="1" t="s">
        <v>1373</v>
      </c>
      <c r="Z380" s="1" t="s">
        <v>1253</v>
      </c>
      <c r="AA380" s="1" t="s">
        <v>85</v>
      </c>
    </row>
    <row r="381" spans="1:27" ht="17.45" customHeight="1">
      <c r="A381" s="3" t="s">
        <v>1382</v>
      </c>
      <c r="B381" s="3" t="s">
        <v>171</v>
      </c>
      <c r="C381">
        <v>1</v>
      </c>
      <c r="D381" s="3" t="s">
        <v>1273</v>
      </c>
      <c r="E381" s="3" t="s">
        <v>1383</v>
      </c>
      <c r="F381" s="3" t="s">
        <v>1384</v>
      </c>
      <c r="G381" s="3" t="s">
        <v>32</v>
      </c>
      <c r="H381" s="3" t="s">
        <v>1276</v>
      </c>
      <c r="I381" s="3" t="s">
        <v>1292</v>
      </c>
      <c r="J381" s="3" t="s">
        <v>35</v>
      </c>
      <c r="K381" s="3" t="s">
        <v>36</v>
      </c>
      <c r="L381" s="3" t="s">
        <v>37</v>
      </c>
      <c r="M381" s="3" t="s">
        <v>52</v>
      </c>
      <c r="N381" s="3" t="s">
        <v>1248</v>
      </c>
      <c r="O381" s="3" t="s">
        <v>41</v>
      </c>
      <c r="P381" s="3" t="s">
        <v>40</v>
      </c>
      <c r="Q381" s="3" t="s">
        <v>1248</v>
      </c>
      <c r="R381" s="5">
        <v>46142.406446759262</v>
      </c>
      <c r="S381" s="5">
        <v>46142.411550925928</v>
      </c>
      <c r="T381" s="3" t="s">
        <v>1385</v>
      </c>
      <c r="U381" s="1" t="s">
        <v>243</v>
      </c>
      <c r="V381" s="1" t="s">
        <v>302</v>
      </c>
      <c r="W381" s="1" t="s">
        <v>1386</v>
      </c>
      <c r="X381" s="1" t="s">
        <v>1387</v>
      </c>
      <c r="Y381" s="1" t="s">
        <v>1388</v>
      </c>
      <c r="Z381" s="1" t="s">
        <v>1267</v>
      </c>
      <c r="AA381" s="1" t="s">
        <v>246</v>
      </c>
    </row>
    <row r="382" spans="1:27" ht="17.45" customHeight="1">
      <c r="A382" s="2" t="s">
        <v>1389</v>
      </c>
      <c r="B382" s="2" t="s">
        <v>171</v>
      </c>
      <c r="C382">
        <v>1</v>
      </c>
      <c r="D382" s="2" t="s">
        <v>1273</v>
      </c>
      <c r="E382" s="2" t="s">
        <v>1390</v>
      </c>
      <c r="F382" s="2" t="s">
        <v>1391</v>
      </c>
      <c r="G382" s="2" t="s">
        <v>32</v>
      </c>
      <c r="H382" s="2" t="s">
        <v>1276</v>
      </c>
      <c r="I382" s="2" t="s">
        <v>1285</v>
      </c>
      <c r="J382" s="2" t="s">
        <v>35</v>
      </c>
      <c r="K382" s="2" t="s">
        <v>36</v>
      </c>
      <c r="L382" s="2" t="s">
        <v>37</v>
      </c>
      <c r="M382" s="2" t="s">
        <v>64</v>
      </c>
      <c r="N382" s="2" t="s">
        <v>1248</v>
      </c>
      <c r="O382" s="2" t="s">
        <v>41</v>
      </c>
      <c r="P382" s="2" t="s">
        <v>53</v>
      </c>
      <c r="Q382" s="2" t="s">
        <v>1248</v>
      </c>
      <c r="R382" s="4">
        <v>46142.423391203702</v>
      </c>
      <c r="S382" s="4">
        <v>46142.451550925929</v>
      </c>
      <c r="T382" s="2" t="s">
        <v>1392</v>
      </c>
      <c r="U382" s="1" t="s">
        <v>65</v>
      </c>
      <c r="V382" s="1" t="s">
        <v>89</v>
      </c>
      <c r="W382" s="1" t="s">
        <v>1393</v>
      </c>
      <c r="X382" s="1" t="s">
        <v>1394</v>
      </c>
      <c r="Y382" s="1" t="s">
        <v>1395</v>
      </c>
      <c r="Z382" s="1" t="s">
        <v>1253</v>
      </c>
      <c r="AA382" s="1" t="s">
        <v>67</v>
      </c>
    </row>
    <row r="383" spans="1:27" ht="17.45" customHeight="1">
      <c r="A383" s="3" t="s">
        <v>1396</v>
      </c>
      <c r="B383" s="3" t="s">
        <v>28</v>
      </c>
      <c r="C383">
        <v>1</v>
      </c>
      <c r="D383" s="3" t="s">
        <v>1273</v>
      </c>
      <c r="E383" s="3" t="s">
        <v>1397</v>
      </c>
      <c r="F383" s="3" t="s">
        <v>1398</v>
      </c>
      <c r="G383" s="3" t="s">
        <v>32</v>
      </c>
      <c r="H383" s="3" t="s">
        <v>1276</v>
      </c>
      <c r="I383" s="3" t="s">
        <v>1277</v>
      </c>
      <c r="J383" s="3" t="s">
        <v>35</v>
      </c>
      <c r="K383" s="3" t="s">
        <v>36</v>
      </c>
      <c r="L383" s="3" t="s">
        <v>51</v>
      </c>
      <c r="M383" s="3" t="s">
        <v>64</v>
      </c>
      <c r="N383" s="3" t="s">
        <v>1248</v>
      </c>
      <c r="O383" s="3" t="s">
        <v>41</v>
      </c>
      <c r="P383" s="3" t="s">
        <v>53</v>
      </c>
      <c r="Q383" s="3" t="s">
        <v>1248</v>
      </c>
      <c r="R383" s="5">
        <v>46142.460914351854</v>
      </c>
      <c r="S383" s="5">
        <v>46142.463888888888</v>
      </c>
      <c r="T383" s="3" t="s">
        <v>1399</v>
      </c>
      <c r="U383" s="1" t="s">
        <v>283</v>
      </c>
      <c r="V383" s="1" t="s">
        <v>410</v>
      </c>
      <c r="W383" s="1" t="s">
        <v>1400</v>
      </c>
      <c r="X383" s="1" t="s">
        <v>1401</v>
      </c>
      <c r="Y383" s="1" t="s">
        <v>1402</v>
      </c>
      <c r="Z383" s="1" t="s">
        <v>1267</v>
      </c>
      <c r="AA383" s="1" t="s">
        <v>285</v>
      </c>
    </row>
    <row r="384" spans="1:27" ht="17.45" customHeight="1">
      <c r="A384" s="2" t="s">
        <v>1403</v>
      </c>
      <c r="B384" s="2" t="s">
        <v>28</v>
      </c>
      <c r="C384">
        <v>1</v>
      </c>
      <c r="D384" s="2" t="s">
        <v>1273</v>
      </c>
      <c r="E384" s="2" t="s">
        <v>1404</v>
      </c>
      <c r="F384" s="2" t="s">
        <v>1405</v>
      </c>
      <c r="G384" s="2" t="s">
        <v>32</v>
      </c>
      <c r="H384" s="2" t="s">
        <v>1276</v>
      </c>
      <c r="I384" s="2" t="s">
        <v>1277</v>
      </c>
      <c r="J384" s="2" t="s">
        <v>35</v>
      </c>
      <c r="K384" s="2" t="s">
        <v>36</v>
      </c>
      <c r="L384" s="2" t="s">
        <v>37</v>
      </c>
      <c r="M384" s="2" t="s">
        <v>64</v>
      </c>
      <c r="N384" s="2" t="s">
        <v>1248</v>
      </c>
      <c r="O384" s="2" t="s">
        <v>41</v>
      </c>
      <c r="P384" s="2" t="s">
        <v>53</v>
      </c>
      <c r="Q384" s="2" t="s">
        <v>1248</v>
      </c>
      <c r="R384" s="4">
        <v>46142.461423611108</v>
      </c>
      <c r="S384" s="4">
        <v>46142.462812500002</v>
      </c>
      <c r="T384" s="2" t="s">
        <v>1406</v>
      </c>
      <c r="U384" s="1" t="s">
        <v>95</v>
      </c>
      <c r="V384" s="1" t="s">
        <v>96</v>
      </c>
      <c r="W384" s="1" t="s">
        <v>1405</v>
      </c>
      <c r="X384" s="1" t="s">
        <v>1405</v>
      </c>
      <c r="Y384" s="1" t="s">
        <v>1407</v>
      </c>
      <c r="Z384" s="1" t="s">
        <v>1253</v>
      </c>
      <c r="AA384" s="1" t="s">
        <v>98</v>
      </c>
    </row>
    <row r="385" spans="1:27" ht="17.45" customHeight="1">
      <c r="A385" s="3" t="s">
        <v>1408</v>
      </c>
      <c r="B385" s="3" t="s">
        <v>28</v>
      </c>
      <c r="C385">
        <v>1</v>
      </c>
      <c r="D385" s="3" t="s">
        <v>1273</v>
      </c>
      <c r="E385" s="3" t="s">
        <v>1409</v>
      </c>
      <c r="F385" s="3" t="s">
        <v>1410</v>
      </c>
      <c r="G385" s="3" t="s">
        <v>32</v>
      </c>
      <c r="H385" s="3" t="s">
        <v>1276</v>
      </c>
      <c r="I385" s="3" t="s">
        <v>1277</v>
      </c>
      <c r="J385" s="3" t="s">
        <v>35</v>
      </c>
      <c r="K385" s="3" t="s">
        <v>36</v>
      </c>
      <c r="L385" s="3" t="s">
        <v>51</v>
      </c>
      <c r="M385" s="3" t="s">
        <v>64</v>
      </c>
      <c r="N385" s="3" t="s">
        <v>1248</v>
      </c>
      <c r="O385" s="3" t="s">
        <v>41</v>
      </c>
      <c r="P385" s="3" t="s">
        <v>53</v>
      </c>
      <c r="Q385" s="3" t="s">
        <v>1248</v>
      </c>
      <c r="R385" s="5">
        <v>46142.53806712963</v>
      </c>
      <c r="S385" s="5">
        <v>46142.547615740739</v>
      </c>
      <c r="T385" s="3" t="s">
        <v>1411</v>
      </c>
      <c r="U385" s="1" t="s">
        <v>165</v>
      </c>
      <c r="V385" s="1" t="s">
        <v>238</v>
      </c>
      <c r="W385" s="1" t="s">
        <v>1410</v>
      </c>
      <c r="X385" s="1" t="s">
        <v>1410</v>
      </c>
      <c r="Y385" s="1" t="s">
        <v>1412</v>
      </c>
      <c r="Z385" s="1" t="s">
        <v>1253</v>
      </c>
      <c r="AA385" s="1" t="s">
        <v>169</v>
      </c>
    </row>
    <row r="386" spans="1:27" ht="17.45" customHeight="1">
      <c r="A386" s="2" t="s">
        <v>1413</v>
      </c>
      <c r="B386" s="2" t="s">
        <v>28</v>
      </c>
      <c r="C386">
        <v>1</v>
      </c>
      <c r="D386" s="2" t="s">
        <v>1273</v>
      </c>
      <c r="E386" s="2" t="s">
        <v>1414</v>
      </c>
      <c r="F386" s="2" t="s">
        <v>1415</v>
      </c>
      <c r="G386" s="2" t="s">
        <v>32</v>
      </c>
      <c r="H386" s="2" t="s">
        <v>1276</v>
      </c>
      <c r="I386" s="2" t="s">
        <v>1277</v>
      </c>
      <c r="J386" s="2" t="s">
        <v>35</v>
      </c>
      <c r="K386" s="2" t="s">
        <v>36</v>
      </c>
      <c r="L386" s="2" t="s">
        <v>51</v>
      </c>
      <c r="M386" s="2" t="s">
        <v>64</v>
      </c>
      <c r="N386" s="2" t="s">
        <v>1248</v>
      </c>
      <c r="O386" s="2" t="s">
        <v>41</v>
      </c>
      <c r="P386" s="2" t="s">
        <v>53</v>
      </c>
      <c r="Q386" s="2" t="s">
        <v>1248</v>
      </c>
      <c r="R386" s="4">
        <v>46142.54241898148</v>
      </c>
      <c r="S386" s="4">
        <v>46142.548043981478</v>
      </c>
      <c r="T386" s="2" t="s">
        <v>1411</v>
      </c>
      <c r="U386" s="1" t="s">
        <v>95</v>
      </c>
      <c r="V386" s="1" t="s">
        <v>96</v>
      </c>
      <c r="W386" s="1" t="s">
        <v>1415</v>
      </c>
      <c r="X386" s="1" t="s">
        <v>1415</v>
      </c>
      <c r="Y386" s="1" t="s">
        <v>1412</v>
      </c>
      <c r="Z386" s="1" t="s">
        <v>1253</v>
      </c>
      <c r="AA386" s="1" t="s">
        <v>98</v>
      </c>
    </row>
    <row r="387" spans="1:27" ht="17.45" customHeight="1">
      <c r="A387" s="3" t="s">
        <v>1413</v>
      </c>
      <c r="B387" s="3" t="s">
        <v>28</v>
      </c>
      <c r="C387">
        <v>1</v>
      </c>
      <c r="D387" s="3" t="s">
        <v>1273</v>
      </c>
      <c r="E387" s="3" t="s">
        <v>1416</v>
      </c>
      <c r="F387" s="3" t="s">
        <v>1417</v>
      </c>
      <c r="G387" s="3" t="s">
        <v>32</v>
      </c>
      <c r="H387" s="3" t="s">
        <v>1276</v>
      </c>
      <c r="I387" s="3" t="s">
        <v>1277</v>
      </c>
      <c r="J387" s="3" t="s">
        <v>35</v>
      </c>
      <c r="K387" s="3" t="s">
        <v>36</v>
      </c>
      <c r="L387" s="3" t="s">
        <v>37</v>
      </c>
      <c r="M387" s="3" t="s">
        <v>64</v>
      </c>
      <c r="N387" s="3" t="s">
        <v>1248</v>
      </c>
      <c r="O387" s="3" t="s">
        <v>41</v>
      </c>
      <c r="P387" s="3" t="s">
        <v>53</v>
      </c>
      <c r="Q387" s="3" t="s">
        <v>1248</v>
      </c>
      <c r="R387" s="5">
        <v>46142.544560185182</v>
      </c>
      <c r="S387" s="5">
        <v>46142.552245370367</v>
      </c>
      <c r="T387" s="3" t="s">
        <v>1418</v>
      </c>
      <c r="U387" s="1" t="s">
        <v>243</v>
      </c>
      <c r="V387" s="1" t="s">
        <v>340</v>
      </c>
      <c r="W387" s="1" t="s">
        <v>1417</v>
      </c>
      <c r="X387" s="1" t="s">
        <v>1417</v>
      </c>
      <c r="Y387" s="1" t="s">
        <v>1419</v>
      </c>
      <c r="Z387" s="1" t="s">
        <v>1253</v>
      </c>
      <c r="AA387" s="1" t="s">
        <v>246</v>
      </c>
    </row>
    <row r="388" spans="1:27" ht="17.45" customHeight="1">
      <c r="A388" s="2" t="s">
        <v>1420</v>
      </c>
      <c r="B388" s="2" t="s">
        <v>171</v>
      </c>
      <c r="C388">
        <v>1</v>
      </c>
      <c r="D388" s="2" t="s">
        <v>228</v>
      </c>
      <c r="E388" s="2" t="s">
        <v>1421</v>
      </c>
      <c r="F388" s="2" t="s">
        <v>1422</v>
      </c>
      <c r="G388" s="2" t="s">
        <v>32</v>
      </c>
      <c r="H388" s="2" t="s">
        <v>124</v>
      </c>
      <c r="I388" s="2" t="s">
        <v>124</v>
      </c>
      <c r="J388" s="2" t="s">
        <v>35</v>
      </c>
      <c r="K388" s="2" t="s">
        <v>36</v>
      </c>
      <c r="L388" s="2" t="s">
        <v>51</v>
      </c>
      <c r="M388" s="2" t="s">
        <v>52</v>
      </c>
      <c r="N388" s="2" t="s">
        <v>1248</v>
      </c>
      <c r="O388" s="2" t="s">
        <v>41</v>
      </c>
      <c r="P388" s="2" t="s">
        <v>53</v>
      </c>
      <c r="Q388" s="2" t="s">
        <v>1248</v>
      </c>
      <c r="R388" s="4">
        <v>46146.657268518517</v>
      </c>
      <c r="S388" s="4">
        <v>46148.693495370368</v>
      </c>
      <c r="T388" s="2" t="s">
        <v>1423</v>
      </c>
      <c r="U388" s="1" t="s">
        <v>83</v>
      </c>
      <c r="V388" s="1" t="s">
        <v>429</v>
      </c>
      <c r="W388" s="1" t="s">
        <v>1424</v>
      </c>
      <c r="X388" s="1" t="s">
        <v>1425</v>
      </c>
      <c r="Y388" s="1" t="s">
        <v>1426</v>
      </c>
      <c r="Z388" s="1" t="s">
        <v>1253</v>
      </c>
      <c r="AA388" s="1" t="s">
        <v>85</v>
      </c>
    </row>
    <row r="389" spans="1:27" ht="17.45" customHeight="1">
      <c r="A389" s="3" t="s">
        <v>1427</v>
      </c>
      <c r="B389" s="3" t="s">
        <v>171</v>
      </c>
      <c r="C389">
        <v>1</v>
      </c>
      <c r="D389" s="3" t="s">
        <v>228</v>
      </c>
      <c r="E389" s="3" t="s">
        <v>1428</v>
      </c>
      <c r="F389" s="3" t="s">
        <v>1429</v>
      </c>
      <c r="G389" s="3" t="s">
        <v>32</v>
      </c>
      <c r="H389" s="3" t="s">
        <v>124</v>
      </c>
      <c r="I389" s="3" t="s">
        <v>124</v>
      </c>
      <c r="J389" s="3" t="s">
        <v>35</v>
      </c>
      <c r="K389" s="3" t="s">
        <v>36</v>
      </c>
      <c r="L389" s="3" t="s">
        <v>51</v>
      </c>
      <c r="M389" s="3" t="s">
        <v>52</v>
      </c>
      <c r="N389" s="3" t="s">
        <v>1248</v>
      </c>
      <c r="O389" s="3" t="s">
        <v>41</v>
      </c>
      <c r="P389" s="3" t="s">
        <v>53</v>
      </c>
      <c r="Q389" s="3" t="s">
        <v>1248</v>
      </c>
      <c r="R389" s="5">
        <v>46146.658587962964</v>
      </c>
      <c r="S389" s="5">
        <v>46148.693912037037</v>
      </c>
      <c r="T389" s="3" t="s">
        <v>1423</v>
      </c>
      <c r="U389" s="1" t="s">
        <v>263</v>
      </c>
      <c r="V389" s="1" t="s">
        <v>264</v>
      </c>
      <c r="W389" s="1" t="s">
        <v>1429</v>
      </c>
      <c r="X389" s="1" t="s">
        <v>1429</v>
      </c>
      <c r="Y389" s="1" t="s">
        <v>1426</v>
      </c>
      <c r="Z389" s="1" t="s">
        <v>1253</v>
      </c>
      <c r="AA389" s="1" t="s">
        <v>265</v>
      </c>
    </row>
    <row r="390" spans="1:27" ht="17.45" customHeight="1">
      <c r="A390" s="2" t="s">
        <v>1430</v>
      </c>
      <c r="B390" s="2" t="s">
        <v>171</v>
      </c>
      <c r="C390">
        <v>1</v>
      </c>
      <c r="D390" s="2" t="s">
        <v>228</v>
      </c>
      <c r="E390" s="2" t="s">
        <v>1431</v>
      </c>
      <c r="F390" s="2" t="s">
        <v>1432</v>
      </c>
      <c r="G390" s="2" t="s">
        <v>32</v>
      </c>
      <c r="H390" s="2" t="s">
        <v>124</v>
      </c>
      <c r="I390" s="2" t="s">
        <v>124</v>
      </c>
      <c r="J390" s="2" t="s">
        <v>35</v>
      </c>
      <c r="K390" s="2" t="s">
        <v>36</v>
      </c>
      <c r="L390" s="2" t="s">
        <v>51</v>
      </c>
      <c r="M390" s="2" t="s">
        <v>64</v>
      </c>
      <c r="N390" s="2" t="s">
        <v>1248</v>
      </c>
      <c r="O390" s="2" t="s">
        <v>41</v>
      </c>
      <c r="P390" s="2" t="s">
        <v>53</v>
      </c>
      <c r="Q390" s="2" t="s">
        <v>1248</v>
      </c>
      <c r="R390" s="4">
        <v>46146.683287037034</v>
      </c>
      <c r="S390" s="4">
        <v>46148.701932870368</v>
      </c>
      <c r="T390" s="2" t="s">
        <v>1433</v>
      </c>
      <c r="U390" s="1" t="s">
        <v>243</v>
      </c>
      <c r="V390" s="1" t="s">
        <v>340</v>
      </c>
      <c r="W390" s="1" t="s">
        <v>1434</v>
      </c>
      <c r="X390" s="1" t="s">
        <v>1434</v>
      </c>
      <c r="Y390" s="1" t="s">
        <v>1435</v>
      </c>
      <c r="Z390" s="1" t="s">
        <v>1253</v>
      </c>
      <c r="AA390" s="1" t="s">
        <v>246</v>
      </c>
    </row>
    <row r="391" spans="1:27" ht="17.45" customHeight="1">
      <c r="A391" s="3" t="s">
        <v>471</v>
      </c>
      <c r="B391" s="3" t="s">
        <v>171</v>
      </c>
      <c r="C391">
        <v>1</v>
      </c>
      <c r="D391" s="3" t="s">
        <v>228</v>
      </c>
      <c r="E391" s="3" t="s">
        <v>1436</v>
      </c>
      <c r="F391" s="3" t="s">
        <v>1432</v>
      </c>
      <c r="G391" s="3" t="s">
        <v>32</v>
      </c>
      <c r="H391" s="3" t="s">
        <v>124</v>
      </c>
      <c r="I391" s="3" t="s">
        <v>124</v>
      </c>
      <c r="J391" s="3" t="s">
        <v>35</v>
      </c>
      <c r="K391" s="3" t="s">
        <v>36</v>
      </c>
      <c r="L391" s="3" t="s">
        <v>51</v>
      </c>
      <c r="M391" s="3" t="s">
        <v>52</v>
      </c>
      <c r="N391" s="3" t="s">
        <v>1248</v>
      </c>
      <c r="O391" s="3" t="s">
        <v>41</v>
      </c>
      <c r="P391" s="3" t="s">
        <v>53</v>
      </c>
      <c r="Q391" s="3" t="s">
        <v>1248</v>
      </c>
      <c r="R391" s="5">
        <v>46146.683425925927</v>
      </c>
      <c r="S391" s="5">
        <v>46148.701828703706</v>
      </c>
      <c r="T391" s="3" t="s">
        <v>1433</v>
      </c>
      <c r="U391" s="1" t="s">
        <v>243</v>
      </c>
      <c r="V391" s="1" t="s">
        <v>340</v>
      </c>
      <c r="W391" s="1" t="s">
        <v>1434</v>
      </c>
      <c r="X391" s="1" t="s">
        <v>1434</v>
      </c>
      <c r="Y391" s="1" t="s">
        <v>1435</v>
      </c>
      <c r="Z391" s="1" t="s">
        <v>1253</v>
      </c>
      <c r="AA391" s="1" t="s">
        <v>246</v>
      </c>
    </row>
    <row r="392" spans="1:27" ht="17.45" customHeight="1">
      <c r="A392" s="2" t="s">
        <v>1437</v>
      </c>
      <c r="B392" s="2" t="s">
        <v>171</v>
      </c>
      <c r="C392">
        <v>1</v>
      </c>
      <c r="D392" s="2" t="s">
        <v>228</v>
      </c>
      <c r="E392" s="2" t="s">
        <v>1438</v>
      </c>
      <c r="F392" s="2" t="s">
        <v>1439</v>
      </c>
      <c r="G392" s="2" t="s">
        <v>32</v>
      </c>
      <c r="H392" s="2" t="s">
        <v>124</v>
      </c>
      <c r="I392" s="2" t="s">
        <v>124</v>
      </c>
      <c r="J392" s="2" t="s">
        <v>35</v>
      </c>
      <c r="K392" s="2" t="s">
        <v>36</v>
      </c>
      <c r="L392" s="2" t="s">
        <v>37</v>
      </c>
      <c r="M392" s="2" t="s">
        <v>64</v>
      </c>
      <c r="N392" s="2" t="s">
        <v>1248</v>
      </c>
      <c r="O392" s="2" t="s">
        <v>41</v>
      </c>
      <c r="P392" s="2" t="s">
        <v>53</v>
      </c>
      <c r="Q392" s="2" t="s">
        <v>1248</v>
      </c>
      <c r="R392" s="4">
        <v>46146.685520833336</v>
      </c>
      <c r="S392" s="4">
        <v>46148.692175925928</v>
      </c>
      <c r="T392" s="2" t="s">
        <v>1440</v>
      </c>
      <c r="U392" s="1" t="s">
        <v>83</v>
      </c>
      <c r="V392" s="1" t="s">
        <v>429</v>
      </c>
      <c r="W392" s="1" t="s">
        <v>1439</v>
      </c>
      <c r="X392" s="1" t="s">
        <v>1439</v>
      </c>
      <c r="Y392" s="1" t="s">
        <v>1441</v>
      </c>
      <c r="Z392" s="1" t="s">
        <v>1253</v>
      </c>
      <c r="AA392" s="1" t="s">
        <v>85</v>
      </c>
    </row>
    <row r="393" spans="1:27" ht="17.45" customHeight="1">
      <c r="A393" s="3" t="s">
        <v>1437</v>
      </c>
      <c r="B393" s="3" t="s">
        <v>171</v>
      </c>
      <c r="C393">
        <v>1</v>
      </c>
      <c r="D393" s="3" t="s">
        <v>228</v>
      </c>
      <c r="E393" s="3" t="s">
        <v>1442</v>
      </c>
      <c r="F393" s="3" t="s">
        <v>1443</v>
      </c>
      <c r="G393" s="3" t="s">
        <v>32</v>
      </c>
      <c r="H393" s="3" t="s">
        <v>124</v>
      </c>
      <c r="I393" s="3" t="s">
        <v>124</v>
      </c>
      <c r="J393" s="3" t="s">
        <v>35</v>
      </c>
      <c r="K393" s="3" t="s">
        <v>36</v>
      </c>
      <c r="L393" s="3" t="s">
        <v>51</v>
      </c>
      <c r="M393" s="3" t="s">
        <v>64</v>
      </c>
      <c r="N393" s="3" t="s">
        <v>1248</v>
      </c>
      <c r="O393" s="3" t="s">
        <v>41</v>
      </c>
      <c r="P393" s="3" t="s">
        <v>53</v>
      </c>
      <c r="Q393" s="3" t="s">
        <v>1248</v>
      </c>
      <c r="R393" s="5">
        <v>46146.686574074076</v>
      </c>
      <c r="S393" s="5">
        <v>46148.691481481481</v>
      </c>
      <c r="T393" s="3" t="s">
        <v>1444</v>
      </c>
      <c r="U393" s="1" t="s">
        <v>95</v>
      </c>
      <c r="V393" s="1" t="s">
        <v>329</v>
      </c>
      <c r="W393" s="1" t="s">
        <v>1443</v>
      </c>
      <c r="X393" s="1" t="s">
        <v>1443</v>
      </c>
      <c r="Y393" s="1" t="s">
        <v>1445</v>
      </c>
      <c r="Z393" s="1" t="s">
        <v>1253</v>
      </c>
      <c r="AA393" s="1" t="s">
        <v>98</v>
      </c>
    </row>
    <row r="394" spans="1:27" ht="17.45" customHeight="1">
      <c r="A394" s="2" t="s">
        <v>1437</v>
      </c>
      <c r="B394" s="2" t="s">
        <v>171</v>
      </c>
      <c r="C394">
        <v>1</v>
      </c>
      <c r="D394" s="2" t="s">
        <v>228</v>
      </c>
      <c r="E394" s="2" t="s">
        <v>1446</v>
      </c>
      <c r="F394" s="2" t="s">
        <v>1447</v>
      </c>
      <c r="G394" s="2" t="s">
        <v>32</v>
      </c>
      <c r="H394" s="2" t="s">
        <v>124</v>
      </c>
      <c r="I394" s="2" t="s">
        <v>124</v>
      </c>
      <c r="J394" s="2" t="s">
        <v>35</v>
      </c>
      <c r="K394" s="2" t="s">
        <v>36</v>
      </c>
      <c r="L394" s="2" t="s">
        <v>37</v>
      </c>
      <c r="M394" s="2" t="s">
        <v>52</v>
      </c>
      <c r="N394" s="2" t="s">
        <v>1248</v>
      </c>
      <c r="O394" s="2" t="s">
        <v>41</v>
      </c>
      <c r="P394" s="2" t="s">
        <v>53</v>
      </c>
      <c r="Q394" s="2" t="s">
        <v>1248</v>
      </c>
      <c r="R394" s="4">
        <v>46146.687986111108</v>
      </c>
      <c r="S394" s="4">
        <v>46148.691087962965</v>
      </c>
      <c r="T394" s="2" t="s">
        <v>1448</v>
      </c>
      <c r="U394" s="1" t="s">
        <v>115</v>
      </c>
      <c r="V394" s="1" t="s">
        <v>116</v>
      </c>
      <c r="W394" s="1" t="s">
        <v>1447</v>
      </c>
      <c r="X394" s="1" t="s">
        <v>1447</v>
      </c>
      <c r="Y394" s="1" t="s">
        <v>1449</v>
      </c>
      <c r="Z394" s="1" t="s">
        <v>1297</v>
      </c>
      <c r="AA394" s="1" t="s">
        <v>118</v>
      </c>
    </row>
    <row r="395" spans="1:27" ht="17.45" customHeight="1">
      <c r="A395" s="3" t="s">
        <v>1450</v>
      </c>
      <c r="B395" s="3" t="s">
        <v>181</v>
      </c>
      <c r="C395">
        <v>1</v>
      </c>
      <c r="D395" s="3" t="s">
        <v>228</v>
      </c>
      <c r="E395" s="3" t="s">
        <v>1451</v>
      </c>
      <c r="F395" s="3" t="s">
        <v>1452</v>
      </c>
      <c r="G395" s="3" t="s">
        <v>32</v>
      </c>
      <c r="H395" s="3" t="s">
        <v>124</v>
      </c>
      <c r="I395" s="3" t="s">
        <v>124</v>
      </c>
      <c r="J395" s="3" t="s">
        <v>35</v>
      </c>
      <c r="K395" s="3" t="s">
        <v>36</v>
      </c>
      <c r="L395" s="3" t="s">
        <v>37</v>
      </c>
      <c r="M395" s="3" t="s">
        <v>141</v>
      </c>
      <c r="N395" s="3" t="s">
        <v>1248</v>
      </c>
      <c r="O395" s="3" t="s">
        <v>41</v>
      </c>
      <c r="P395" s="3" t="s">
        <v>53</v>
      </c>
      <c r="Q395" s="3" t="s">
        <v>1248</v>
      </c>
      <c r="R395" s="5">
        <v>46146.709421296298</v>
      </c>
      <c r="S395" s="5">
        <v>46148.692870370367</v>
      </c>
      <c r="T395" s="3" t="s">
        <v>1453</v>
      </c>
      <c r="U395" s="1" t="s">
        <v>95</v>
      </c>
      <c r="V395" s="1" t="s">
        <v>96</v>
      </c>
      <c r="W395" s="1" t="s">
        <v>1454</v>
      </c>
      <c r="X395" s="1" t="s">
        <v>1455</v>
      </c>
      <c r="Y395" s="1" t="s">
        <v>1456</v>
      </c>
      <c r="Z395" s="1" t="s">
        <v>1253</v>
      </c>
      <c r="AA395" s="1" t="s">
        <v>98</v>
      </c>
    </row>
    <row r="396" spans="1:27" ht="17.45" customHeight="1">
      <c r="A396" s="2" t="s">
        <v>1457</v>
      </c>
      <c r="B396" s="2" t="s">
        <v>48</v>
      </c>
      <c r="C396">
        <v>1</v>
      </c>
      <c r="D396" s="2" t="s">
        <v>1273</v>
      </c>
      <c r="E396" s="2" t="s">
        <v>1458</v>
      </c>
      <c r="F396" s="2" t="s">
        <v>1459</v>
      </c>
      <c r="G396" s="2" t="s">
        <v>32</v>
      </c>
      <c r="H396" s="2" t="s">
        <v>1276</v>
      </c>
      <c r="I396" s="2" t="s">
        <v>1285</v>
      </c>
      <c r="J396" s="2" t="s">
        <v>35</v>
      </c>
      <c r="K396" s="2" t="s">
        <v>36</v>
      </c>
      <c r="L396" s="2" t="s">
        <v>51</v>
      </c>
      <c r="M396" s="2" t="s">
        <v>64</v>
      </c>
      <c r="N396" s="2" t="s">
        <v>1248</v>
      </c>
      <c r="O396" s="2" t="s">
        <v>41</v>
      </c>
      <c r="P396" s="2" t="s">
        <v>53</v>
      </c>
      <c r="Q396" s="2" t="s">
        <v>1248</v>
      </c>
      <c r="R396" s="4">
        <v>46148.389699074076</v>
      </c>
      <c r="S396" s="4">
        <v>46148.391562500001</v>
      </c>
      <c r="T396" s="2" t="s">
        <v>1460</v>
      </c>
      <c r="U396" s="1" t="s">
        <v>263</v>
      </c>
      <c r="V396" s="1" t="s">
        <v>264</v>
      </c>
      <c r="W396" s="1" t="s">
        <v>1461</v>
      </c>
      <c r="X396" s="1" t="s">
        <v>1461</v>
      </c>
      <c r="Y396" s="1" t="s">
        <v>1462</v>
      </c>
      <c r="Z396" s="1" t="s">
        <v>1267</v>
      </c>
      <c r="AA396" s="1" t="s">
        <v>265</v>
      </c>
    </row>
    <row r="397" spans="1:27" ht="17.45" customHeight="1">
      <c r="A397" s="3" t="s">
        <v>1463</v>
      </c>
      <c r="B397" s="3" t="s">
        <v>171</v>
      </c>
      <c r="C397">
        <v>1</v>
      </c>
      <c r="D397" s="3" t="s">
        <v>228</v>
      </c>
      <c r="E397" s="3" t="s">
        <v>1464</v>
      </c>
      <c r="F397" s="3" t="s">
        <v>1465</v>
      </c>
      <c r="G397" s="3" t="s">
        <v>32</v>
      </c>
      <c r="H397" s="3" t="s">
        <v>124</v>
      </c>
      <c r="I397" s="3" t="s">
        <v>124</v>
      </c>
      <c r="J397" s="3" t="s">
        <v>35</v>
      </c>
      <c r="K397" s="3" t="s">
        <v>36</v>
      </c>
      <c r="L397" s="3" t="s">
        <v>37</v>
      </c>
      <c r="M397" s="3" t="s">
        <v>64</v>
      </c>
      <c r="N397" s="3" t="s">
        <v>1248</v>
      </c>
      <c r="O397" s="3" t="s">
        <v>41</v>
      </c>
      <c r="P397" s="3" t="s">
        <v>40</v>
      </c>
      <c r="Q397" s="3" t="s">
        <v>1248</v>
      </c>
      <c r="R397" s="5">
        <v>46139.466840277775</v>
      </c>
      <c r="S397" s="5">
        <v>46149.796863425923</v>
      </c>
      <c r="T397" s="3" t="s">
        <v>1466</v>
      </c>
      <c r="U397" s="1" t="s">
        <v>115</v>
      </c>
      <c r="V397" s="1" t="s">
        <v>116</v>
      </c>
      <c r="W397" s="1" t="s">
        <v>1465</v>
      </c>
      <c r="X397" s="1" t="s">
        <v>1465</v>
      </c>
      <c r="Y397" s="1" t="s">
        <v>1467</v>
      </c>
      <c r="Z397" s="1" t="s">
        <v>1253</v>
      </c>
      <c r="AA397" s="1" t="s">
        <v>118</v>
      </c>
    </row>
    <row r="398" spans="1:27" ht="17.45" customHeight="1">
      <c r="A398" s="2" t="s">
        <v>636</v>
      </c>
      <c r="B398" s="2" t="s">
        <v>28</v>
      </c>
      <c r="C398">
        <v>1</v>
      </c>
      <c r="D398" s="2" t="s">
        <v>29</v>
      </c>
      <c r="E398" s="2" t="s">
        <v>1468</v>
      </c>
      <c r="F398" s="2" t="s">
        <v>1469</v>
      </c>
      <c r="G398" s="2" t="s">
        <v>32</v>
      </c>
      <c r="H398" s="2" t="s">
        <v>33</v>
      </c>
      <c r="I398" s="2" t="s">
        <v>78</v>
      </c>
      <c r="J398" s="2" t="s">
        <v>35</v>
      </c>
      <c r="K398" s="2" t="s">
        <v>36</v>
      </c>
      <c r="L398" s="2" t="s">
        <v>51</v>
      </c>
      <c r="M398" s="2" t="s">
        <v>128</v>
      </c>
      <c r="N398" s="2" t="s">
        <v>1248</v>
      </c>
      <c r="O398" s="2" t="s">
        <v>41</v>
      </c>
      <c r="P398" s="2" t="s">
        <v>53</v>
      </c>
      <c r="Q398" s="2" t="s">
        <v>1248</v>
      </c>
      <c r="R398" s="4">
        <v>46139.467233796298</v>
      </c>
      <c r="S398" s="4">
        <v>46142.667662037034</v>
      </c>
      <c r="T398" s="2" t="s">
        <v>1470</v>
      </c>
      <c r="U398" s="1" t="s">
        <v>42</v>
      </c>
      <c r="V398" s="1" t="s">
        <v>105</v>
      </c>
      <c r="W398" s="1" t="s">
        <v>1471</v>
      </c>
      <c r="X398" s="1" t="s">
        <v>1472</v>
      </c>
      <c r="Y398" s="1" t="s">
        <v>1473</v>
      </c>
      <c r="Z398" s="1" t="s">
        <v>1267</v>
      </c>
      <c r="AA398" s="1" t="s">
        <v>46</v>
      </c>
    </row>
    <row r="399" spans="1:27" ht="17.45" customHeight="1">
      <c r="A399" s="3" t="s">
        <v>1474</v>
      </c>
      <c r="B399" s="3" t="s">
        <v>181</v>
      </c>
      <c r="C399">
        <v>1</v>
      </c>
      <c r="D399" s="3" t="s">
        <v>29</v>
      </c>
      <c r="E399" s="3" t="s">
        <v>1475</v>
      </c>
      <c r="F399" s="3" t="s">
        <v>1476</v>
      </c>
      <c r="G399" s="3" t="s">
        <v>32</v>
      </c>
      <c r="H399" s="3" t="s">
        <v>33</v>
      </c>
      <c r="I399" s="3" t="s">
        <v>34</v>
      </c>
      <c r="J399" s="3" t="s">
        <v>35</v>
      </c>
      <c r="K399" s="3" t="s">
        <v>36</v>
      </c>
      <c r="L399" s="3" t="s">
        <v>51</v>
      </c>
      <c r="M399" s="3" t="s">
        <v>115</v>
      </c>
      <c r="N399" s="3" t="s">
        <v>1248</v>
      </c>
      <c r="O399" s="3" t="s">
        <v>41</v>
      </c>
      <c r="P399" s="3" t="s">
        <v>53</v>
      </c>
      <c r="Q399" s="3" t="s">
        <v>1248</v>
      </c>
      <c r="R399" s="5">
        <v>46139.675138888888</v>
      </c>
      <c r="S399" s="5">
        <v>46142.658206018517</v>
      </c>
      <c r="T399" s="3" t="s">
        <v>1477</v>
      </c>
      <c r="U399" s="1" t="s">
        <v>42</v>
      </c>
      <c r="V399" s="1" t="s">
        <v>105</v>
      </c>
      <c r="W399" s="1" t="s">
        <v>1478</v>
      </c>
      <c r="X399" s="1" t="s">
        <v>1478</v>
      </c>
      <c r="Y399" s="1" t="s">
        <v>1479</v>
      </c>
      <c r="Z399" s="1" t="s">
        <v>1267</v>
      </c>
      <c r="AA399" s="1" t="s">
        <v>46</v>
      </c>
    </row>
    <row r="400" spans="1:27" ht="17.45" customHeight="1">
      <c r="A400" s="2" t="s">
        <v>1480</v>
      </c>
      <c r="B400" s="2" t="s">
        <v>171</v>
      </c>
      <c r="C400">
        <v>1</v>
      </c>
      <c r="D400" s="2" t="s">
        <v>1273</v>
      </c>
      <c r="E400" s="2" t="s">
        <v>1481</v>
      </c>
      <c r="F400" s="2" t="s">
        <v>1482</v>
      </c>
      <c r="G400" s="2" t="s">
        <v>32</v>
      </c>
      <c r="H400" s="2" t="s">
        <v>1276</v>
      </c>
      <c r="I400" s="2" t="s">
        <v>1277</v>
      </c>
      <c r="J400" s="2" t="s">
        <v>35</v>
      </c>
      <c r="K400" s="2" t="s">
        <v>36</v>
      </c>
      <c r="L400" s="2" t="s">
        <v>37</v>
      </c>
      <c r="M400" s="2" t="s">
        <v>52</v>
      </c>
      <c r="N400" s="2" t="s">
        <v>1248</v>
      </c>
      <c r="O400" s="2" t="s">
        <v>41</v>
      </c>
      <c r="P400" s="2" t="s">
        <v>40</v>
      </c>
      <c r="Q400" s="2" t="s">
        <v>1248</v>
      </c>
      <c r="R400" s="4">
        <v>46139.694976851853</v>
      </c>
      <c r="S400" s="4">
        <v>46140.448692129627</v>
      </c>
      <c r="T400" s="2" t="s">
        <v>1483</v>
      </c>
      <c r="U400" s="1" t="s">
        <v>83</v>
      </c>
      <c r="V400" s="1" t="s">
        <v>84</v>
      </c>
      <c r="W400" s="1" t="s">
        <v>1484</v>
      </c>
      <c r="X400" s="1" t="s">
        <v>1484</v>
      </c>
      <c r="Y400" s="1" t="s">
        <v>1485</v>
      </c>
      <c r="Z400" s="1" t="s">
        <v>1253</v>
      </c>
      <c r="AA400" s="1" t="s">
        <v>85</v>
      </c>
    </row>
    <row r="401" spans="1:27" ht="17.45" customHeight="1">
      <c r="A401" s="3" t="s">
        <v>1486</v>
      </c>
      <c r="B401" s="3" t="s">
        <v>171</v>
      </c>
      <c r="C401">
        <v>1</v>
      </c>
      <c r="D401" s="3" t="s">
        <v>29</v>
      </c>
      <c r="E401" s="3" t="s">
        <v>1487</v>
      </c>
      <c r="F401" s="3" t="s">
        <v>1488</v>
      </c>
      <c r="G401" s="3" t="s">
        <v>32</v>
      </c>
      <c r="H401" s="3" t="s">
        <v>33</v>
      </c>
      <c r="I401" s="3" t="s">
        <v>34</v>
      </c>
      <c r="J401" s="3" t="s">
        <v>35</v>
      </c>
      <c r="K401" s="3" t="s">
        <v>36</v>
      </c>
      <c r="L401" s="3" t="s">
        <v>37</v>
      </c>
      <c r="M401" s="3" t="s">
        <v>115</v>
      </c>
      <c r="N401" s="3" t="s">
        <v>1248</v>
      </c>
      <c r="O401" s="3" t="s">
        <v>41</v>
      </c>
      <c r="P401" s="3" t="s">
        <v>53</v>
      </c>
      <c r="Q401" s="3" t="s">
        <v>1248</v>
      </c>
      <c r="R401" s="5">
        <v>46139.732361111113</v>
      </c>
      <c r="S401" s="5">
        <v>46142.663530092592</v>
      </c>
      <c r="T401" s="3" t="s">
        <v>1489</v>
      </c>
      <c r="U401" s="1" t="s">
        <v>95</v>
      </c>
      <c r="V401" s="1" t="s">
        <v>1224</v>
      </c>
      <c r="W401" s="1" t="s">
        <v>1490</v>
      </c>
      <c r="X401" s="1" t="s">
        <v>1490</v>
      </c>
      <c r="Y401" s="1" t="s">
        <v>1491</v>
      </c>
      <c r="Z401" s="1" t="s">
        <v>1267</v>
      </c>
      <c r="AA401" s="1" t="s">
        <v>98</v>
      </c>
    </row>
    <row r="402" spans="1:27" ht="17.45" customHeight="1">
      <c r="A402" s="2" t="s">
        <v>1492</v>
      </c>
      <c r="B402" s="2" t="s">
        <v>171</v>
      </c>
      <c r="C402">
        <v>1</v>
      </c>
      <c r="D402" s="2" t="s">
        <v>1273</v>
      </c>
      <c r="E402" s="2" t="s">
        <v>1493</v>
      </c>
      <c r="F402" s="2" t="s">
        <v>1494</v>
      </c>
      <c r="G402" s="2" t="s">
        <v>32</v>
      </c>
      <c r="H402" s="2" t="s">
        <v>1276</v>
      </c>
      <c r="I402" s="2" t="s">
        <v>1285</v>
      </c>
      <c r="J402" s="2" t="s">
        <v>35</v>
      </c>
      <c r="K402" s="2" t="s">
        <v>36</v>
      </c>
      <c r="L402" s="2" t="s">
        <v>37</v>
      </c>
      <c r="M402" s="2" t="s">
        <v>52</v>
      </c>
      <c r="N402" s="2" t="s">
        <v>1248</v>
      </c>
      <c r="O402" s="2" t="s">
        <v>41</v>
      </c>
      <c r="P402" s="2" t="s">
        <v>40</v>
      </c>
      <c r="Q402" s="2" t="s">
        <v>1248</v>
      </c>
      <c r="R402" s="4">
        <v>46139.737523148149</v>
      </c>
      <c r="S402" s="4">
        <v>46140.541574074072</v>
      </c>
      <c r="T402" s="2" t="s">
        <v>1495</v>
      </c>
      <c r="U402" s="1" t="s">
        <v>95</v>
      </c>
      <c r="V402" s="1" t="s">
        <v>96</v>
      </c>
      <c r="W402" s="1" t="s">
        <v>1496</v>
      </c>
      <c r="X402" s="1" t="s">
        <v>1496</v>
      </c>
      <c r="Y402" s="1" t="s">
        <v>1497</v>
      </c>
      <c r="Z402" s="1" t="s">
        <v>1267</v>
      </c>
      <c r="AA402" s="1" t="s">
        <v>98</v>
      </c>
    </row>
    <row r="403" spans="1:27" ht="17.45" customHeight="1">
      <c r="A403" s="3" t="s">
        <v>1498</v>
      </c>
      <c r="B403" s="3" t="s">
        <v>48</v>
      </c>
      <c r="C403">
        <v>1</v>
      </c>
      <c r="D403" s="3" t="s">
        <v>1273</v>
      </c>
      <c r="E403" s="3" t="s">
        <v>1499</v>
      </c>
      <c r="F403" s="3" t="s">
        <v>1500</v>
      </c>
      <c r="G403" s="3" t="s">
        <v>32</v>
      </c>
      <c r="H403" s="3" t="s">
        <v>1276</v>
      </c>
      <c r="I403" s="3" t="s">
        <v>1285</v>
      </c>
      <c r="J403" s="3" t="s">
        <v>35</v>
      </c>
      <c r="K403" s="3" t="s">
        <v>36</v>
      </c>
      <c r="L403" s="3" t="s">
        <v>37</v>
      </c>
      <c r="M403" s="3" t="s">
        <v>52</v>
      </c>
      <c r="N403" s="3" t="s">
        <v>1248</v>
      </c>
      <c r="O403" s="3" t="s">
        <v>41</v>
      </c>
      <c r="P403" s="3" t="s">
        <v>40</v>
      </c>
      <c r="Q403" s="3" t="s">
        <v>1248</v>
      </c>
      <c r="R403" s="5">
        <v>46135.65252314815</v>
      </c>
      <c r="S403" s="5">
        <v>46136.466840277775</v>
      </c>
      <c r="T403" s="3" t="s">
        <v>1501</v>
      </c>
      <c r="U403" s="1" t="s">
        <v>115</v>
      </c>
      <c r="V403" s="1" t="s">
        <v>116</v>
      </c>
      <c r="W403" s="1" t="s">
        <v>1500</v>
      </c>
      <c r="X403" s="1" t="s">
        <v>1500</v>
      </c>
      <c r="Y403" s="1" t="s">
        <v>1502</v>
      </c>
      <c r="Z403" s="1" t="s">
        <v>1253</v>
      </c>
      <c r="AA403" s="1" t="s">
        <v>118</v>
      </c>
    </row>
    <row r="404" spans="1:27" ht="17.45" customHeight="1">
      <c r="A404" s="2" t="s">
        <v>1503</v>
      </c>
      <c r="B404" s="2" t="s">
        <v>28</v>
      </c>
      <c r="C404">
        <v>1</v>
      </c>
      <c r="D404" s="2" t="s">
        <v>1273</v>
      </c>
      <c r="E404" s="2" t="s">
        <v>1504</v>
      </c>
      <c r="F404" s="2" t="s">
        <v>1505</v>
      </c>
      <c r="G404" s="2" t="s">
        <v>32</v>
      </c>
      <c r="H404" s="2" t="s">
        <v>1276</v>
      </c>
      <c r="I404" s="2" t="s">
        <v>1277</v>
      </c>
      <c r="J404" s="2" t="s">
        <v>35</v>
      </c>
      <c r="K404" s="2" t="s">
        <v>36</v>
      </c>
      <c r="L404" s="2" t="s">
        <v>37</v>
      </c>
      <c r="M404" s="2" t="s">
        <v>52</v>
      </c>
      <c r="N404" s="2" t="s">
        <v>1248</v>
      </c>
      <c r="O404" s="2" t="s">
        <v>41</v>
      </c>
      <c r="P404" s="2" t="s">
        <v>40</v>
      </c>
      <c r="Q404" s="2" t="s">
        <v>1248</v>
      </c>
      <c r="R404" s="4">
        <v>46135.663761574076</v>
      </c>
      <c r="S404" s="4">
        <v>46136.607905092591</v>
      </c>
      <c r="T404" s="2" t="s">
        <v>1506</v>
      </c>
      <c r="U404" s="1" t="s">
        <v>283</v>
      </c>
      <c r="V404" s="1" t="s">
        <v>293</v>
      </c>
      <c r="W404" s="1" t="s">
        <v>1507</v>
      </c>
      <c r="X404" s="1" t="s">
        <v>1508</v>
      </c>
      <c r="Y404" s="1" t="s">
        <v>1509</v>
      </c>
      <c r="Z404" s="1" t="s">
        <v>1267</v>
      </c>
      <c r="AA404" s="1" t="s">
        <v>285</v>
      </c>
    </row>
    <row r="405" spans="1:27" ht="17.45" customHeight="1">
      <c r="A405" s="3" t="s">
        <v>1413</v>
      </c>
      <c r="B405" s="3" t="s">
        <v>28</v>
      </c>
      <c r="C405">
        <v>1</v>
      </c>
      <c r="D405" s="3" t="s">
        <v>1273</v>
      </c>
      <c r="E405" s="3" t="s">
        <v>1510</v>
      </c>
      <c r="F405" s="3" t="s">
        <v>1511</v>
      </c>
      <c r="G405" s="3" t="s">
        <v>32</v>
      </c>
      <c r="H405" s="3" t="s">
        <v>1276</v>
      </c>
      <c r="I405" s="3" t="s">
        <v>1277</v>
      </c>
      <c r="J405" s="3" t="s">
        <v>35</v>
      </c>
      <c r="K405" s="3" t="s">
        <v>36</v>
      </c>
      <c r="L405" s="3" t="s">
        <v>37</v>
      </c>
      <c r="M405" s="3" t="s">
        <v>64</v>
      </c>
      <c r="N405" s="3" t="s">
        <v>1248</v>
      </c>
      <c r="O405" s="3" t="s">
        <v>41</v>
      </c>
      <c r="P405" s="3" t="s">
        <v>40</v>
      </c>
      <c r="Q405" s="3" t="s">
        <v>1248</v>
      </c>
      <c r="R405" s="5">
        <v>46136.408530092594</v>
      </c>
      <c r="S405" s="5">
        <v>46136.458287037036</v>
      </c>
      <c r="T405" s="3" t="s">
        <v>1512</v>
      </c>
      <c r="U405" s="1" t="s">
        <v>95</v>
      </c>
      <c r="V405" s="1" t="s">
        <v>96</v>
      </c>
      <c r="W405" s="1" t="s">
        <v>1513</v>
      </c>
      <c r="X405" s="1" t="s">
        <v>1511</v>
      </c>
      <c r="Y405" s="1" t="s">
        <v>1514</v>
      </c>
      <c r="Z405" s="1" t="s">
        <v>1267</v>
      </c>
      <c r="AA405" s="1" t="s">
        <v>98</v>
      </c>
    </row>
    <row r="406" spans="1:27" ht="17.45" customHeight="1">
      <c r="A406" s="2" t="s">
        <v>1515</v>
      </c>
      <c r="B406" s="2" t="s">
        <v>28</v>
      </c>
      <c r="C406">
        <v>1</v>
      </c>
      <c r="D406" s="2" t="s">
        <v>1273</v>
      </c>
      <c r="E406" s="2" t="s">
        <v>1516</v>
      </c>
      <c r="F406" s="2" t="s">
        <v>1517</v>
      </c>
      <c r="G406" s="2" t="s">
        <v>32</v>
      </c>
      <c r="H406" s="2" t="s">
        <v>1276</v>
      </c>
      <c r="I406" s="2" t="s">
        <v>1277</v>
      </c>
      <c r="J406" s="2" t="s">
        <v>35</v>
      </c>
      <c r="K406" s="2" t="s">
        <v>36</v>
      </c>
      <c r="L406" s="2" t="s">
        <v>37</v>
      </c>
      <c r="M406" s="2" t="s">
        <v>52</v>
      </c>
      <c r="N406" s="2" t="s">
        <v>1248</v>
      </c>
      <c r="O406" s="2" t="s">
        <v>41</v>
      </c>
      <c r="P406" s="2" t="s">
        <v>40</v>
      </c>
      <c r="Q406" s="2" t="s">
        <v>1248</v>
      </c>
      <c r="R406" s="4">
        <v>46136.415439814817</v>
      </c>
      <c r="S406" s="4">
        <v>46136.616747685184</v>
      </c>
      <c r="T406" s="2" t="s">
        <v>1518</v>
      </c>
      <c r="U406" s="1" t="s">
        <v>283</v>
      </c>
      <c r="V406" s="1" t="s">
        <v>293</v>
      </c>
      <c r="W406" s="1" t="s">
        <v>1519</v>
      </c>
      <c r="X406" s="1" t="s">
        <v>1520</v>
      </c>
      <c r="Y406" s="1" t="s">
        <v>1521</v>
      </c>
      <c r="Z406" s="1" t="s">
        <v>1267</v>
      </c>
      <c r="AA406" s="1" t="s">
        <v>285</v>
      </c>
    </row>
    <row r="407" spans="1:27" ht="17.45" customHeight="1">
      <c r="A407" s="3" t="s">
        <v>1396</v>
      </c>
      <c r="B407" s="3" t="s">
        <v>28</v>
      </c>
      <c r="C407">
        <v>1</v>
      </c>
      <c r="D407" s="3" t="s">
        <v>1273</v>
      </c>
      <c r="E407" s="3" t="s">
        <v>1522</v>
      </c>
      <c r="F407" s="3" t="s">
        <v>1523</v>
      </c>
      <c r="G407" s="3" t="s">
        <v>32</v>
      </c>
      <c r="H407" s="3" t="s">
        <v>1276</v>
      </c>
      <c r="I407" s="3" t="s">
        <v>1277</v>
      </c>
      <c r="J407" s="3" t="s">
        <v>35</v>
      </c>
      <c r="K407" s="3" t="s">
        <v>36</v>
      </c>
      <c r="L407" s="3" t="s">
        <v>37</v>
      </c>
      <c r="M407" s="3" t="s">
        <v>52</v>
      </c>
      <c r="N407" s="3" t="s">
        <v>1248</v>
      </c>
      <c r="O407" s="3" t="s">
        <v>41</v>
      </c>
      <c r="P407" s="3" t="s">
        <v>40</v>
      </c>
      <c r="Q407" s="3" t="s">
        <v>1248</v>
      </c>
      <c r="R407" s="5">
        <v>46136.425474537034</v>
      </c>
      <c r="S407" s="5">
        <v>46136.617071759261</v>
      </c>
      <c r="T407" s="3" t="s">
        <v>1524</v>
      </c>
      <c r="U407" s="1" t="s">
        <v>283</v>
      </c>
      <c r="V407" s="1" t="s">
        <v>293</v>
      </c>
      <c r="W407" s="1" t="s">
        <v>1519</v>
      </c>
      <c r="X407" s="1" t="s">
        <v>1525</v>
      </c>
      <c r="Y407" s="1" t="s">
        <v>1526</v>
      </c>
      <c r="Z407" s="1" t="s">
        <v>1267</v>
      </c>
      <c r="AA407" s="1" t="s">
        <v>285</v>
      </c>
    </row>
    <row r="408" spans="1:27" ht="17.45" customHeight="1">
      <c r="A408" s="2" t="s">
        <v>1527</v>
      </c>
      <c r="B408" s="2" t="s">
        <v>28</v>
      </c>
      <c r="C408">
        <v>1</v>
      </c>
      <c r="D408" s="2" t="s">
        <v>1273</v>
      </c>
      <c r="E408" s="2" t="s">
        <v>1528</v>
      </c>
      <c r="F408" s="2" t="s">
        <v>1529</v>
      </c>
      <c r="G408" s="2" t="s">
        <v>32</v>
      </c>
      <c r="H408" s="2" t="s">
        <v>1276</v>
      </c>
      <c r="I408" s="2" t="s">
        <v>1277</v>
      </c>
      <c r="J408" s="2" t="s">
        <v>35</v>
      </c>
      <c r="K408" s="2" t="s">
        <v>36</v>
      </c>
      <c r="L408" s="2" t="s">
        <v>37</v>
      </c>
      <c r="M408" s="2" t="s">
        <v>52</v>
      </c>
      <c r="N408" s="2" t="s">
        <v>1248</v>
      </c>
      <c r="O408" s="2" t="s">
        <v>41</v>
      </c>
      <c r="P408" s="2" t="s">
        <v>40</v>
      </c>
      <c r="Q408" s="2" t="s">
        <v>1248</v>
      </c>
      <c r="R408" s="4">
        <v>46136.429189814815</v>
      </c>
      <c r="S408" s="4">
        <v>46136.617280092592</v>
      </c>
      <c r="T408" s="2" t="s">
        <v>1524</v>
      </c>
      <c r="U408" s="1" t="s">
        <v>283</v>
      </c>
      <c r="V408" s="1" t="s">
        <v>293</v>
      </c>
      <c r="W408" s="1" t="s">
        <v>1519</v>
      </c>
      <c r="X408" s="1" t="s">
        <v>1530</v>
      </c>
      <c r="Y408" s="1" t="s">
        <v>1526</v>
      </c>
      <c r="Z408" s="1" t="s">
        <v>1267</v>
      </c>
      <c r="AA408" s="1" t="s">
        <v>285</v>
      </c>
    </row>
    <row r="409" spans="1:27" ht="17.45" customHeight="1">
      <c r="A409" s="3" t="s">
        <v>750</v>
      </c>
      <c r="B409" s="3" t="s">
        <v>48</v>
      </c>
      <c r="C409">
        <v>1</v>
      </c>
      <c r="D409" s="3" t="s">
        <v>228</v>
      </c>
      <c r="E409" s="3" t="s">
        <v>1531</v>
      </c>
      <c r="F409" s="3" t="s">
        <v>1532</v>
      </c>
      <c r="G409" s="3" t="s">
        <v>32</v>
      </c>
      <c r="H409" s="3" t="s">
        <v>124</v>
      </c>
      <c r="I409" s="3" t="s">
        <v>124</v>
      </c>
      <c r="J409" s="3" t="s">
        <v>35</v>
      </c>
      <c r="K409" s="3" t="s">
        <v>36</v>
      </c>
      <c r="L409" s="3" t="s">
        <v>37</v>
      </c>
      <c r="M409" s="3" t="s">
        <v>64</v>
      </c>
      <c r="N409" s="3" t="s">
        <v>1248</v>
      </c>
      <c r="O409" s="3" t="s">
        <v>41</v>
      </c>
      <c r="P409" s="3" t="s">
        <v>58</v>
      </c>
      <c r="Q409" s="3" t="s">
        <v>1248</v>
      </c>
      <c r="R409" s="5">
        <v>46136.472870370373</v>
      </c>
      <c r="S409" s="5">
        <v>46149.751064814816</v>
      </c>
      <c r="T409" s="3" t="s">
        <v>1533</v>
      </c>
      <c r="U409" s="1" t="s">
        <v>115</v>
      </c>
      <c r="V409" s="1" t="s">
        <v>116</v>
      </c>
      <c r="W409" s="1" t="s">
        <v>1534</v>
      </c>
      <c r="X409" s="1" t="s">
        <v>1534</v>
      </c>
      <c r="Y409" s="1" t="s">
        <v>1535</v>
      </c>
      <c r="Z409" s="1" t="s">
        <v>1253</v>
      </c>
      <c r="AA409" s="1" t="s">
        <v>118</v>
      </c>
    </row>
    <row r="410" spans="1:27" ht="17.45" customHeight="1">
      <c r="A410" s="2" t="s">
        <v>247</v>
      </c>
      <c r="B410" s="2" t="s">
        <v>48</v>
      </c>
      <c r="C410">
        <v>1</v>
      </c>
      <c r="D410" s="2" t="s">
        <v>228</v>
      </c>
      <c r="E410" s="2" t="s">
        <v>1536</v>
      </c>
      <c r="F410" s="2" t="s">
        <v>1537</v>
      </c>
      <c r="G410" s="2" t="s">
        <v>32</v>
      </c>
      <c r="H410" s="2" t="s">
        <v>124</v>
      </c>
      <c r="I410" s="2" t="s">
        <v>124</v>
      </c>
      <c r="J410" s="2" t="s">
        <v>35</v>
      </c>
      <c r="K410" s="2" t="s">
        <v>36</v>
      </c>
      <c r="L410" s="2" t="s">
        <v>37</v>
      </c>
      <c r="M410" s="2" t="s">
        <v>64</v>
      </c>
      <c r="N410" s="2" t="s">
        <v>1248</v>
      </c>
      <c r="O410" s="2" t="s">
        <v>41</v>
      </c>
      <c r="P410" s="2" t="s">
        <v>58</v>
      </c>
      <c r="Q410" s="2" t="s">
        <v>1248</v>
      </c>
      <c r="R410" s="4">
        <v>46136.541064814817</v>
      </c>
      <c r="S410" s="4">
        <v>46149.751493055555</v>
      </c>
      <c r="T410" s="2" t="s">
        <v>1538</v>
      </c>
      <c r="U410" s="1" t="s">
        <v>115</v>
      </c>
      <c r="V410" s="1" t="s">
        <v>116</v>
      </c>
      <c r="W410" s="1" t="s">
        <v>1539</v>
      </c>
      <c r="X410" s="1" t="s">
        <v>1539</v>
      </c>
      <c r="Y410" s="1" t="s">
        <v>1540</v>
      </c>
      <c r="Z410" s="1" t="s">
        <v>1253</v>
      </c>
      <c r="AA410" s="1" t="s">
        <v>118</v>
      </c>
    </row>
    <row r="411" spans="1:27" ht="17.45" customHeight="1">
      <c r="A411" s="3" t="s">
        <v>1541</v>
      </c>
      <c r="B411" s="3" t="s">
        <v>28</v>
      </c>
      <c r="C411">
        <v>1</v>
      </c>
      <c r="D411" s="3" t="s">
        <v>228</v>
      </c>
      <c r="E411" s="3" t="s">
        <v>1542</v>
      </c>
      <c r="F411" s="3" t="s">
        <v>1543</v>
      </c>
      <c r="G411" s="3" t="s">
        <v>32</v>
      </c>
      <c r="H411" s="3" t="s">
        <v>124</v>
      </c>
      <c r="I411" s="3" t="s">
        <v>124</v>
      </c>
      <c r="J411" s="3" t="s">
        <v>35</v>
      </c>
      <c r="K411" s="3" t="s">
        <v>36</v>
      </c>
      <c r="L411" s="3" t="s">
        <v>51</v>
      </c>
      <c r="M411" s="3" t="s">
        <v>52</v>
      </c>
      <c r="N411" s="3" t="s">
        <v>1248</v>
      </c>
      <c r="O411" s="3" t="s">
        <v>41</v>
      </c>
      <c r="P411" s="3" t="s">
        <v>53</v>
      </c>
      <c r="Q411" s="3" t="s">
        <v>1248</v>
      </c>
      <c r="R411" s="5">
        <v>46136.634560185186</v>
      </c>
      <c r="S411" s="5">
        <v>46149.7891087963</v>
      </c>
      <c r="T411" s="3" t="s">
        <v>1544</v>
      </c>
      <c r="U411" s="1" t="s">
        <v>177</v>
      </c>
      <c r="V411" s="1" t="s">
        <v>184</v>
      </c>
      <c r="W411" s="1" t="s">
        <v>1545</v>
      </c>
      <c r="X411" s="1" t="s">
        <v>1543</v>
      </c>
      <c r="Y411" s="1" t="s">
        <v>1546</v>
      </c>
      <c r="Z411" s="1" t="s">
        <v>1253</v>
      </c>
      <c r="AA411" s="1" t="s">
        <v>179</v>
      </c>
    </row>
    <row r="412" spans="1:27" ht="17.45" customHeight="1">
      <c r="A412" s="2" t="s">
        <v>713</v>
      </c>
      <c r="B412" s="2" t="s">
        <v>28</v>
      </c>
      <c r="C412">
        <v>1</v>
      </c>
      <c r="D412" s="2" t="s">
        <v>228</v>
      </c>
      <c r="E412" s="2" t="s">
        <v>1547</v>
      </c>
      <c r="F412" s="2" t="s">
        <v>1548</v>
      </c>
      <c r="G412" s="2" t="s">
        <v>32</v>
      </c>
      <c r="H412" s="2" t="s">
        <v>124</v>
      </c>
      <c r="I412" s="2" t="s">
        <v>124</v>
      </c>
      <c r="J412" s="2" t="s">
        <v>35</v>
      </c>
      <c r="K412" s="2" t="s">
        <v>36</v>
      </c>
      <c r="L412" s="2" t="s">
        <v>51</v>
      </c>
      <c r="M412" s="2" t="s">
        <v>52</v>
      </c>
      <c r="N412" s="2" t="s">
        <v>1248</v>
      </c>
      <c r="O412" s="2" t="s">
        <v>41</v>
      </c>
      <c r="P412" s="2" t="s">
        <v>53</v>
      </c>
      <c r="Q412" s="2" t="s">
        <v>1248</v>
      </c>
      <c r="R412" s="4">
        <v>46136.635578703703</v>
      </c>
      <c r="S412" s="4">
        <v>46149.7893287037</v>
      </c>
      <c r="T412" s="2" t="s">
        <v>1549</v>
      </c>
      <c r="U412" s="1" t="s">
        <v>42</v>
      </c>
      <c r="V412" s="1" t="s">
        <v>74</v>
      </c>
      <c r="W412" s="1" t="s">
        <v>1548</v>
      </c>
      <c r="X412" s="1" t="s">
        <v>1548</v>
      </c>
      <c r="Y412" s="1" t="s">
        <v>1550</v>
      </c>
      <c r="Z412" s="1" t="s">
        <v>1551</v>
      </c>
      <c r="AA412" s="1" t="s">
        <v>46</v>
      </c>
    </row>
    <row r="413" spans="1:27" ht="17.45" customHeight="1">
      <c r="A413" s="3" t="s">
        <v>994</v>
      </c>
      <c r="B413" s="3" t="s">
        <v>181</v>
      </c>
      <c r="C413">
        <v>1</v>
      </c>
      <c r="D413" s="3" t="s">
        <v>228</v>
      </c>
      <c r="E413" s="3" t="s">
        <v>1552</v>
      </c>
      <c r="F413" s="3" t="s">
        <v>1553</v>
      </c>
      <c r="G413" s="3" t="s">
        <v>32</v>
      </c>
      <c r="H413" s="3" t="s">
        <v>124</v>
      </c>
      <c r="I413" s="3" t="s">
        <v>124</v>
      </c>
      <c r="J413" s="3" t="s">
        <v>35</v>
      </c>
      <c r="K413" s="3" t="s">
        <v>36</v>
      </c>
      <c r="L413" s="3" t="s">
        <v>51</v>
      </c>
      <c r="M413" s="3" t="s">
        <v>64</v>
      </c>
      <c r="N413" s="3" t="s">
        <v>1248</v>
      </c>
      <c r="O413" s="3" t="s">
        <v>41</v>
      </c>
      <c r="P413" s="3" t="s">
        <v>53</v>
      </c>
      <c r="Q413" s="3" t="s">
        <v>1248</v>
      </c>
      <c r="R413" s="5">
        <v>46136.65079861111</v>
      </c>
      <c r="S413" s="5">
        <v>46149.752395833333</v>
      </c>
      <c r="T413" s="3" t="s">
        <v>1554</v>
      </c>
      <c r="U413" s="1" t="s">
        <v>59</v>
      </c>
      <c r="V413" s="1" t="s">
        <v>142</v>
      </c>
      <c r="W413" s="1" t="s">
        <v>1553</v>
      </c>
      <c r="X413" s="1" t="s">
        <v>1553</v>
      </c>
      <c r="Y413" s="1" t="s">
        <v>1555</v>
      </c>
      <c r="Z413" s="1" t="s">
        <v>1253</v>
      </c>
      <c r="AA413" s="1" t="s">
        <v>61</v>
      </c>
    </row>
    <row r="414" spans="1:27" ht="17.45" customHeight="1">
      <c r="A414" s="2" t="s">
        <v>1109</v>
      </c>
      <c r="B414" s="2" t="s">
        <v>181</v>
      </c>
      <c r="C414">
        <v>1</v>
      </c>
      <c r="D414" s="2" t="s">
        <v>228</v>
      </c>
      <c r="E414" s="2" t="s">
        <v>1556</v>
      </c>
      <c r="F414" s="2" t="s">
        <v>1557</v>
      </c>
      <c r="G414" s="2" t="s">
        <v>32</v>
      </c>
      <c r="H414" s="2" t="s">
        <v>124</v>
      </c>
      <c r="I414" s="2" t="s">
        <v>124</v>
      </c>
      <c r="J414" s="2" t="s">
        <v>35</v>
      </c>
      <c r="K414" s="2" t="s">
        <v>36</v>
      </c>
      <c r="L414" s="2" t="s">
        <v>51</v>
      </c>
      <c r="M414" s="2" t="s">
        <v>64</v>
      </c>
      <c r="N414" s="2" t="s">
        <v>1248</v>
      </c>
      <c r="O414" s="2" t="s">
        <v>41</v>
      </c>
      <c r="P414" s="2" t="s">
        <v>53</v>
      </c>
      <c r="Q414" s="2" t="s">
        <v>1248</v>
      </c>
      <c r="R414" s="4">
        <v>46136.661793981482</v>
      </c>
      <c r="S414" s="4">
        <v>46149.752557870372</v>
      </c>
      <c r="T414" s="2" t="s">
        <v>1554</v>
      </c>
      <c r="U414" s="1" t="s">
        <v>59</v>
      </c>
      <c r="V414" s="1" t="s">
        <v>268</v>
      </c>
      <c r="W414" s="1" t="s">
        <v>1558</v>
      </c>
      <c r="X414" s="1" t="s">
        <v>1559</v>
      </c>
      <c r="Y414" s="1" t="s">
        <v>1555</v>
      </c>
      <c r="Z414" s="1" t="s">
        <v>1253</v>
      </c>
      <c r="AA414" s="1" t="s">
        <v>61</v>
      </c>
    </row>
    <row r="415" spans="1:27" ht="17.45" customHeight="1">
      <c r="A415" s="3" t="s">
        <v>1349</v>
      </c>
      <c r="B415" s="3" t="s">
        <v>120</v>
      </c>
      <c r="C415">
        <v>1</v>
      </c>
      <c r="D415" s="3" t="s">
        <v>1273</v>
      </c>
      <c r="E415" s="3" t="s">
        <v>1560</v>
      </c>
      <c r="F415" s="3" t="s">
        <v>1561</v>
      </c>
      <c r="G415" s="3" t="s">
        <v>32</v>
      </c>
      <c r="H415" s="3" t="s">
        <v>1276</v>
      </c>
      <c r="I415" s="3" t="s">
        <v>1292</v>
      </c>
      <c r="J415" s="3" t="s">
        <v>35</v>
      </c>
      <c r="K415" s="3" t="s">
        <v>36</v>
      </c>
      <c r="L415" s="3" t="s">
        <v>51</v>
      </c>
      <c r="M415" s="3" t="s">
        <v>64</v>
      </c>
      <c r="N415" s="3" t="s">
        <v>1248</v>
      </c>
      <c r="O415" s="3" t="s">
        <v>41</v>
      </c>
      <c r="P415" s="3" t="s">
        <v>53</v>
      </c>
      <c r="Q415" s="3" t="s">
        <v>1248</v>
      </c>
      <c r="R415" s="5">
        <v>46135.566817129627</v>
      </c>
      <c r="S415" s="5">
        <v>46135.72724537037</v>
      </c>
      <c r="T415" s="3" t="s">
        <v>1562</v>
      </c>
      <c r="U415" s="1" t="s">
        <v>59</v>
      </c>
      <c r="V415" s="1" t="s">
        <v>60</v>
      </c>
      <c r="W415" s="1" t="s">
        <v>1563</v>
      </c>
      <c r="X415" s="1" t="s">
        <v>1564</v>
      </c>
      <c r="Y415" s="1" t="s">
        <v>1565</v>
      </c>
      <c r="Z415" s="1" t="s">
        <v>1551</v>
      </c>
      <c r="AA415" s="1" t="s">
        <v>61</v>
      </c>
    </row>
    <row r="416" spans="1:27" ht="17.45" customHeight="1">
      <c r="A416" s="2" t="s">
        <v>1566</v>
      </c>
      <c r="B416" s="2" t="s">
        <v>120</v>
      </c>
      <c r="C416">
        <v>1</v>
      </c>
      <c r="D416" s="2" t="s">
        <v>1273</v>
      </c>
      <c r="E416" s="2" t="s">
        <v>1567</v>
      </c>
      <c r="F416" s="2" t="s">
        <v>1568</v>
      </c>
      <c r="G416" s="2" t="s">
        <v>32</v>
      </c>
      <c r="H416" s="2" t="s">
        <v>1276</v>
      </c>
      <c r="I416" s="2" t="s">
        <v>1277</v>
      </c>
      <c r="J416" s="2" t="s">
        <v>35</v>
      </c>
      <c r="K416" s="2" t="s">
        <v>36</v>
      </c>
      <c r="L416" s="2" t="s">
        <v>51</v>
      </c>
      <c r="M416" s="2" t="s">
        <v>64</v>
      </c>
      <c r="N416" s="2" t="s">
        <v>1248</v>
      </c>
      <c r="O416" s="2" t="s">
        <v>41</v>
      </c>
      <c r="P416" s="2" t="s">
        <v>53</v>
      </c>
      <c r="Q416" s="2" t="s">
        <v>1248</v>
      </c>
      <c r="R416" s="4">
        <v>46135.630682870367</v>
      </c>
      <c r="S416" s="4">
        <v>46135.744675925926</v>
      </c>
      <c r="T416" s="2" t="s">
        <v>1569</v>
      </c>
      <c r="U416" s="1" t="s">
        <v>59</v>
      </c>
      <c r="V416" s="1" t="s">
        <v>60</v>
      </c>
      <c r="W416" s="1" t="s">
        <v>1570</v>
      </c>
      <c r="X416" s="1" t="s">
        <v>1571</v>
      </c>
      <c r="Y416" s="1" t="s">
        <v>1572</v>
      </c>
      <c r="Z416" s="1" t="s">
        <v>1253</v>
      </c>
      <c r="AA416" s="1" t="s">
        <v>61</v>
      </c>
    </row>
    <row r="417" spans="1:27" ht="17.45" customHeight="1">
      <c r="A417" s="3" t="s">
        <v>1573</v>
      </c>
      <c r="B417" s="3" t="s">
        <v>48</v>
      </c>
      <c r="C417">
        <v>1</v>
      </c>
      <c r="D417" s="3" t="s">
        <v>1273</v>
      </c>
      <c r="E417" s="3" t="s">
        <v>1574</v>
      </c>
      <c r="F417" s="3" t="s">
        <v>1575</v>
      </c>
      <c r="G417" s="3" t="s">
        <v>32</v>
      </c>
      <c r="H417" s="3" t="s">
        <v>1276</v>
      </c>
      <c r="I417" s="3" t="s">
        <v>1285</v>
      </c>
      <c r="J417" s="3" t="s">
        <v>35</v>
      </c>
      <c r="K417" s="3" t="s">
        <v>36</v>
      </c>
      <c r="L417" s="3" t="s">
        <v>37</v>
      </c>
      <c r="M417" s="3" t="s">
        <v>52</v>
      </c>
      <c r="N417" s="3" t="s">
        <v>1248</v>
      </c>
      <c r="O417" s="3" t="s">
        <v>41</v>
      </c>
      <c r="P417" s="3" t="s">
        <v>40</v>
      </c>
      <c r="Q417" s="3" t="s">
        <v>1248</v>
      </c>
      <c r="R417" s="5">
        <v>46135.642418981479</v>
      </c>
      <c r="S417" s="5">
        <v>46136.466643518521</v>
      </c>
      <c r="T417" s="3" t="s">
        <v>1501</v>
      </c>
      <c r="U417" s="1" t="s">
        <v>115</v>
      </c>
      <c r="V417" s="1" t="s">
        <v>116</v>
      </c>
      <c r="W417" s="1" t="s">
        <v>1575</v>
      </c>
      <c r="X417" s="1" t="s">
        <v>1575</v>
      </c>
      <c r="Y417" s="1" t="s">
        <v>1502</v>
      </c>
      <c r="Z417" s="1" t="s">
        <v>1253</v>
      </c>
      <c r="AA417" s="1" t="s">
        <v>118</v>
      </c>
    </row>
    <row r="418" spans="1:27" ht="17.45" customHeight="1">
      <c r="A418" s="2" t="s">
        <v>1576</v>
      </c>
      <c r="B418" s="2" t="s">
        <v>181</v>
      </c>
      <c r="C418">
        <v>1</v>
      </c>
      <c r="D418" s="2" t="s">
        <v>1273</v>
      </c>
      <c r="E418" s="2" t="s">
        <v>1577</v>
      </c>
      <c r="F418" s="2" t="s">
        <v>1578</v>
      </c>
      <c r="G418" s="2" t="s">
        <v>32</v>
      </c>
      <c r="H418" s="2" t="s">
        <v>1276</v>
      </c>
      <c r="I418" s="2" t="s">
        <v>1285</v>
      </c>
      <c r="J418" s="2" t="s">
        <v>35</v>
      </c>
      <c r="K418" s="2" t="s">
        <v>36</v>
      </c>
      <c r="L418" s="2" t="s">
        <v>37</v>
      </c>
      <c r="M418" s="2" t="s">
        <v>64</v>
      </c>
      <c r="N418" s="2" t="s">
        <v>1248</v>
      </c>
      <c r="O418" s="2" t="s">
        <v>41</v>
      </c>
      <c r="P418" s="2" t="s">
        <v>40</v>
      </c>
      <c r="Q418" s="2" t="s">
        <v>1248</v>
      </c>
      <c r="R418" s="4">
        <v>46135.642916666664</v>
      </c>
      <c r="S418" s="4">
        <v>46136.451990740738</v>
      </c>
      <c r="T418" s="2" t="s">
        <v>1579</v>
      </c>
      <c r="U418" s="1" t="s">
        <v>95</v>
      </c>
      <c r="V418" s="1" t="s">
        <v>1224</v>
      </c>
      <c r="W418" s="1" t="s">
        <v>1580</v>
      </c>
      <c r="X418" s="1" t="s">
        <v>1581</v>
      </c>
      <c r="Y418" s="1" t="s">
        <v>1582</v>
      </c>
      <c r="Z418" s="1" t="s">
        <v>1267</v>
      </c>
      <c r="AA418" s="1" t="s">
        <v>98</v>
      </c>
    </row>
    <row r="419" spans="1:27" ht="17.45" customHeight="1">
      <c r="A419" s="3" t="s">
        <v>1583</v>
      </c>
      <c r="B419" s="3" t="s">
        <v>28</v>
      </c>
      <c r="C419">
        <v>1</v>
      </c>
      <c r="D419" s="3" t="s">
        <v>1273</v>
      </c>
      <c r="E419" s="3" t="s">
        <v>1584</v>
      </c>
      <c r="F419" s="3" t="s">
        <v>1363</v>
      </c>
      <c r="G419" s="3" t="s">
        <v>32</v>
      </c>
      <c r="H419" s="3" t="s">
        <v>1276</v>
      </c>
      <c r="I419" s="3" t="s">
        <v>1277</v>
      </c>
      <c r="J419" s="3" t="s">
        <v>35</v>
      </c>
      <c r="K419" s="3" t="s">
        <v>36</v>
      </c>
      <c r="L419" s="3" t="s">
        <v>37</v>
      </c>
      <c r="M419" s="3" t="s">
        <v>52</v>
      </c>
      <c r="N419" s="3" t="s">
        <v>1248</v>
      </c>
      <c r="O419" s="3" t="s">
        <v>41</v>
      </c>
      <c r="P419" s="3" t="s">
        <v>40</v>
      </c>
      <c r="Q419" s="3" t="s">
        <v>1248</v>
      </c>
      <c r="R419" s="5">
        <v>46135.718935185185</v>
      </c>
      <c r="S419" s="5">
        <v>46136.611898148149</v>
      </c>
      <c r="T419" s="3" t="s">
        <v>1359</v>
      </c>
      <c r="U419" s="1" t="s">
        <v>283</v>
      </c>
      <c r="V419" s="1" t="s">
        <v>293</v>
      </c>
      <c r="W419" s="1" t="s">
        <v>1363</v>
      </c>
      <c r="X419" s="1" t="s">
        <v>1363</v>
      </c>
      <c r="Y419" s="1" t="s">
        <v>1360</v>
      </c>
      <c r="Z419" s="1" t="s">
        <v>1267</v>
      </c>
      <c r="AA419" s="1" t="s">
        <v>285</v>
      </c>
    </row>
    <row r="420" spans="1:27" ht="17.45" customHeight="1">
      <c r="A420" s="2" t="s">
        <v>1408</v>
      </c>
      <c r="B420" s="2" t="s">
        <v>28</v>
      </c>
      <c r="C420">
        <v>1</v>
      </c>
      <c r="D420" s="2" t="s">
        <v>1273</v>
      </c>
      <c r="E420" s="2" t="s">
        <v>1585</v>
      </c>
      <c r="F420" s="2" t="s">
        <v>1363</v>
      </c>
      <c r="G420" s="2" t="s">
        <v>32</v>
      </c>
      <c r="H420" s="2" t="s">
        <v>1276</v>
      </c>
      <c r="I420" s="2" t="s">
        <v>1277</v>
      </c>
      <c r="J420" s="2" t="s">
        <v>35</v>
      </c>
      <c r="K420" s="2" t="s">
        <v>36</v>
      </c>
      <c r="L420" s="2" t="s">
        <v>37</v>
      </c>
      <c r="M420" s="2" t="s">
        <v>52</v>
      </c>
      <c r="N420" s="2" t="s">
        <v>1248</v>
      </c>
      <c r="O420" s="2" t="s">
        <v>41</v>
      </c>
      <c r="P420" s="2" t="s">
        <v>40</v>
      </c>
      <c r="Q420" s="2" t="s">
        <v>1248</v>
      </c>
      <c r="R420" s="4">
        <v>46135.727280092593</v>
      </c>
      <c r="S420" s="4">
        <v>46136.61209490741</v>
      </c>
      <c r="T420" s="2" t="s">
        <v>1359</v>
      </c>
      <c r="U420" s="1" t="s">
        <v>283</v>
      </c>
      <c r="V420" s="1" t="s">
        <v>293</v>
      </c>
      <c r="W420" s="1" t="s">
        <v>1363</v>
      </c>
      <c r="X420" s="1" t="s">
        <v>1363</v>
      </c>
      <c r="Y420" s="1" t="s">
        <v>1360</v>
      </c>
      <c r="Z420" s="1" t="s">
        <v>1267</v>
      </c>
      <c r="AA420" s="1" t="s">
        <v>285</v>
      </c>
    </row>
    <row r="421" spans="1:27" ht="17.45" customHeight="1">
      <c r="A421" s="3" t="s">
        <v>1586</v>
      </c>
      <c r="B421" s="3" t="s">
        <v>48</v>
      </c>
      <c r="C421">
        <v>1</v>
      </c>
      <c r="D421" s="3" t="s">
        <v>228</v>
      </c>
      <c r="E421" s="3" t="s">
        <v>1587</v>
      </c>
      <c r="F421" s="3" t="s">
        <v>1588</v>
      </c>
      <c r="G421" s="3" t="s">
        <v>32</v>
      </c>
      <c r="H421" s="3" t="s">
        <v>124</v>
      </c>
      <c r="I421" s="3" t="s">
        <v>124</v>
      </c>
      <c r="J421" s="3" t="s">
        <v>35</v>
      </c>
      <c r="K421" s="3" t="s">
        <v>36</v>
      </c>
      <c r="L421" s="3" t="s">
        <v>37</v>
      </c>
      <c r="M421" s="3" t="s">
        <v>64</v>
      </c>
      <c r="N421" s="3" t="s">
        <v>1248</v>
      </c>
      <c r="O421" s="3" t="s">
        <v>41</v>
      </c>
      <c r="P421" s="3" t="s">
        <v>40</v>
      </c>
      <c r="Q421" s="3" t="s">
        <v>1248</v>
      </c>
      <c r="R421" s="5">
        <v>46136.383310185185</v>
      </c>
      <c r="S421" s="5">
        <v>46141.668437499997</v>
      </c>
      <c r="T421" s="3" t="s">
        <v>1589</v>
      </c>
      <c r="U421" s="1" t="s">
        <v>59</v>
      </c>
      <c r="V421" s="1" t="s">
        <v>142</v>
      </c>
      <c r="W421" s="1" t="s">
        <v>1588</v>
      </c>
      <c r="X421" s="1" t="s">
        <v>1588</v>
      </c>
      <c r="Y421" s="1" t="s">
        <v>1590</v>
      </c>
      <c r="Z421" s="1" t="s">
        <v>1253</v>
      </c>
      <c r="AA421" s="1" t="s">
        <v>61</v>
      </c>
    </row>
    <row r="422" spans="1:27" ht="17.45" customHeight="1">
      <c r="A422" s="2" t="s">
        <v>1591</v>
      </c>
      <c r="B422" s="2" t="s">
        <v>28</v>
      </c>
      <c r="C422">
        <v>1</v>
      </c>
      <c r="D422" s="2" t="s">
        <v>1273</v>
      </c>
      <c r="E422" s="2" t="s">
        <v>1592</v>
      </c>
      <c r="F422" s="2" t="s">
        <v>1593</v>
      </c>
      <c r="G422" s="2" t="s">
        <v>32</v>
      </c>
      <c r="H422" s="2" t="s">
        <v>1276</v>
      </c>
      <c r="I422" s="2" t="s">
        <v>1277</v>
      </c>
      <c r="J422" s="2" t="s">
        <v>35</v>
      </c>
      <c r="K422" s="2" t="s">
        <v>36</v>
      </c>
      <c r="L422" s="2" t="s">
        <v>37</v>
      </c>
      <c r="M422" s="2" t="s">
        <v>52</v>
      </c>
      <c r="N422" s="2" t="s">
        <v>1248</v>
      </c>
      <c r="O422" s="2" t="s">
        <v>41</v>
      </c>
      <c r="P422" s="2" t="s">
        <v>40</v>
      </c>
      <c r="Q422" s="2" t="s">
        <v>1248</v>
      </c>
      <c r="R422" s="4">
        <v>46136.398761574077</v>
      </c>
      <c r="S422" s="4">
        <v>46136.615682870368</v>
      </c>
      <c r="T422" s="2" t="s">
        <v>1594</v>
      </c>
      <c r="U422" s="1" t="s">
        <v>283</v>
      </c>
      <c r="V422" s="1" t="s">
        <v>293</v>
      </c>
      <c r="W422" s="1" t="s">
        <v>1595</v>
      </c>
      <c r="X422" s="1" t="s">
        <v>1595</v>
      </c>
      <c r="Y422" s="1" t="s">
        <v>1596</v>
      </c>
      <c r="Z422" s="1" t="s">
        <v>1267</v>
      </c>
      <c r="AA422" s="1" t="s">
        <v>285</v>
      </c>
    </row>
    <row r="423" spans="1:27" ht="17.45" customHeight="1">
      <c r="A423" s="3" t="s">
        <v>1597</v>
      </c>
      <c r="B423" s="3" t="s">
        <v>28</v>
      </c>
      <c r="C423">
        <v>1</v>
      </c>
      <c r="D423" s="3" t="s">
        <v>1273</v>
      </c>
      <c r="E423" s="3" t="s">
        <v>1598</v>
      </c>
      <c r="F423" s="3" t="s">
        <v>1599</v>
      </c>
      <c r="G423" s="3" t="s">
        <v>32</v>
      </c>
      <c r="H423" s="3" t="s">
        <v>1276</v>
      </c>
      <c r="I423" s="3" t="s">
        <v>1277</v>
      </c>
      <c r="J423" s="3" t="s">
        <v>35</v>
      </c>
      <c r="K423" s="3" t="s">
        <v>36</v>
      </c>
      <c r="L423" s="3" t="s">
        <v>37</v>
      </c>
      <c r="M423" s="3" t="s">
        <v>52</v>
      </c>
      <c r="N423" s="3" t="s">
        <v>1248</v>
      </c>
      <c r="O423" s="3" t="s">
        <v>41</v>
      </c>
      <c r="P423" s="3" t="s">
        <v>40</v>
      </c>
      <c r="Q423" s="3" t="s">
        <v>1248</v>
      </c>
      <c r="R423" s="5">
        <v>46136.432106481479</v>
      </c>
      <c r="S423" s="5">
        <v>46136.617442129631</v>
      </c>
      <c r="T423" s="3" t="s">
        <v>1524</v>
      </c>
      <c r="U423" s="1" t="s">
        <v>283</v>
      </c>
      <c r="V423" s="1" t="s">
        <v>293</v>
      </c>
      <c r="W423" s="1" t="s">
        <v>1519</v>
      </c>
      <c r="X423" s="1" t="s">
        <v>1600</v>
      </c>
      <c r="Y423" s="1" t="s">
        <v>1526</v>
      </c>
      <c r="Z423" s="1" t="s">
        <v>1267</v>
      </c>
      <c r="AA423" s="1" t="s">
        <v>285</v>
      </c>
    </row>
    <row r="424" spans="1:27" ht="17.45" customHeight="1">
      <c r="A424" s="2" t="s">
        <v>1601</v>
      </c>
      <c r="B424" s="2" t="s">
        <v>28</v>
      </c>
      <c r="C424">
        <v>1</v>
      </c>
      <c r="D424" s="2" t="s">
        <v>1273</v>
      </c>
      <c r="E424" s="2" t="s">
        <v>1602</v>
      </c>
      <c r="F424" s="2" t="s">
        <v>1523</v>
      </c>
      <c r="G424" s="2" t="s">
        <v>32</v>
      </c>
      <c r="H424" s="2" t="s">
        <v>1276</v>
      </c>
      <c r="I424" s="2" t="s">
        <v>1277</v>
      </c>
      <c r="J424" s="2" t="s">
        <v>35</v>
      </c>
      <c r="K424" s="2" t="s">
        <v>36</v>
      </c>
      <c r="L424" s="2" t="s">
        <v>37</v>
      </c>
      <c r="M424" s="2" t="s">
        <v>52</v>
      </c>
      <c r="N424" s="2" t="s">
        <v>1248</v>
      </c>
      <c r="O424" s="2" t="s">
        <v>41</v>
      </c>
      <c r="P424" s="2" t="s">
        <v>40</v>
      </c>
      <c r="Q424" s="2" t="s">
        <v>1248</v>
      </c>
      <c r="R424" s="4">
        <v>46136.43409722222</v>
      </c>
      <c r="S424" s="4">
        <v>46136.617638888885</v>
      </c>
      <c r="T424" s="2" t="s">
        <v>1524</v>
      </c>
      <c r="U424" s="1" t="s">
        <v>283</v>
      </c>
      <c r="V424" s="1" t="s">
        <v>293</v>
      </c>
      <c r="W424" s="1" t="s">
        <v>1519</v>
      </c>
      <c r="X424" s="1" t="s">
        <v>1525</v>
      </c>
      <c r="Y424" s="1" t="s">
        <v>1526</v>
      </c>
      <c r="Z424" s="1" t="s">
        <v>1267</v>
      </c>
      <c r="AA424" s="1" t="s">
        <v>285</v>
      </c>
    </row>
    <row r="425" spans="1:27" ht="17.45" customHeight="1">
      <c r="A425" s="3" t="s">
        <v>1603</v>
      </c>
      <c r="B425" s="3" t="s">
        <v>48</v>
      </c>
      <c r="C425">
        <v>1</v>
      </c>
      <c r="D425" s="3" t="s">
        <v>228</v>
      </c>
      <c r="E425" s="3" t="s">
        <v>1604</v>
      </c>
      <c r="F425" s="3" t="s">
        <v>1605</v>
      </c>
      <c r="G425" s="3" t="s">
        <v>32</v>
      </c>
      <c r="H425" s="3" t="s">
        <v>124</v>
      </c>
      <c r="I425" s="3" t="s">
        <v>124</v>
      </c>
      <c r="J425" s="3" t="s">
        <v>35</v>
      </c>
      <c r="K425" s="3" t="s">
        <v>36</v>
      </c>
      <c r="L425" s="3" t="s">
        <v>37</v>
      </c>
      <c r="M425" s="3" t="s">
        <v>64</v>
      </c>
      <c r="N425" s="3" t="s">
        <v>1248</v>
      </c>
      <c r="O425" s="3" t="s">
        <v>41</v>
      </c>
      <c r="P425" s="3" t="s">
        <v>40</v>
      </c>
      <c r="Q425" s="3" t="s">
        <v>1248</v>
      </c>
      <c r="R425" s="5">
        <v>46136.550196759257</v>
      </c>
      <c r="S425" s="5">
        <v>46149.752222222225</v>
      </c>
      <c r="T425" s="3" t="s">
        <v>1606</v>
      </c>
      <c r="U425" s="1" t="s">
        <v>42</v>
      </c>
      <c r="V425" s="1" t="s">
        <v>105</v>
      </c>
      <c r="W425" s="1" t="s">
        <v>1607</v>
      </c>
      <c r="X425" s="1" t="s">
        <v>1608</v>
      </c>
      <c r="Y425" s="1" t="s">
        <v>1609</v>
      </c>
      <c r="Z425" s="1" t="s">
        <v>1551</v>
      </c>
      <c r="AA425" s="1" t="s">
        <v>46</v>
      </c>
    </row>
    <row r="426" spans="1:27" ht="17.45" customHeight="1">
      <c r="A426" s="2" t="s">
        <v>1610</v>
      </c>
      <c r="B426" s="2" t="s">
        <v>181</v>
      </c>
      <c r="C426">
        <v>1</v>
      </c>
      <c r="D426" s="2" t="s">
        <v>1273</v>
      </c>
      <c r="E426" s="2" t="s">
        <v>1611</v>
      </c>
      <c r="F426" s="2" t="s">
        <v>1612</v>
      </c>
      <c r="G426" s="2" t="s">
        <v>32</v>
      </c>
      <c r="H426" s="2" t="s">
        <v>1276</v>
      </c>
      <c r="I426" s="2" t="s">
        <v>1285</v>
      </c>
      <c r="J426" s="2" t="s">
        <v>35</v>
      </c>
      <c r="K426" s="2" t="s">
        <v>36</v>
      </c>
      <c r="L426" s="2" t="s">
        <v>37</v>
      </c>
      <c r="M426" s="2" t="s">
        <v>38</v>
      </c>
      <c r="N426" s="2" t="s">
        <v>1248</v>
      </c>
      <c r="O426" s="2" t="s">
        <v>41</v>
      </c>
      <c r="P426" s="2" t="s">
        <v>53</v>
      </c>
      <c r="Q426" s="2" t="s">
        <v>1248</v>
      </c>
      <c r="R426" s="4">
        <v>46136.550798611112</v>
      </c>
      <c r="S426" s="4">
        <v>46136.568715277775</v>
      </c>
      <c r="T426" s="2" t="s">
        <v>1613</v>
      </c>
      <c r="U426" s="1" t="s">
        <v>115</v>
      </c>
      <c r="V426" s="1" t="s">
        <v>116</v>
      </c>
      <c r="W426" s="1" t="s">
        <v>1614</v>
      </c>
      <c r="X426" s="1" t="s">
        <v>1614</v>
      </c>
      <c r="Y426" s="1" t="s">
        <v>1615</v>
      </c>
      <c r="Z426" s="1" t="s">
        <v>1253</v>
      </c>
      <c r="AA426" s="1" t="s">
        <v>118</v>
      </c>
    </row>
    <row r="427" spans="1:27" ht="17.45" customHeight="1">
      <c r="A427" s="3" t="s">
        <v>1616</v>
      </c>
      <c r="B427" s="3" t="s">
        <v>181</v>
      </c>
      <c r="C427">
        <v>1</v>
      </c>
      <c r="D427" s="3" t="s">
        <v>228</v>
      </c>
      <c r="E427" s="3" t="s">
        <v>1617</v>
      </c>
      <c r="F427" s="3" t="s">
        <v>1618</v>
      </c>
      <c r="G427" s="3" t="s">
        <v>32</v>
      </c>
      <c r="H427" s="3" t="s">
        <v>124</v>
      </c>
      <c r="I427" s="3" t="s">
        <v>124</v>
      </c>
      <c r="J427" s="3" t="s">
        <v>35</v>
      </c>
      <c r="K427" s="3" t="s">
        <v>36</v>
      </c>
      <c r="L427" s="3" t="s">
        <v>51</v>
      </c>
      <c r="M427" s="3" t="s">
        <v>64</v>
      </c>
      <c r="N427" s="3" t="s">
        <v>1248</v>
      </c>
      <c r="O427" s="3" t="s">
        <v>41</v>
      </c>
      <c r="P427" s="3" t="s">
        <v>53</v>
      </c>
      <c r="Q427" s="3" t="s">
        <v>1248</v>
      </c>
      <c r="R427" s="5">
        <v>46136.707326388889</v>
      </c>
      <c r="S427" s="5">
        <v>46149.753055555557</v>
      </c>
      <c r="T427" s="3" t="s">
        <v>1619</v>
      </c>
      <c r="U427" s="1" t="s">
        <v>59</v>
      </c>
      <c r="V427" s="1" t="s">
        <v>60</v>
      </c>
      <c r="W427" s="1" t="s">
        <v>1618</v>
      </c>
      <c r="X427" s="1" t="s">
        <v>1618</v>
      </c>
      <c r="Y427" s="1" t="s">
        <v>1620</v>
      </c>
      <c r="Z427" s="1" t="s">
        <v>1253</v>
      </c>
      <c r="AA427" s="1" t="s">
        <v>61</v>
      </c>
    </row>
    <row r="428" spans="1:27" ht="17.45" customHeight="1">
      <c r="A428" s="2" t="s">
        <v>1014</v>
      </c>
      <c r="B428" s="2" t="s">
        <v>181</v>
      </c>
      <c r="C428">
        <v>1</v>
      </c>
      <c r="D428" s="2" t="s">
        <v>228</v>
      </c>
      <c r="E428" s="2" t="s">
        <v>1621</v>
      </c>
      <c r="F428" s="2" t="s">
        <v>1622</v>
      </c>
      <c r="G428" s="2" t="s">
        <v>32</v>
      </c>
      <c r="H428" s="2" t="s">
        <v>124</v>
      </c>
      <c r="I428" s="2" t="s">
        <v>124</v>
      </c>
      <c r="J428" s="2" t="s">
        <v>35</v>
      </c>
      <c r="K428" s="2" t="s">
        <v>36</v>
      </c>
      <c r="L428" s="2" t="s">
        <v>51</v>
      </c>
      <c r="M428" s="2" t="s">
        <v>64</v>
      </c>
      <c r="N428" s="2" t="s">
        <v>1248</v>
      </c>
      <c r="O428" s="2" t="s">
        <v>41</v>
      </c>
      <c r="P428" s="2" t="s">
        <v>53</v>
      </c>
      <c r="Q428" s="2" t="s">
        <v>1248</v>
      </c>
      <c r="R428" s="4">
        <v>46136.729351851849</v>
      </c>
      <c r="S428" s="4">
        <v>46149.753321759257</v>
      </c>
      <c r="T428" s="2" t="s">
        <v>1623</v>
      </c>
      <c r="U428" s="1" t="s">
        <v>59</v>
      </c>
      <c r="V428" s="1" t="s">
        <v>60</v>
      </c>
      <c r="W428" s="1" t="s">
        <v>1622</v>
      </c>
      <c r="X428" s="1" t="s">
        <v>1622</v>
      </c>
      <c r="Y428" s="1" t="s">
        <v>1624</v>
      </c>
      <c r="Z428" s="1" t="s">
        <v>1253</v>
      </c>
      <c r="AA428" s="1" t="s">
        <v>61</v>
      </c>
    </row>
    <row r="429" spans="1:27" ht="17.45" customHeight="1">
      <c r="A429" s="3" t="s">
        <v>1625</v>
      </c>
      <c r="B429" s="3" t="s">
        <v>181</v>
      </c>
      <c r="C429">
        <v>1</v>
      </c>
      <c r="D429" s="3" t="s">
        <v>228</v>
      </c>
      <c r="E429" s="3" t="s">
        <v>1626</v>
      </c>
      <c r="F429" s="3" t="s">
        <v>1627</v>
      </c>
      <c r="G429" s="3" t="s">
        <v>32</v>
      </c>
      <c r="H429" s="3" t="s">
        <v>124</v>
      </c>
      <c r="I429" s="3" t="s">
        <v>124</v>
      </c>
      <c r="J429" s="3" t="s">
        <v>35</v>
      </c>
      <c r="K429" s="3" t="s">
        <v>36</v>
      </c>
      <c r="L429" s="3" t="s">
        <v>51</v>
      </c>
      <c r="M429" s="3" t="s">
        <v>52</v>
      </c>
      <c r="N429" s="3" t="s">
        <v>1248</v>
      </c>
      <c r="O429" s="3" t="s">
        <v>41</v>
      </c>
      <c r="P429" s="3" t="s">
        <v>53</v>
      </c>
      <c r="Q429" s="3" t="s">
        <v>1248</v>
      </c>
      <c r="R429" s="5">
        <v>46136.741377314815</v>
      </c>
      <c r="S429" s="5">
        <v>46149.789479166669</v>
      </c>
      <c r="T429" s="3" t="s">
        <v>1628</v>
      </c>
      <c r="U429" s="1" t="s">
        <v>59</v>
      </c>
      <c r="V429" s="1" t="s">
        <v>60</v>
      </c>
      <c r="W429" s="1" t="s">
        <v>1627</v>
      </c>
      <c r="X429" s="1" t="s">
        <v>1627</v>
      </c>
      <c r="Y429" s="1" t="s">
        <v>1629</v>
      </c>
      <c r="Z429" s="1" t="s">
        <v>1253</v>
      </c>
      <c r="AA429" s="1" t="s">
        <v>61</v>
      </c>
    </row>
    <row r="430" spans="1:27" ht="17.45" customHeight="1">
      <c r="A430" s="2" t="s">
        <v>1630</v>
      </c>
      <c r="B430" s="2" t="s">
        <v>28</v>
      </c>
      <c r="C430">
        <v>1</v>
      </c>
      <c r="D430" s="2" t="s">
        <v>121</v>
      </c>
      <c r="E430" s="2" t="s">
        <v>1631</v>
      </c>
      <c r="F430" s="2" t="s">
        <v>1632</v>
      </c>
      <c r="G430" s="2" t="s">
        <v>32</v>
      </c>
      <c r="H430" s="2" t="s">
        <v>124</v>
      </c>
      <c r="I430" s="2" t="s">
        <v>147</v>
      </c>
      <c r="J430" s="2" t="s">
        <v>35</v>
      </c>
      <c r="K430" s="2" t="s">
        <v>36</v>
      </c>
      <c r="L430" s="2" t="s">
        <v>51</v>
      </c>
      <c r="M430" s="2" t="s">
        <v>64</v>
      </c>
      <c r="N430" s="2" t="s">
        <v>1248</v>
      </c>
      <c r="O430" s="2" t="s">
        <v>41</v>
      </c>
      <c r="P430" s="2" t="s">
        <v>53</v>
      </c>
      <c r="Q430" s="2" t="s">
        <v>1248</v>
      </c>
      <c r="R430" s="4">
        <v>46139.428472222222</v>
      </c>
      <c r="S430" s="4">
        <v>46141.33730324074</v>
      </c>
      <c r="T430" s="2" t="s">
        <v>1372</v>
      </c>
      <c r="U430" s="1" t="s">
        <v>83</v>
      </c>
      <c r="V430" s="1" t="s">
        <v>84</v>
      </c>
      <c r="W430" s="1" t="s">
        <v>1632</v>
      </c>
      <c r="X430" s="1" t="s">
        <v>1632</v>
      </c>
      <c r="Y430" s="1" t="s">
        <v>1373</v>
      </c>
      <c r="Z430" s="1" t="s">
        <v>1253</v>
      </c>
      <c r="AA430" s="1" t="s">
        <v>85</v>
      </c>
    </row>
    <row r="431" spans="1:27" ht="17.45" customHeight="1">
      <c r="A431" s="3" t="s">
        <v>704</v>
      </c>
      <c r="B431" s="3" t="s">
        <v>28</v>
      </c>
      <c r="C431">
        <v>1</v>
      </c>
      <c r="D431" s="3" t="s">
        <v>121</v>
      </c>
      <c r="E431" s="3" t="s">
        <v>1633</v>
      </c>
      <c r="F431" s="3" t="s">
        <v>1634</v>
      </c>
      <c r="G431" s="3" t="s">
        <v>32</v>
      </c>
      <c r="H431" s="3" t="s">
        <v>124</v>
      </c>
      <c r="I431" s="3" t="s">
        <v>157</v>
      </c>
      <c r="J431" s="3" t="s">
        <v>35</v>
      </c>
      <c r="K431" s="3" t="s">
        <v>36</v>
      </c>
      <c r="L431" s="3" t="s">
        <v>51</v>
      </c>
      <c r="M431" s="3" t="s">
        <v>115</v>
      </c>
      <c r="N431" s="3" t="s">
        <v>1248</v>
      </c>
      <c r="O431" s="3" t="s">
        <v>41</v>
      </c>
      <c r="P431" s="3" t="s">
        <v>53</v>
      </c>
      <c r="Q431" s="3" t="s">
        <v>1248</v>
      </c>
      <c r="R431" s="5">
        <v>46139.469317129631</v>
      </c>
      <c r="S431" s="5">
        <v>46139.57167824074</v>
      </c>
      <c r="T431" s="3" t="s">
        <v>1377</v>
      </c>
      <c r="U431" s="1" t="s">
        <v>59</v>
      </c>
      <c r="V431" s="1" t="s">
        <v>60</v>
      </c>
      <c r="W431" s="1" t="s">
        <v>1635</v>
      </c>
      <c r="X431" s="1" t="s">
        <v>1636</v>
      </c>
      <c r="Y431" s="1" t="s">
        <v>1380</v>
      </c>
      <c r="Z431" s="1" t="s">
        <v>1267</v>
      </c>
      <c r="AA431" s="1" t="s">
        <v>61</v>
      </c>
    </row>
    <row r="432" spans="1:27" ht="17.45" customHeight="1">
      <c r="A432" s="2" t="s">
        <v>222</v>
      </c>
      <c r="B432" s="2" t="s">
        <v>28</v>
      </c>
      <c r="C432">
        <v>1</v>
      </c>
      <c r="D432" s="2" t="s">
        <v>121</v>
      </c>
      <c r="E432" s="2" t="s">
        <v>1637</v>
      </c>
      <c r="F432" s="2" t="s">
        <v>225</v>
      </c>
      <c r="G432" s="2" t="s">
        <v>32</v>
      </c>
      <c r="H432" s="2" t="s">
        <v>124</v>
      </c>
      <c r="I432" s="2" t="s">
        <v>192</v>
      </c>
      <c r="J432" s="2" t="s">
        <v>35</v>
      </c>
      <c r="K432" s="2" t="s">
        <v>36</v>
      </c>
      <c r="L432" s="2" t="s">
        <v>51</v>
      </c>
      <c r="M432" s="2" t="s">
        <v>115</v>
      </c>
      <c r="N432" s="2" t="s">
        <v>1248</v>
      </c>
      <c r="O432" s="2" t="s">
        <v>41</v>
      </c>
      <c r="P432" s="2" t="s">
        <v>53</v>
      </c>
      <c r="Q432" s="2" t="s">
        <v>1248</v>
      </c>
      <c r="R432" s="4">
        <v>46139.472708333335</v>
      </c>
      <c r="S432" s="4">
        <v>46139.571898148148</v>
      </c>
      <c r="T432" s="2" t="s">
        <v>1377</v>
      </c>
      <c r="U432" s="1" t="s">
        <v>59</v>
      </c>
      <c r="V432" s="1" t="s">
        <v>60</v>
      </c>
      <c r="W432" s="1" t="s">
        <v>225</v>
      </c>
      <c r="X432" s="1" t="s">
        <v>225</v>
      </c>
      <c r="Y432" s="1" t="s">
        <v>1380</v>
      </c>
      <c r="Z432" s="1" t="s">
        <v>1267</v>
      </c>
      <c r="AA432" s="1" t="s">
        <v>61</v>
      </c>
    </row>
    <row r="433" spans="1:27" ht="17.45" customHeight="1">
      <c r="A433" s="3" t="s">
        <v>1638</v>
      </c>
      <c r="B433" s="3" t="s">
        <v>28</v>
      </c>
      <c r="C433">
        <v>1</v>
      </c>
      <c r="D433" s="3" t="s">
        <v>121</v>
      </c>
      <c r="E433" s="3" t="s">
        <v>1639</v>
      </c>
      <c r="F433" s="3" t="s">
        <v>1640</v>
      </c>
      <c r="G433" s="3" t="s">
        <v>32</v>
      </c>
      <c r="H433" s="3" t="s">
        <v>124</v>
      </c>
      <c r="I433" s="3" t="s">
        <v>192</v>
      </c>
      <c r="J433" s="3" t="s">
        <v>35</v>
      </c>
      <c r="K433" s="3" t="s">
        <v>36</v>
      </c>
      <c r="L433" s="3" t="s">
        <v>51</v>
      </c>
      <c r="M433" s="3" t="s">
        <v>115</v>
      </c>
      <c r="N433" s="3" t="s">
        <v>1248</v>
      </c>
      <c r="O433" s="3" t="s">
        <v>41</v>
      </c>
      <c r="P433" s="3" t="s">
        <v>53</v>
      </c>
      <c r="Q433" s="3" t="s">
        <v>1248</v>
      </c>
      <c r="R433" s="5">
        <v>46139.475486111114</v>
      </c>
      <c r="S433" s="5">
        <v>46139.572060185186</v>
      </c>
      <c r="T433" s="3" t="s">
        <v>1377</v>
      </c>
      <c r="U433" s="1" t="s">
        <v>243</v>
      </c>
      <c r="V433" s="1" t="s">
        <v>340</v>
      </c>
      <c r="W433" s="1" t="s">
        <v>1641</v>
      </c>
      <c r="X433" s="1" t="s">
        <v>1642</v>
      </c>
      <c r="Y433" s="1" t="s">
        <v>1380</v>
      </c>
      <c r="Z433" s="1" t="s">
        <v>1267</v>
      </c>
      <c r="AA433" s="1" t="s">
        <v>246</v>
      </c>
    </row>
    <row r="434" spans="1:27" ht="17.45" customHeight="1">
      <c r="A434" s="2" t="s">
        <v>1643</v>
      </c>
      <c r="B434" s="2" t="s">
        <v>28</v>
      </c>
      <c r="C434">
        <v>1</v>
      </c>
      <c r="D434" s="2" t="s">
        <v>121</v>
      </c>
      <c r="E434" s="2" t="s">
        <v>1644</v>
      </c>
      <c r="F434" s="2" t="s">
        <v>1645</v>
      </c>
      <c r="G434" s="2" t="s">
        <v>32</v>
      </c>
      <c r="H434" s="2" t="s">
        <v>124</v>
      </c>
      <c r="I434" s="2" t="s">
        <v>33</v>
      </c>
      <c r="J434" s="2" t="s">
        <v>35</v>
      </c>
      <c r="K434" s="2" t="s">
        <v>36</v>
      </c>
      <c r="L434" s="2" t="s">
        <v>306</v>
      </c>
      <c r="M434" s="2" t="s">
        <v>115</v>
      </c>
      <c r="N434" s="2" t="s">
        <v>1248</v>
      </c>
      <c r="O434" s="2" t="s">
        <v>41</v>
      </c>
      <c r="P434" s="2" t="s">
        <v>53</v>
      </c>
      <c r="Q434" s="2" t="s">
        <v>1248</v>
      </c>
      <c r="R434" s="4">
        <v>46139.477048611108</v>
      </c>
      <c r="S434" s="4">
        <v>46139.572210648148</v>
      </c>
      <c r="T434" s="2" t="s">
        <v>1377</v>
      </c>
      <c r="U434" s="1" t="s">
        <v>243</v>
      </c>
      <c r="V434" s="1" t="s">
        <v>340</v>
      </c>
      <c r="W434" s="1" t="s">
        <v>1646</v>
      </c>
      <c r="X434" s="1" t="s">
        <v>1647</v>
      </c>
      <c r="Y434" s="1" t="s">
        <v>1380</v>
      </c>
      <c r="Z434" s="1" t="s">
        <v>1267</v>
      </c>
      <c r="AA434" s="1" t="s">
        <v>246</v>
      </c>
    </row>
    <row r="435" spans="1:27" ht="17.45" customHeight="1">
      <c r="A435" s="3" t="s">
        <v>1648</v>
      </c>
      <c r="B435" s="3" t="s">
        <v>28</v>
      </c>
      <c r="C435">
        <v>1</v>
      </c>
      <c r="D435" s="3" t="s">
        <v>121</v>
      </c>
      <c r="E435" s="3" t="s">
        <v>1649</v>
      </c>
      <c r="F435" s="3" t="s">
        <v>1376</v>
      </c>
      <c r="G435" s="3" t="s">
        <v>32</v>
      </c>
      <c r="H435" s="3" t="s">
        <v>124</v>
      </c>
      <c r="I435" s="3" t="s">
        <v>33</v>
      </c>
      <c r="J435" s="3" t="s">
        <v>35</v>
      </c>
      <c r="K435" s="3" t="s">
        <v>36</v>
      </c>
      <c r="L435" s="3" t="s">
        <v>51</v>
      </c>
      <c r="M435" s="3" t="s">
        <v>115</v>
      </c>
      <c r="N435" s="3" t="s">
        <v>1248</v>
      </c>
      <c r="O435" s="3" t="s">
        <v>41</v>
      </c>
      <c r="P435" s="3" t="s">
        <v>53</v>
      </c>
      <c r="Q435" s="3" t="s">
        <v>1248</v>
      </c>
      <c r="R435" s="5">
        <v>46139.479444444441</v>
      </c>
      <c r="S435" s="5">
        <v>46139.57234953704</v>
      </c>
      <c r="T435" s="3" t="s">
        <v>1377</v>
      </c>
      <c r="U435" s="1" t="s">
        <v>59</v>
      </c>
      <c r="V435" s="1" t="s">
        <v>60</v>
      </c>
      <c r="W435" s="1" t="s">
        <v>1378</v>
      </c>
      <c r="X435" s="1" t="s">
        <v>1379</v>
      </c>
      <c r="Y435" s="1" t="s">
        <v>1380</v>
      </c>
      <c r="Z435" s="1" t="s">
        <v>1267</v>
      </c>
      <c r="AA435" s="1" t="s">
        <v>61</v>
      </c>
    </row>
    <row r="436" spans="1:27" ht="17.45" customHeight="1">
      <c r="A436" s="2" t="s">
        <v>1650</v>
      </c>
      <c r="B436" s="2" t="s">
        <v>28</v>
      </c>
      <c r="C436">
        <v>1</v>
      </c>
      <c r="D436" s="2" t="s">
        <v>121</v>
      </c>
      <c r="E436" s="2" t="s">
        <v>1651</v>
      </c>
      <c r="F436" s="2" t="s">
        <v>1652</v>
      </c>
      <c r="G436" s="2" t="s">
        <v>32</v>
      </c>
      <c r="H436" s="2" t="s">
        <v>124</v>
      </c>
      <c r="I436" s="2" t="s">
        <v>147</v>
      </c>
      <c r="J436" s="2" t="s">
        <v>35</v>
      </c>
      <c r="K436" s="2" t="s">
        <v>36</v>
      </c>
      <c r="L436" s="2" t="s">
        <v>51</v>
      </c>
      <c r="M436" s="2" t="s">
        <v>115</v>
      </c>
      <c r="N436" s="2" t="s">
        <v>1248</v>
      </c>
      <c r="O436" s="2" t="s">
        <v>41</v>
      </c>
      <c r="P436" s="2" t="s">
        <v>53</v>
      </c>
      <c r="Q436" s="2" t="s">
        <v>1248</v>
      </c>
      <c r="R436" s="4">
        <v>46139.48101851852</v>
      </c>
      <c r="S436" s="4">
        <v>46139.572523148148</v>
      </c>
      <c r="T436" s="2" t="s">
        <v>1377</v>
      </c>
      <c r="U436" s="1" t="s">
        <v>59</v>
      </c>
      <c r="V436" s="1" t="s">
        <v>60</v>
      </c>
      <c r="W436" s="1" t="s">
        <v>1653</v>
      </c>
      <c r="X436" s="1" t="s">
        <v>1654</v>
      </c>
      <c r="Y436" s="1" t="s">
        <v>1380</v>
      </c>
      <c r="Z436" s="1" t="s">
        <v>1267</v>
      </c>
      <c r="AA436" s="1" t="s">
        <v>61</v>
      </c>
    </row>
    <row r="437" spans="1:27" ht="17.45" customHeight="1">
      <c r="A437" s="3" t="s">
        <v>471</v>
      </c>
      <c r="B437" s="3" t="s">
        <v>171</v>
      </c>
      <c r="C437">
        <v>1</v>
      </c>
      <c r="D437" s="3" t="s">
        <v>228</v>
      </c>
      <c r="E437" s="3" t="s">
        <v>1655</v>
      </c>
      <c r="F437" s="3" t="s">
        <v>1656</v>
      </c>
      <c r="G437" s="3" t="s">
        <v>32</v>
      </c>
      <c r="H437" s="3" t="s">
        <v>124</v>
      </c>
      <c r="I437" s="3" t="s">
        <v>124</v>
      </c>
      <c r="J437" s="3" t="s">
        <v>35</v>
      </c>
      <c r="K437" s="3" t="s">
        <v>36</v>
      </c>
      <c r="L437" s="3" t="s">
        <v>51</v>
      </c>
      <c r="M437" s="3" t="s">
        <v>115</v>
      </c>
      <c r="N437" s="3" t="s">
        <v>1248</v>
      </c>
      <c r="O437" s="3" t="s">
        <v>41</v>
      </c>
      <c r="P437" s="3" t="s">
        <v>53</v>
      </c>
      <c r="Q437" s="3" t="s">
        <v>1248</v>
      </c>
      <c r="R437" s="5">
        <v>46139.540162037039</v>
      </c>
      <c r="S437" s="5">
        <v>46149.754074074073</v>
      </c>
      <c r="T437" s="3" t="s">
        <v>1657</v>
      </c>
      <c r="U437" s="1" t="s">
        <v>569</v>
      </c>
      <c r="V437" s="1" t="s">
        <v>716</v>
      </c>
      <c r="W437" s="1" t="s">
        <v>1656</v>
      </c>
      <c r="X437" s="1" t="s">
        <v>1656</v>
      </c>
      <c r="Y437" s="1" t="s">
        <v>1658</v>
      </c>
      <c r="Z437" s="1" t="s">
        <v>1253</v>
      </c>
      <c r="AA437" s="1" t="s">
        <v>573</v>
      </c>
    </row>
    <row r="438" spans="1:27" ht="17.45" customHeight="1">
      <c r="A438" s="2" t="s">
        <v>1659</v>
      </c>
      <c r="B438" s="2" t="s">
        <v>28</v>
      </c>
      <c r="C438">
        <v>1</v>
      </c>
      <c r="D438" s="2" t="s">
        <v>121</v>
      </c>
      <c r="E438" s="2" t="s">
        <v>1660</v>
      </c>
      <c r="F438" s="2" t="s">
        <v>1376</v>
      </c>
      <c r="G438" s="2" t="s">
        <v>32</v>
      </c>
      <c r="H438" s="2" t="s">
        <v>124</v>
      </c>
      <c r="I438" s="2" t="s">
        <v>147</v>
      </c>
      <c r="J438" s="2" t="s">
        <v>35</v>
      </c>
      <c r="K438" s="2" t="s">
        <v>36</v>
      </c>
      <c r="L438" s="2" t="s">
        <v>51</v>
      </c>
      <c r="M438" s="2" t="s">
        <v>64</v>
      </c>
      <c r="N438" s="2" t="s">
        <v>1248</v>
      </c>
      <c r="O438" s="2" t="s">
        <v>41</v>
      </c>
      <c r="P438" s="2" t="s">
        <v>53</v>
      </c>
      <c r="Q438" s="2" t="s">
        <v>1248</v>
      </c>
      <c r="R438" s="4">
        <v>46139.550370370373</v>
      </c>
      <c r="S438" s="4">
        <v>46139.57130787037</v>
      </c>
      <c r="T438" s="2" t="s">
        <v>1377</v>
      </c>
      <c r="U438" s="1" t="s">
        <v>59</v>
      </c>
      <c r="V438" s="1" t="s">
        <v>60</v>
      </c>
      <c r="W438" s="1" t="s">
        <v>1378</v>
      </c>
      <c r="X438" s="1" t="s">
        <v>1379</v>
      </c>
      <c r="Y438" s="1" t="s">
        <v>1380</v>
      </c>
      <c r="Z438" s="1" t="s">
        <v>1267</v>
      </c>
      <c r="AA438" s="1" t="s">
        <v>61</v>
      </c>
    </row>
    <row r="439" spans="1:27" ht="17.45" customHeight="1">
      <c r="A439" s="3" t="s">
        <v>1661</v>
      </c>
      <c r="B439" s="3" t="s">
        <v>48</v>
      </c>
      <c r="C439">
        <v>1</v>
      </c>
      <c r="D439" s="3" t="s">
        <v>121</v>
      </c>
      <c r="E439" s="3" t="s">
        <v>1662</v>
      </c>
      <c r="F439" s="3" t="s">
        <v>1663</v>
      </c>
      <c r="G439" s="3" t="s">
        <v>32</v>
      </c>
      <c r="H439" s="3" t="s">
        <v>124</v>
      </c>
      <c r="I439" s="3" t="s">
        <v>157</v>
      </c>
      <c r="J439" s="3" t="s">
        <v>35</v>
      </c>
      <c r="K439" s="3" t="s">
        <v>36</v>
      </c>
      <c r="L439" s="3" t="s">
        <v>37</v>
      </c>
      <c r="M439" s="3" t="s">
        <v>52</v>
      </c>
      <c r="N439" s="3" t="s">
        <v>1248</v>
      </c>
      <c r="O439" s="3" t="s">
        <v>41</v>
      </c>
      <c r="P439" s="3" t="s">
        <v>58</v>
      </c>
      <c r="Q439" s="3" t="s">
        <v>1248</v>
      </c>
      <c r="R439" s="5">
        <v>46139.598587962966</v>
      </c>
      <c r="S439" s="5">
        <v>46141.316365740742</v>
      </c>
      <c r="T439" s="3" t="s">
        <v>1256</v>
      </c>
      <c r="U439" s="1" t="s">
        <v>115</v>
      </c>
      <c r="V439" s="1" t="s">
        <v>116</v>
      </c>
      <c r="W439" s="1" t="s">
        <v>1663</v>
      </c>
      <c r="X439" s="1" t="s">
        <v>1663</v>
      </c>
      <c r="Y439" s="1" t="s">
        <v>1257</v>
      </c>
      <c r="Z439" s="1" t="s">
        <v>1253</v>
      </c>
      <c r="AA439" s="1" t="s">
        <v>118</v>
      </c>
    </row>
    <row r="440" spans="1:27" ht="17.45" customHeight="1">
      <c r="A440" s="2" t="s">
        <v>204</v>
      </c>
      <c r="B440" s="2" t="s">
        <v>181</v>
      </c>
      <c r="C440">
        <v>1</v>
      </c>
      <c r="D440" s="2" t="s">
        <v>121</v>
      </c>
      <c r="E440" s="2" t="s">
        <v>1664</v>
      </c>
      <c r="F440" s="2" t="s">
        <v>1665</v>
      </c>
      <c r="G440" s="2" t="s">
        <v>32</v>
      </c>
      <c r="H440" s="2" t="s">
        <v>124</v>
      </c>
      <c r="I440" s="2" t="s">
        <v>33</v>
      </c>
      <c r="J440" s="2" t="s">
        <v>35</v>
      </c>
      <c r="K440" s="2" t="s">
        <v>36</v>
      </c>
      <c r="L440" s="2" t="s">
        <v>37</v>
      </c>
      <c r="M440" s="2" t="s">
        <v>52</v>
      </c>
      <c r="N440" s="2" t="s">
        <v>1248</v>
      </c>
      <c r="O440" s="2" t="s">
        <v>41</v>
      </c>
      <c r="P440" s="2" t="s">
        <v>40</v>
      </c>
      <c r="Q440" s="2" t="s">
        <v>1248</v>
      </c>
      <c r="R440" s="4">
        <v>46139.635949074072</v>
      </c>
      <c r="S440" s="4">
        <v>46141.383680555555</v>
      </c>
      <c r="T440" s="2" t="s">
        <v>1666</v>
      </c>
      <c r="U440" s="1" t="s">
        <v>65</v>
      </c>
      <c r="V440" s="1" t="s">
        <v>70</v>
      </c>
      <c r="W440" s="1" t="s">
        <v>1667</v>
      </c>
      <c r="X440" s="1" t="s">
        <v>1668</v>
      </c>
      <c r="Y440" s="1" t="s">
        <v>1669</v>
      </c>
      <c r="Z440" s="1" t="s">
        <v>1670</v>
      </c>
      <c r="AA440" s="1" t="s">
        <v>67</v>
      </c>
    </row>
    <row r="441" spans="1:27" ht="17.45" customHeight="1">
      <c r="A441" s="3" t="s">
        <v>204</v>
      </c>
      <c r="B441" s="3" t="s">
        <v>181</v>
      </c>
      <c r="C441">
        <v>1</v>
      </c>
      <c r="D441" s="3" t="s">
        <v>121</v>
      </c>
      <c r="E441" s="3" t="s">
        <v>1671</v>
      </c>
      <c r="F441" s="3" t="s">
        <v>1672</v>
      </c>
      <c r="G441" s="3" t="s">
        <v>32</v>
      </c>
      <c r="H441" s="3" t="s">
        <v>124</v>
      </c>
      <c r="I441" s="3" t="s">
        <v>33</v>
      </c>
      <c r="J441" s="3" t="s">
        <v>35</v>
      </c>
      <c r="K441" s="3" t="s">
        <v>36</v>
      </c>
      <c r="L441" s="3" t="s">
        <v>37</v>
      </c>
      <c r="M441" s="3" t="s">
        <v>52</v>
      </c>
      <c r="N441" s="3" t="s">
        <v>1248</v>
      </c>
      <c r="O441" s="3" t="s">
        <v>41</v>
      </c>
      <c r="P441" s="3" t="s">
        <v>40</v>
      </c>
      <c r="Q441" s="3" t="s">
        <v>1248</v>
      </c>
      <c r="R441" s="5">
        <v>46139.636203703703</v>
      </c>
      <c r="S441" s="5">
        <v>46141.384594907409</v>
      </c>
      <c r="T441" s="3" t="s">
        <v>1673</v>
      </c>
      <c r="U441" s="1" t="s">
        <v>65</v>
      </c>
      <c r="V441" s="1" t="s">
        <v>70</v>
      </c>
      <c r="W441" s="1" t="s">
        <v>1674</v>
      </c>
      <c r="X441" s="1" t="s">
        <v>1674</v>
      </c>
      <c r="Y441" s="1" t="s">
        <v>1675</v>
      </c>
      <c r="Z441" s="1" t="s">
        <v>1253</v>
      </c>
      <c r="AA441" s="1" t="s">
        <v>67</v>
      </c>
    </row>
    <row r="442" spans="1:27" ht="17.45" customHeight="1">
      <c r="A442" s="2" t="s">
        <v>619</v>
      </c>
      <c r="B442" s="2" t="s">
        <v>28</v>
      </c>
      <c r="C442">
        <v>1</v>
      </c>
      <c r="D442" s="2" t="s">
        <v>121</v>
      </c>
      <c r="E442" s="2" t="s">
        <v>1676</v>
      </c>
      <c r="F442" s="2" t="s">
        <v>1247</v>
      </c>
      <c r="G442" s="2" t="s">
        <v>32</v>
      </c>
      <c r="H442" s="2" t="s">
        <v>124</v>
      </c>
      <c r="I442" s="2" t="s">
        <v>212</v>
      </c>
      <c r="J442" s="2" t="s">
        <v>35</v>
      </c>
      <c r="K442" s="2" t="s">
        <v>36</v>
      </c>
      <c r="L442" s="2" t="s">
        <v>37</v>
      </c>
      <c r="M442" s="2" t="s">
        <v>52</v>
      </c>
      <c r="N442" s="2" t="s">
        <v>1248</v>
      </c>
      <c r="O442" s="2" t="s">
        <v>41</v>
      </c>
      <c r="P442" s="2" t="s">
        <v>40</v>
      </c>
      <c r="Q442" s="2" t="s">
        <v>1248</v>
      </c>
      <c r="R442" s="4">
        <v>46139.69871527778</v>
      </c>
      <c r="S442" s="4">
        <v>46141.359525462962</v>
      </c>
      <c r="T442" s="2" t="s">
        <v>1677</v>
      </c>
      <c r="U442" s="1" t="s">
        <v>59</v>
      </c>
      <c r="V442" s="1" t="s">
        <v>60</v>
      </c>
      <c r="W442" s="1" t="s">
        <v>1250</v>
      </c>
      <c r="X442" s="1" t="s">
        <v>1251</v>
      </c>
      <c r="Y442" s="1" t="s">
        <v>1678</v>
      </c>
      <c r="Z442" s="1" t="s">
        <v>1253</v>
      </c>
      <c r="AA442" s="1" t="s">
        <v>61</v>
      </c>
    </row>
    <row r="443" spans="1:27" ht="17.45" customHeight="1">
      <c r="A443" s="3" t="s">
        <v>632</v>
      </c>
      <c r="B443" s="3" t="s">
        <v>28</v>
      </c>
      <c r="C443">
        <v>1</v>
      </c>
      <c r="D443" s="3" t="s">
        <v>121</v>
      </c>
      <c r="E443" s="3" t="s">
        <v>1679</v>
      </c>
      <c r="F443" s="3" t="s">
        <v>1247</v>
      </c>
      <c r="G443" s="3" t="s">
        <v>32</v>
      </c>
      <c r="H443" s="3" t="s">
        <v>124</v>
      </c>
      <c r="I443" s="3" t="s">
        <v>212</v>
      </c>
      <c r="J443" s="3" t="s">
        <v>35</v>
      </c>
      <c r="K443" s="3" t="s">
        <v>36</v>
      </c>
      <c r="L443" s="3" t="s">
        <v>37</v>
      </c>
      <c r="M443" s="3" t="s">
        <v>52</v>
      </c>
      <c r="N443" s="3" t="s">
        <v>1248</v>
      </c>
      <c r="O443" s="3" t="s">
        <v>41</v>
      </c>
      <c r="P443" s="3" t="s">
        <v>40</v>
      </c>
      <c r="Q443" s="3" t="s">
        <v>1248</v>
      </c>
      <c r="R443" s="5">
        <v>46139.698877314811</v>
      </c>
      <c r="S443" s="5">
        <v>46141.359895833331</v>
      </c>
      <c r="T443" s="3" t="s">
        <v>1249</v>
      </c>
      <c r="U443" s="1" t="s">
        <v>59</v>
      </c>
      <c r="V443" s="1" t="s">
        <v>60</v>
      </c>
      <c r="W443" s="1" t="s">
        <v>1250</v>
      </c>
      <c r="X443" s="1" t="s">
        <v>1251</v>
      </c>
      <c r="Y443" s="1" t="s">
        <v>1252</v>
      </c>
      <c r="Z443" s="1" t="s">
        <v>1253</v>
      </c>
      <c r="AA443" s="1" t="s">
        <v>61</v>
      </c>
    </row>
    <row r="444" spans="1:27" ht="17.45" customHeight="1">
      <c r="A444" s="2" t="s">
        <v>1680</v>
      </c>
      <c r="B444" s="2" t="s">
        <v>48</v>
      </c>
      <c r="C444">
        <v>1</v>
      </c>
      <c r="D444" s="2" t="s">
        <v>1273</v>
      </c>
      <c r="E444" s="2" t="s">
        <v>1681</v>
      </c>
      <c r="F444" s="2" t="s">
        <v>1682</v>
      </c>
      <c r="G444" s="2" t="s">
        <v>32</v>
      </c>
      <c r="H444" s="2" t="s">
        <v>1276</v>
      </c>
      <c r="I444" s="2" t="s">
        <v>1285</v>
      </c>
      <c r="J444" s="2" t="s">
        <v>35</v>
      </c>
      <c r="K444" s="2" t="s">
        <v>36</v>
      </c>
      <c r="L444" s="2" t="s">
        <v>51</v>
      </c>
      <c r="M444" s="2" t="s">
        <v>64</v>
      </c>
      <c r="N444" s="2" t="s">
        <v>1248</v>
      </c>
      <c r="O444" s="2" t="s">
        <v>41</v>
      </c>
      <c r="P444" s="2" t="s">
        <v>53</v>
      </c>
      <c r="Q444" s="2" t="s">
        <v>1248</v>
      </c>
      <c r="R444" s="4">
        <v>46141.396979166668</v>
      </c>
      <c r="S444" s="4">
        <v>46142.449456018519</v>
      </c>
      <c r="T444" s="2" t="s">
        <v>1683</v>
      </c>
      <c r="U444" s="1" t="s">
        <v>95</v>
      </c>
      <c r="V444" s="1" t="s">
        <v>96</v>
      </c>
      <c r="W444" s="1" t="s">
        <v>1684</v>
      </c>
      <c r="X444" s="1" t="s">
        <v>1685</v>
      </c>
      <c r="Y444" s="1" t="s">
        <v>1686</v>
      </c>
      <c r="Z444" s="1" t="s">
        <v>1267</v>
      </c>
      <c r="AA444" s="1" t="s">
        <v>98</v>
      </c>
    </row>
    <row r="445" spans="1:27" ht="17.45" customHeight="1">
      <c r="A445" s="3" t="s">
        <v>1687</v>
      </c>
      <c r="B445" s="3" t="s">
        <v>181</v>
      </c>
      <c r="C445">
        <v>1</v>
      </c>
      <c r="D445" s="3" t="s">
        <v>1273</v>
      </c>
      <c r="E445" s="3" t="s">
        <v>1688</v>
      </c>
      <c r="F445" s="3" t="s">
        <v>1689</v>
      </c>
      <c r="G445" s="3" t="s">
        <v>32</v>
      </c>
      <c r="H445" s="3" t="s">
        <v>1276</v>
      </c>
      <c r="I445" s="3" t="s">
        <v>1285</v>
      </c>
      <c r="J445" s="3" t="s">
        <v>35</v>
      </c>
      <c r="K445" s="3" t="s">
        <v>36</v>
      </c>
      <c r="L445" s="3" t="s">
        <v>51</v>
      </c>
      <c r="M445" s="3" t="s">
        <v>52</v>
      </c>
      <c r="N445" s="3" t="s">
        <v>1248</v>
      </c>
      <c r="O445" s="3" t="s">
        <v>41</v>
      </c>
      <c r="P445" s="3" t="s">
        <v>53</v>
      </c>
      <c r="Q445" s="3" t="s">
        <v>1248</v>
      </c>
      <c r="R445" s="5">
        <v>46141.548472222225</v>
      </c>
      <c r="S445" s="5">
        <v>46141.804351851853</v>
      </c>
      <c r="T445" s="3" t="s">
        <v>1690</v>
      </c>
      <c r="U445" s="1" t="s">
        <v>263</v>
      </c>
      <c r="V445" s="1" t="s">
        <v>264</v>
      </c>
      <c r="W445" s="1" t="s">
        <v>1689</v>
      </c>
      <c r="X445" s="1" t="s">
        <v>1689</v>
      </c>
      <c r="Y445" s="1" t="s">
        <v>1691</v>
      </c>
      <c r="Z445" s="1" t="s">
        <v>1253</v>
      </c>
      <c r="AA445" s="1" t="s">
        <v>265</v>
      </c>
    </row>
    <row r="446" spans="1:27" ht="17.45" customHeight="1">
      <c r="A446" s="2" t="s">
        <v>1692</v>
      </c>
      <c r="B446" s="2" t="s">
        <v>48</v>
      </c>
      <c r="C446">
        <v>1</v>
      </c>
      <c r="D446" s="2" t="s">
        <v>228</v>
      </c>
      <c r="E446" s="2" t="s">
        <v>1693</v>
      </c>
      <c r="F446" s="2" t="s">
        <v>1694</v>
      </c>
      <c r="G446" s="2" t="s">
        <v>32</v>
      </c>
      <c r="H446" s="2" t="s">
        <v>124</v>
      </c>
      <c r="I446" s="2" t="s">
        <v>124</v>
      </c>
      <c r="J446" s="2" t="s">
        <v>35</v>
      </c>
      <c r="K446" s="2" t="s">
        <v>36</v>
      </c>
      <c r="L446" s="2" t="s">
        <v>51</v>
      </c>
      <c r="M446" s="2" t="s">
        <v>64</v>
      </c>
      <c r="N446" s="2" t="s">
        <v>1248</v>
      </c>
      <c r="O446" s="2" t="s">
        <v>41</v>
      </c>
      <c r="P446" s="2" t="s">
        <v>53</v>
      </c>
      <c r="Q446" s="2" t="s">
        <v>1248</v>
      </c>
      <c r="R446" s="4">
        <v>46141.592870370368</v>
      </c>
      <c r="S446" s="4">
        <v>46149.814803240741</v>
      </c>
      <c r="T446" s="2" t="s">
        <v>1695</v>
      </c>
      <c r="U446" s="1" t="s">
        <v>263</v>
      </c>
      <c r="V446" s="1" t="s">
        <v>264</v>
      </c>
      <c r="W446" s="1" t="s">
        <v>1694</v>
      </c>
      <c r="X446" s="1" t="s">
        <v>1694</v>
      </c>
      <c r="Y446" s="1" t="s">
        <v>1696</v>
      </c>
      <c r="Z446" s="1" t="s">
        <v>1297</v>
      </c>
      <c r="AA446" s="1" t="s">
        <v>265</v>
      </c>
    </row>
    <row r="447" spans="1:27" ht="17.45" customHeight="1">
      <c r="A447" s="3" t="s">
        <v>1697</v>
      </c>
      <c r="B447" s="3" t="s">
        <v>28</v>
      </c>
      <c r="C447">
        <v>1</v>
      </c>
      <c r="D447" s="3" t="s">
        <v>228</v>
      </c>
      <c r="E447" s="3" t="s">
        <v>1698</v>
      </c>
      <c r="F447" s="3" t="s">
        <v>1699</v>
      </c>
      <c r="G447" s="3" t="s">
        <v>32</v>
      </c>
      <c r="H447" s="3" t="s">
        <v>124</v>
      </c>
      <c r="I447" s="3" t="s">
        <v>124</v>
      </c>
      <c r="J447" s="3" t="s">
        <v>35</v>
      </c>
      <c r="K447" s="3" t="s">
        <v>36</v>
      </c>
      <c r="L447" s="3" t="s">
        <v>37</v>
      </c>
      <c r="M447" s="3" t="s">
        <v>52</v>
      </c>
      <c r="N447" s="3" t="s">
        <v>1248</v>
      </c>
      <c r="O447" s="3" t="s">
        <v>41</v>
      </c>
      <c r="P447" s="3" t="s">
        <v>40</v>
      </c>
      <c r="Q447" s="3" t="s">
        <v>1248</v>
      </c>
      <c r="R447" s="5">
        <v>46141.596250000002</v>
      </c>
      <c r="S447" s="5">
        <v>46149.799143518518</v>
      </c>
      <c r="T447" s="3" t="s">
        <v>1700</v>
      </c>
      <c r="U447" s="1" t="s">
        <v>115</v>
      </c>
      <c r="V447" s="1" t="s">
        <v>116</v>
      </c>
      <c r="W447" s="1" t="s">
        <v>1699</v>
      </c>
      <c r="X447" s="1" t="s">
        <v>1699</v>
      </c>
      <c r="Y447" s="1" t="s">
        <v>1701</v>
      </c>
      <c r="Z447" s="1" t="s">
        <v>1253</v>
      </c>
      <c r="AA447" s="1" t="s">
        <v>118</v>
      </c>
    </row>
    <row r="448" spans="1:27" ht="17.45" customHeight="1">
      <c r="A448" s="2" t="s">
        <v>1692</v>
      </c>
      <c r="B448" s="2" t="s">
        <v>48</v>
      </c>
      <c r="C448">
        <v>1</v>
      </c>
      <c r="D448" s="2" t="s">
        <v>228</v>
      </c>
      <c r="E448" s="2" t="s">
        <v>1702</v>
      </c>
      <c r="F448" s="2" t="s">
        <v>1703</v>
      </c>
      <c r="G448" s="2" t="s">
        <v>32</v>
      </c>
      <c r="H448" s="2" t="s">
        <v>124</v>
      </c>
      <c r="I448" s="2" t="s">
        <v>124</v>
      </c>
      <c r="J448" s="2" t="s">
        <v>35</v>
      </c>
      <c r="K448" s="2" t="s">
        <v>36</v>
      </c>
      <c r="L448" s="2" t="s">
        <v>51</v>
      </c>
      <c r="M448" s="2" t="s">
        <v>64</v>
      </c>
      <c r="N448" s="2" t="s">
        <v>1248</v>
      </c>
      <c r="O448" s="2" t="s">
        <v>41</v>
      </c>
      <c r="P448" s="2" t="s">
        <v>53</v>
      </c>
      <c r="Q448" s="2" t="s">
        <v>1248</v>
      </c>
      <c r="R448" s="4">
        <v>46141.596250000002</v>
      </c>
      <c r="S448" s="4">
        <v>46149.814976851849</v>
      </c>
      <c r="T448" s="2" t="s">
        <v>1695</v>
      </c>
      <c r="U448" s="1" t="s">
        <v>263</v>
      </c>
      <c r="V448" s="1" t="s">
        <v>264</v>
      </c>
      <c r="W448" s="1" t="s">
        <v>1704</v>
      </c>
      <c r="X448" s="1" t="s">
        <v>1704</v>
      </c>
      <c r="Y448" s="1" t="s">
        <v>1696</v>
      </c>
      <c r="Z448" s="1" t="s">
        <v>1297</v>
      </c>
      <c r="AA448" s="1" t="s">
        <v>265</v>
      </c>
    </row>
    <row r="449" spans="1:27" ht="17.45" customHeight="1">
      <c r="A449" s="3" t="s">
        <v>1705</v>
      </c>
      <c r="B449" s="3" t="s">
        <v>48</v>
      </c>
      <c r="C449">
        <v>1</v>
      </c>
      <c r="D449" s="3" t="s">
        <v>228</v>
      </c>
      <c r="E449" s="3" t="s">
        <v>1706</v>
      </c>
      <c r="F449" s="3" t="s">
        <v>1707</v>
      </c>
      <c r="G449" s="3" t="s">
        <v>32</v>
      </c>
      <c r="H449" s="3" t="s">
        <v>124</v>
      </c>
      <c r="I449" s="3" t="s">
        <v>124</v>
      </c>
      <c r="J449" s="3" t="s">
        <v>35</v>
      </c>
      <c r="K449" s="3" t="s">
        <v>36</v>
      </c>
      <c r="L449" s="3" t="s">
        <v>51</v>
      </c>
      <c r="M449" s="3" t="s">
        <v>64</v>
      </c>
      <c r="N449" s="3" t="s">
        <v>1248</v>
      </c>
      <c r="O449" s="3" t="s">
        <v>41</v>
      </c>
      <c r="P449" s="3" t="s">
        <v>53</v>
      </c>
      <c r="Q449" s="3" t="s">
        <v>1248</v>
      </c>
      <c r="R449" s="5">
        <v>46141.618078703701</v>
      </c>
      <c r="S449" s="5">
        <v>46149.800787037035</v>
      </c>
      <c r="T449" s="3" t="s">
        <v>1708</v>
      </c>
      <c r="U449" s="1" t="s">
        <v>42</v>
      </c>
      <c r="V449" s="1" t="s">
        <v>105</v>
      </c>
      <c r="W449" s="1" t="s">
        <v>1709</v>
      </c>
      <c r="X449" s="1" t="s">
        <v>1710</v>
      </c>
      <c r="Y449" s="1" t="s">
        <v>1711</v>
      </c>
      <c r="Z449" s="1" t="s">
        <v>1253</v>
      </c>
      <c r="AA449" s="1" t="s">
        <v>46</v>
      </c>
    </row>
    <row r="450" spans="1:27" ht="17.45" customHeight="1">
      <c r="A450" s="2" t="s">
        <v>1712</v>
      </c>
      <c r="B450" s="2" t="s">
        <v>48</v>
      </c>
      <c r="C450">
        <v>1</v>
      </c>
      <c r="D450" s="2" t="s">
        <v>121</v>
      </c>
      <c r="E450" s="2" t="s">
        <v>1713</v>
      </c>
      <c r="F450" s="2" t="s">
        <v>1714</v>
      </c>
      <c r="G450" s="2" t="s">
        <v>32</v>
      </c>
      <c r="H450" s="2" t="s">
        <v>124</v>
      </c>
      <c r="I450" s="2" t="s">
        <v>125</v>
      </c>
      <c r="J450" s="2" t="s">
        <v>35</v>
      </c>
      <c r="K450" s="2" t="s">
        <v>36</v>
      </c>
      <c r="L450" s="2" t="s">
        <v>37</v>
      </c>
      <c r="M450" s="2" t="s">
        <v>52</v>
      </c>
      <c r="N450" s="2" t="s">
        <v>1248</v>
      </c>
      <c r="O450" s="2" t="s">
        <v>41</v>
      </c>
      <c r="P450" s="2" t="s">
        <v>58</v>
      </c>
      <c r="Q450" s="2" t="s">
        <v>1248</v>
      </c>
      <c r="R450" s="4">
        <v>46139.591597222221</v>
      </c>
      <c r="S450" s="4">
        <v>46141.319236111114</v>
      </c>
      <c r="T450" s="2" t="s">
        <v>1715</v>
      </c>
      <c r="U450" s="1" t="s">
        <v>788</v>
      </c>
      <c r="V450" s="1" t="s">
        <v>789</v>
      </c>
      <c r="W450" s="1" t="s">
        <v>1716</v>
      </c>
      <c r="X450" s="1" t="s">
        <v>1716</v>
      </c>
      <c r="Y450" s="1" t="s">
        <v>1717</v>
      </c>
      <c r="Z450" s="1" t="s">
        <v>1253</v>
      </c>
      <c r="AA450" s="1" t="s">
        <v>791</v>
      </c>
    </row>
    <row r="451" spans="1:27" ht="17.45" customHeight="1">
      <c r="A451" s="3" t="s">
        <v>342</v>
      </c>
      <c r="B451" s="3" t="s">
        <v>48</v>
      </c>
      <c r="C451">
        <v>1</v>
      </c>
      <c r="D451" s="3" t="s">
        <v>121</v>
      </c>
      <c r="E451" s="3" t="s">
        <v>1718</v>
      </c>
      <c r="F451" s="3" t="s">
        <v>1719</v>
      </c>
      <c r="G451" s="3" t="s">
        <v>32</v>
      </c>
      <c r="H451" s="3" t="s">
        <v>124</v>
      </c>
      <c r="I451" s="3" t="s">
        <v>147</v>
      </c>
      <c r="J451" s="3" t="s">
        <v>35</v>
      </c>
      <c r="K451" s="3" t="s">
        <v>36</v>
      </c>
      <c r="L451" s="3" t="s">
        <v>37</v>
      </c>
      <c r="M451" s="3" t="s">
        <v>52</v>
      </c>
      <c r="N451" s="3" t="s">
        <v>1248</v>
      </c>
      <c r="O451" s="3" t="s">
        <v>41</v>
      </c>
      <c r="P451" s="3" t="s">
        <v>58</v>
      </c>
      <c r="Q451" s="3" t="s">
        <v>1248</v>
      </c>
      <c r="R451" s="5">
        <v>46139.597372685188</v>
      </c>
      <c r="S451" s="5">
        <v>46141.316006944442</v>
      </c>
      <c r="T451" s="3" t="s">
        <v>1256</v>
      </c>
      <c r="U451" s="1" t="s">
        <v>115</v>
      </c>
      <c r="V451" s="1" t="s">
        <v>116</v>
      </c>
      <c r="W451" s="1" t="s">
        <v>1720</v>
      </c>
      <c r="X451" s="1" t="s">
        <v>1720</v>
      </c>
      <c r="Y451" s="1" t="s">
        <v>1257</v>
      </c>
      <c r="Z451" s="1" t="s">
        <v>1253</v>
      </c>
      <c r="AA451" s="1" t="s">
        <v>118</v>
      </c>
    </row>
    <row r="452" spans="1:27" ht="17.45" customHeight="1">
      <c r="A452" s="2" t="s">
        <v>991</v>
      </c>
      <c r="B452" s="2" t="s">
        <v>28</v>
      </c>
      <c r="C452">
        <v>1</v>
      </c>
      <c r="D452" s="2" t="s">
        <v>121</v>
      </c>
      <c r="E452" s="2" t="s">
        <v>1721</v>
      </c>
      <c r="F452" s="2" t="s">
        <v>1371</v>
      </c>
      <c r="G452" s="2" t="s">
        <v>32</v>
      </c>
      <c r="H452" s="2" t="s">
        <v>124</v>
      </c>
      <c r="I452" s="2" t="s">
        <v>192</v>
      </c>
      <c r="J452" s="2" t="s">
        <v>35</v>
      </c>
      <c r="K452" s="2" t="s">
        <v>36</v>
      </c>
      <c r="L452" s="2" t="s">
        <v>51</v>
      </c>
      <c r="M452" s="2" t="s">
        <v>64</v>
      </c>
      <c r="N452" s="2" t="s">
        <v>1248</v>
      </c>
      <c r="O452" s="2" t="s">
        <v>41</v>
      </c>
      <c r="P452" s="2" t="s">
        <v>53</v>
      </c>
      <c r="Q452" s="2" t="s">
        <v>1248</v>
      </c>
      <c r="R452" s="4">
        <v>46139.436412037037</v>
      </c>
      <c r="S452" s="4">
        <v>46141.338217592594</v>
      </c>
      <c r="T452" s="2" t="s">
        <v>1372</v>
      </c>
      <c r="U452" s="1" t="s">
        <v>83</v>
      </c>
      <c r="V452" s="1" t="s">
        <v>84</v>
      </c>
      <c r="W452" s="1" t="s">
        <v>1371</v>
      </c>
      <c r="X452" s="1" t="s">
        <v>1371</v>
      </c>
      <c r="Y452" s="1" t="s">
        <v>1373</v>
      </c>
      <c r="Z452" s="1" t="s">
        <v>1253</v>
      </c>
      <c r="AA452" s="1" t="s">
        <v>85</v>
      </c>
    </row>
    <row r="453" spans="1:27" ht="17.45" customHeight="1">
      <c r="A453" s="3" t="s">
        <v>1722</v>
      </c>
      <c r="B453" s="3" t="s">
        <v>171</v>
      </c>
      <c r="C453">
        <v>1</v>
      </c>
      <c r="D453" s="3" t="s">
        <v>1273</v>
      </c>
      <c r="E453" s="3" t="s">
        <v>1723</v>
      </c>
      <c r="F453" s="3" t="s">
        <v>1724</v>
      </c>
      <c r="G453" s="3" t="s">
        <v>32</v>
      </c>
      <c r="H453" s="3" t="s">
        <v>1276</v>
      </c>
      <c r="I453" s="3" t="s">
        <v>1285</v>
      </c>
      <c r="J453" s="3" t="s">
        <v>35</v>
      </c>
      <c r="K453" s="3" t="s">
        <v>36</v>
      </c>
      <c r="L453" s="3" t="s">
        <v>37</v>
      </c>
      <c r="M453" s="3" t="s">
        <v>52</v>
      </c>
      <c r="N453" s="3" t="s">
        <v>1248</v>
      </c>
      <c r="O453" s="3" t="s">
        <v>41</v>
      </c>
      <c r="P453" s="3" t="s">
        <v>40</v>
      </c>
      <c r="Q453" s="3" t="s">
        <v>1248</v>
      </c>
      <c r="R453" s="5">
        <v>46139.731134259258</v>
      </c>
      <c r="S453" s="5">
        <v>46140.538344907407</v>
      </c>
      <c r="T453" s="3" t="s">
        <v>1725</v>
      </c>
      <c r="U453" s="1" t="s">
        <v>83</v>
      </c>
      <c r="V453" s="1" t="s">
        <v>677</v>
      </c>
      <c r="W453" s="1" t="s">
        <v>1726</v>
      </c>
      <c r="X453" s="1" t="s">
        <v>1727</v>
      </c>
      <c r="Y453" s="1" t="s">
        <v>1728</v>
      </c>
      <c r="Z453" s="1" t="s">
        <v>1297</v>
      </c>
      <c r="AA453" s="1" t="s">
        <v>85</v>
      </c>
    </row>
    <row r="454" spans="1:27" ht="17.45" customHeight="1">
      <c r="A454" s="2" t="s">
        <v>1349</v>
      </c>
      <c r="B454" s="2" t="s">
        <v>120</v>
      </c>
      <c r="C454">
        <v>1</v>
      </c>
      <c r="D454" s="2" t="s">
        <v>1273</v>
      </c>
      <c r="E454" s="2" t="s">
        <v>1729</v>
      </c>
      <c r="F454" s="2" t="s">
        <v>1730</v>
      </c>
      <c r="G454" s="2" t="s">
        <v>32</v>
      </c>
      <c r="H454" s="2" t="s">
        <v>1276</v>
      </c>
      <c r="I454" s="2" t="s">
        <v>1292</v>
      </c>
      <c r="J454" s="2" t="s">
        <v>35</v>
      </c>
      <c r="K454" s="2" t="s">
        <v>36</v>
      </c>
      <c r="L454" s="2" t="s">
        <v>37</v>
      </c>
      <c r="M454" s="2" t="s">
        <v>64</v>
      </c>
      <c r="N454" s="2" t="s">
        <v>1248</v>
      </c>
      <c r="O454" s="2" t="s">
        <v>41</v>
      </c>
      <c r="P454" s="2" t="s">
        <v>53</v>
      </c>
      <c r="Q454" s="2" t="s">
        <v>1248</v>
      </c>
      <c r="R454" s="4">
        <v>46140.470648148148</v>
      </c>
      <c r="S454" s="4">
        <v>46142.440532407411</v>
      </c>
      <c r="T454" s="2" t="s">
        <v>1731</v>
      </c>
      <c r="U454" s="1" t="s">
        <v>42</v>
      </c>
      <c r="V454" s="1" t="s">
        <v>105</v>
      </c>
      <c r="W454" s="1" t="s">
        <v>1732</v>
      </c>
      <c r="X454" s="1" t="s">
        <v>1730</v>
      </c>
      <c r="Y454" s="1" t="s">
        <v>1733</v>
      </c>
      <c r="Z454" s="1" t="s">
        <v>1253</v>
      </c>
      <c r="AA454" s="1" t="s">
        <v>46</v>
      </c>
    </row>
    <row r="455" spans="1:27" ht="17.45" customHeight="1">
      <c r="A455" s="3" t="s">
        <v>1734</v>
      </c>
      <c r="B455" s="3" t="s">
        <v>48</v>
      </c>
      <c r="C455">
        <v>1</v>
      </c>
      <c r="D455" s="3" t="s">
        <v>1273</v>
      </c>
      <c r="E455" s="3" t="s">
        <v>1735</v>
      </c>
      <c r="F455" s="3" t="s">
        <v>1736</v>
      </c>
      <c r="G455" s="3" t="s">
        <v>32</v>
      </c>
      <c r="H455" s="3" t="s">
        <v>1276</v>
      </c>
      <c r="I455" s="3" t="s">
        <v>1285</v>
      </c>
      <c r="J455" s="3" t="s">
        <v>35</v>
      </c>
      <c r="K455" s="3" t="s">
        <v>36</v>
      </c>
      <c r="L455" s="3" t="s">
        <v>51</v>
      </c>
      <c r="M455" s="3" t="s">
        <v>115</v>
      </c>
      <c r="N455" s="3" t="s">
        <v>1248</v>
      </c>
      <c r="O455" s="3" t="s">
        <v>41</v>
      </c>
      <c r="P455" s="3" t="s">
        <v>53</v>
      </c>
      <c r="Q455" s="3" t="s">
        <v>1248</v>
      </c>
      <c r="R455" s="5">
        <v>46140.471493055556</v>
      </c>
      <c r="S455" s="5">
        <v>46140.595324074071</v>
      </c>
      <c r="T455" s="3" t="s">
        <v>1737</v>
      </c>
      <c r="U455" s="1" t="s">
        <v>83</v>
      </c>
      <c r="V455" s="1" t="s">
        <v>84</v>
      </c>
      <c r="W455" s="1" t="s">
        <v>1736</v>
      </c>
      <c r="X455" s="1" t="s">
        <v>1736</v>
      </c>
      <c r="Y455" s="1" t="s">
        <v>1738</v>
      </c>
      <c r="Z455" s="1" t="s">
        <v>1253</v>
      </c>
      <c r="AA455" s="1" t="s">
        <v>85</v>
      </c>
    </row>
    <row r="456" spans="1:27" ht="17.45" customHeight="1">
      <c r="A456" s="2" t="s">
        <v>758</v>
      </c>
      <c r="B456" s="2" t="s">
        <v>120</v>
      </c>
      <c r="C456">
        <v>1</v>
      </c>
      <c r="D456" s="2" t="s">
        <v>121</v>
      </c>
      <c r="E456" s="2" t="s">
        <v>1739</v>
      </c>
      <c r="F456" s="2" t="s">
        <v>1740</v>
      </c>
      <c r="G456" s="2" t="s">
        <v>32</v>
      </c>
      <c r="H456" s="2" t="s">
        <v>124</v>
      </c>
      <c r="I456" s="2" t="s">
        <v>761</v>
      </c>
      <c r="J456" s="2" t="s">
        <v>35</v>
      </c>
      <c r="K456" s="2" t="s">
        <v>36</v>
      </c>
      <c r="L456" s="2" t="s">
        <v>51</v>
      </c>
      <c r="M456" s="2" t="s">
        <v>115</v>
      </c>
      <c r="N456" s="2" t="s">
        <v>1248</v>
      </c>
      <c r="O456" s="2" t="s">
        <v>41</v>
      </c>
      <c r="P456" s="2" t="s">
        <v>53</v>
      </c>
      <c r="Q456" s="2" t="s">
        <v>1248</v>
      </c>
      <c r="R456" s="4">
        <v>46134.612638888888</v>
      </c>
      <c r="S456" s="4">
        <v>46139.568761574075</v>
      </c>
      <c r="T456" s="2" t="s">
        <v>1741</v>
      </c>
      <c r="U456" s="1" t="s">
        <v>263</v>
      </c>
      <c r="V456" s="1" t="s">
        <v>264</v>
      </c>
      <c r="W456" s="1" t="s">
        <v>1740</v>
      </c>
      <c r="X456" s="1" t="s">
        <v>1740</v>
      </c>
      <c r="Y456" s="1" t="s">
        <v>1742</v>
      </c>
      <c r="Z456" s="1" t="s">
        <v>1253</v>
      </c>
      <c r="AA456" s="1" t="s">
        <v>265</v>
      </c>
    </row>
    <row r="457" spans="1:27" ht="17.45" customHeight="1">
      <c r="A457" s="3" t="s">
        <v>762</v>
      </c>
      <c r="B457" s="3" t="s">
        <v>120</v>
      </c>
      <c r="C457">
        <v>1</v>
      </c>
      <c r="D457" s="3" t="s">
        <v>121</v>
      </c>
      <c r="E457" s="3" t="s">
        <v>1743</v>
      </c>
      <c r="F457" s="3" t="s">
        <v>1740</v>
      </c>
      <c r="G457" s="3" t="s">
        <v>32</v>
      </c>
      <c r="H457" s="3" t="s">
        <v>124</v>
      </c>
      <c r="I457" s="3" t="s">
        <v>761</v>
      </c>
      <c r="J457" s="3" t="s">
        <v>35</v>
      </c>
      <c r="K457" s="3" t="s">
        <v>36</v>
      </c>
      <c r="L457" s="3" t="s">
        <v>51</v>
      </c>
      <c r="M457" s="3" t="s">
        <v>115</v>
      </c>
      <c r="N457" s="3" t="s">
        <v>1248</v>
      </c>
      <c r="O457" s="3" t="s">
        <v>41</v>
      </c>
      <c r="P457" s="3" t="s">
        <v>53</v>
      </c>
      <c r="Q457" s="3" t="s">
        <v>1248</v>
      </c>
      <c r="R457" s="5">
        <v>46134.613043981481</v>
      </c>
      <c r="S457" s="5">
        <v>46139.568969907406</v>
      </c>
      <c r="T457" s="3" t="s">
        <v>1744</v>
      </c>
      <c r="U457" s="1" t="s">
        <v>263</v>
      </c>
      <c r="V457" s="1" t="s">
        <v>264</v>
      </c>
      <c r="W457" s="1" t="s">
        <v>1740</v>
      </c>
      <c r="X457" s="1" t="s">
        <v>1740</v>
      </c>
      <c r="Y457" s="1" t="s">
        <v>1745</v>
      </c>
      <c r="Z457" s="1" t="s">
        <v>1253</v>
      </c>
      <c r="AA457" s="1" t="s">
        <v>265</v>
      </c>
    </row>
    <row r="458" spans="1:27" ht="17.45" customHeight="1">
      <c r="A458" s="2" t="s">
        <v>1746</v>
      </c>
      <c r="B458" s="2" t="s">
        <v>28</v>
      </c>
      <c r="C458">
        <v>1</v>
      </c>
      <c r="D458" s="2" t="s">
        <v>1273</v>
      </c>
      <c r="E458" s="2" t="s">
        <v>1747</v>
      </c>
      <c r="F458" s="2" t="s">
        <v>1748</v>
      </c>
      <c r="G458" s="2" t="s">
        <v>32</v>
      </c>
      <c r="H458" s="2" t="s">
        <v>1276</v>
      </c>
      <c r="I458" s="2" t="s">
        <v>1285</v>
      </c>
      <c r="J458" s="2" t="s">
        <v>35</v>
      </c>
      <c r="K458" s="2" t="s">
        <v>36</v>
      </c>
      <c r="L458" s="2" t="s">
        <v>37</v>
      </c>
      <c r="M458" s="2" t="s">
        <v>38</v>
      </c>
      <c r="N458" s="2" t="s">
        <v>1248</v>
      </c>
      <c r="O458" s="2" t="s">
        <v>41</v>
      </c>
      <c r="P458" s="2" t="s">
        <v>40</v>
      </c>
      <c r="Q458" s="2" t="s">
        <v>1248</v>
      </c>
      <c r="R458" s="4">
        <v>46135.606400462966</v>
      </c>
      <c r="S458" s="4">
        <v>46136.457465277781</v>
      </c>
      <c r="T458" s="2" t="s">
        <v>1749</v>
      </c>
      <c r="U458" s="1" t="s">
        <v>788</v>
      </c>
      <c r="V458" s="1" t="s">
        <v>789</v>
      </c>
      <c r="W458" s="1" t="s">
        <v>1750</v>
      </c>
      <c r="X458" s="1" t="s">
        <v>1751</v>
      </c>
      <c r="Y458" s="1" t="s">
        <v>1752</v>
      </c>
      <c r="Z458" s="1" t="s">
        <v>1297</v>
      </c>
      <c r="AA458" s="1" t="s">
        <v>791</v>
      </c>
    </row>
    <row r="459" spans="1:27" ht="17.45" customHeight="1">
      <c r="A459" s="3" t="s">
        <v>1753</v>
      </c>
      <c r="B459" s="3" t="s">
        <v>120</v>
      </c>
      <c r="C459">
        <v>1</v>
      </c>
      <c r="D459" s="3" t="s">
        <v>1273</v>
      </c>
      <c r="E459" s="3" t="s">
        <v>1754</v>
      </c>
      <c r="F459" s="3" t="s">
        <v>1755</v>
      </c>
      <c r="G459" s="3" t="s">
        <v>32</v>
      </c>
      <c r="H459" s="3" t="s">
        <v>1276</v>
      </c>
      <c r="I459" s="3" t="s">
        <v>1292</v>
      </c>
      <c r="J459" s="3" t="s">
        <v>35</v>
      </c>
      <c r="K459" s="3" t="s">
        <v>36</v>
      </c>
      <c r="L459" s="3" t="s">
        <v>51</v>
      </c>
      <c r="M459" s="3" t="s">
        <v>64</v>
      </c>
      <c r="N459" s="3" t="s">
        <v>1248</v>
      </c>
      <c r="O459" s="3" t="s">
        <v>41</v>
      </c>
      <c r="P459" s="3" t="s">
        <v>53</v>
      </c>
      <c r="Q459" s="3" t="s">
        <v>1248</v>
      </c>
      <c r="R459" s="5">
        <v>46135.610601851855</v>
      </c>
      <c r="S459" s="5">
        <v>46135.732881944445</v>
      </c>
      <c r="T459" s="3" t="s">
        <v>1562</v>
      </c>
      <c r="U459" s="1" t="s">
        <v>59</v>
      </c>
      <c r="V459" s="1" t="s">
        <v>60</v>
      </c>
      <c r="W459" s="1" t="s">
        <v>1756</v>
      </c>
      <c r="X459" s="1" t="s">
        <v>1757</v>
      </c>
      <c r="Y459" s="1" t="s">
        <v>1565</v>
      </c>
      <c r="Z459" s="1" t="s">
        <v>1551</v>
      </c>
      <c r="AA459" s="1" t="s">
        <v>61</v>
      </c>
    </row>
    <row r="460" spans="1:27" ht="17.45" customHeight="1">
      <c r="A460" s="2" t="s">
        <v>1133</v>
      </c>
      <c r="B460" s="2" t="s">
        <v>48</v>
      </c>
      <c r="C460">
        <v>1</v>
      </c>
      <c r="D460" s="2" t="s">
        <v>228</v>
      </c>
      <c r="E460" s="2" t="s">
        <v>1758</v>
      </c>
      <c r="F460" s="2" t="s">
        <v>1759</v>
      </c>
      <c r="G460" s="2" t="s">
        <v>32</v>
      </c>
      <c r="H460" s="2" t="s">
        <v>124</v>
      </c>
      <c r="I460" s="2" t="s">
        <v>124</v>
      </c>
      <c r="J460" s="2" t="s">
        <v>35</v>
      </c>
      <c r="K460" s="2" t="s">
        <v>36</v>
      </c>
      <c r="L460" s="2" t="s">
        <v>51</v>
      </c>
      <c r="M460" s="2" t="s">
        <v>64</v>
      </c>
      <c r="N460" s="2" t="s">
        <v>1248</v>
      </c>
      <c r="O460" s="2" t="s">
        <v>41</v>
      </c>
      <c r="P460" s="2" t="s">
        <v>53</v>
      </c>
      <c r="Q460" s="2" t="s">
        <v>1248</v>
      </c>
      <c r="R460" s="4">
        <v>46135.724745370368</v>
      </c>
      <c r="S460" s="4">
        <v>46149.781539351854</v>
      </c>
      <c r="T460" s="2" t="s">
        <v>1760</v>
      </c>
      <c r="U460" s="1" t="s">
        <v>59</v>
      </c>
      <c r="V460" s="1" t="s">
        <v>60</v>
      </c>
      <c r="W460" s="1" t="s">
        <v>1761</v>
      </c>
      <c r="X460" s="1" t="s">
        <v>1762</v>
      </c>
      <c r="Y460" s="1" t="s">
        <v>1763</v>
      </c>
      <c r="Z460" s="1" t="s">
        <v>1764</v>
      </c>
      <c r="AA460" s="1" t="s">
        <v>61</v>
      </c>
    </row>
    <row r="461" spans="1:27" ht="17.45" customHeight="1">
      <c r="A461" s="3" t="s">
        <v>209</v>
      </c>
      <c r="B461" s="3" t="s">
        <v>48</v>
      </c>
      <c r="C461">
        <v>1</v>
      </c>
      <c r="D461" s="3" t="s">
        <v>121</v>
      </c>
      <c r="E461" s="3" t="s">
        <v>1765</v>
      </c>
      <c r="F461" s="3" t="s">
        <v>1766</v>
      </c>
      <c r="G461" s="3" t="s">
        <v>32</v>
      </c>
      <c r="H461" s="3" t="s">
        <v>124</v>
      </c>
      <c r="I461" s="3" t="s">
        <v>212</v>
      </c>
      <c r="J461" s="3" t="s">
        <v>35</v>
      </c>
      <c r="K461" s="3" t="s">
        <v>36</v>
      </c>
      <c r="L461" s="3" t="s">
        <v>37</v>
      </c>
      <c r="M461" s="3" t="s">
        <v>52</v>
      </c>
      <c r="N461" s="3" t="s">
        <v>1248</v>
      </c>
      <c r="O461" s="3" t="s">
        <v>41</v>
      </c>
      <c r="P461" s="3" t="s">
        <v>53</v>
      </c>
      <c r="Q461" s="3" t="s">
        <v>1248</v>
      </c>
      <c r="R461" s="5">
        <v>46140.549155092594</v>
      </c>
      <c r="S461" s="5">
        <v>46141.401678240742</v>
      </c>
      <c r="T461" s="3" t="s">
        <v>1270</v>
      </c>
      <c r="U461" s="1" t="s">
        <v>42</v>
      </c>
      <c r="V461" s="1" t="s">
        <v>43</v>
      </c>
      <c r="W461" s="1" t="s">
        <v>1766</v>
      </c>
      <c r="X461" s="1" t="s">
        <v>1766</v>
      </c>
      <c r="Y461" s="1" t="s">
        <v>1271</v>
      </c>
      <c r="Z461" s="1" t="s">
        <v>1253</v>
      </c>
      <c r="AA461" s="1" t="s">
        <v>46</v>
      </c>
    </row>
    <row r="462" spans="1:27" ht="17.45" customHeight="1">
      <c r="A462" s="2" t="s">
        <v>1474</v>
      </c>
      <c r="B462" s="2" t="s">
        <v>181</v>
      </c>
      <c r="C462">
        <v>1</v>
      </c>
      <c r="D462" s="2" t="s">
        <v>29</v>
      </c>
      <c r="E462" s="2" t="s">
        <v>1767</v>
      </c>
      <c r="F462" s="2" t="s">
        <v>1768</v>
      </c>
      <c r="G462" s="2" t="s">
        <v>32</v>
      </c>
      <c r="H462" s="2" t="s">
        <v>33</v>
      </c>
      <c r="I462" s="2" t="s">
        <v>34</v>
      </c>
      <c r="J462" s="2" t="s">
        <v>35</v>
      </c>
      <c r="K462" s="2" t="s">
        <v>36</v>
      </c>
      <c r="L462" s="2" t="s">
        <v>37</v>
      </c>
      <c r="M462" s="2" t="s">
        <v>52</v>
      </c>
      <c r="N462" s="2" t="s">
        <v>1248</v>
      </c>
      <c r="O462" s="2" t="s">
        <v>41</v>
      </c>
      <c r="P462" s="2" t="s">
        <v>40</v>
      </c>
      <c r="Q462" s="2" t="s">
        <v>1248</v>
      </c>
      <c r="R462" s="4">
        <v>46140.590509259258</v>
      </c>
      <c r="S462" s="4">
        <v>46142.661296296297</v>
      </c>
      <c r="T462" s="2" t="s">
        <v>1769</v>
      </c>
      <c r="U462" s="1" t="s">
        <v>59</v>
      </c>
      <c r="V462" s="1" t="s">
        <v>142</v>
      </c>
      <c r="W462" s="1" t="s">
        <v>1768</v>
      </c>
      <c r="X462" s="1" t="s">
        <v>1768</v>
      </c>
      <c r="Y462" s="1" t="s">
        <v>1770</v>
      </c>
      <c r="Z462" s="1" t="s">
        <v>1267</v>
      </c>
      <c r="AA462" s="1" t="s">
        <v>61</v>
      </c>
    </row>
    <row r="463" spans="1:27" ht="17.45" customHeight="1">
      <c r="A463" s="3" t="s">
        <v>1771</v>
      </c>
      <c r="B463" s="3" t="s">
        <v>171</v>
      </c>
      <c r="C463">
        <v>1</v>
      </c>
      <c r="D463" s="3" t="s">
        <v>29</v>
      </c>
      <c r="E463" s="3" t="s">
        <v>1772</v>
      </c>
      <c r="F463" s="3" t="s">
        <v>1773</v>
      </c>
      <c r="G463" s="3" t="s">
        <v>32</v>
      </c>
      <c r="H463" s="3" t="s">
        <v>33</v>
      </c>
      <c r="I463" s="3" t="s">
        <v>78</v>
      </c>
      <c r="J463" s="3" t="s">
        <v>35</v>
      </c>
      <c r="K463" s="3" t="s">
        <v>36</v>
      </c>
      <c r="L463" s="3" t="s">
        <v>37</v>
      </c>
      <c r="M463" s="3" t="s">
        <v>52</v>
      </c>
      <c r="N463" s="3" t="s">
        <v>1248</v>
      </c>
      <c r="O463" s="3" t="s">
        <v>41</v>
      </c>
      <c r="P463" s="3" t="s">
        <v>40</v>
      </c>
      <c r="Q463" s="3" t="s">
        <v>1248</v>
      </c>
      <c r="R463" s="5">
        <v>46140.594895833332</v>
      </c>
      <c r="S463" s="5">
        <v>46142.646655092591</v>
      </c>
      <c r="T463" s="3" t="s">
        <v>1774</v>
      </c>
      <c r="U463" s="1" t="s">
        <v>115</v>
      </c>
      <c r="V463" s="1" t="s">
        <v>116</v>
      </c>
      <c r="W463" s="1" t="s">
        <v>1773</v>
      </c>
      <c r="X463" s="1" t="s">
        <v>1773</v>
      </c>
      <c r="Y463" s="1" t="s">
        <v>1775</v>
      </c>
      <c r="Z463" s="1" t="s">
        <v>1297</v>
      </c>
      <c r="AA463" s="1" t="s">
        <v>118</v>
      </c>
    </row>
    <row r="464" spans="1:27" ht="17.45" customHeight="1">
      <c r="A464" s="2" t="s">
        <v>1692</v>
      </c>
      <c r="B464" s="2" t="s">
        <v>48</v>
      </c>
      <c r="C464">
        <v>1</v>
      </c>
      <c r="D464" s="2" t="s">
        <v>228</v>
      </c>
      <c r="E464" s="2" t="s">
        <v>1776</v>
      </c>
      <c r="F464" s="2" t="s">
        <v>1777</v>
      </c>
      <c r="G464" s="2" t="s">
        <v>32</v>
      </c>
      <c r="H464" s="2" t="s">
        <v>124</v>
      </c>
      <c r="I464" s="2" t="s">
        <v>124</v>
      </c>
      <c r="J464" s="2" t="s">
        <v>35</v>
      </c>
      <c r="K464" s="2" t="s">
        <v>36</v>
      </c>
      <c r="L464" s="2" t="s">
        <v>51</v>
      </c>
      <c r="M464" s="2" t="s">
        <v>64</v>
      </c>
      <c r="N464" s="2" t="s">
        <v>1248</v>
      </c>
      <c r="O464" s="2" t="s">
        <v>41</v>
      </c>
      <c r="P464" s="2" t="s">
        <v>53</v>
      </c>
      <c r="Q464" s="2" t="s">
        <v>1248</v>
      </c>
      <c r="R464" s="4">
        <v>46135.739525462966</v>
      </c>
      <c r="S464" s="4">
        <v>46141.666064814817</v>
      </c>
      <c r="T464" s="2" t="s">
        <v>1778</v>
      </c>
      <c r="U464" s="1" t="s">
        <v>59</v>
      </c>
      <c r="V464" s="1" t="s">
        <v>60</v>
      </c>
      <c r="W464" s="1" t="s">
        <v>1779</v>
      </c>
      <c r="X464" s="1" t="s">
        <v>1780</v>
      </c>
      <c r="Y464" s="1" t="s">
        <v>1781</v>
      </c>
      <c r="Z464" s="1" t="s">
        <v>1253</v>
      </c>
      <c r="AA464" s="1" t="s">
        <v>61</v>
      </c>
    </row>
    <row r="465" spans="1:27" ht="17.45" customHeight="1">
      <c r="A465" s="3" t="s">
        <v>1697</v>
      </c>
      <c r="B465" s="3" t="s">
        <v>28</v>
      </c>
      <c r="C465">
        <v>1</v>
      </c>
      <c r="D465" s="3" t="s">
        <v>228</v>
      </c>
      <c r="E465" s="3" t="s">
        <v>1782</v>
      </c>
      <c r="F465" s="3" t="s">
        <v>1783</v>
      </c>
      <c r="G465" s="3" t="s">
        <v>32</v>
      </c>
      <c r="H465" s="3" t="s">
        <v>124</v>
      </c>
      <c r="I465" s="3" t="s">
        <v>124</v>
      </c>
      <c r="J465" s="3" t="s">
        <v>35</v>
      </c>
      <c r="K465" s="3" t="s">
        <v>36</v>
      </c>
      <c r="L465" s="3" t="s">
        <v>37</v>
      </c>
      <c r="M465" s="3" t="s">
        <v>52</v>
      </c>
      <c r="N465" s="3" t="s">
        <v>1248</v>
      </c>
      <c r="O465" s="3" t="s">
        <v>41</v>
      </c>
      <c r="P465" s="3" t="s">
        <v>53</v>
      </c>
      <c r="Q465" s="3" t="s">
        <v>1248</v>
      </c>
      <c r="R465" s="5">
        <v>46136.636805555558</v>
      </c>
      <c r="S465" s="5">
        <v>46141.668275462966</v>
      </c>
      <c r="T465" s="3" t="s">
        <v>1784</v>
      </c>
      <c r="U465" s="1" t="s">
        <v>115</v>
      </c>
      <c r="V465" s="1" t="s">
        <v>116</v>
      </c>
      <c r="W465" s="1" t="s">
        <v>1783</v>
      </c>
      <c r="X465" s="1" t="s">
        <v>1783</v>
      </c>
      <c r="Y465" s="1" t="s">
        <v>1785</v>
      </c>
      <c r="Z465" s="1" t="s">
        <v>1253</v>
      </c>
      <c r="AA465" s="1" t="s">
        <v>118</v>
      </c>
    </row>
    <row r="466" spans="1:27" ht="17.45" customHeight="1">
      <c r="A466" s="2" t="s">
        <v>1786</v>
      </c>
      <c r="B466" s="2" t="s">
        <v>28</v>
      </c>
      <c r="C466">
        <v>1</v>
      </c>
      <c r="D466" s="2" t="s">
        <v>228</v>
      </c>
      <c r="E466" s="2" t="s">
        <v>1787</v>
      </c>
      <c r="F466" s="2" t="s">
        <v>1788</v>
      </c>
      <c r="G466" s="2" t="s">
        <v>32</v>
      </c>
      <c r="H466" s="2" t="s">
        <v>124</v>
      </c>
      <c r="I466" s="2" t="s">
        <v>124</v>
      </c>
      <c r="J466" s="2" t="s">
        <v>35</v>
      </c>
      <c r="K466" s="2" t="s">
        <v>36</v>
      </c>
      <c r="L466" s="2" t="s">
        <v>51</v>
      </c>
      <c r="M466" s="2" t="s">
        <v>52</v>
      </c>
      <c r="N466" s="2" t="s">
        <v>1248</v>
      </c>
      <c r="O466" s="2" t="s">
        <v>41</v>
      </c>
      <c r="P466" s="2" t="s">
        <v>53</v>
      </c>
      <c r="Q466" s="2" t="s">
        <v>1248</v>
      </c>
      <c r="R466" s="4">
        <v>46136.643113425926</v>
      </c>
      <c r="S466" s="4">
        <v>46149.788101851853</v>
      </c>
      <c r="T466" s="2" t="s">
        <v>1789</v>
      </c>
      <c r="U466" s="1" t="s">
        <v>42</v>
      </c>
      <c r="V466" s="1" t="s">
        <v>74</v>
      </c>
      <c r="W466" s="1" t="s">
        <v>1788</v>
      </c>
      <c r="X466" s="1" t="s">
        <v>1788</v>
      </c>
      <c r="Y466" s="1" t="s">
        <v>1790</v>
      </c>
      <c r="Z466" s="1" t="s">
        <v>1551</v>
      </c>
      <c r="AA466" s="1" t="s">
        <v>46</v>
      </c>
    </row>
    <row r="467" spans="1:27" ht="17.45" customHeight="1">
      <c r="A467" s="3" t="s">
        <v>257</v>
      </c>
      <c r="B467" s="3" t="s">
        <v>28</v>
      </c>
      <c r="C467">
        <v>1</v>
      </c>
      <c r="D467" s="3" t="s">
        <v>228</v>
      </c>
      <c r="E467" s="3" t="s">
        <v>1791</v>
      </c>
      <c r="F467" s="3" t="s">
        <v>1792</v>
      </c>
      <c r="G467" s="3" t="s">
        <v>32</v>
      </c>
      <c r="H467" s="3" t="s">
        <v>124</v>
      </c>
      <c r="I467" s="3" t="s">
        <v>124</v>
      </c>
      <c r="J467" s="3" t="s">
        <v>35</v>
      </c>
      <c r="K467" s="3" t="s">
        <v>36</v>
      </c>
      <c r="L467" s="3" t="s">
        <v>51</v>
      </c>
      <c r="M467" s="3" t="s">
        <v>52</v>
      </c>
      <c r="N467" s="3" t="s">
        <v>1248</v>
      </c>
      <c r="O467" s="3" t="s">
        <v>41</v>
      </c>
      <c r="P467" s="3" t="s">
        <v>53</v>
      </c>
      <c r="Q467" s="3" t="s">
        <v>1248</v>
      </c>
      <c r="R467" s="5">
        <v>46136.645381944443</v>
      </c>
      <c r="S467" s="5">
        <v>46149.788634259261</v>
      </c>
      <c r="T467" s="3" t="s">
        <v>1793</v>
      </c>
      <c r="U467" s="1" t="s">
        <v>59</v>
      </c>
      <c r="V467" s="1" t="s">
        <v>60</v>
      </c>
      <c r="W467" s="1" t="s">
        <v>1792</v>
      </c>
      <c r="X467" s="1" t="s">
        <v>1792</v>
      </c>
      <c r="Y467" s="1" t="s">
        <v>1794</v>
      </c>
      <c r="Z467" s="1" t="s">
        <v>1551</v>
      </c>
      <c r="AA467" s="1" t="s">
        <v>61</v>
      </c>
    </row>
    <row r="468" spans="1:27" ht="17.45" customHeight="1">
      <c r="A468" s="2" t="s">
        <v>1795</v>
      </c>
      <c r="B468" s="2" t="s">
        <v>28</v>
      </c>
      <c r="C468">
        <v>1</v>
      </c>
      <c r="D468" s="2" t="s">
        <v>121</v>
      </c>
      <c r="E468" s="2" t="s">
        <v>1796</v>
      </c>
      <c r="F468" s="2" t="s">
        <v>1376</v>
      </c>
      <c r="G468" s="2" t="s">
        <v>32</v>
      </c>
      <c r="H468" s="2" t="s">
        <v>124</v>
      </c>
      <c r="I468" s="2" t="s">
        <v>33</v>
      </c>
      <c r="J468" s="2" t="s">
        <v>35</v>
      </c>
      <c r="K468" s="2" t="s">
        <v>36</v>
      </c>
      <c r="L468" s="2" t="s">
        <v>51</v>
      </c>
      <c r="M468" s="2" t="s">
        <v>64</v>
      </c>
      <c r="N468" s="2" t="s">
        <v>1248</v>
      </c>
      <c r="O468" s="2" t="s">
        <v>41</v>
      </c>
      <c r="P468" s="2" t="s">
        <v>53</v>
      </c>
      <c r="Q468" s="2" t="s">
        <v>1248</v>
      </c>
      <c r="R468" s="4">
        <v>46139.546597222223</v>
      </c>
      <c r="S468" s="4">
        <v>46139.572800925926</v>
      </c>
      <c r="T468" s="2" t="s">
        <v>1377</v>
      </c>
      <c r="U468" s="1" t="s">
        <v>59</v>
      </c>
      <c r="V468" s="1" t="s">
        <v>60</v>
      </c>
      <c r="W468" s="1" t="s">
        <v>1378</v>
      </c>
      <c r="X468" s="1" t="s">
        <v>1379</v>
      </c>
      <c r="Y468" s="1" t="s">
        <v>1380</v>
      </c>
      <c r="Z468" s="1" t="s">
        <v>1267</v>
      </c>
      <c r="AA468" s="1" t="s">
        <v>61</v>
      </c>
    </row>
    <row r="469" spans="1:27" ht="17.45" customHeight="1">
      <c r="A469" s="3" t="s">
        <v>710</v>
      </c>
      <c r="B469" s="3" t="s">
        <v>28</v>
      </c>
      <c r="C469">
        <v>1</v>
      </c>
      <c r="D469" s="3" t="s">
        <v>121</v>
      </c>
      <c r="E469" s="3" t="s">
        <v>1797</v>
      </c>
      <c r="F469" s="3" t="s">
        <v>1376</v>
      </c>
      <c r="G469" s="3" t="s">
        <v>32</v>
      </c>
      <c r="H469" s="3" t="s">
        <v>124</v>
      </c>
      <c r="I469" s="3" t="s">
        <v>147</v>
      </c>
      <c r="J469" s="3" t="s">
        <v>35</v>
      </c>
      <c r="K469" s="3" t="s">
        <v>36</v>
      </c>
      <c r="L469" s="3" t="s">
        <v>51</v>
      </c>
      <c r="M469" s="3" t="s">
        <v>115</v>
      </c>
      <c r="N469" s="3" t="s">
        <v>1248</v>
      </c>
      <c r="O469" s="3" t="s">
        <v>41</v>
      </c>
      <c r="P469" s="3" t="s">
        <v>53</v>
      </c>
      <c r="Q469" s="3" t="s">
        <v>1248</v>
      </c>
      <c r="R469" s="5">
        <v>46139.548194444447</v>
      </c>
      <c r="S469" s="5">
        <v>46139.572974537034</v>
      </c>
      <c r="T469" s="3" t="s">
        <v>1377</v>
      </c>
      <c r="U469" s="1" t="s">
        <v>59</v>
      </c>
      <c r="V469" s="1" t="s">
        <v>60</v>
      </c>
      <c r="W469" s="1" t="s">
        <v>1378</v>
      </c>
      <c r="X469" s="1" t="s">
        <v>1379</v>
      </c>
      <c r="Y469" s="1" t="s">
        <v>1380</v>
      </c>
      <c r="Z469" s="1" t="s">
        <v>1267</v>
      </c>
      <c r="AA469" s="1" t="s">
        <v>61</v>
      </c>
    </row>
    <row r="470" spans="1:27" ht="17.45" customHeight="1">
      <c r="A470" s="2" t="s">
        <v>1798</v>
      </c>
      <c r="B470" s="2" t="s">
        <v>171</v>
      </c>
      <c r="C470">
        <v>1</v>
      </c>
      <c r="D470" s="2" t="s">
        <v>1273</v>
      </c>
      <c r="E470" s="2" t="s">
        <v>1799</v>
      </c>
      <c r="F470" s="2" t="s">
        <v>1800</v>
      </c>
      <c r="G470" s="2" t="s">
        <v>32</v>
      </c>
      <c r="H470" s="2" t="s">
        <v>1276</v>
      </c>
      <c r="I470" s="2" t="s">
        <v>1285</v>
      </c>
      <c r="J470" s="2" t="s">
        <v>35</v>
      </c>
      <c r="K470" s="2" t="s">
        <v>36</v>
      </c>
      <c r="L470" s="2" t="s">
        <v>37</v>
      </c>
      <c r="M470" s="2" t="s">
        <v>64</v>
      </c>
      <c r="N470" s="2" t="s">
        <v>1248</v>
      </c>
      <c r="O470" s="2" t="s">
        <v>41</v>
      </c>
      <c r="P470" s="2" t="s">
        <v>53</v>
      </c>
      <c r="Q470" s="2" t="s">
        <v>1248</v>
      </c>
      <c r="R470" s="4">
        <v>46140.638032407405</v>
      </c>
      <c r="S470" s="4">
        <v>46142.376481481479</v>
      </c>
      <c r="T470" s="2" t="s">
        <v>1801</v>
      </c>
      <c r="U470" s="1" t="s">
        <v>95</v>
      </c>
      <c r="V470" s="1" t="s">
        <v>96</v>
      </c>
      <c r="W470" s="1" t="s">
        <v>1800</v>
      </c>
      <c r="X470" s="1" t="s">
        <v>1800</v>
      </c>
      <c r="Y470" s="1" t="s">
        <v>1802</v>
      </c>
      <c r="Z470" s="1" t="s">
        <v>1253</v>
      </c>
      <c r="AA470" s="1" t="s">
        <v>98</v>
      </c>
    </row>
    <row r="471" spans="1:27" ht="17.45" customHeight="1">
      <c r="A471" s="3" t="s">
        <v>1803</v>
      </c>
      <c r="B471" s="3" t="s">
        <v>171</v>
      </c>
      <c r="C471">
        <v>1</v>
      </c>
      <c r="D471" s="3" t="s">
        <v>1273</v>
      </c>
      <c r="E471" s="3" t="s">
        <v>1804</v>
      </c>
      <c r="F471" s="3" t="s">
        <v>1805</v>
      </c>
      <c r="G471" s="3" t="s">
        <v>32</v>
      </c>
      <c r="H471" s="3" t="s">
        <v>1276</v>
      </c>
      <c r="I471" s="3" t="s">
        <v>1285</v>
      </c>
      <c r="J471" s="3" t="s">
        <v>35</v>
      </c>
      <c r="K471" s="3" t="s">
        <v>36</v>
      </c>
      <c r="L471" s="3" t="s">
        <v>37</v>
      </c>
      <c r="M471" s="3" t="s">
        <v>64</v>
      </c>
      <c r="N471" s="3" t="s">
        <v>1248</v>
      </c>
      <c r="O471" s="3" t="s">
        <v>41</v>
      </c>
      <c r="P471" s="3" t="s">
        <v>53</v>
      </c>
      <c r="Q471" s="3" t="s">
        <v>1248</v>
      </c>
      <c r="R471" s="5">
        <v>46140.641481481478</v>
      </c>
      <c r="S471" s="5">
        <v>46142.399074074077</v>
      </c>
      <c r="T471" s="3" t="s">
        <v>1806</v>
      </c>
      <c r="U471" s="1" t="s">
        <v>95</v>
      </c>
      <c r="V471" s="1" t="s">
        <v>96</v>
      </c>
      <c r="W471" s="1" t="s">
        <v>1805</v>
      </c>
      <c r="X471" s="1" t="s">
        <v>1805</v>
      </c>
      <c r="Y471" s="1" t="s">
        <v>1807</v>
      </c>
      <c r="Z471" s="1" t="s">
        <v>1253</v>
      </c>
      <c r="AA471" s="1" t="s">
        <v>98</v>
      </c>
    </row>
    <row r="472" spans="1:27" ht="17.45" customHeight="1">
      <c r="A472" s="2" t="s">
        <v>1808</v>
      </c>
      <c r="B472" s="2" t="s">
        <v>171</v>
      </c>
      <c r="C472">
        <v>1</v>
      </c>
      <c r="D472" s="2" t="s">
        <v>1273</v>
      </c>
      <c r="E472" s="2" t="s">
        <v>1809</v>
      </c>
      <c r="F472" s="2" t="s">
        <v>1810</v>
      </c>
      <c r="G472" s="2" t="s">
        <v>32</v>
      </c>
      <c r="H472" s="2" t="s">
        <v>1276</v>
      </c>
      <c r="I472" s="2" t="s">
        <v>1285</v>
      </c>
      <c r="J472" s="2" t="s">
        <v>35</v>
      </c>
      <c r="K472" s="2" t="s">
        <v>36</v>
      </c>
      <c r="L472" s="2" t="s">
        <v>37</v>
      </c>
      <c r="M472" s="2" t="s">
        <v>52</v>
      </c>
      <c r="N472" s="2" t="s">
        <v>1248</v>
      </c>
      <c r="O472" s="2" t="s">
        <v>41</v>
      </c>
      <c r="P472" s="2" t="s">
        <v>53</v>
      </c>
      <c r="Q472" s="2" t="s">
        <v>1248</v>
      </c>
      <c r="R472" s="4">
        <v>46140.642060185186</v>
      </c>
      <c r="S472" s="4">
        <v>46142.398148148146</v>
      </c>
      <c r="T472" s="2" t="s">
        <v>1811</v>
      </c>
      <c r="U472" s="1" t="s">
        <v>95</v>
      </c>
      <c r="V472" s="1" t="s">
        <v>1812</v>
      </c>
      <c r="W472" s="1" t="s">
        <v>1813</v>
      </c>
      <c r="X472" s="1" t="s">
        <v>1814</v>
      </c>
      <c r="Y472" s="1" t="s">
        <v>1815</v>
      </c>
      <c r="Z472" s="1" t="s">
        <v>1267</v>
      </c>
      <c r="AA472" s="1" t="s">
        <v>98</v>
      </c>
    </row>
    <row r="473" spans="1:27" ht="17.45" customHeight="1">
      <c r="A473" s="3" t="s">
        <v>1816</v>
      </c>
      <c r="B473" s="3" t="s">
        <v>171</v>
      </c>
      <c r="C473">
        <v>1</v>
      </c>
      <c r="D473" s="3" t="s">
        <v>1273</v>
      </c>
      <c r="E473" s="3" t="s">
        <v>1817</v>
      </c>
      <c r="F473" s="3" t="s">
        <v>1818</v>
      </c>
      <c r="G473" s="3" t="s">
        <v>32</v>
      </c>
      <c r="H473" s="3" t="s">
        <v>1276</v>
      </c>
      <c r="I473" s="3" t="s">
        <v>1277</v>
      </c>
      <c r="J473" s="3" t="s">
        <v>35</v>
      </c>
      <c r="K473" s="3" t="s">
        <v>36</v>
      </c>
      <c r="L473" s="3" t="s">
        <v>51</v>
      </c>
      <c r="M473" s="3" t="s">
        <v>52</v>
      </c>
      <c r="N473" s="3" t="s">
        <v>1248</v>
      </c>
      <c r="O473" s="3" t="s">
        <v>41</v>
      </c>
      <c r="P473" s="3" t="s">
        <v>53</v>
      </c>
      <c r="Q473" s="3" t="s">
        <v>1248</v>
      </c>
      <c r="R473" s="5">
        <v>46140.626157407409</v>
      </c>
      <c r="S473" s="5">
        <v>46140.761111111111</v>
      </c>
      <c r="T473" s="3" t="s">
        <v>1819</v>
      </c>
      <c r="U473" s="1" t="s">
        <v>177</v>
      </c>
      <c r="V473" s="1" t="s">
        <v>215</v>
      </c>
      <c r="W473" s="1" t="s">
        <v>1820</v>
      </c>
      <c r="X473" s="1" t="s">
        <v>1818</v>
      </c>
      <c r="Y473" s="1" t="s">
        <v>1821</v>
      </c>
      <c r="Z473" s="1" t="s">
        <v>1253</v>
      </c>
      <c r="AA473" s="1" t="s">
        <v>179</v>
      </c>
    </row>
    <row r="474" spans="1:27" ht="17.45" customHeight="1">
      <c r="A474" s="2" t="s">
        <v>357</v>
      </c>
      <c r="B474" s="2" t="s">
        <v>120</v>
      </c>
      <c r="C474">
        <v>1</v>
      </c>
      <c r="D474" s="2" t="s">
        <v>228</v>
      </c>
      <c r="E474" s="2" t="s">
        <v>1822</v>
      </c>
      <c r="F474" s="2" t="s">
        <v>1823</v>
      </c>
      <c r="G474" s="2" t="s">
        <v>32</v>
      </c>
      <c r="H474" s="2" t="s">
        <v>124</v>
      </c>
      <c r="I474" s="2" t="s">
        <v>124</v>
      </c>
      <c r="J474" s="2" t="s">
        <v>35</v>
      </c>
      <c r="K474" s="2" t="s">
        <v>36</v>
      </c>
      <c r="L474" s="2" t="s">
        <v>51</v>
      </c>
      <c r="M474" s="2" t="s">
        <v>115</v>
      </c>
      <c r="N474" s="2" t="s">
        <v>1248</v>
      </c>
      <c r="O474" s="2" t="s">
        <v>41</v>
      </c>
      <c r="P474" s="2" t="s">
        <v>53</v>
      </c>
      <c r="Q474" s="2" t="s">
        <v>1248</v>
      </c>
      <c r="R474" s="4">
        <v>46140.627500000002</v>
      </c>
      <c r="S474" s="4">
        <v>46149.797511574077</v>
      </c>
      <c r="T474" s="2" t="s">
        <v>1824</v>
      </c>
      <c r="U474" s="1" t="s">
        <v>788</v>
      </c>
      <c r="V474" s="1" t="s">
        <v>789</v>
      </c>
      <c r="W474" s="1" t="s">
        <v>1823</v>
      </c>
      <c r="X474" s="1" t="s">
        <v>1823</v>
      </c>
      <c r="Y474" s="1" t="s">
        <v>1825</v>
      </c>
      <c r="Z474" s="1" t="s">
        <v>1253</v>
      </c>
      <c r="AA474" s="1" t="s">
        <v>791</v>
      </c>
    </row>
    <row r="475" spans="1:27" ht="17.45" customHeight="1">
      <c r="A475" s="3" t="s">
        <v>1826</v>
      </c>
      <c r="B475" s="3" t="s">
        <v>171</v>
      </c>
      <c r="C475">
        <v>1</v>
      </c>
      <c r="D475" s="3" t="s">
        <v>1273</v>
      </c>
      <c r="E475" s="3" t="s">
        <v>1827</v>
      </c>
      <c r="F475" s="3" t="s">
        <v>1828</v>
      </c>
      <c r="G475" s="3" t="s">
        <v>32</v>
      </c>
      <c r="H475" s="3" t="s">
        <v>1276</v>
      </c>
      <c r="I475" s="3" t="s">
        <v>1277</v>
      </c>
      <c r="J475" s="3" t="s">
        <v>35</v>
      </c>
      <c r="K475" s="3" t="s">
        <v>36</v>
      </c>
      <c r="L475" s="3" t="s">
        <v>37</v>
      </c>
      <c r="M475" s="3" t="s">
        <v>64</v>
      </c>
      <c r="N475" s="3" t="s">
        <v>1248</v>
      </c>
      <c r="O475" s="3" t="s">
        <v>41</v>
      </c>
      <c r="P475" s="3" t="s">
        <v>40</v>
      </c>
      <c r="Q475" s="3" t="s">
        <v>1248</v>
      </c>
      <c r="R475" s="5">
        <v>46140.652916666666</v>
      </c>
      <c r="S475" s="5">
        <v>46140.774247685185</v>
      </c>
      <c r="T475" s="3" t="s">
        <v>1829</v>
      </c>
      <c r="U475" s="1" t="s">
        <v>95</v>
      </c>
      <c r="V475" s="1" t="s">
        <v>96</v>
      </c>
      <c r="W475" s="1" t="s">
        <v>1828</v>
      </c>
      <c r="X475" s="1" t="s">
        <v>1828</v>
      </c>
      <c r="Y475" s="1" t="s">
        <v>1830</v>
      </c>
      <c r="Z475" s="1" t="s">
        <v>1253</v>
      </c>
      <c r="AA475" s="1" t="s">
        <v>98</v>
      </c>
    </row>
    <row r="476" spans="1:27" ht="17.45" customHeight="1">
      <c r="A476" s="2" t="s">
        <v>1831</v>
      </c>
      <c r="B476" s="2" t="s">
        <v>181</v>
      </c>
      <c r="C476">
        <v>1</v>
      </c>
      <c r="D476" s="2" t="s">
        <v>1273</v>
      </c>
      <c r="E476" s="2" t="s">
        <v>1832</v>
      </c>
      <c r="F476" s="2" t="s">
        <v>1833</v>
      </c>
      <c r="G476" s="2" t="s">
        <v>32</v>
      </c>
      <c r="H476" s="2" t="s">
        <v>1276</v>
      </c>
      <c r="I476" s="2" t="s">
        <v>1285</v>
      </c>
      <c r="J476" s="2" t="s">
        <v>35</v>
      </c>
      <c r="K476" s="2" t="s">
        <v>36</v>
      </c>
      <c r="L476" s="2" t="s">
        <v>37</v>
      </c>
      <c r="M476" s="2" t="s">
        <v>64</v>
      </c>
      <c r="N476" s="2" t="s">
        <v>1248</v>
      </c>
      <c r="O476" s="2" t="s">
        <v>41</v>
      </c>
      <c r="P476" s="2" t="s">
        <v>53</v>
      </c>
      <c r="Q476" s="2" t="s">
        <v>1248</v>
      </c>
      <c r="R476" s="4">
        <v>46140.644016203703</v>
      </c>
      <c r="S476" s="4">
        <v>46142.435937499999</v>
      </c>
      <c r="T476" s="2" t="s">
        <v>1834</v>
      </c>
      <c r="U476" s="1" t="s">
        <v>95</v>
      </c>
      <c r="V476" s="1" t="s">
        <v>96</v>
      </c>
      <c r="W476" s="1" t="s">
        <v>1833</v>
      </c>
      <c r="X476" s="1" t="s">
        <v>1833</v>
      </c>
      <c r="Y476" s="1" t="s">
        <v>1835</v>
      </c>
      <c r="Z476" s="1" t="s">
        <v>1253</v>
      </c>
      <c r="AA476" s="1" t="s">
        <v>98</v>
      </c>
    </row>
    <row r="477" spans="1:27" ht="17.45" customHeight="1">
      <c r="A477" s="3" t="s">
        <v>1836</v>
      </c>
      <c r="B477" s="3" t="s">
        <v>181</v>
      </c>
      <c r="C477">
        <v>1</v>
      </c>
      <c r="D477" s="3" t="s">
        <v>228</v>
      </c>
      <c r="E477" s="3" t="s">
        <v>1837</v>
      </c>
      <c r="F477" s="3" t="s">
        <v>1838</v>
      </c>
      <c r="G477" s="3" t="s">
        <v>32</v>
      </c>
      <c r="H477" s="3" t="s">
        <v>124</v>
      </c>
      <c r="I477" s="3" t="s">
        <v>124</v>
      </c>
      <c r="J477" s="3" t="s">
        <v>35</v>
      </c>
      <c r="K477" s="3" t="s">
        <v>36</v>
      </c>
      <c r="L477" s="3" t="s">
        <v>37</v>
      </c>
      <c r="M477" s="3" t="s">
        <v>38</v>
      </c>
      <c r="N477" s="3" t="s">
        <v>1248</v>
      </c>
      <c r="O477" s="3" t="s">
        <v>41</v>
      </c>
      <c r="P477" s="3" t="s">
        <v>58</v>
      </c>
      <c r="Q477" s="3" t="s">
        <v>1248</v>
      </c>
      <c r="R477" s="5">
        <v>46140.702268518522</v>
      </c>
      <c r="S477" s="5">
        <v>46149.797881944447</v>
      </c>
      <c r="T477" s="3" t="s">
        <v>1839</v>
      </c>
      <c r="U477" s="1" t="s">
        <v>59</v>
      </c>
      <c r="V477" s="1" t="s">
        <v>60</v>
      </c>
      <c r="W477" s="1" t="s">
        <v>1838</v>
      </c>
      <c r="X477" s="1" t="s">
        <v>1838</v>
      </c>
      <c r="Y477" s="1" t="s">
        <v>1840</v>
      </c>
      <c r="Z477" s="1" t="s">
        <v>1253</v>
      </c>
      <c r="AA477" s="1" t="s">
        <v>61</v>
      </c>
    </row>
    <row r="478" spans="1:27" ht="17.45" customHeight="1">
      <c r="A478" s="2" t="s">
        <v>218</v>
      </c>
      <c r="B478" s="2" t="s">
        <v>48</v>
      </c>
      <c r="C478">
        <v>1</v>
      </c>
      <c r="D478" s="2" t="s">
        <v>121</v>
      </c>
      <c r="E478" s="2" t="s">
        <v>1841</v>
      </c>
      <c r="F478" s="2" t="s">
        <v>1842</v>
      </c>
      <c r="G478" s="2" t="s">
        <v>32</v>
      </c>
      <c r="H478" s="2" t="s">
        <v>124</v>
      </c>
      <c r="I478" s="2" t="s">
        <v>212</v>
      </c>
      <c r="J478" s="2" t="s">
        <v>35</v>
      </c>
      <c r="K478" s="2" t="s">
        <v>36</v>
      </c>
      <c r="L478" s="2" t="s">
        <v>37</v>
      </c>
      <c r="M478" s="2" t="s">
        <v>52</v>
      </c>
      <c r="N478" s="2" t="s">
        <v>1248</v>
      </c>
      <c r="O478" s="2" t="s">
        <v>41</v>
      </c>
      <c r="P478" s="2" t="s">
        <v>40</v>
      </c>
      <c r="Q478" s="2" t="s">
        <v>1248</v>
      </c>
      <c r="R478" s="4">
        <v>46140.748888888891</v>
      </c>
      <c r="S478" s="4">
        <v>46141.361030092594</v>
      </c>
      <c r="T478" s="2" t="s">
        <v>1249</v>
      </c>
      <c r="U478" s="1" t="s">
        <v>59</v>
      </c>
      <c r="V478" s="1" t="s">
        <v>60</v>
      </c>
      <c r="W478" s="1" t="s">
        <v>1842</v>
      </c>
      <c r="X478" s="1" t="s">
        <v>1842</v>
      </c>
      <c r="Y478" s="1" t="s">
        <v>1252</v>
      </c>
      <c r="Z478" s="1" t="s">
        <v>1253</v>
      </c>
      <c r="AA478" s="1" t="s">
        <v>61</v>
      </c>
    </row>
    <row r="479" spans="1:27" ht="17.45" customHeight="1">
      <c r="A479" s="3" t="s">
        <v>209</v>
      </c>
      <c r="B479" s="3" t="s">
        <v>48</v>
      </c>
      <c r="C479">
        <v>1</v>
      </c>
      <c r="D479" s="3" t="s">
        <v>121</v>
      </c>
      <c r="E479" s="3" t="s">
        <v>1843</v>
      </c>
      <c r="F479" s="3" t="s">
        <v>1844</v>
      </c>
      <c r="G479" s="3" t="s">
        <v>32</v>
      </c>
      <c r="H479" s="3" t="s">
        <v>124</v>
      </c>
      <c r="I479" s="3" t="s">
        <v>212</v>
      </c>
      <c r="J479" s="3" t="s">
        <v>35</v>
      </c>
      <c r="K479" s="3" t="s">
        <v>36</v>
      </c>
      <c r="L479" s="3" t="s">
        <v>37</v>
      </c>
      <c r="M479" s="3" t="s">
        <v>52</v>
      </c>
      <c r="N479" s="3" t="s">
        <v>1248</v>
      </c>
      <c r="O479" s="3" t="s">
        <v>41</v>
      </c>
      <c r="P479" s="3" t="s">
        <v>40</v>
      </c>
      <c r="Q479" s="3" t="s">
        <v>1248</v>
      </c>
      <c r="R479" s="5">
        <v>46140.749537037038</v>
      </c>
      <c r="S479" s="5">
        <v>46141.360856481479</v>
      </c>
      <c r="T479" s="3" t="s">
        <v>1249</v>
      </c>
      <c r="U479" s="1" t="s">
        <v>59</v>
      </c>
      <c r="V479" s="1" t="s">
        <v>60</v>
      </c>
      <c r="W479" s="1" t="s">
        <v>1844</v>
      </c>
      <c r="X479" s="1" t="s">
        <v>1844</v>
      </c>
      <c r="Y479" s="1" t="s">
        <v>1252</v>
      </c>
      <c r="Z479" s="1" t="s">
        <v>1253</v>
      </c>
      <c r="AA479" s="1" t="s">
        <v>61</v>
      </c>
    </row>
    <row r="480" spans="1:27" ht="17.45" customHeight="1">
      <c r="A480" s="2" t="s">
        <v>1610</v>
      </c>
      <c r="B480" s="2" t="s">
        <v>181</v>
      </c>
      <c r="C480">
        <v>1</v>
      </c>
      <c r="D480" s="2" t="s">
        <v>1273</v>
      </c>
      <c r="E480" s="2" t="s">
        <v>1845</v>
      </c>
      <c r="F480" s="2" t="s">
        <v>1846</v>
      </c>
      <c r="G480" s="2" t="s">
        <v>32</v>
      </c>
      <c r="H480" s="2" t="s">
        <v>1276</v>
      </c>
      <c r="I480" s="2" t="s">
        <v>1285</v>
      </c>
      <c r="J480" s="2" t="s">
        <v>35</v>
      </c>
      <c r="K480" s="2" t="s">
        <v>36</v>
      </c>
      <c r="L480" s="2" t="s">
        <v>37</v>
      </c>
      <c r="M480" s="2" t="s">
        <v>52</v>
      </c>
      <c r="N480" s="2" t="s">
        <v>1248</v>
      </c>
      <c r="O480" s="2" t="s">
        <v>41</v>
      </c>
      <c r="P480" s="2" t="s">
        <v>53</v>
      </c>
      <c r="Q480" s="2" t="s">
        <v>1248</v>
      </c>
      <c r="R480" s="4">
        <v>46141.394745370373</v>
      </c>
      <c r="S480" s="4">
        <v>46142.377962962964</v>
      </c>
      <c r="T480" s="2" t="s">
        <v>1847</v>
      </c>
      <c r="U480" s="1" t="s">
        <v>42</v>
      </c>
      <c r="V480" s="1" t="s">
        <v>105</v>
      </c>
      <c r="W480" s="1" t="s">
        <v>1846</v>
      </c>
      <c r="X480" s="1" t="s">
        <v>1846</v>
      </c>
      <c r="Y480" s="1" t="s">
        <v>1848</v>
      </c>
      <c r="Z480" s="1" t="s">
        <v>1267</v>
      </c>
      <c r="AA480" s="1" t="s">
        <v>46</v>
      </c>
    </row>
    <row r="481" spans="1:27" ht="17.45" customHeight="1">
      <c r="A481" s="3" t="s">
        <v>994</v>
      </c>
      <c r="B481" s="3" t="s">
        <v>181</v>
      </c>
      <c r="C481">
        <v>1</v>
      </c>
      <c r="D481" s="3" t="s">
        <v>228</v>
      </c>
      <c r="E481" s="3" t="s">
        <v>1849</v>
      </c>
      <c r="F481" s="3" t="s">
        <v>1850</v>
      </c>
      <c r="G481" s="3" t="s">
        <v>32</v>
      </c>
      <c r="H481" s="3" t="s">
        <v>124</v>
      </c>
      <c r="I481" s="3" t="s">
        <v>124</v>
      </c>
      <c r="J481" s="3" t="s">
        <v>35</v>
      </c>
      <c r="K481" s="3" t="s">
        <v>36</v>
      </c>
      <c r="L481" s="3" t="s">
        <v>37</v>
      </c>
      <c r="M481" s="3" t="s">
        <v>64</v>
      </c>
      <c r="N481" s="3" t="s">
        <v>1248</v>
      </c>
      <c r="O481" s="3" t="s">
        <v>41</v>
      </c>
      <c r="P481" s="3" t="s">
        <v>40</v>
      </c>
      <c r="Q481" s="3" t="s">
        <v>1248</v>
      </c>
      <c r="R481" s="5">
        <v>46141.444675925923</v>
      </c>
      <c r="S481" s="5">
        <v>46149.80972222222</v>
      </c>
      <c r="T481" s="3" t="s">
        <v>1851</v>
      </c>
      <c r="U481" s="1" t="s">
        <v>283</v>
      </c>
      <c r="V481" s="1" t="s">
        <v>293</v>
      </c>
      <c r="W481" s="1" t="s">
        <v>1852</v>
      </c>
      <c r="X481" s="1" t="s">
        <v>1852</v>
      </c>
      <c r="Y481" s="1" t="s">
        <v>1853</v>
      </c>
      <c r="Z481" s="1" t="s">
        <v>1253</v>
      </c>
      <c r="AA481" s="1" t="s">
        <v>285</v>
      </c>
    </row>
    <row r="482" spans="1:27" ht="17.45" customHeight="1">
      <c r="A482" s="2" t="s">
        <v>1687</v>
      </c>
      <c r="B482" s="2" t="s">
        <v>181</v>
      </c>
      <c r="C482">
        <v>1</v>
      </c>
      <c r="D482" s="2" t="s">
        <v>1273</v>
      </c>
      <c r="E482" s="2" t="s">
        <v>1854</v>
      </c>
      <c r="F482" s="2" t="s">
        <v>1855</v>
      </c>
      <c r="G482" s="2" t="s">
        <v>32</v>
      </c>
      <c r="H482" s="2" t="s">
        <v>1276</v>
      </c>
      <c r="I482" s="2" t="s">
        <v>1285</v>
      </c>
      <c r="J482" s="2" t="s">
        <v>35</v>
      </c>
      <c r="K482" s="2" t="s">
        <v>36</v>
      </c>
      <c r="L482" s="2" t="s">
        <v>51</v>
      </c>
      <c r="M482" s="2" t="s">
        <v>52</v>
      </c>
      <c r="N482" s="2" t="s">
        <v>1248</v>
      </c>
      <c r="O482" s="2" t="s">
        <v>41</v>
      </c>
      <c r="P482" s="2" t="s">
        <v>53</v>
      </c>
      <c r="Q482" s="2" t="s">
        <v>1248</v>
      </c>
      <c r="R482" s="4">
        <v>46141.551076388889</v>
      </c>
      <c r="S482" s="4">
        <v>46142.374282407407</v>
      </c>
      <c r="T482" s="2" t="s">
        <v>1856</v>
      </c>
      <c r="U482" s="1" t="s">
        <v>165</v>
      </c>
      <c r="V482" s="1" t="s">
        <v>238</v>
      </c>
      <c r="W482" s="1" t="s">
        <v>1857</v>
      </c>
      <c r="X482" s="1" t="s">
        <v>1855</v>
      </c>
      <c r="Y482" s="1" t="s">
        <v>1858</v>
      </c>
      <c r="Z482" s="1" t="s">
        <v>1267</v>
      </c>
      <c r="AA482" s="1" t="s">
        <v>169</v>
      </c>
    </row>
    <row r="483" spans="1:27" ht="17.45" customHeight="1">
      <c r="A483" s="3" t="s">
        <v>717</v>
      </c>
      <c r="B483" s="3" t="s">
        <v>48</v>
      </c>
      <c r="C483">
        <v>1</v>
      </c>
      <c r="D483" s="3" t="s">
        <v>228</v>
      </c>
      <c r="E483" s="3" t="s">
        <v>1859</v>
      </c>
      <c r="F483" s="3" t="s">
        <v>1860</v>
      </c>
      <c r="G483" s="3" t="s">
        <v>32</v>
      </c>
      <c r="H483" s="3" t="s">
        <v>124</v>
      </c>
      <c r="I483" s="3" t="s">
        <v>124</v>
      </c>
      <c r="J483" s="3" t="s">
        <v>35</v>
      </c>
      <c r="K483" s="3" t="s">
        <v>36</v>
      </c>
      <c r="L483" s="3" t="s">
        <v>51</v>
      </c>
      <c r="M483" s="3" t="s">
        <v>115</v>
      </c>
      <c r="N483" s="3" t="s">
        <v>1248</v>
      </c>
      <c r="O483" s="3" t="s">
        <v>41</v>
      </c>
      <c r="P483" s="3" t="s">
        <v>53</v>
      </c>
      <c r="Q483" s="3" t="s">
        <v>1248</v>
      </c>
      <c r="R483" s="5">
        <v>46141.571875000001</v>
      </c>
      <c r="S483" s="5">
        <v>46149.806134259263</v>
      </c>
      <c r="T483" s="3" t="s">
        <v>1861</v>
      </c>
      <c r="U483" s="1" t="s">
        <v>95</v>
      </c>
      <c r="V483" s="1" t="s">
        <v>96</v>
      </c>
      <c r="W483" s="1" t="s">
        <v>1860</v>
      </c>
      <c r="X483" s="1" t="s">
        <v>1860</v>
      </c>
      <c r="Y483" s="1" t="s">
        <v>1862</v>
      </c>
      <c r="Z483" s="1" t="s">
        <v>1253</v>
      </c>
      <c r="AA483" s="1" t="s">
        <v>98</v>
      </c>
    </row>
    <row r="484" spans="1:27" ht="17.45" customHeight="1">
      <c r="A484" s="2" t="s">
        <v>1576</v>
      </c>
      <c r="B484" s="2" t="s">
        <v>181</v>
      </c>
      <c r="C484">
        <v>1</v>
      </c>
      <c r="D484" s="2" t="s">
        <v>1273</v>
      </c>
      <c r="E484" s="2" t="s">
        <v>1863</v>
      </c>
      <c r="F484" s="2" t="s">
        <v>1864</v>
      </c>
      <c r="G484" s="2" t="s">
        <v>32</v>
      </c>
      <c r="H484" s="2" t="s">
        <v>1276</v>
      </c>
      <c r="I484" s="2" t="s">
        <v>1285</v>
      </c>
      <c r="J484" s="2" t="s">
        <v>35</v>
      </c>
      <c r="K484" s="2" t="s">
        <v>36</v>
      </c>
      <c r="L484" s="2" t="s">
        <v>37</v>
      </c>
      <c r="M484" s="2" t="s">
        <v>128</v>
      </c>
      <c r="N484" s="2" t="s">
        <v>1248</v>
      </c>
      <c r="O484" s="2" t="s">
        <v>41</v>
      </c>
      <c r="P484" s="2" t="s">
        <v>53</v>
      </c>
      <c r="Q484" s="2" t="s">
        <v>1248</v>
      </c>
      <c r="R484" s="4">
        <v>46141.581354166665</v>
      </c>
      <c r="S484" s="4">
        <v>46141.774745370371</v>
      </c>
      <c r="T484" s="2" t="s">
        <v>1865</v>
      </c>
      <c r="U484" s="1" t="s">
        <v>42</v>
      </c>
      <c r="V484" s="1" t="s">
        <v>74</v>
      </c>
      <c r="W484" s="1" t="s">
        <v>1864</v>
      </c>
      <c r="X484" s="1" t="s">
        <v>1864</v>
      </c>
      <c r="Y484" s="1" t="s">
        <v>1866</v>
      </c>
      <c r="Z484" s="1" t="s">
        <v>1267</v>
      </c>
      <c r="AA484" s="1" t="s">
        <v>46</v>
      </c>
    </row>
    <row r="485" spans="1:27" ht="17.45" customHeight="1">
      <c r="A485" s="3" t="s">
        <v>1133</v>
      </c>
      <c r="B485" s="3" t="s">
        <v>48</v>
      </c>
      <c r="C485">
        <v>1</v>
      </c>
      <c r="D485" s="3" t="s">
        <v>228</v>
      </c>
      <c r="E485" s="3" t="s">
        <v>1867</v>
      </c>
      <c r="F485" s="3" t="s">
        <v>1868</v>
      </c>
      <c r="G485" s="3" t="s">
        <v>32</v>
      </c>
      <c r="H485" s="3" t="s">
        <v>124</v>
      </c>
      <c r="I485" s="3" t="s">
        <v>124</v>
      </c>
      <c r="J485" s="3" t="s">
        <v>35</v>
      </c>
      <c r="K485" s="3" t="s">
        <v>36</v>
      </c>
      <c r="L485" s="3" t="s">
        <v>51</v>
      </c>
      <c r="M485" s="3" t="s">
        <v>115</v>
      </c>
      <c r="N485" s="3" t="s">
        <v>1248</v>
      </c>
      <c r="O485" s="3" t="s">
        <v>41</v>
      </c>
      <c r="P485" s="3" t="s">
        <v>53</v>
      </c>
      <c r="Q485" s="3" t="s">
        <v>1248</v>
      </c>
      <c r="R485" s="5">
        <v>46141.586215277777</v>
      </c>
      <c r="S485" s="5">
        <v>46149.814236111109</v>
      </c>
      <c r="T485" s="3" t="s">
        <v>1869</v>
      </c>
      <c r="U485" s="1" t="s">
        <v>42</v>
      </c>
      <c r="V485" s="1" t="s">
        <v>74</v>
      </c>
      <c r="W485" s="1" t="s">
        <v>1870</v>
      </c>
      <c r="X485" s="1" t="s">
        <v>1871</v>
      </c>
      <c r="Y485" s="1" t="s">
        <v>1872</v>
      </c>
      <c r="Z485" s="1" t="s">
        <v>1253</v>
      </c>
      <c r="AA485" s="1" t="s">
        <v>46</v>
      </c>
    </row>
    <row r="486" spans="1:27" ht="17.45" customHeight="1">
      <c r="A486" s="2" t="s">
        <v>1603</v>
      </c>
      <c r="B486" s="2" t="s">
        <v>48</v>
      </c>
      <c r="C486">
        <v>1</v>
      </c>
      <c r="D486" s="2" t="s">
        <v>228</v>
      </c>
      <c r="E486" s="2" t="s">
        <v>1873</v>
      </c>
      <c r="F486" s="2" t="s">
        <v>1874</v>
      </c>
      <c r="G486" s="2" t="s">
        <v>32</v>
      </c>
      <c r="H486" s="2" t="s">
        <v>124</v>
      </c>
      <c r="I486" s="2" t="s">
        <v>124</v>
      </c>
      <c r="J486" s="2" t="s">
        <v>35</v>
      </c>
      <c r="K486" s="2" t="s">
        <v>36</v>
      </c>
      <c r="L486" s="2" t="s">
        <v>306</v>
      </c>
      <c r="M486" s="2" t="s">
        <v>115</v>
      </c>
      <c r="N486" s="2" t="s">
        <v>1248</v>
      </c>
      <c r="O486" s="2" t="s">
        <v>41</v>
      </c>
      <c r="P486" s="2" t="s">
        <v>53</v>
      </c>
      <c r="Q486" s="2" t="s">
        <v>1248</v>
      </c>
      <c r="R486" s="4">
        <v>46141.635752314818</v>
      </c>
      <c r="S486" s="4">
        <v>46149.809386574074</v>
      </c>
      <c r="T486" s="2" t="s">
        <v>1875</v>
      </c>
      <c r="U486" s="1" t="s">
        <v>115</v>
      </c>
      <c r="V486" s="1" t="s">
        <v>116</v>
      </c>
      <c r="W486" s="1" t="s">
        <v>1876</v>
      </c>
      <c r="X486" s="1" t="s">
        <v>1874</v>
      </c>
      <c r="Y486" s="1" t="s">
        <v>1877</v>
      </c>
      <c r="Z486" s="1" t="s">
        <v>1253</v>
      </c>
      <c r="AA486" s="1" t="s">
        <v>118</v>
      </c>
    </row>
    <row r="487" spans="1:27" ht="17.45" customHeight="1">
      <c r="A487" s="3" t="s">
        <v>1878</v>
      </c>
      <c r="B487" s="3" t="s">
        <v>48</v>
      </c>
      <c r="C487">
        <v>1</v>
      </c>
      <c r="D487" s="3" t="s">
        <v>1273</v>
      </c>
      <c r="E487" s="3" t="s">
        <v>1879</v>
      </c>
      <c r="F487" s="3" t="s">
        <v>1880</v>
      </c>
      <c r="G487" s="3" t="s">
        <v>32</v>
      </c>
      <c r="H487" s="3" t="s">
        <v>1276</v>
      </c>
      <c r="I487" s="3" t="s">
        <v>1285</v>
      </c>
      <c r="J487" s="3" t="s">
        <v>35</v>
      </c>
      <c r="K487" s="3" t="s">
        <v>36</v>
      </c>
      <c r="L487" s="3" t="s">
        <v>51</v>
      </c>
      <c r="M487" s="3" t="s">
        <v>64</v>
      </c>
      <c r="N487" s="3" t="s">
        <v>1248</v>
      </c>
      <c r="O487" s="3" t="s">
        <v>41</v>
      </c>
      <c r="P487" s="3" t="s">
        <v>53</v>
      </c>
      <c r="Q487" s="3" t="s">
        <v>1248</v>
      </c>
      <c r="R487" s="5">
        <v>46141.650891203702</v>
      </c>
      <c r="S487" s="5">
        <v>46142.535983796297</v>
      </c>
      <c r="T487" s="3" t="s">
        <v>1881</v>
      </c>
      <c r="U487" s="1" t="s">
        <v>59</v>
      </c>
      <c r="V487" s="1" t="s">
        <v>60</v>
      </c>
      <c r="W487" s="1" t="s">
        <v>1882</v>
      </c>
      <c r="X487" s="1" t="s">
        <v>1882</v>
      </c>
      <c r="Y487" s="1" t="s">
        <v>1883</v>
      </c>
      <c r="Z487" s="1" t="s">
        <v>1297</v>
      </c>
      <c r="AA487" s="1" t="s">
        <v>61</v>
      </c>
    </row>
    <row r="488" spans="1:27" ht="17.45" customHeight="1">
      <c r="A488" s="2" t="s">
        <v>1356</v>
      </c>
      <c r="B488" s="2" t="s">
        <v>28</v>
      </c>
      <c r="C488">
        <v>1</v>
      </c>
      <c r="D488" s="2" t="s">
        <v>1273</v>
      </c>
      <c r="E488" s="2" t="s">
        <v>1884</v>
      </c>
      <c r="F488" s="2" t="s">
        <v>1885</v>
      </c>
      <c r="G488" s="2" t="s">
        <v>32</v>
      </c>
      <c r="H488" s="2" t="s">
        <v>1276</v>
      </c>
      <c r="I488" s="2" t="s">
        <v>1277</v>
      </c>
      <c r="J488" s="2" t="s">
        <v>35</v>
      </c>
      <c r="K488" s="2" t="s">
        <v>36</v>
      </c>
      <c r="L488" s="2" t="s">
        <v>51</v>
      </c>
      <c r="M488" s="2" t="s">
        <v>64</v>
      </c>
      <c r="N488" s="2" t="s">
        <v>1248</v>
      </c>
      <c r="O488" s="2" t="s">
        <v>41</v>
      </c>
      <c r="P488" s="2" t="s">
        <v>53</v>
      </c>
      <c r="Q488" s="2" t="s">
        <v>1248</v>
      </c>
      <c r="R488" s="4">
        <v>46142.471921296295</v>
      </c>
      <c r="S488" s="4">
        <v>46142.532199074078</v>
      </c>
      <c r="T488" s="2" t="s">
        <v>1886</v>
      </c>
      <c r="U488" s="1" t="s">
        <v>165</v>
      </c>
      <c r="V488" s="1" t="s">
        <v>238</v>
      </c>
      <c r="W488" s="1" t="s">
        <v>1887</v>
      </c>
      <c r="X488" s="1" t="s">
        <v>1885</v>
      </c>
      <c r="Y488" s="1" t="s">
        <v>1888</v>
      </c>
      <c r="Z488" s="1" t="s">
        <v>1267</v>
      </c>
      <c r="AA488" s="1" t="s">
        <v>169</v>
      </c>
    </row>
    <row r="489" spans="1:27" ht="17.45" customHeight="1">
      <c r="A489" s="3" t="s">
        <v>1889</v>
      </c>
      <c r="B489" s="3" t="s">
        <v>120</v>
      </c>
      <c r="C489">
        <v>1</v>
      </c>
      <c r="D489" s="3" t="s">
        <v>121</v>
      </c>
      <c r="E489" s="3" t="s">
        <v>1890</v>
      </c>
      <c r="F489" s="3" t="s">
        <v>1891</v>
      </c>
      <c r="G489" s="3" t="s">
        <v>32</v>
      </c>
      <c r="H489" s="3" t="s">
        <v>124</v>
      </c>
      <c r="I489" s="3" t="s">
        <v>192</v>
      </c>
      <c r="J489" s="3" t="s">
        <v>35</v>
      </c>
      <c r="K489" s="3" t="s">
        <v>36</v>
      </c>
      <c r="L489" s="3" t="s">
        <v>37</v>
      </c>
      <c r="M489" s="3" t="s">
        <v>38</v>
      </c>
      <c r="N489" s="3" t="s">
        <v>1248</v>
      </c>
      <c r="O489" s="3" t="s">
        <v>41</v>
      </c>
      <c r="P489" s="3" t="s">
        <v>53</v>
      </c>
      <c r="Q489" s="3" t="s">
        <v>1248</v>
      </c>
      <c r="R489" s="5">
        <v>46134.604791666665</v>
      </c>
      <c r="S489" s="5">
        <v>46139.568171296298</v>
      </c>
      <c r="T489" s="3" t="s">
        <v>1334</v>
      </c>
      <c r="U489" s="1" t="s">
        <v>83</v>
      </c>
      <c r="V489" s="1" t="s">
        <v>84</v>
      </c>
      <c r="W489" s="1" t="s">
        <v>1891</v>
      </c>
      <c r="X489" s="1" t="s">
        <v>1891</v>
      </c>
      <c r="Y489" s="1" t="s">
        <v>1335</v>
      </c>
      <c r="Z489" s="1" t="s">
        <v>1253</v>
      </c>
      <c r="AA489" s="1" t="s">
        <v>85</v>
      </c>
    </row>
    <row r="490" spans="1:27" ht="17.45" customHeight="1">
      <c r="A490" s="2" t="s">
        <v>1892</v>
      </c>
      <c r="B490" s="2" t="s">
        <v>120</v>
      </c>
      <c r="C490">
        <v>1</v>
      </c>
      <c r="D490" s="2" t="s">
        <v>121</v>
      </c>
      <c r="E490" s="2" t="s">
        <v>1893</v>
      </c>
      <c r="F490" s="2" t="s">
        <v>1891</v>
      </c>
      <c r="G490" s="2" t="s">
        <v>32</v>
      </c>
      <c r="H490" s="2" t="s">
        <v>124</v>
      </c>
      <c r="I490" s="2" t="s">
        <v>192</v>
      </c>
      <c r="J490" s="2" t="s">
        <v>35</v>
      </c>
      <c r="K490" s="2" t="s">
        <v>36</v>
      </c>
      <c r="L490" s="2" t="s">
        <v>37</v>
      </c>
      <c r="M490" s="2" t="s">
        <v>38</v>
      </c>
      <c r="N490" s="2" t="s">
        <v>1248</v>
      </c>
      <c r="O490" s="2" t="s">
        <v>41</v>
      </c>
      <c r="P490" s="2" t="s">
        <v>53</v>
      </c>
      <c r="Q490" s="2" t="s">
        <v>1248</v>
      </c>
      <c r="R490" s="4">
        <v>46134.605081018519</v>
      </c>
      <c r="S490" s="4">
        <v>46139.567997685182</v>
      </c>
      <c r="T490" s="2" t="s">
        <v>1334</v>
      </c>
      <c r="U490" s="1" t="s">
        <v>83</v>
      </c>
      <c r="V490" s="1" t="s">
        <v>84</v>
      </c>
      <c r="W490" s="1" t="s">
        <v>1891</v>
      </c>
      <c r="X490" s="1" t="s">
        <v>1891</v>
      </c>
      <c r="Y490" s="1" t="s">
        <v>1335</v>
      </c>
      <c r="Z490" s="1" t="s">
        <v>1253</v>
      </c>
      <c r="AA490" s="1" t="s">
        <v>85</v>
      </c>
    </row>
    <row r="491" spans="1:27" ht="17.45" customHeight="1">
      <c r="A491" s="3" t="s">
        <v>1894</v>
      </c>
      <c r="B491" s="3" t="s">
        <v>48</v>
      </c>
      <c r="C491">
        <v>1</v>
      </c>
      <c r="D491" s="3" t="s">
        <v>1273</v>
      </c>
      <c r="E491" s="3" t="s">
        <v>1895</v>
      </c>
      <c r="F491" s="3" t="s">
        <v>1896</v>
      </c>
      <c r="G491" s="3" t="s">
        <v>32</v>
      </c>
      <c r="H491" s="3" t="s">
        <v>1276</v>
      </c>
      <c r="I491" s="3" t="s">
        <v>1285</v>
      </c>
      <c r="J491" s="3" t="s">
        <v>35</v>
      </c>
      <c r="K491" s="3" t="s">
        <v>36</v>
      </c>
      <c r="L491" s="3" t="s">
        <v>51</v>
      </c>
      <c r="M491" s="3" t="s">
        <v>64</v>
      </c>
      <c r="N491" s="3" t="s">
        <v>1248</v>
      </c>
      <c r="O491" s="3" t="s">
        <v>41</v>
      </c>
      <c r="P491" s="3" t="s">
        <v>53</v>
      </c>
      <c r="Q491" s="3" t="s">
        <v>1248</v>
      </c>
      <c r="R491" s="5">
        <v>46141.39880787037</v>
      </c>
      <c r="S491" s="5">
        <v>46142.447268518517</v>
      </c>
      <c r="T491" s="3" t="s">
        <v>1897</v>
      </c>
      <c r="U491" s="1" t="s">
        <v>95</v>
      </c>
      <c r="V491" s="1" t="s">
        <v>96</v>
      </c>
      <c r="W491" s="1" t="s">
        <v>1898</v>
      </c>
      <c r="X491" s="1" t="s">
        <v>1899</v>
      </c>
      <c r="Y491" s="1" t="s">
        <v>1900</v>
      </c>
      <c r="Z491" s="1" t="s">
        <v>1267</v>
      </c>
      <c r="AA491" s="1" t="s">
        <v>98</v>
      </c>
    </row>
    <row r="492" spans="1:27" ht="17.45" customHeight="1">
      <c r="A492" s="2" t="s">
        <v>1680</v>
      </c>
      <c r="B492" s="2" t="s">
        <v>48</v>
      </c>
      <c r="C492">
        <v>1</v>
      </c>
      <c r="D492" s="2" t="s">
        <v>1273</v>
      </c>
      <c r="E492" s="2" t="s">
        <v>1901</v>
      </c>
      <c r="F492" s="2" t="s">
        <v>1902</v>
      </c>
      <c r="G492" s="2" t="s">
        <v>32</v>
      </c>
      <c r="H492" s="2" t="s">
        <v>1276</v>
      </c>
      <c r="I492" s="2" t="s">
        <v>1285</v>
      </c>
      <c r="J492" s="2" t="s">
        <v>35</v>
      </c>
      <c r="K492" s="2" t="s">
        <v>36</v>
      </c>
      <c r="L492" s="2" t="s">
        <v>51</v>
      </c>
      <c r="M492" s="2" t="s">
        <v>64</v>
      </c>
      <c r="N492" s="2" t="s">
        <v>1248</v>
      </c>
      <c r="O492" s="2" t="s">
        <v>41</v>
      </c>
      <c r="P492" s="2" t="s">
        <v>53</v>
      </c>
      <c r="Q492" s="2" t="s">
        <v>1248</v>
      </c>
      <c r="R492" s="4">
        <v>46141.406423611108</v>
      </c>
      <c r="S492" s="4">
        <v>46142.452951388892</v>
      </c>
      <c r="T492" s="2" t="s">
        <v>1903</v>
      </c>
      <c r="U492" s="1" t="s">
        <v>42</v>
      </c>
      <c r="V492" s="1" t="s">
        <v>105</v>
      </c>
      <c r="W492" s="1" t="s">
        <v>1904</v>
      </c>
      <c r="X492" s="1" t="s">
        <v>1905</v>
      </c>
      <c r="Y492" s="1" t="s">
        <v>1906</v>
      </c>
      <c r="Z492" s="1" t="s">
        <v>1267</v>
      </c>
      <c r="AA492" s="1" t="s">
        <v>46</v>
      </c>
    </row>
    <row r="493" spans="1:27" ht="17.45" customHeight="1">
      <c r="A493" s="3" t="s">
        <v>1907</v>
      </c>
      <c r="B493" s="3" t="s">
        <v>181</v>
      </c>
      <c r="C493">
        <v>1</v>
      </c>
      <c r="D493" s="3" t="s">
        <v>1273</v>
      </c>
      <c r="E493" s="3" t="s">
        <v>1908</v>
      </c>
      <c r="F493" s="3" t="s">
        <v>1909</v>
      </c>
      <c r="G493" s="3" t="s">
        <v>32</v>
      </c>
      <c r="H493" s="3" t="s">
        <v>1276</v>
      </c>
      <c r="I493" s="3" t="s">
        <v>1277</v>
      </c>
      <c r="J493" s="3" t="s">
        <v>35</v>
      </c>
      <c r="K493" s="3" t="s">
        <v>36</v>
      </c>
      <c r="L493" s="3" t="s">
        <v>37</v>
      </c>
      <c r="M493" s="3" t="s">
        <v>52</v>
      </c>
      <c r="N493" s="3" t="s">
        <v>1248</v>
      </c>
      <c r="O493" s="3" t="s">
        <v>41</v>
      </c>
      <c r="P493" s="3" t="s">
        <v>53</v>
      </c>
      <c r="Q493" s="3" t="s">
        <v>1248</v>
      </c>
      <c r="R493" s="5">
        <v>46141.565104166664</v>
      </c>
      <c r="S493" s="5">
        <v>46142.370937500003</v>
      </c>
      <c r="T493" s="3" t="s">
        <v>1910</v>
      </c>
      <c r="U493" s="1" t="s">
        <v>177</v>
      </c>
      <c r="V493" s="1" t="s">
        <v>184</v>
      </c>
      <c r="W493" s="1" t="s">
        <v>1911</v>
      </c>
      <c r="X493" s="1" t="s">
        <v>1912</v>
      </c>
      <c r="Y493" s="1" t="s">
        <v>1913</v>
      </c>
      <c r="Z493" s="1" t="s">
        <v>1267</v>
      </c>
      <c r="AA493" s="1" t="s">
        <v>179</v>
      </c>
    </row>
    <row r="494" spans="1:27" ht="17.45" customHeight="1">
      <c r="A494" s="2" t="s">
        <v>1914</v>
      </c>
      <c r="B494" s="2" t="s">
        <v>181</v>
      </c>
      <c r="C494">
        <v>1</v>
      </c>
      <c r="D494" s="2" t="s">
        <v>1273</v>
      </c>
      <c r="E494" s="2" t="s">
        <v>1915</v>
      </c>
      <c r="F494" s="2" t="s">
        <v>1916</v>
      </c>
      <c r="G494" s="2" t="s">
        <v>32</v>
      </c>
      <c r="H494" s="2" t="s">
        <v>1276</v>
      </c>
      <c r="I494" s="2" t="s">
        <v>1277</v>
      </c>
      <c r="J494" s="2" t="s">
        <v>35</v>
      </c>
      <c r="K494" s="2" t="s">
        <v>36</v>
      </c>
      <c r="L494" s="2" t="s">
        <v>51</v>
      </c>
      <c r="M494" s="2" t="s">
        <v>52</v>
      </c>
      <c r="N494" s="2" t="s">
        <v>1248</v>
      </c>
      <c r="O494" s="2" t="s">
        <v>41</v>
      </c>
      <c r="P494" s="2" t="s">
        <v>53</v>
      </c>
      <c r="Q494" s="2" t="s">
        <v>1248</v>
      </c>
      <c r="R494" s="4">
        <v>46141.573761574073</v>
      </c>
      <c r="S494" s="4">
        <v>46141.779664351852</v>
      </c>
      <c r="T494" s="2" t="s">
        <v>1917</v>
      </c>
      <c r="U494" s="1" t="s">
        <v>177</v>
      </c>
      <c r="V494" s="1" t="s">
        <v>178</v>
      </c>
      <c r="W494" s="1" t="s">
        <v>1918</v>
      </c>
      <c r="X494" s="1" t="s">
        <v>1919</v>
      </c>
      <c r="Y494" s="1" t="s">
        <v>1920</v>
      </c>
      <c r="Z494" s="1" t="s">
        <v>1267</v>
      </c>
      <c r="AA494" s="1" t="s">
        <v>179</v>
      </c>
    </row>
    <row r="495" spans="1:27" ht="17.45" customHeight="1">
      <c r="A495" s="3" t="s">
        <v>1921</v>
      </c>
      <c r="B495" s="3" t="s">
        <v>48</v>
      </c>
      <c r="C495">
        <v>1</v>
      </c>
      <c r="D495" s="3" t="s">
        <v>1273</v>
      </c>
      <c r="E495" s="3" t="s">
        <v>1922</v>
      </c>
      <c r="F495" s="3" t="s">
        <v>1923</v>
      </c>
      <c r="G495" s="3" t="s">
        <v>32</v>
      </c>
      <c r="H495" s="3" t="s">
        <v>1276</v>
      </c>
      <c r="I495" s="3" t="s">
        <v>1285</v>
      </c>
      <c r="J495" s="3" t="s">
        <v>35</v>
      </c>
      <c r="K495" s="3" t="s">
        <v>36</v>
      </c>
      <c r="L495" s="3" t="s">
        <v>51</v>
      </c>
      <c r="M495" s="3" t="s">
        <v>64</v>
      </c>
      <c r="N495" s="3" t="s">
        <v>1248</v>
      </c>
      <c r="O495" s="3" t="s">
        <v>41</v>
      </c>
      <c r="P495" s="3" t="s">
        <v>53</v>
      </c>
      <c r="Q495" s="3" t="s">
        <v>1248</v>
      </c>
      <c r="R495" s="5">
        <v>46141.618449074071</v>
      </c>
      <c r="S495" s="5">
        <v>46142.528981481482</v>
      </c>
      <c r="T495" s="3" t="s">
        <v>1924</v>
      </c>
      <c r="U495" s="1" t="s">
        <v>59</v>
      </c>
      <c r="V495" s="1" t="s">
        <v>60</v>
      </c>
      <c r="W495" s="1" t="s">
        <v>1925</v>
      </c>
      <c r="X495" s="1" t="s">
        <v>1925</v>
      </c>
      <c r="Y495" s="1" t="s">
        <v>1926</v>
      </c>
      <c r="Z495" s="1" t="s">
        <v>1297</v>
      </c>
      <c r="AA495" s="1" t="s">
        <v>61</v>
      </c>
    </row>
    <row r="496" spans="1:27" ht="17.45" customHeight="1">
      <c r="A496" s="2" t="s">
        <v>717</v>
      </c>
      <c r="B496" s="2" t="s">
        <v>48</v>
      </c>
      <c r="C496">
        <v>1</v>
      </c>
      <c r="D496" s="2" t="s">
        <v>228</v>
      </c>
      <c r="E496" s="2" t="s">
        <v>1927</v>
      </c>
      <c r="F496" s="2" t="s">
        <v>1928</v>
      </c>
      <c r="G496" s="2" t="s">
        <v>32</v>
      </c>
      <c r="H496" s="2" t="s">
        <v>124</v>
      </c>
      <c r="I496" s="2" t="s">
        <v>124</v>
      </c>
      <c r="J496" s="2" t="s">
        <v>35</v>
      </c>
      <c r="K496" s="2" t="s">
        <v>36</v>
      </c>
      <c r="L496" s="2" t="s">
        <v>51</v>
      </c>
      <c r="M496" s="2" t="s">
        <v>64</v>
      </c>
      <c r="N496" s="2" t="s">
        <v>1248</v>
      </c>
      <c r="O496" s="2" t="s">
        <v>41</v>
      </c>
      <c r="P496" s="2" t="s">
        <v>53</v>
      </c>
      <c r="Q496" s="2" t="s">
        <v>1248</v>
      </c>
      <c r="R496" s="4">
        <v>46141.626030092593</v>
      </c>
      <c r="S496" s="4">
        <v>46149.806863425925</v>
      </c>
      <c r="T496" s="2" t="s">
        <v>1929</v>
      </c>
      <c r="U496" s="1" t="s">
        <v>42</v>
      </c>
      <c r="V496" s="1" t="s">
        <v>74</v>
      </c>
      <c r="W496" s="1" t="s">
        <v>1930</v>
      </c>
      <c r="X496" s="1" t="s">
        <v>1930</v>
      </c>
      <c r="Y496" s="1" t="s">
        <v>1931</v>
      </c>
      <c r="Z496" s="1" t="s">
        <v>1253</v>
      </c>
      <c r="AA496" s="1" t="s">
        <v>46</v>
      </c>
    </row>
    <row r="497" spans="1:27" ht="17.45" customHeight="1">
      <c r="A497" s="3" t="s">
        <v>713</v>
      </c>
      <c r="B497" s="3" t="s">
        <v>28</v>
      </c>
      <c r="C497">
        <v>1</v>
      </c>
      <c r="D497" s="3" t="s">
        <v>228</v>
      </c>
      <c r="E497" s="3" t="s">
        <v>1932</v>
      </c>
      <c r="F497" s="3" t="s">
        <v>1933</v>
      </c>
      <c r="G497" s="3" t="s">
        <v>32</v>
      </c>
      <c r="H497" s="3" t="s">
        <v>124</v>
      </c>
      <c r="I497" s="3" t="s">
        <v>124</v>
      </c>
      <c r="J497" s="3" t="s">
        <v>35</v>
      </c>
      <c r="K497" s="3" t="s">
        <v>36</v>
      </c>
      <c r="L497" s="3" t="s">
        <v>51</v>
      </c>
      <c r="M497" s="3" t="s">
        <v>64</v>
      </c>
      <c r="N497" s="3" t="s">
        <v>1248</v>
      </c>
      <c r="O497" s="3" t="s">
        <v>41</v>
      </c>
      <c r="P497" s="3" t="s">
        <v>40</v>
      </c>
      <c r="Q497" s="3" t="s">
        <v>1248</v>
      </c>
      <c r="R497" s="5">
        <v>46141.630324074074</v>
      </c>
      <c r="S497" s="5">
        <v>46149.81354166667</v>
      </c>
      <c r="T497" s="3" t="s">
        <v>1934</v>
      </c>
      <c r="U497" s="1" t="s">
        <v>42</v>
      </c>
      <c r="V497" s="1" t="s">
        <v>74</v>
      </c>
      <c r="W497" s="1" t="s">
        <v>1935</v>
      </c>
      <c r="X497" s="1" t="s">
        <v>1936</v>
      </c>
      <c r="Y497" s="1" t="s">
        <v>1937</v>
      </c>
      <c r="Z497" s="1" t="s">
        <v>1253</v>
      </c>
      <c r="AA497" s="1" t="s">
        <v>46</v>
      </c>
    </row>
    <row r="498" spans="1:27" ht="17.45" customHeight="1">
      <c r="A498" s="2" t="s">
        <v>233</v>
      </c>
      <c r="B498" s="2" t="s">
        <v>28</v>
      </c>
      <c r="C498">
        <v>1</v>
      </c>
      <c r="D498" s="2" t="s">
        <v>228</v>
      </c>
      <c r="E498" s="2" t="s">
        <v>1938</v>
      </c>
      <c r="F498" s="2" t="s">
        <v>1939</v>
      </c>
      <c r="G498" s="2" t="s">
        <v>32</v>
      </c>
      <c r="H498" s="2" t="s">
        <v>124</v>
      </c>
      <c r="I498" s="2" t="s">
        <v>124</v>
      </c>
      <c r="J498" s="2" t="s">
        <v>35</v>
      </c>
      <c r="K498" s="2" t="s">
        <v>36</v>
      </c>
      <c r="L498" s="2" t="s">
        <v>51</v>
      </c>
      <c r="M498" s="2" t="s">
        <v>64</v>
      </c>
      <c r="N498" s="2" t="s">
        <v>1248</v>
      </c>
      <c r="O498" s="2" t="s">
        <v>41</v>
      </c>
      <c r="P498" s="2" t="s">
        <v>53</v>
      </c>
      <c r="Q498" s="2" t="s">
        <v>1248</v>
      </c>
      <c r="R498" s="4">
        <v>46141.674895833334</v>
      </c>
      <c r="S498" s="4">
        <v>46149.80128472222</v>
      </c>
      <c r="T498" s="2" t="s">
        <v>1940</v>
      </c>
      <c r="U498" s="1" t="s">
        <v>283</v>
      </c>
      <c r="V498" s="1" t="s">
        <v>293</v>
      </c>
      <c r="W498" s="1" t="s">
        <v>1939</v>
      </c>
      <c r="X498" s="1" t="s">
        <v>1939</v>
      </c>
      <c r="Y498" s="1" t="s">
        <v>1941</v>
      </c>
      <c r="Z498" s="1" t="s">
        <v>1253</v>
      </c>
      <c r="AA498" s="1" t="s">
        <v>285</v>
      </c>
    </row>
    <row r="499" spans="1:27" ht="17.45" customHeight="1">
      <c r="A499" s="3" t="s">
        <v>1942</v>
      </c>
      <c r="B499" s="3" t="s">
        <v>48</v>
      </c>
      <c r="C499">
        <v>1</v>
      </c>
      <c r="D499" s="3" t="s">
        <v>1273</v>
      </c>
      <c r="E499" s="3" t="s">
        <v>1943</v>
      </c>
      <c r="F499" s="3" t="s">
        <v>1944</v>
      </c>
      <c r="G499" s="3" t="s">
        <v>32</v>
      </c>
      <c r="H499" s="3" t="s">
        <v>1276</v>
      </c>
      <c r="I499" s="3" t="s">
        <v>1285</v>
      </c>
      <c r="J499" s="3" t="s">
        <v>35</v>
      </c>
      <c r="K499" s="3" t="s">
        <v>36</v>
      </c>
      <c r="L499" s="3" t="s">
        <v>51</v>
      </c>
      <c r="M499" s="3" t="s">
        <v>52</v>
      </c>
      <c r="N499" s="3" t="s">
        <v>1248</v>
      </c>
      <c r="O499" s="3" t="s">
        <v>41</v>
      </c>
      <c r="P499" s="3" t="s">
        <v>53</v>
      </c>
      <c r="Q499" s="3" t="s">
        <v>1248</v>
      </c>
      <c r="R499" s="5">
        <v>46149.402905092589</v>
      </c>
      <c r="S499" s="5">
        <v>46149.473969907405</v>
      </c>
      <c r="T499" s="3" t="s">
        <v>1945</v>
      </c>
      <c r="U499" s="1" t="s">
        <v>165</v>
      </c>
      <c r="V499" s="1" t="s">
        <v>625</v>
      </c>
      <c r="W499" s="1" t="s">
        <v>1944</v>
      </c>
      <c r="X499" s="1" t="s">
        <v>1944</v>
      </c>
      <c r="Y499" s="1" t="s">
        <v>1946</v>
      </c>
      <c r="Z499" s="1" t="s">
        <v>1267</v>
      </c>
      <c r="AA499" s="1" t="s">
        <v>169</v>
      </c>
    </row>
    <row r="500" spans="1:27" ht="17.45" customHeight="1">
      <c r="A500" s="2" t="s">
        <v>1349</v>
      </c>
      <c r="B500" s="2" t="s">
        <v>120</v>
      </c>
      <c r="C500">
        <v>1</v>
      </c>
      <c r="D500" s="2" t="s">
        <v>1273</v>
      </c>
      <c r="E500" s="2" t="s">
        <v>1947</v>
      </c>
      <c r="F500" s="2" t="s">
        <v>1948</v>
      </c>
      <c r="G500" s="2" t="s">
        <v>32</v>
      </c>
      <c r="H500" s="2" t="s">
        <v>1276</v>
      </c>
      <c r="I500" s="2" t="s">
        <v>1292</v>
      </c>
      <c r="J500" s="2" t="s">
        <v>35</v>
      </c>
      <c r="K500" s="2" t="s">
        <v>36</v>
      </c>
      <c r="L500" s="2" t="s">
        <v>51</v>
      </c>
      <c r="M500" s="2" t="s">
        <v>64</v>
      </c>
      <c r="N500" s="2" t="s">
        <v>1248</v>
      </c>
      <c r="O500" s="2" t="s">
        <v>41</v>
      </c>
      <c r="P500" s="2" t="s">
        <v>53</v>
      </c>
      <c r="Q500" s="2" t="s">
        <v>1248</v>
      </c>
      <c r="R500" s="4">
        <v>46135.581828703704</v>
      </c>
      <c r="S500" s="4">
        <v>46135.731180555558</v>
      </c>
      <c r="T500" s="2" t="s">
        <v>1345</v>
      </c>
      <c r="U500" s="1" t="s">
        <v>59</v>
      </c>
      <c r="V500" s="1" t="s">
        <v>60</v>
      </c>
      <c r="W500" s="1" t="s">
        <v>1949</v>
      </c>
      <c r="X500" s="1" t="s">
        <v>1950</v>
      </c>
      <c r="Y500" s="1" t="s">
        <v>1348</v>
      </c>
      <c r="Z500" s="1" t="s">
        <v>1297</v>
      </c>
      <c r="AA500" s="1" t="s">
        <v>61</v>
      </c>
    </row>
    <row r="501" spans="1:27" ht="17.45" customHeight="1">
      <c r="A501" s="3" t="s">
        <v>1951</v>
      </c>
      <c r="B501" s="3" t="s">
        <v>181</v>
      </c>
      <c r="C501">
        <v>1</v>
      </c>
      <c r="D501" s="3" t="s">
        <v>1273</v>
      </c>
      <c r="E501" s="3" t="s">
        <v>1952</v>
      </c>
      <c r="F501" s="3" t="s">
        <v>1953</v>
      </c>
      <c r="G501" s="3" t="s">
        <v>32</v>
      </c>
      <c r="H501" s="3" t="s">
        <v>1276</v>
      </c>
      <c r="I501" s="3" t="s">
        <v>1292</v>
      </c>
      <c r="J501" s="3" t="s">
        <v>35</v>
      </c>
      <c r="K501" s="3" t="s">
        <v>36</v>
      </c>
      <c r="L501" s="3" t="s">
        <v>51</v>
      </c>
      <c r="M501" s="3" t="s">
        <v>38</v>
      </c>
      <c r="N501" s="3" t="s">
        <v>1248</v>
      </c>
      <c r="O501" s="3" t="s">
        <v>41</v>
      </c>
      <c r="P501" s="3" t="s">
        <v>53</v>
      </c>
      <c r="Q501" s="3" t="s">
        <v>1248</v>
      </c>
      <c r="R501" s="5">
        <v>46136.584039351852</v>
      </c>
      <c r="S501" s="5">
        <v>46136.657476851855</v>
      </c>
      <c r="T501" s="3" t="s">
        <v>1954</v>
      </c>
      <c r="U501" s="1" t="s">
        <v>272</v>
      </c>
      <c r="V501" s="1" t="s">
        <v>273</v>
      </c>
      <c r="W501" s="1" t="s">
        <v>1953</v>
      </c>
      <c r="X501" s="1" t="s">
        <v>1953</v>
      </c>
      <c r="Y501" s="1" t="s">
        <v>1955</v>
      </c>
      <c r="Z501" s="1" t="s">
        <v>1267</v>
      </c>
      <c r="AA501" s="1" t="s">
        <v>274</v>
      </c>
    </row>
    <row r="502" spans="1:27" ht="17.45" customHeight="1">
      <c r="A502" s="2" t="s">
        <v>227</v>
      </c>
      <c r="B502" s="2" t="s">
        <v>48</v>
      </c>
      <c r="C502">
        <v>1</v>
      </c>
      <c r="D502" s="2" t="s">
        <v>228</v>
      </c>
      <c r="E502" s="2" t="s">
        <v>1956</v>
      </c>
      <c r="F502" s="2" t="s">
        <v>1957</v>
      </c>
      <c r="G502" s="2" t="s">
        <v>32</v>
      </c>
      <c r="H502" s="2" t="s">
        <v>124</v>
      </c>
      <c r="I502" s="2" t="s">
        <v>124</v>
      </c>
      <c r="J502" s="2" t="s">
        <v>35</v>
      </c>
      <c r="K502" s="2" t="s">
        <v>36</v>
      </c>
      <c r="L502" s="2" t="s">
        <v>51</v>
      </c>
      <c r="M502" s="2" t="s">
        <v>64</v>
      </c>
      <c r="N502" s="2" t="s">
        <v>1248</v>
      </c>
      <c r="O502" s="2" t="s">
        <v>41</v>
      </c>
      <c r="P502" s="2" t="s">
        <v>53</v>
      </c>
      <c r="Q502" s="2" t="s">
        <v>1248</v>
      </c>
      <c r="R502" s="4">
        <v>46136.584490740737</v>
      </c>
      <c r="S502" s="4">
        <v>46149.753819444442</v>
      </c>
      <c r="T502" s="2" t="s">
        <v>1958</v>
      </c>
      <c r="U502" s="1" t="s">
        <v>59</v>
      </c>
      <c r="V502" s="1" t="s">
        <v>60</v>
      </c>
      <c r="W502" s="1" t="s">
        <v>1959</v>
      </c>
      <c r="X502" s="1" t="s">
        <v>1960</v>
      </c>
      <c r="Y502" s="1" t="s">
        <v>1961</v>
      </c>
      <c r="Z502" s="1" t="s">
        <v>1253</v>
      </c>
      <c r="AA502" s="1" t="s">
        <v>61</v>
      </c>
    </row>
    <row r="503" spans="1:27" ht="17.45" customHeight="1">
      <c r="A503" s="3" t="s">
        <v>1816</v>
      </c>
      <c r="B503" s="3" t="s">
        <v>171</v>
      </c>
      <c r="C503">
        <v>1</v>
      </c>
      <c r="D503" s="3" t="s">
        <v>1273</v>
      </c>
      <c r="E503" s="3" t="s">
        <v>1962</v>
      </c>
      <c r="F503" s="3" t="s">
        <v>1963</v>
      </c>
      <c r="G503" s="3" t="s">
        <v>32</v>
      </c>
      <c r="H503" s="3" t="s">
        <v>1276</v>
      </c>
      <c r="I503" s="3" t="s">
        <v>1277</v>
      </c>
      <c r="J503" s="3" t="s">
        <v>35</v>
      </c>
      <c r="K503" s="3" t="s">
        <v>36</v>
      </c>
      <c r="L503" s="3" t="s">
        <v>51</v>
      </c>
      <c r="M503" s="3" t="s">
        <v>64</v>
      </c>
      <c r="N503" s="3" t="s">
        <v>1248</v>
      </c>
      <c r="O503" s="3" t="s">
        <v>41</v>
      </c>
      <c r="P503" s="3" t="s">
        <v>53</v>
      </c>
      <c r="Q503" s="3" t="s">
        <v>1248</v>
      </c>
      <c r="R503" s="5">
        <v>46136.613819444443</v>
      </c>
      <c r="S503" s="5">
        <v>46136.621921296297</v>
      </c>
      <c r="T503" s="3" t="s">
        <v>1964</v>
      </c>
      <c r="U503" s="1" t="s">
        <v>177</v>
      </c>
      <c r="V503" s="1" t="s">
        <v>184</v>
      </c>
      <c r="W503" s="1" t="s">
        <v>1963</v>
      </c>
      <c r="X503" s="1" t="s">
        <v>1963</v>
      </c>
      <c r="Y503" s="1" t="s">
        <v>1965</v>
      </c>
      <c r="Z503" s="1" t="s">
        <v>1253</v>
      </c>
      <c r="AA503" s="1" t="s">
        <v>179</v>
      </c>
    </row>
    <row r="504" spans="1:27" ht="17.45" customHeight="1">
      <c r="A504" s="2" t="s">
        <v>1816</v>
      </c>
      <c r="B504" s="2" t="s">
        <v>171</v>
      </c>
      <c r="C504">
        <v>1</v>
      </c>
      <c r="D504" s="2" t="s">
        <v>1273</v>
      </c>
      <c r="E504" s="2" t="s">
        <v>1966</v>
      </c>
      <c r="F504" s="2" t="s">
        <v>1967</v>
      </c>
      <c r="G504" s="2" t="s">
        <v>32</v>
      </c>
      <c r="H504" s="2" t="s">
        <v>1276</v>
      </c>
      <c r="I504" s="2" t="s">
        <v>1277</v>
      </c>
      <c r="J504" s="2" t="s">
        <v>35</v>
      </c>
      <c r="K504" s="2" t="s">
        <v>36</v>
      </c>
      <c r="L504" s="2" t="s">
        <v>51</v>
      </c>
      <c r="M504" s="2" t="s">
        <v>64</v>
      </c>
      <c r="N504" s="2" t="s">
        <v>1248</v>
      </c>
      <c r="O504" s="2" t="s">
        <v>41</v>
      </c>
      <c r="P504" s="2" t="s">
        <v>53</v>
      </c>
      <c r="Q504" s="2" t="s">
        <v>1248</v>
      </c>
      <c r="R504" s="4">
        <v>46136.616030092591</v>
      </c>
      <c r="S504" s="4">
        <v>46136.627534722225</v>
      </c>
      <c r="T504" s="2" t="s">
        <v>1968</v>
      </c>
      <c r="U504" s="1" t="s">
        <v>65</v>
      </c>
      <c r="V504" s="1" t="s">
        <v>89</v>
      </c>
      <c r="W504" s="1" t="s">
        <v>1969</v>
      </c>
      <c r="X504" s="1" t="s">
        <v>1970</v>
      </c>
      <c r="Y504" s="1" t="s">
        <v>1971</v>
      </c>
      <c r="Z504" s="1" t="s">
        <v>1253</v>
      </c>
      <c r="AA504" s="1" t="s">
        <v>67</v>
      </c>
    </row>
    <row r="505" spans="1:27" ht="17.45" customHeight="1">
      <c r="A505" s="3" t="s">
        <v>687</v>
      </c>
      <c r="B505" s="3" t="s">
        <v>28</v>
      </c>
      <c r="C505">
        <v>1</v>
      </c>
      <c r="D505" s="3" t="s">
        <v>228</v>
      </c>
      <c r="E505" s="3" t="s">
        <v>1972</v>
      </c>
      <c r="F505" s="3" t="s">
        <v>1973</v>
      </c>
      <c r="G505" s="3" t="s">
        <v>32</v>
      </c>
      <c r="H505" s="3" t="s">
        <v>124</v>
      </c>
      <c r="I505" s="3" t="s">
        <v>124</v>
      </c>
      <c r="J505" s="3" t="s">
        <v>35</v>
      </c>
      <c r="K505" s="3" t="s">
        <v>36</v>
      </c>
      <c r="L505" s="3" t="s">
        <v>51</v>
      </c>
      <c r="M505" s="3" t="s">
        <v>52</v>
      </c>
      <c r="N505" s="3" t="s">
        <v>1248</v>
      </c>
      <c r="O505" s="3" t="s">
        <v>41</v>
      </c>
      <c r="P505" s="3" t="s">
        <v>53</v>
      </c>
      <c r="Q505" s="3" t="s">
        <v>1248</v>
      </c>
      <c r="R505" s="5">
        <v>46136.640625</v>
      </c>
      <c r="S505" s="5">
        <v>46142.549074074072</v>
      </c>
      <c r="T505" s="3" t="s">
        <v>1974</v>
      </c>
      <c r="U505" s="1" t="s">
        <v>42</v>
      </c>
      <c r="V505" s="1" t="s">
        <v>74</v>
      </c>
      <c r="W505" s="1" t="s">
        <v>1973</v>
      </c>
      <c r="X505" s="1" t="s">
        <v>1973</v>
      </c>
      <c r="Y505" s="1" t="s">
        <v>1975</v>
      </c>
      <c r="Z505" s="1" t="s">
        <v>1267</v>
      </c>
      <c r="AA505" s="1" t="s">
        <v>46</v>
      </c>
    </row>
    <row r="506" spans="1:27" ht="17.45" customHeight="1">
      <c r="A506" s="2" t="s">
        <v>991</v>
      </c>
      <c r="B506" s="2" t="s">
        <v>28</v>
      </c>
      <c r="C506">
        <v>1</v>
      </c>
      <c r="D506" s="2" t="s">
        <v>121</v>
      </c>
      <c r="E506" s="2" t="s">
        <v>1976</v>
      </c>
      <c r="F506" s="2" t="s">
        <v>1371</v>
      </c>
      <c r="G506" s="2" t="s">
        <v>32</v>
      </c>
      <c r="H506" s="2" t="s">
        <v>124</v>
      </c>
      <c r="I506" s="2" t="s">
        <v>192</v>
      </c>
      <c r="J506" s="2" t="s">
        <v>35</v>
      </c>
      <c r="K506" s="2" t="s">
        <v>36</v>
      </c>
      <c r="L506" s="2" t="s">
        <v>51</v>
      </c>
      <c r="M506" s="2" t="s">
        <v>64</v>
      </c>
      <c r="N506" s="2" t="s">
        <v>1248</v>
      </c>
      <c r="O506" s="2" t="s">
        <v>41</v>
      </c>
      <c r="P506" s="2" t="s">
        <v>53</v>
      </c>
      <c r="Q506" s="2" t="s">
        <v>1248</v>
      </c>
      <c r="R506" s="4">
        <v>46139.434907407405</v>
      </c>
      <c r="S506" s="4">
        <v>46141.338078703702</v>
      </c>
      <c r="T506" s="2" t="s">
        <v>1372</v>
      </c>
      <c r="U506" s="1" t="s">
        <v>83</v>
      </c>
      <c r="V506" s="1" t="s">
        <v>84</v>
      </c>
      <c r="W506" s="1" t="s">
        <v>1371</v>
      </c>
      <c r="X506" s="1" t="s">
        <v>1371</v>
      </c>
      <c r="Y506" s="1" t="s">
        <v>1373</v>
      </c>
      <c r="Z506" s="1" t="s">
        <v>1253</v>
      </c>
      <c r="AA506" s="1" t="s">
        <v>85</v>
      </c>
    </row>
    <row r="507" spans="1:27" ht="17.45" customHeight="1">
      <c r="A507" s="3" t="s">
        <v>1977</v>
      </c>
      <c r="B507" s="3" t="s">
        <v>28</v>
      </c>
      <c r="C507">
        <v>1</v>
      </c>
      <c r="D507" s="3" t="s">
        <v>29</v>
      </c>
      <c r="E507" s="3" t="s">
        <v>1978</v>
      </c>
      <c r="F507" s="3" t="s">
        <v>1979</v>
      </c>
      <c r="G507" s="3" t="s">
        <v>32</v>
      </c>
      <c r="H507" s="3" t="s">
        <v>33</v>
      </c>
      <c r="I507" s="3" t="s">
        <v>78</v>
      </c>
      <c r="J507" s="3" t="s">
        <v>35</v>
      </c>
      <c r="K507" s="3" t="s">
        <v>36</v>
      </c>
      <c r="L507" s="3" t="s">
        <v>37</v>
      </c>
      <c r="M507" s="3" t="s">
        <v>52</v>
      </c>
      <c r="N507" s="3" t="s">
        <v>1248</v>
      </c>
      <c r="O507" s="3" t="s">
        <v>41</v>
      </c>
      <c r="P507" s="3" t="s">
        <v>53</v>
      </c>
      <c r="Q507" s="3" t="s">
        <v>1248</v>
      </c>
      <c r="R507" s="5">
        <v>46139.449895833335</v>
      </c>
      <c r="S507" s="5">
        <v>46142.665185185186</v>
      </c>
      <c r="T507" s="3" t="s">
        <v>1980</v>
      </c>
      <c r="U507" s="1" t="s">
        <v>59</v>
      </c>
      <c r="V507" s="1" t="s">
        <v>60</v>
      </c>
      <c r="W507" s="1" t="s">
        <v>1981</v>
      </c>
      <c r="X507" s="1" t="s">
        <v>1982</v>
      </c>
      <c r="Y507" s="1" t="s">
        <v>1983</v>
      </c>
      <c r="Z507" s="1" t="s">
        <v>1267</v>
      </c>
      <c r="AA507" s="1" t="s">
        <v>61</v>
      </c>
    </row>
    <row r="508" spans="1:27" ht="17.45" customHeight="1">
      <c r="A508" s="2" t="s">
        <v>1984</v>
      </c>
      <c r="B508" s="2" t="s">
        <v>171</v>
      </c>
      <c r="C508">
        <v>1</v>
      </c>
      <c r="D508" s="2" t="s">
        <v>1273</v>
      </c>
      <c r="E508" s="2" t="s">
        <v>1985</v>
      </c>
      <c r="F508" s="2" t="s">
        <v>1986</v>
      </c>
      <c r="G508" s="2" t="s">
        <v>32</v>
      </c>
      <c r="H508" s="2" t="s">
        <v>1276</v>
      </c>
      <c r="I508" s="2" t="s">
        <v>1277</v>
      </c>
      <c r="J508" s="2" t="s">
        <v>35</v>
      </c>
      <c r="K508" s="2" t="s">
        <v>36</v>
      </c>
      <c r="L508" s="2" t="s">
        <v>37</v>
      </c>
      <c r="M508" s="2" t="s">
        <v>52</v>
      </c>
      <c r="N508" s="2" t="s">
        <v>1248</v>
      </c>
      <c r="O508" s="2" t="s">
        <v>41</v>
      </c>
      <c r="P508" s="2" t="s">
        <v>40</v>
      </c>
      <c r="Q508" s="2" t="s">
        <v>1248</v>
      </c>
      <c r="R508" s="4">
        <v>46139.705370370371</v>
      </c>
      <c r="S508" s="4">
        <v>46140.467476851853</v>
      </c>
      <c r="T508" s="2" t="s">
        <v>1987</v>
      </c>
      <c r="U508" s="1" t="s">
        <v>283</v>
      </c>
      <c r="V508" s="1" t="s">
        <v>410</v>
      </c>
      <c r="W508" s="1" t="s">
        <v>1988</v>
      </c>
      <c r="X508" s="1" t="s">
        <v>1989</v>
      </c>
      <c r="Y508" s="1" t="s">
        <v>1990</v>
      </c>
      <c r="Z508" s="1" t="s">
        <v>1253</v>
      </c>
      <c r="AA508" s="1" t="s">
        <v>285</v>
      </c>
    </row>
    <row r="509" spans="1:27" ht="17.45" customHeight="1">
      <c r="A509" s="3" t="s">
        <v>1991</v>
      </c>
      <c r="B509" s="3" t="s">
        <v>171</v>
      </c>
      <c r="C509">
        <v>1</v>
      </c>
      <c r="D509" s="3" t="s">
        <v>1273</v>
      </c>
      <c r="E509" s="3" t="s">
        <v>1992</v>
      </c>
      <c r="F509" s="3" t="s">
        <v>1993</v>
      </c>
      <c r="G509" s="3" t="s">
        <v>32</v>
      </c>
      <c r="H509" s="3" t="s">
        <v>1276</v>
      </c>
      <c r="I509" s="3" t="s">
        <v>1285</v>
      </c>
      <c r="J509" s="3" t="s">
        <v>35</v>
      </c>
      <c r="K509" s="3" t="s">
        <v>36</v>
      </c>
      <c r="L509" s="3" t="s">
        <v>37</v>
      </c>
      <c r="M509" s="3" t="s">
        <v>52</v>
      </c>
      <c r="N509" s="3" t="s">
        <v>1248</v>
      </c>
      <c r="O509" s="3" t="s">
        <v>41</v>
      </c>
      <c r="P509" s="3" t="s">
        <v>40</v>
      </c>
      <c r="Q509" s="3" t="s">
        <v>1248</v>
      </c>
      <c r="R509" s="5">
        <v>46139.716087962966</v>
      </c>
      <c r="S509" s="5">
        <v>46140.533599537041</v>
      </c>
      <c r="T509" s="3" t="s">
        <v>1994</v>
      </c>
      <c r="U509" s="1" t="s">
        <v>115</v>
      </c>
      <c r="V509" s="1" t="s">
        <v>116</v>
      </c>
      <c r="W509" s="1" t="s">
        <v>1993</v>
      </c>
      <c r="X509" s="1" t="s">
        <v>1993</v>
      </c>
      <c r="Y509" s="1" t="s">
        <v>1995</v>
      </c>
      <c r="Z509" s="1" t="s">
        <v>1253</v>
      </c>
      <c r="AA509" s="1" t="s">
        <v>118</v>
      </c>
    </row>
    <row r="510" spans="1:27" ht="17.45" customHeight="1">
      <c r="A510" s="2" t="s">
        <v>1996</v>
      </c>
      <c r="B510" s="2" t="s">
        <v>28</v>
      </c>
      <c r="C510">
        <v>1</v>
      </c>
      <c r="D510" s="2" t="s">
        <v>121</v>
      </c>
      <c r="E510" s="2" t="s">
        <v>1997</v>
      </c>
      <c r="F510" s="2" t="s">
        <v>520</v>
      </c>
      <c r="G510" s="2" t="s">
        <v>32</v>
      </c>
      <c r="H510" s="2" t="s">
        <v>124</v>
      </c>
      <c r="I510" s="2" t="s">
        <v>33</v>
      </c>
      <c r="J510" s="2" t="s">
        <v>35</v>
      </c>
      <c r="K510" s="2" t="s">
        <v>36</v>
      </c>
      <c r="L510" s="2" t="s">
        <v>51</v>
      </c>
      <c r="M510" s="2" t="s">
        <v>64</v>
      </c>
      <c r="N510" s="2" t="s">
        <v>1248</v>
      </c>
      <c r="O510" s="2" t="s">
        <v>41</v>
      </c>
      <c r="P510" s="2" t="s">
        <v>53</v>
      </c>
      <c r="Q510" s="2" t="s">
        <v>1248</v>
      </c>
      <c r="R510" s="4">
        <v>46139.716851851852</v>
      </c>
      <c r="S510" s="4">
        <v>46141.390555555554</v>
      </c>
      <c r="T510" s="2" t="s">
        <v>1998</v>
      </c>
      <c r="U510" s="1" t="s">
        <v>263</v>
      </c>
      <c r="V510" s="1" t="s">
        <v>264</v>
      </c>
      <c r="W510" s="1" t="s">
        <v>520</v>
      </c>
      <c r="X510" s="1" t="s">
        <v>520</v>
      </c>
      <c r="Y510" s="1" t="s">
        <v>1999</v>
      </c>
      <c r="Z510" s="1" t="s">
        <v>1253</v>
      </c>
      <c r="AA510" s="1" t="s">
        <v>265</v>
      </c>
    </row>
    <row r="511" spans="1:27" ht="17.45" customHeight="1">
      <c r="A511" s="3" t="s">
        <v>1630</v>
      </c>
      <c r="B511" s="3" t="s">
        <v>28</v>
      </c>
      <c r="C511">
        <v>1</v>
      </c>
      <c r="D511" s="3" t="s">
        <v>121</v>
      </c>
      <c r="E511" s="3" t="s">
        <v>2000</v>
      </c>
      <c r="F511" s="3" t="s">
        <v>520</v>
      </c>
      <c r="G511" s="3" t="s">
        <v>32</v>
      </c>
      <c r="H511" s="3" t="s">
        <v>124</v>
      </c>
      <c r="I511" s="3" t="s">
        <v>147</v>
      </c>
      <c r="J511" s="3" t="s">
        <v>35</v>
      </c>
      <c r="K511" s="3" t="s">
        <v>36</v>
      </c>
      <c r="L511" s="3" t="s">
        <v>51</v>
      </c>
      <c r="M511" s="3" t="s">
        <v>64</v>
      </c>
      <c r="N511" s="3" t="s">
        <v>1248</v>
      </c>
      <c r="O511" s="3" t="s">
        <v>41</v>
      </c>
      <c r="P511" s="3" t="s">
        <v>53</v>
      </c>
      <c r="Q511" s="3" t="s">
        <v>1248</v>
      </c>
      <c r="R511" s="5">
        <v>46139.717858796299</v>
      </c>
      <c r="S511" s="5">
        <v>46141.338460648149</v>
      </c>
      <c r="T511" s="3" t="s">
        <v>1998</v>
      </c>
      <c r="U511" s="1" t="s">
        <v>263</v>
      </c>
      <c r="V511" s="1" t="s">
        <v>264</v>
      </c>
      <c r="W511" s="1" t="s">
        <v>520</v>
      </c>
      <c r="X511" s="1" t="s">
        <v>520</v>
      </c>
      <c r="Y511" s="1" t="s">
        <v>1999</v>
      </c>
      <c r="Z511" s="1" t="s">
        <v>1253</v>
      </c>
      <c r="AA511" s="1" t="s">
        <v>265</v>
      </c>
    </row>
    <row r="512" spans="1:27" ht="17.45" customHeight="1">
      <c r="A512" s="2" t="s">
        <v>2001</v>
      </c>
      <c r="B512" s="2" t="s">
        <v>48</v>
      </c>
      <c r="C512">
        <v>1</v>
      </c>
      <c r="D512" s="2" t="s">
        <v>121</v>
      </c>
      <c r="E512" s="2" t="s">
        <v>2002</v>
      </c>
      <c r="F512" s="2" t="s">
        <v>1663</v>
      </c>
      <c r="G512" s="2" t="s">
        <v>32</v>
      </c>
      <c r="H512" s="2" t="s">
        <v>124</v>
      </c>
      <c r="I512" s="2" t="s">
        <v>157</v>
      </c>
      <c r="J512" s="2" t="s">
        <v>35</v>
      </c>
      <c r="K512" s="2" t="s">
        <v>36</v>
      </c>
      <c r="L512" s="2" t="s">
        <v>37</v>
      </c>
      <c r="M512" s="2" t="s">
        <v>52</v>
      </c>
      <c r="N512" s="2" t="s">
        <v>1248</v>
      </c>
      <c r="O512" s="2" t="s">
        <v>41</v>
      </c>
      <c r="P512" s="2" t="s">
        <v>58</v>
      </c>
      <c r="Q512" s="2" t="s">
        <v>1248</v>
      </c>
      <c r="R512" s="4">
        <v>46139.598449074074</v>
      </c>
      <c r="S512" s="4">
        <v>46141.316180555557</v>
      </c>
      <c r="T512" s="2" t="s">
        <v>1256</v>
      </c>
      <c r="U512" s="1" t="s">
        <v>115</v>
      </c>
      <c r="V512" s="1" t="s">
        <v>116</v>
      </c>
      <c r="W512" s="1" t="s">
        <v>1663</v>
      </c>
      <c r="X512" s="1" t="s">
        <v>1663</v>
      </c>
      <c r="Y512" s="1" t="s">
        <v>1257</v>
      </c>
      <c r="Z512" s="1" t="s">
        <v>1253</v>
      </c>
      <c r="AA512" s="1" t="s">
        <v>118</v>
      </c>
    </row>
    <row r="513" spans="1:27" ht="17.45" customHeight="1">
      <c r="A513" s="3" t="s">
        <v>322</v>
      </c>
      <c r="B513" s="3" t="s">
        <v>181</v>
      </c>
      <c r="C513">
        <v>1</v>
      </c>
      <c r="D513" s="3" t="s">
        <v>121</v>
      </c>
      <c r="E513" s="3" t="s">
        <v>2003</v>
      </c>
      <c r="F513" s="3" t="s">
        <v>2004</v>
      </c>
      <c r="G513" s="3" t="s">
        <v>32</v>
      </c>
      <c r="H513" s="3" t="s">
        <v>124</v>
      </c>
      <c r="I513" s="3" t="s">
        <v>125</v>
      </c>
      <c r="J513" s="3" t="s">
        <v>35</v>
      </c>
      <c r="K513" s="3" t="s">
        <v>36</v>
      </c>
      <c r="L513" s="3" t="s">
        <v>37</v>
      </c>
      <c r="M513" s="3" t="s">
        <v>115</v>
      </c>
      <c r="N513" s="3" t="s">
        <v>1248</v>
      </c>
      <c r="O513" s="3" t="s">
        <v>41</v>
      </c>
      <c r="P513" s="3" t="s">
        <v>40</v>
      </c>
      <c r="Q513" s="3" t="s">
        <v>1248</v>
      </c>
      <c r="R513" s="5">
        <v>46139.609189814815</v>
      </c>
      <c r="S513" s="5">
        <v>46141.317465277774</v>
      </c>
      <c r="T513" s="3" t="s">
        <v>2005</v>
      </c>
      <c r="U513" s="1" t="s">
        <v>115</v>
      </c>
      <c r="V513" s="1" t="s">
        <v>116</v>
      </c>
      <c r="W513" s="1" t="s">
        <v>2004</v>
      </c>
      <c r="X513" s="1" t="s">
        <v>2004</v>
      </c>
      <c r="Y513" s="1" t="s">
        <v>2006</v>
      </c>
      <c r="Z513" s="1" t="s">
        <v>1253</v>
      </c>
      <c r="AA513" s="1" t="s">
        <v>118</v>
      </c>
    </row>
    <row r="514" spans="1:27" ht="17.45" customHeight="1">
      <c r="A514" s="2" t="s">
        <v>674</v>
      </c>
      <c r="B514" s="2" t="s">
        <v>48</v>
      </c>
      <c r="C514">
        <v>1</v>
      </c>
      <c r="D514" s="2" t="s">
        <v>121</v>
      </c>
      <c r="E514" s="2" t="s">
        <v>2007</v>
      </c>
      <c r="F514" s="2" t="s">
        <v>1740</v>
      </c>
      <c r="G514" s="2" t="s">
        <v>32</v>
      </c>
      <c r="H514" s="2" t="s">
        <v>124</v>
      </c>
      <c r="I514" s="2" t="s">
        <v>192</v>
      </c>
      <c r="J514" s="2" t="s">
        <v>35</v>
      </c>
      <c r="K514" s="2" t="s">
        <v>36</v>
      </c>
      <c r="L514" s="2" t="s">
        <v>37</v>
      </c>
      <c r="M514" s="2" t="s">
        <v>52</v>
      </c>
      <c r="N514" s="2" t="s">
        <v>1248</v>
      </c>
      <c r="O514" s="2" t="s">
        <v>41</v>
      </c>
      <c r="P514" s="2" t="s">
        <v>58</v>
      </c>
      <c r="Q514" s="2" t="s">
        <v>1248</v>
      </c>
      <c r="R514" s="4">
        <v>46139.612615740742</v>
      </c>
      <c r="S514" s="4">
        <v>46141.319027777776</v>
      </c>
      <c r="T514" s="2" t="s">
        <v>1715</v>
      </c>
      <c r="U514" s="1" t="s">
        <v>115</v>
      </c>
      <c r="V514" s="1" t="s">
        <v>116</v>
      </c>
      <c r="W514" s="1" t="s">
        <v>1740</v>
      </c>
      <c r="X514" s="1" t="s">
        <v>1740</v>
      </c>
      <c r="Y514" s="1" t="s">
        <v>1717</v>
      </c>
      <c r="Z514" s="1" t="s">
        <v>1253</v>
      </c>
      <c r="AA514" s="1" t="s">
        <v>118</v>
      </c>
    </row>
    <row r="515" spans="1:27" ht="17.45" customHeight="1">
      <c r="A515" s="3" t="s">
        <v>991</v>
      </c>
      <c r="B515" s="3" t="s">
        <v>28</v>
      </c>
      <c r="C515">
        <v>1</v>
      </c>
      <c r="D515" s="3" t="s">
        <v>121</v>
      </c>
      <c r="E515" s="3" t="s">
        <v>2008</v>
      </c>
      <c r="F515" s="3" t="s">
        <v>520</v>
      </c>
      <c r="G515" s="3" t="s">
        <v>32</v>
      </c>
      <c r="H515" s="3" t="s">
        <v>124</v>
      </c>
      <c r="I515" s="3" t="s">
        <v>192</v>
      </c>
      <c r="J515" s="3" t="s">
        <v>35</v>
      </c>
      <c r="K515" s="3" t="s">
        <v>36</v>
      </c>
      <c r="L515" s="3" t="s">
        <v>51</v>
      </c>
      <c r="M515" s="3" t="s">
        <v>64</v>
      </c>
      <c r="N515" s="3" t="s">
        <v>1248</v>
      </c>
      <c r="O515" s="3" t="s">
        <v>41</v>
      </c>
      <c r="P515" s="3" t="s">
        <v>53</v>
      </c>
      <c r="Q515" s="3" t="s">
        <v>1248</v>
      </c>
      <c r="R515" s="5">
        <v>46139.718541666669</v>
      </c>
      <c r="S515" s="5">
        <v>46141.338819444441</v>
      </c>
      <c r="T515" s="3" t="s">
        <v>1998</v>
      </c>
      <c r="U515" s="1" t="s">
        <v>263</v>
      </c>
      <c r="V515" s="1" t="s">
        <v>264</v>
      </c>
      <c r="W515" s="1" t="s">
        <v>520</v>
      </c>
      <c r="X515" s="1" t="s">
        <v>520</v>
      </c>
      <c r="Y515" s="1" t="s">
        <v>1999</v>
      </c>
      <c r="Z515" s="1" t="s">
        <v>1253</v>
      </c>
      <c r="AA515" s="1" t="s">
        <v>265</v>
      </c>
    </row>
    <row r="516" spans="1:27" ht="17.45" customHeight="1">
      <c r="A516" s="2" t="s">
        <v>639</v>
      </c>
      <c r="B516" s="2" t="s">
        <v>28</v>
      </c>
      <c r="C516">
        <v>1</v>
      </c>
      <c r="D516" s="2" t="s">
        <v>121</v>
      </c>
      <c r="E516" s="2" t="s">
        <v>2009</v>
      </c>
      <c r="F516" s="2" t="s">
        <v>520</v>
      </c>
      <c r="G516" s="2" t="s">
        <v>32</v>
      </c>
      <c r="H516" s="2" t="s">
        <v>124</v>
      </c>
      <c r="I516" s="2" t="s">
        <v>212</v>
      </c>
      <c r="J516" s="2" t="s">
        <v>35</v>
      </c>
      <c r="K516" s="2" t="s">
        <v>36</v>
      </c>
      <c r="L516" s="2" t="s">
        <v>51</v>
      </c>
      <c r="M516" s="2" t="s">
        <v>64</v>
      </c>
      <c r="N516" s="2" t="s">
        <v>1248</v>
      </c>
      <c r="O516" s="2" t="s">
        <v>41</v>
      </c>
      <c r="P516" s="2" t="s">
        <v>53</v>
      </c>
      <c r="Q516" s="2" t="s">
        <v>1248</v>
      </c>
      <c r="R516" s="4">
        <v>46139.719328703701</v>
      </c>
      <c r="S516" s="4">
        <v>46141.348252314812</v>
      </c>
      <c r="T516" s="2" t="s">
        <v>2010</v>
      </c>
      <c r="U516" s="1" t="s">
        <v>263</v>
      </c>
      <c r="V516" s="1" t="s">
        <v>264</v>
      </c>
      <c r="W516" s="1" t="s">
        <v>520</v>
      </c>
      <c r="X516" s="1" t="s">
        <v>520</v>
      </c>
      <c r="Y516" s="1" t="s">
        <v>1999</v>
      </c>
      <c r="Z516" s="1" t="s">
        <v>1253</v>
      </c>
      <c r="AA516" s="1" t="s">
        <v>265</v>
      </c>
    </row>
    <row r="517" spans="1:27" ht="17.45" customHeight="1">
      <c r="A517" s="3" t="s">
        <v>632</v>
      </c>
      <c r="B517" s="3" t="s">
        <v>28</v>
      </c>
      <c r="C517">
        <v>1</v>
      </c>
      <c r="D517" s="3" t="s">
        <v>121</v>
      </c>
      <c r="E517" s="3" t="s">
        <v>2011</v>
      </c>
      <c r="F517" s="3" t="s">
        <v>520</v>
      </c>
      <c r="G517" s="3" t="s">
        <v>32</v>
      </c>
      <c r="H517" s="3" t="s">
        <v>124</v>
      </c>
      <c r="I517" s="3" t="s">
        <v>212</v>
      </c>
      <c r="J517" s="3" t="s">
        <v>35</v>
      </c>
      <c r="K517" s="3" t="s">
        <v>36</v>
      </c>
      <c r="L517" s="3" t="s">
        <v>51</v>
      </c>
      <c r="M517" s="3" t="s">
        <v>64</v>
      </c>
      <c r="N517" s="3" t="s">
        <v>1248</v>
      </c>
      <c r="O517" s="3" t="s">
        <v>41</v>
      </c>
      <c r="P517" s="3" t="s">
        <v>53</v>
      </c>
      <c r="Q517" s="3" t="s">
        <v>1248</v>
      </c>
      <c r="R517" s="5">
        <v>46139.719502314816</v>
      </c>
      <c r="S517" s="5">
        <v>46141.348101851851</v>
      </c>
      <c r="T517" s="3" t="s">
        <v>2010</v>
      </c>
      <c r="U517" s="1" t="s">
        <v>263</v>
      </c>
      <c r="V517" s="1" t="s">
        <v>264</v>
      </c>
      <c r="W517" s="1" t="s">
        <v>520</v>
      </c>
      <c r="X517" s="1" t="s">
        <v>520</v>
      </c>
      <c r="Y517" s="1" t="s">
        <v>1999</v>
      </c>
      <c r="Z517" s="1" t="s">
        <v>1253</v>
      </c>
      <c r="AA517" s="1" t="s">
        <v>265</v>
      </c>
    </row>
    <row r="518" spans="1:27" ht="17.45" customHeight="1">
      <c r="A518" s="2" t="s">
        <v>619</v>
      </c>
      <c r="B518" s="2" t="s">
        <v>28</v>
      </c>
      <c r="C518">
        <v>1</v>
      </c>
      <c r="D518" s="2" t="s">
        <v>121</v>
      </c>
      <c r="E518" s="2" t="s">
        <v>2012</v>
      </c>
      <c r="F518" s="2" t="s">
        <v>520</v>
      </c>
      <c r="G518" s="2" t="s">
        <v>32</v>
      </c>
      <c r="H518" s="2" t="s">
        <v>124</v>
      </c>
      <c r="I518" s="2" t="s">
        <v>212</v>
      </c>
      <c r="J518" s="2" t="s">
        <v>35</v>
      </c>
      <c r="K518" s="2" t="s">
        <v>36</v>
      </c>
      <c r="L518" s="2" t="s">
        <v>51</v>
      </c>
      <c r="M518" s="2" t="s">
        <v>64</v>
      </c>
      <c r="N518" s="2" t="s">
        <v>1248</v>
      </c>
      <c r="O518" s="2" t="s">
        <v>41</v>
      </c>
      <c r="P518" s="2" t="s">
        <v>53</v>
      </c>
      <c r="Q518" s="2" t="s">
        <v>1248</v>
      </c>
      <c r="R518" s="4">
        <v>46139.719756944447</v>
      </c>
      <c r="S518" s="4">
        <v>46141.347951388889</v>
      </c>
      <c r="T518" s="2" t="s">
        <v>2010</v>
      </c>
      <c r="U518" s="1" t="s">
        <v>263</v>
      </c>
      <c r="V518" s="1" t="s">
        <v>264</v>
      </c>
      <c r="W518" s="1" t="s">
        <v>520</v>
      </c>
      <c r="X518" s="1" t="s">
        <v>520</v>
      </c>
      <c r="Y518" s="1" t="s">
        <v>1999</v>
      </c>
      <c r="Z518" s="1" t="s">
        <v>1253</v>
      </c>
      <c r="AA518" s="1" t="s">
        <v>265</v>
      </c>
    </row>
    <row r="519" spans="1:27" ht="17.45" customHeight="1">
      <c r="A519" s="3" t="s">
        <v>957</v>
      </c>
      <c r="B519" s="3" t="s">
        <v>28</v>
      </c>
      <c r="C519">
        <v>1</v>
      </c>
      <c r="D519" s="3" t="s">
        <v>121</v>
      </c>
      <c r="E519" s="3" t="s">
        <v>2013</v>
      </c>
      <c r="F519" s="3" t="s">
        <v>520</v>
      </c>
      <c r="G519" s="3" t="s">
        <v>32</v>
      </c>
      <c r="H519" s="3" t="s">
        <v>124</v>
      </c>
      <c r="I519" s="3" t="s">
        <v>192</v>
      </c>
      <c r="J519" s="3" t="s">
        <v>35</v>
      </c>
      <c r="K519" s="3" t="s">
        <v>36</v>
      </c>
      <c r="L519" s="3" t="s">
        <v>51</v>
      </c>
      <c r="M519" s="3" t="s">
        <v>64</v>
      </c>
      <c r="N519" s="3" t="s">
        <v>1248</v>
      </c>
      <c r="O519" s="3" t="s">
        <v>41</v>
      </c>
      <c r="P519" s="3" t="s">
        <v>53</v>
      </c>
      <c r="Q519" s="3" t="s">
        <v>1248</v>
      </c>
      <c r="R519" s="5">
        <v>46139.720069444447</v>
      </c>
      <c r="S519" s="5">
        <v>46141.390763888892</v>
      </c>
      <c r="T519" s="3" t="s">
        <v>1998</v>
      </c>
      <c r="U519" s="1" t="s">
        <v>263</v>
      </c>
      <c r="V519" s="1" t="s">
        <v>264</v>
      </c>
      <c r="W519" s="1" t="s">
        <v>520</v>
      </c>
      <c r="X519" s="1" t="s">
        <v>520</v>
      </c>
      <c r="Y519" s="1" t="s">
        <v>1999</v>
      </c>
      <c r="Z519" s="1" t="s">
        <v>1253</v>
      </c>
      <c r="AA519" s="1" t="s">
        <v>265</v>
      </c>
    </row>
    <row r="520" spans="1:27" ht="17.45" customHeight="1">
      <c r="A520" s="2" t="s">
        <v>1659</v>
      </c>
      <c r="B520" s="2" t="s">
        <v>28</v>
      </c>
      <c r="C520">
        <v>1</v>
      </c>
      <c r="D520" s="2" t="s">
        <v>121</v>
      </c>
      <c r="E520" s="2" t="s">
        <v>2014</v>
      </c>
      <c r="F520" s="2" t="s">
        <v>520</v>
      </c>
      <c r="G520" s="2" t="s">
        <v>32</v>
      </c>
      <c r="H520" s="2" t="s">
        <v>124</v>
      </c>
      <c r="I520" s="2" t="s">
        <v>147</v>
      </c>
      <c r="J520" s="2" t="s">
        <v>35</v>
      </c>
      <c r="K520" s="2" t="s">
        <v>36</v>
      </c>
      <c r="L520" s="2" t="s">
        <v>51</v>
      </c>
      <c r="M520" s="2" t="s">
        <v>64</v>
      </c>
      <c r="N520" s="2" t="s">
        <v>1248</v>
      </c>
      <c r="O520" s="2" t="s">
        <v>41</v>
      </c>
      <c r="P520" s="2" t="s">
        <v>53</v>
      </c>
      <c r="Q520" s="2" t="s">
        <v>1248</v>
      </c>
      <c r="R520" s="4">
        <v>46139.720393518517</v>
      </c>
      <c r="S520" s="4">
        <v>46141.347743055558</v>
      </c>
      <c r="T520" s="2" t="s">
        <v>2010</v>
      </c>
      <c r="U520" s="1" t="s">
        <v>263</v>
      </c>
      <c r="V520" s="1" t="s">
        <v>264</v>
      </c>
      <c r="W520" s="1" t="s">
        <v>520</v>
      </c>
      <c r="X520" s="1" t="s">
        <v>520</v>
      </c>
      <c r="Y520" s="1" t="s">
        <v>1999</v>
      </c>
      <c r="Z520" s="1" t="s">
        <v>1253</v>
      </c>
      <c r="AA520" s="1" t="s">
        <v>265</v>
      </c>
    </row>
    <row r="521" spans="1:27" ht="17.45" customHeight="1">
      <c r="A521" s="3" t="s">
        <v>710</v>
      </c>
      <c r="B521" s="3" t="s">
        <v>28</v>
      </c>
      <c r="C521">
        <v>1</v>
      </c>
      <c r="D521" s="3" t="s">
        <v>121</v>
      </c>
      <c r="E521" s="3" t="s">
        <v>2015</v>
      </c>
      <c r="F521" s="3" t="s">
        <v>520</v>
      </c>
      <c r="G521" s="3" t="s">
        <v>32</v>
      </c>
      <c r="H521" s="3" t="s">
        <v>124</v>
      </c>
      <c r="I521" s="3" t="s">
        <v>147</v>
      </c>
      <c r="J521" s="3" t="s">
        <v>35</v>
      </c>
      <c r="K521" s="3" t="s">
        <v>36</v>
      </c>
      <c r="L521" s="3" t="s">
        <v>51</v>
      </c>
      <c r="M521" s="3" t="s">
        <v>64</v>
      </c>
      <c r="N521" s="3" t="s">
        <v>1248</v>
      </c>
      <c r="O521" s="3" t="s">
        <v>41</v>
      </c>
      <c r="P521" s="3" t="s">
        <v>53</v>
      </c>
      <c r="Q521" s="3" t="s">
        <v>1248</v>
      </c>
      <c r="R521" s="5">
        <v>46139.720497685186</v>
      </c>
      <c r="S521" s="5">
        <v>46141.347592592596</v>
      </c>
      <c r="T521" s="3" t="s">
        <v>2010</v>
      </c>
      <c r="U521" s="1" t="s">
        <v>263</v>
      </c>
      <c r="V521" s="1" t="s">
        <v>264</v>
      </c>
      <c r="W521" s="1" t="s">
        <v>520</v>
      </c>
      <c r="X521" s="1" t="s">
        <v>520</v>
      </c>
      <c r="Y521" s="1" t="s">
        <v>1999</v>
      </c>
      <c r="Z521" s="1" t="s">
        <v>1253</v>
      </c>
      <c r="AA521" s="1" t="s">
        <v>265</v>
      </c>
    </row>
    <row r="522" spans="1:27" ht="17.45" customHeight="1">
      <c r="A522" s="2" t="s">
        <v>1795</v>
      </c>
      <c r="B522" s="2" t="s">
        <v>28</v>
      </c>
      <c r="C522">
        <v>1</v>
      </c>
      <c r="D522" s="2" t="s">
        <v>121</v>
      </c>
      <c r="E522" s="2" t="s">
        <v>2016</v>
      </c>
      <c r="F522" s="2" t="s">
        <v>520</v>
      </c>
      <c r="G522" s="2" t="s">
        <v>32</v>
      </c>
      <c r="H522" s="2" t="s">
        <v>124</v>
      </c>
      <c r="I522" s="2" t="s">
        <v>33</v>
      </c>
      <c r="J522" s="2" t="s">
        <v>35</v>
      </c>
      <c r="K522" s="2" t="s">
        <v>36</v>
      </c>
      <c r="L522" s="2" t="s">
        <v>51</v>
      </c>
      <c r="M522" s="2" t="s">
        <v>64</v>
      </c>
      <c r="N522" s="2" t="s">
        <v>1248</v>
      </c>
      <c r="O522" s="2" t="s">
        <v>41</v>
      </c>
      <c r="P522" s="2" t="s">
        <v>53</v>
      </c>
      <c r="Q522" s="2" t="s">
        <v>1248</v>
      </c>
      <c r="R522" s="4">
        <v>46139.720590277779</v>
      </c>
      <c r="S522" s="4">
        <v>46141.347453703704</v>
      </c>
      <c r="T522" s="2" t="s">
        <v>2010</v>
      </c>
      <c r="U522" s="1" t="s">
        <v>263</v>
      </c>
      <c r="V522" s="1" t="s">
        <v>264</v>
      </c>
      <c r="W522" s="1" t="s">
        <v>520</v>
      </c>
      <c r="X522" s="1" t="s">
        <v>520</v>
      </c>
      <c r="Y522" s="1" t="s">
        <v>1999</v>
      </c>
      <c r="Z522" s="1" t="s">
        <v>1253</v>
      </c>
      <c r="AA522" s="1" t="s">
        <v>265</v>
      </c>
    </row>
    <row r="523" spans="1:27" ht="17.45" customHeight="1">
      <c r="A523" s="3" t="s">
        <v>1374</v>
      </c>
      <c r="B523" s="3" t="s">
        <v>28</v>
      </c>
      <c r="C523">
        <v>1</v>
      </c>
      <c r="D523" s="3" t="s">
        <v>121</v>
      </c>
      <c r="E523" s="3" t="s">
        <v>2017</v>
      </c>
      <c r="F523" s="3" t="s">
        <v>520</v>
      </c>
      <c r="G523" s="3" t="s">
        <v>32</v>
      </c>
      <c r="H523" s="3" t="s">
        <v>124</v>
      </c>
      <c r="I523" s="3" t="s">
        <v>33</v>
      </c>
      <c r="J523" s="3" t="s">
        <v>35</v>
      </c>
      <c r="K523" s="3" t="s">
        <v>36</v>
      </c>
      <c r="L523" s="3" t="s">
        <v>51</v>
      </c>
      <c r="M523" s="3" t="s">
        <v>64</v>
      </c>
      <c r="N523" s="3" t="s">
        <v>1248</v>
      </c>
      <c r="O523" s="3" t="s">
        <v>41</v>
      </c>
      <c r="P523" s="3" t="s">
        <v>53</v>
      </c>
      <c r="Q523" s="3" t="s">
        <v>1248</v>
      </c>
      <c r="R523" s="5">
        <v>46139.720706018517</v>
      </c>
      <c r="S523" s="5">
        <v>46141.347291666665</v>
      </c>
      <c r="T523" s="3" t="s">
        <v>2010</v>
      </c>
      <c r="U523" s="1" t="s">
        <v>263</v>
      </c>
      <c r="V523" s="1" t="s">
        <v>264</v>
      </c>
      <c r="W523" s="1" t="s">
        <v>520</v>
      </c>
      <c r="X523" s="1" t="s">
        <v>520</v>
      </c>
      <c r="Y523" s="1" t="s">
        <v>1999</v>
      </c>
      <c r="Z523" s="1" t="s">
        <v>1253</v>
      </c>
      <c r="AA523" s="1" t="s">
        <v>265</v>
      </c>
    </row>
    <row r="524" spans="1:27" ht="17.45" customHeight="1">
      <c r="A524" s="2" t="s">
        <v>1650</v>
      </c>
      <c r="B524" s="2" t="s">
        <v>28</v>
      </c>
      <c r="C524">
        <v>1</v>
      </c>
      <c r="D524" s="2" t="s">
        <v>121</v>
      </c>
      <c r="E524" s="2" t="s">
        <v>2018</v>
      </c>
      <c r="F524" s="2" t="s">
        <v>520</v>
      </c>
      <c r="G524" s="2" t="s">
        <v>32</v>
      </c>
      <c r="H524" s="2" t="s">
        <v>124</v>
      </c>
      <c r="I524" s="2" t="s">
        <v>147</v>
      </c>
      <c r="J524" s="2" t="s">
        <v>35</v>
      </c>
      <c r="K524" s="2" t="s">
        <v>36</v>
      </c>
      <c r="L524" s="2" t="s">
        <v>51</v>
      </c>
      <c r="M524" s="2" t="s">
        <v>64</v>
      </c>
      <c r="N524" s="2" t="s">
        <v>1248</v>
      </c>
      <c r="O524" s="2" t="s">
        <v>41</v>
      </c>
      <c r="P524" s="2" t="s">
        <v>53</v>
      </c>
      <c r="Q524" s="2" t="s">
        <v>1248</v>
      </c>
      <c r="R524" s="4">
        <v>46139.72079861111</v>
      </c>
      <c r="S524" s="4">
        <v>46141.347118055557</v>
      </c>
      <c r="T524" s="2" t="s">
        <v>2010</v>
      </c>
      <c r="U524" s="1" t="s">
        <v>263</v>
      </c>
      <c r="V524" s="1" t="s">
        <v>264</v>
      </c>
      <c r="W524" s="1" t="s">
        <v>520</v>
      </c>
      <c r="X524" s="1" t="s">
        <v>520</v>
      </c>
      <c r="Y524" s="1" t="s">
        <v>1999</v>
      </c>
      <c r="Z524" s="1" t="s">
        <v>1253</v>
      </c>
      <c r="AA524" s="1" t="s">
        <v>265</v>
      </c>
    </row>
    <row r="525" spans="1:27" ht="17.45" customHeight="1">
      <c r="A525" s="3" t="s">
        <v>1648</v>
      </c>
      <c r="B525" s="3" t="s">
        <v>28</v>
      </c>
      <c r="C525">
        <v>1</v>
      </c>
      <c r="D525" s="3" t="s">
        <v>121</v>
      </c>
      <c r="E525" s="3" t="s">
        <v>2019</v>
      </c>
      <c r="F525" s="3" t="s">
        <v>520</v>
      </c>
      <c r="G525" s="3" t="s">
        <v>32</v>
      </c>
      <c r="H525" s="3" t="s">
        <v>124</v>
      </c>
      <c r="I525" s="3" t="s">
        <v>33</v>
      </c>
      <c r="J525" s="3" t="s">
        <v>35</v>
      </c>
      <c r="K525" s="3" t="s">
        <v>36</v>
      </c>
      <c r="L525" s="3" t="s">
        <v>51</v>
      </c>
      <c r="M525" s="3" t="s">
        <v>64</v>
      </c>
      <c r="N525" s="3" t="s">
        <v>1248</v>
      </c>
      <c r="O525" s="3" t="s">
        <v>41</v>
      </c>
      <c r="P525" s="3" t="s">
        <v>53</v>
      </c>
      <c r="Q525" s="3" t="s">
        <v>1248</v>
      </c>
      <c r="R525" s="5">
        <v>46139.720891203702</v>
      </c>
      <c r="S525" s="5">
        <v>46141.346967592595</v>
      </c>
      <c r="T525" s="3" t="s">
        <v>2010</v>
      </c>
      <c r="U525" s="1" t="s">
        <v>263</v>
      </c>
      <c r="V525" s="1" t="s">
        <v>264</v>
      </c>
      <c r="W525" s="1" t="s">
        <v>520</v>
      </c>
      <c r="X525" s="1" t="s">
        <v>520</v>
      </c>
      <c r="Y525" s="1" t="s">
        <v>1999</v>
      </c>
      <c r="Z525" s="1" t="s">
        <v>1253</v>
      </c>
      <c r="AA525" s="1" t="s">
        <v>265</v>
      </c>
    </row>
    <row r="526" spans="1:27" ht="17.45" customHeight="1">
      <c r="A526" s="2" t="s">
        <v>1643</v>
      </c>
      <c r="B526" s="2" t="s">
        <v>28</v>
      </c>
      <c r="C526">
        <v>1</v>
      </c>
      <c r="D526" s="2" t="s">
        <v>121</v>
      </c>
      <c r="E526" s="2" t="s">
        <v>2020</v>
      </c>
      <c r="F526" s="2" t="s">
        <v>520</v>
      </c>
      <c r="G526" s="2" t="s">
        <v>32</v>
      </c>
      <c r="H526" s="2" t="s">
        <v>124</v>
      </c>
      <c r="I526" s="2" t="s">
        <v>33</v>
      </c>
      <c r="J526" s="2" t="s">
        <v>35</v>
      </c>
      <c r="K526" s="2" t="s">
        <v>36</v>
      </c>
      <c r="L526" s="2" t="s">
        <v>51</v>
      </c>
      <c r="M526" s="2" t="s">
        <v>64</v>
      </c>
      <c r="N526" s="2" t="s">
        <v>1248</v>
      </c>
      <c r="O526" s="2" t="s">
        <v>41</v>
      </c>
      <c r="P526" s="2" t="s">
        <v>53</v>
      </c>
      <c r="Q526" s="2" t="s">
        <v>1248</v>
      </c>
      <c r="R526" s="4">
        <v>46139.720983796295</v>
      </c>
      <c r="S526" s="4">
        <v>46141.346782407411</v>
      </c>
      <c r="T526" s="2" t="s">
        <v>2010</v>
      </c>
      <c r="U526" s="1" t="s">
        <v>263</v>
      </c>
      <c r="V526" s="1" t="s">
        <v>264</v>
      </c>
      <c r="W526" s="1" t="s">
        <v>520</v>
      </c>
      <c r="X526" s="1" t="s">
        <v>520</v>
      </c>
      <c r="Y526" s="1" t="s">
        <v>1999</v>
      </c>
      <c r="Z526" s="1" t="s">
        <v>1253</v>
      </c>
      <c r="AA526" s="1" t="s">
        <v>265</v>
      </c>
    </row>
    <row r="527" spans="1:27" ht="17.45" customHeight="1">
      <c r="A527" s="3" t="s">
        <v>1638</v>
      </c>
      <c r="B527" s="3" t="s">
        <v>28</v>
      </c>
      <c r="C527">
        <v>1</v>
      </c>
      <c r="D527" s="3" t="s">
        <v>121</v>
      </c>
      <c r="E527" s="3" t="s">
        <v>2021</v>
      </c>
      <c r="F527" s="3" t="s">
        <v>520</v>
      </c>
      <c r="G527" s="3" t="s">
        <v>32</v>
      </c>
      <c r="H527" s="3" t="s">
        <v>124</v>
      </c>
      <c r="I527" s="3" t="s">
        <v>192</v>
      </c>
      <c r="J527" s="3" t="s">
        <v>35</v>
      </c>
      <c r="K527" s="3" t="s">
        <v>36</v>
      </c>
      <c r="L527" s="3" t="s">
        <v>51</v>
      </c>
      <c r="M527" s="3" t="s">
        <v>64</v>
      </c>
      <c r="N527" s="3" t="s">
        <v>1248</v>
      </c>
      <c r="O527" s="3" t="s">
        <v>41</v>
      </c>
      <c r="P527" s="3" t="s">
        <v>53</v>
      </c>
      <c r="Q527" s="3" t="s">
        <v>1248</v>
      </c>
      <c r="R527" s="5">
        <v>46139.721064814818</v>
      </c>
      <c r="S527" s="5">
        <v>46141.346076388887</v>
      </c>
      <c r="T527" s="3" t="s">
        <v>2010</v>
      </c>
      <c r="U527" s="1" t="s">
        <v>263</v>
      </c>
      <c r="V527" s="1" t="s">
        <v>264</v>
      </c>
      <c r="W527" s="1" t="s">
        <v>520</v>
      </c>
      <c r="X527" s="1" t="s">
        <v>520</v>
      </c>
      <c r="Y527" s="1" t="s">
        <v>1999</v>
      </c>
      <c r="Z527" s="1" t="s">
        <v>1253</v>
      </c>
      <c r="AA527" s="1" t="s">
        <v>265</v>
      </c>
    </row>
    <row r="528" spans="1:27" ht="17.45" customHeight="1">
      <c r="A528" s="2" t="s">
        <v>222</v>
      </c>
      <c r="B528" s="2" t="s">
        <v>28</v>
      </c>
      <c r="C528">
        <v>1</v>
      </c>
      <c r="D528" s="2" t="s">
        <v>121</v>
      </c>
      <c r="E528" s="2" t="s">
        <v>2022</v>
      </c>
      <c r="F528" s="2" t="s">
        <v>520</v>
      </c>
      <c r="G528" s="2" t="s">
        <v>32</v>
      </c>
      <c r="H528" s="2" t="s">
        <v>124</v>
      </c>
      <c r="I528" s="2" t="s">
        <v>192</v>
      </c>
      <c r="J528" s="2" t="s">
        <v>35</v>
      </c>
      <c r="K528" s="2" t="s">
        <v>36</v>
      </c>
      <c r="L528" s="2" t="s">
        <v>51</v>
      </c>
      <c r="M528" s="2" t="s">
        <v>64</v>
      </c>
      <c r="N528" s="2" t="s">
        <v>1248</v>
      </c>
      <c r="O528" s="2" t="s">
        <v>41</v>
      </c>
      <c r="P528" s="2" t="s">
        <v>53</v>
      </c>
      <c r="Q528" s="2" t="s">
        <v>1248</v>
      </c>
      <c r="R528" s="4">
        <v>46139.72115740741</v>
      </c>
      <c r="S528" s="4">
        <v>46141.345868055556</v>
      </c>
      <c r="T528" s="2" t="s">
        <v>2010</v>
      </c>
      <c r="U528" s="1" t="s">
        <v>263</v>
      </c>
      <c r="V528" s="1" t="s">
        <v>264</v>
      </c>
      <c r="W528" s="1" t="s">
        <v>520</v>
      </c>
      <c r="X528" s="1" t="s">
        <v>520</v>
      </c>
      <c r="Y528" s="1" t="s">
        <v>1999</v>
      </c>
      <c r="Z528" s="1" t="s">
        <v>1253</v>
      </c>
      <c r="AA528" s="1" t="s">
        <v>265</v>
      </c>
    </row>
    <row r="529" spans="1:27" ht="17.45" customHeight="1">
      <c r="A529" s="3" t="s">
        <v>704</v>
      </c>
      <c r="B529" s="3" t="s">
        <v>28</v>
      </c>
      <c r="C529">
        <v>1</v>
      </c>
      <c r="D529" s="3" t="s">
        <v>121</v>
      </c>
      <c r="E529" s="3" t="s">
        <v>2023</v>
      </c>
      <c r="F529" s="3" t="s">
        <v>520</v>
      </c>
      <c r="G529" s="3" t="s">
        <v>32</v>
      </c>
      <c r="H529" s="3" t="s">
        <v>124</v>
      </c>
      <c r="I529" s="3" t="s">
        <v>157</v>
      </c>
      <c r="J529" s="3" t="s">
        <v>35</v>
      </c>
      <c r="K529" s="3" t="s">
        <v>36</v>
      </c>
      <c r="L529" s="3" t="s">
        <v>51</v>
      </c>
      <c r="M529" s="3" t="s">
        <v>64</v>
      </c>
      <c r="N529" s="3" t="s">
        <v>1248</v>
      </c>
      <c r="O529" s="3" t="s">
        <v>41</v>
      </c>
      <c r="P529" s="3" t="s">
        <v>53</v>
      </c>
      <c r="Q529" s="3" t="s">
        <v>1248</v>
      </c>
      <c r="R529" s="5">
        <v>46139.721238425926</v>
      </c>
      <c r="S529" s="5">
        <v>46141.345706018517</v>
      </c>
      <c r="T529" s="3" t="s">
        <v>2010</v>
      </c>
      <c r="U529" s="1" t="s">
        <v>263</v>
      </c>
      <c r="V529" s="1" t="s">
        <v>264</v>
      </c>
      <c r="W529" s="1" t="s">
        <v>520</v>
      </c>
      <c r="X529" s="1" t="s">
        <v>520</v>
      </c>
      <c r="Y529" s="1" t="s">
        <v>1999</v>
      </c>
      <c r="Z529" s="1" t="s">
        <v>1253</v>
      </c>
      <c r="AA529" s="1" t="s">
        <v>265</v>
      </c>
    </row>
    <row r="530" spans="1:27" ht="17.45" customHeight="1">
      <c r="A530" s="2" t="s">
        <v>1771</v>
      </c>
      <c r="B530" s="2" t="s">
        <v>171</v>
      </c>
      <c r="C530">
        <v>1</v>
      </c>
      <c r="D530" s="2" t="s">
        <v>29</v>
      </c>
      <c r="E530" s="2" t="s">
        <v>2024</v>
      </c>
      <c r="F530" s="2" t="s">
        <v>2025</v>
      </c>
      <c r="G530" s="2" t="s">
        <v>32</v>
      </c>
      <c r="H530" s="2" t="s">
        <v>33</v>
      </c>
      <c r="I530" s="2" t="s">
        <v>78</v>
      </c>
      <c r="J530" s="2" t="s">
        <v>35</v>
      </c>
      <c r="K530" s="2" t="s">
        <v>36</v>
      </c>
      <c r="L530" s="2" t="s">
        <v>51</v>
      </c>
      <c r="M530" s="2" t="s">
        <v>115</v>
      </c>
      <c r="N530" s="2" t="s">
        <v>1248</v>
      </c>
      <c r="O530" s="2" t="s">
        <v>41</v>
      </c>
      <c r="P530" s="2" t="s">
        <v>53</v>
      </c>
      <c r="Q530" s="2" t="s">
        <v>1248</v>
      </c>
      <c r="R530" s="4">
        <v>46139.728900462964</v>
      </c>
      <c r="S530" s="4">
        <v>46142.645694444444</v>
      </c>
      <c r="T530" s="2" t="s">
        <v>2026</v>
      </c>
      <c r="U530" s="1" t="s">
        <v>165</v>
      </c>
      <c r="V530" s="1" t="s">
        <v>238</v>
      </c>
      <c r="W530" s="1" t="s">
        <v>2027</v>
      </c>
      <c r="X530" s="1" t="s">
        <v>2028</v>
      </c>
      <c r="Y530" s="1" t="s">
        <v>2029</v>
      </c>
      <c r="Z530" s="1" t="s">
        <v>1267</v>
      </c>
      <c r="AA530" s="1" t="s">
        <v>169</v>
      </c>
    </row>
    <row r="531" spans="1:27" ht="17.45" customHeight="1">
      <c r="A531" s="3" t="s">
        <v>534</v>
      </c>
      <c r="B531" s="3" t="s">
        <v>181</v>
      </c>
      <c r="C531">
        <v>1</v>
      </c>
      <c r="D531" s="3" t="s">
        <v>29</v>
      </c>
      <c r="E531" s="3" t="s">
        <v>2030</v>
      </c>
      <c r="F531" s="3" t="s">
        <v>2031</v>
      </c>
      <c r="G531" s="3" t="s">
        <v>32</v>
      </c>
      <c r="H531" s="3" t="s">
        <v>33</v>
      </c>
      <c r="I531" s="3" t="s">
        <v>34</v>
      </c>
      <c r="J531" s="3" t="s">
        <v>35</v>
      </c>
      <c r="K531" s="3" t="s">
        <v>36</v>
      </c>
      <c r="L531" s="3" t="s">
        <v>51</v>
      </c>
      <c r="M531" s="3" t="s">
        <v>64</v>
      </c>
      <c r="N531" s="3" t="s">
        <v>1248</v>
      </c>
      <c r="O531" s="3" t="s">
        <v>41</v>
      </c>
      <c r="P531" s="3" t="s">
        <v>53</v>
      </c>
      <c r="Q531" s="3" t="s">
        <v>1248</v>
      </c>
      <c r="R531" s="5">
        <v>46140.412256944444</v>
      </c>
      <c r="S531" s="5">
        <v>46142.608078703706</v>
      </c>
      <c r="T531" s="3" t="s">
        <v>2032</v>
      </c>
      <c r="U531" s="1" t="s">
        <v>263</v>
      </c>
      <c r="V531" s="1" t="s">
        <v>264</v>
      </c>
      <c r="W531" s="1" t="s">
        <v>2033</v>
      </c>
      <c r="X531" s="1" t="s">
        <v>2033</v>
      </c>
      <c r="Y531" s="1" t="s">
        <v>2034</v>
      </c>
      <c r="Z531" s="1" t="s">
        <v>1267</v>
      </c>
      <c r="AA531" s="1" t="s">
        <v>265</v>
      </c>
    </row>
    <row r="532" spans="1:27" ht="17.45" customHeight="1">
      <c r="A532" s="2" t="s">
        <v>1753</v>
      </c>
      <c r="B532" s="2" t="s">
        <v>120</v>
      </c>
      <c r="C532">
        <v>1</v>
      </c>
      <c r="D532" s="2" t="s">
        <v>1273</v>
      </c>
      <c r="E532" s="2" t="s">
        <v>2035</v>
      </c>
      <c r="F532" s="2" t="s">
        <v>2036</v>
      </c>
      <c r="G532" s="2" t="s">
        <v>32</v>
      </c>
      <c r="H532" s="2" t="s">
        <v>1276</v>
      </c>
      <c r="I532" s="2" t="s">
        <v>1292</v>
      </c>
      <c r="J532" s="2" t="s">
        <v>35</v>
      </c>
      <c r="K532" s="2" t="s">
        <v>36</v>
      </c>
      <c r="L532" s="2" t="s">
        <v>51</v>
      </c>
      <c r="M532" s="2" t="s">
        <v>64</v>
      </c>
      <c r="N532" s="2" t="s">
        <v>1248</v>
      </c>
      <c r="O532" s="2" t="s">
        <v>41</v>
      </c>
      <c r="P532" s="2" t="s">
        <v>53</v>
      </c>
      <c r="Q532" s="2" t="s">
        <v>1248</v>
      </c>
      <c r="R532" s="4">
        <v>46140.536747685182</v>
      </c>
      <c r="S532" s="4">
        <v>46142.44258101852</v>
      </c>
      <c r="T532" s="2" t="s">
        <v>2037</v>
      </c>
      <c r="U532" s="1" t="s">
        <v>59</v>
      </c>
      <c r="V532" s="1" t="s">
        <v>142</v>
      </c>
      <c r="W532" s="1" t="s">
        <v>2038</v>
      </c>
      <c r="X532" s="1" t="s">
        <v>2038</v>
      </c>
      <c r="Y532" s="1" t="s">
        <v>2039</v>
      </c>
      <c r="Z532" s="1" t="s">
        <v>1267</v>
      </c>
      <c r="AA532" s="1" t="s">
        <v>61</v>
      </c>
    </row>
    <row r="533" spans="1:27" ht="17.45" customHeight="1">
      <c r="A533" s="3" t="s">
        <v>1103</v>
      </c>
      <c r="B533" s="3" t="s">
        <v>48</v>
      </c>
      <c r="C533">
        <v>1</v>
      </c>
      <c r="D533" s="3" t="s">
        <v>121</v>
      </c>
      <c r="E533" s="3" t="s">
        <v>2040</v>
      </c>
      <c r="F533" s="3" t="s">
        <v>2041</v>
      </c>
      <c r="G533" s="3" t="s">
        <v>32</v>
      </c>
      <c r="H533" s="3" t="s">
        <v>124</v>
      </c>
      <c r="I533" s="3" t="s">
        <v>212</v>
      </c>
      <c r="J533" s="3" t="s">
        <v>35</v>
      </c>
      <c r="K533" s="3" t="s">
        <v>36</v>
      </c>
      <c r="L533" s="3" t="s">
        <v>51</v>
      </c>
      <c r="M533" s="3" t="s">
        <v>52</v>
      </c>
      <c r="N533" s="3" t="s">
        <v>1248</v>
      </c>
      <c r="O533" s="3" t="s">
        <v>41</v>
      </c>
      <c r="P533" s="3" t="s">
        <v>53</v>
      </c>
      <c r="Q533" s="3" t="s">
        <v>1248</v>
      </c>
      <c r="R533" s="5">
        <v>46140.547164351854</v>
      </c>
      <c r="S533" s="5">
        <v>46141.401539351849</v>
      </c>
      <c r="T533" s="3" t="s">
        <v>1270</v>
      </c>
      <c r="U533" s="1" t="s">
        <v>42</v>
      </c>
      <c r="V533" s="1" t="s">
        <v>43</v>
      </c>
      <c r="W533" s="1" t="s">
        <v>2042</v>
      </c>
      <c r="X533" s="1" t="s">
        <v>2042</v>
      </c>
      <c r="Y533" s="1" t="s">
        <v>1271</v>
      </c>
      <c r="Z533" s="1" t="s">
        <v>1253</v>
      </c>
      <c r="AA533" s="1" t="s">
        <v>46</v>
      </c>
    </row>
    <row r="534" spans="1:27" ht="17.45" customHeight="1">
      <c r="A534" s="2" t="s">
        <v>1184</v>
      </c>
      <c r="B534" s="2" t="s">
        <v>181</v>
      </c>
      <c r="C534">
        <v>1</v>
      </c>
      <c r="D534" s="2" t="s">
        <v>121</v>
      </c>
      <c r="E534" s="2" t="s">
        <v>2043</v>
      </c>
      <c r="F534" s="2" t="s">
        <v>2044</v>
      </c>
      <c r="G534" s="2" t="s">
        <v>32</v>
      </c>
      <c r="H534" s="2" t="s">
        <v>124</v>
      </c>
      <c r="I534" s="2" t="s">
        <v>147</v>
      </c>
      <c r="J534" s="2" t="s">
        <v>35</v>
      </c>
      <c r="K534" s="2" t="s">
        <v>36</v>
      </c>
      <c r="L534" s="2" t="s">
        <v>51</v>
      </c>
      <c r="M534" s="2" t="s">
        <v>115</v>
      </c>
      <c r="N534" s="2" t="s">
        <v>1248</v>
      </c>
      <c r="O534" s="2" t="s">
        <v>41</v>
      </c>
      <c r="P534" s="2" t="s">
        <v>40</v>
      </c>
      <c r="Q534" s="2" t="s">
        <v>1248</v>
      </c>
      <c r="R534" s="4">
        <v>46139.632152777776</v>
      </c>
      <c r="S534" s="4">
        <v>46141.403460648151</v>
      </c>
      <c r="T534" s="2" t="s">
        <v>2045</v>
      </c>
      <c r="U534" s="1" t="s">
        <v>263</v>
      </c>
      <c r="V534" s="1" t="s">
        <v>264</v>
      </c>
      <c r="W534" s="1" t="s">
        <v>2046</v>
      </c>
      <c r="X534" s="1" t="s">
        <v>2046</v>
      </c>
      <c r="Y534" s="1" t="s">
        <v>2047</v>
      </c>
      <c r="Z534" s="1" t="s">
        <v>1253</v>
      </c>
      <c r="AA534" s="1" t="s">
        <v>265</v>
      </c>
    </row>
    <row r="535" spans="1:27" ht="17.45" customHeight="1">
      <c r="A535" s="3" t="s">
        <v>534</v>
      </c>
      <c r="B535" s="3" t="s">
        <v>181</v>
      </c>
      <c r="C535">
        <v>1</v>
      </c>
      <c r="D535" s="3" t="s">
        <v>29</v>
      </c>
      <c r="E535" s="3" t="s">
        <v>2048</v>
      </c>
      <c r="F535" s="3" t="s">
        <v>2049</v>
      </c>
      <c r="G535" s="3" t="s">
        <v>32</v>
      </c>
      <c r="H535" s="3" t="s">
        <v>33</v>
      </c>
      <c r="I535" s="3" t="s">
        <v>34</v>
      </c>
      <c r="J535" s="3" t="s">
        <v>35</v>
      </c>
      <c r="K535" s="3" t="s">
        <v>36</v>
      </c>
      <c r="L535" s="3" t="s">
        <v>37</v>
      </c>
      <c r="M535" s="3" t="s">
        <v>115</v>
      </c>
      <c r="N535" s="3" t="s">
        <v>1248</v>
      </c>
      <c r="O535" s="3" t="s">
        <v>41</v>
      </c>
      <c r="P535" s="3" t="s">
        <v>40</v>
      </c>
      <c r="Q535" s="3" t="s">
        <v>1248</v>
      </c>
      <c r="R535" s="5">
        <v>46139.670497685183</v>
      </c>
      <c r="S535" s="5">
        <v>46142.604930555557</v>
      </c>
      <c r="T535" s="3" t="s">
        <v>2050</v>
      </c>
      <c r="U535" s="1" t="s">
        <v>42</v>
      </c>
      <c r="V535" s="1" t="s">
        <v>74</v>
      </c>
      <c r="W535" s="1" t="s">
        <v>2051</v>
      </c>
      <c r="X535" s="1" t="s">
        <v>2052</v>
      </c>
      <c r="Y535" s="1" t="s">
        <v>2053</v>
      </c>
      <c r="Z535" s="1" t="s">
        <v>1253</v>
      </c>
      <c r="AA535" s="1" t="s">
        <v>46</v>
      </c>
    </row>
    <row r="536" spans="1:27" ht="17.45" customHeight="1">
      <c r="A536" s="2" t="s">
        <v>1771</v>
      </c>
      <c r="B536" s="2" t="s">
        <v>171</v>
      </c>
      <c r="C536">
        <v>1</v>
      </c>
      <c r="D536" s="2" t="s">
        <v>29</v>
      </c>
      <c r="E536" s="2" t="s">
        <v>2054</v>
      </c>
      <c r="F536" s="2" t="s">
        <v>2055</v>
      </c>
      <c r="G536" s="2" t="s">
        <v>32</v>
      </c>
      <c r="H536" s="2" t="s">
        <v>33</v>
      </c>
      <c r="I536" s="2" t="s">
        <v>78</v>
      </c>
      <c r="J536" s="2" t="s">
        <v>35</v>
      </c>
      <c r="K536" s="2" t="s">
        <v>36</v>
      </c>
      <c r="L536" s="2" t="s">
        <v>51</v>
      </c>
      <c r="M536" s="2" t="s">
        <v>64</v>
      </c>
      <c r="N536" s="2" t="s">
        <v>1248</v>
      </c>
      <c r="O536" s="2" t="s">
        <v>41</v>
      </c>
      <c r="P536" s="2" t="s">
        <v>53</v>
      </c>
      <c r="Q536" s="2" t="s">
        <v>1248</v>
      </c>
      <c r="R536" s="4">
        <v>46139.738703703704</v>
      </c>
      <c r="S536" s="4">
        <v>46142.645925925928</v>
      </c>
      <c r="T536" s="2" t="s">
        <v>2056</v>
      </c>
      <c r="U536" s="1" t="s">
        <v>243</v>
      </c>
      <c r="V536" s="1" t="s">
        <v>340</v>
      </c>
      <c r="W536" s="1" t="s">
        <v>2057</v>
      </c>
      <c r="X536" s="1" t="s">
        <v>2055</v>
      </c>
      <c r="Y536" s="1" t="s">
        <v>2058</v>
      </c>
      <c r="Z536" s="1" t="s">
        <v>1253</v>
      </c>
      <c r="AA536" s="1" t="s">
        <v>246</v>
      </c>
    </row>
    <row r="537" spans="1:27" ht="17.45" customHeight="1">
      <c r="A537" s="3" t="s">
        <v>2059</v>
      </c>
      <c r="B537" s="3" t="s">
        <v>171</v>
      </c>
      <c r="C537">
        <v>1</v>
      </c>
      <c r="D537" s="3" t="s">
        <v>29</v>
      </c>
      <c r="E537" s="3" t="s">
        <v>2060</v>
      </c>
      <c r="F537" s="3" t="s">
        <v>2055</v>
      </c>
      <c r="G537" s="3" t="s">
        <v>32</v>
      </c>
      <c r="H537" s="3" t="s">
        <v>33</v>
      </c>
      <c r="I537" s="3" t="s">
        <v>78</v>
      </c>
      <c r="J537" s="3" t="s">
        <v>35</v>
      </c>
      <c r="K537" s="3" t="s">
        <v>36</v>
      </c>
      <c r="L537" s="3" t="s">
        <v>51</v>
      </c>
      <c r="M537" s="3" t="s">
        <v>64</v>
      </c>
      <c r="N537" s="3" t="s">
        <v>1248</v>
      </c>
      <c r="O537" s="3" t="s">
        <v>41</v>
      </c>
      <c r="P537" s="3" t="s">
        <v>53</v>
      </c>
      <c r="Q537" s="3" t="s">
        <v>1248</v>
      </c>
      <c r="R537" s="5">
        <v>46139.739108796297</v>
      </c>
      <c r="S537" s="5">
        <v>46142.64466435185</v>
      </c>
      <c r="T537" s="3" t="s">
        <v>2061</v>
      </c>
      <c r="U537" s="1" t="s">
        <v>243</v>
      </c>
      <c r="V537" s="1" t="s">
        <v>340</v>
      </c>
      <c r="W537" s="1" t="s">
        <v>2057</v>
      </c>
      <c r="X537" s="1" t="s">
        <v>2055</v>
      </c>
      <c r="Y537" s="1" t="s">
        <v>2062</v>
      </c>
      <c r="Z537" s="1" t="s">
        <v>1253</v>
      </c>
      <c r="AA537" s="1" t="s">
        <v>246</v>
      </c>
    </row>
    <row r="538" spans="1:27" ht="17.45" customHeight="1">
      <c r="A538" s="2" t="s">
        <v>762</v>
      </c>
      <c r="B538" s="2" t="s">
        <v>120</v>
      </c>
      <c r="C538">
        <v>1</v>
      </c>
      <c r="D538" s="2" t="s">
        <v>121</v>
      </c>
      <c r="E538" s="2" t="s">
        <v>2063</v>
      </c>
      <c r="F538" s="2" t="s">
        <v>1255</v>
      </c>
      <c r="G538" s="2" t="s">
        <v>32</v>
      </c>
      <c r="H538" s="2" t="s">
        <v>124</v>
      </c>
      <c r="I538" s="2" t="s">
        <v>761</v>
      </c>
      <c r="J538" s="2" t="s">
        <v>35</v>
      </c>
      <c r="K538" s="2" t="s">
        <v>36</v>
      </c>
      <c r="L538" s="2" t="s">
        <v>37</v>
      </c>
      <c r="M538" s="2" t="s">
        <v>82</v>
      </c>
      <c r="N538" s="2" t="s">
        <v>1248</v>
      </c>
      <c r="O538" s="2" t="s">
        <v>41</v>
      </c>
      <c r="P538" s="2" t="s">
        <v>58</v>
      </c>
      <c r="Q538" s="2" t="s">
        <v>1248</v>
      </c>
      <c r="R538" s="4">
        <v>46140.431331018517</v>
      </c>
      <c r="S538" s="4">
        <v>46141.317002314812</v>
      </c>
      <c r="T538" s="2" t="s">
        <v>1256</v>
      </c>
      <c r="U538" s="1" t="s">
        <v>115</v>
      </c>
      <c r="V538" s="1" t="s">
        <v>116</v>
      </c>
      <c r="W538" s="1" t="s">
        <v>1255</v>
      </c>
      <c r="X538" s="1" t="s">
        <v>1255</v>
      </c>
      <c r="Y538" s="1" t="s">
        <v>1257</v>
      </c>
      <c r="Z538" s="1" t="s">
        <v>1253</v>
      </c>
      <c r="AA538" s="1" t="s">
        <v>118</v>
      </c>
    </row>
    <row r="539" spans="1:27" ht="17.45" customHeight="1">
      <c r="A539" s="3" t="s">
        <v>218</v>
      </c>
      <c r="B539" s="3" t="s">
        <v>48</v>
      </c>
      <c r="C539">
        <v>1</v>
      </c>
      <c r="D539" s="3" t="s">
        <v>121</v>
      </c>
      <c r="E539" s="3" t="s">
        <v>2064</v>
      </c>
      <c r="F539" s="3" t="s">
        <v>2065</v>
      </c>
      <c r="G539" s="3" t="s">
        <v>32</v>
      </c>
      <c r="H539" s="3" t="s">
        <v>124</v>
      </c>
      <c r="I539" s="3" t="s">
        <v>212</v>
      </c>
      <c r="J539" s="3" t="s">
        <v>35</v>
      </c>
      <c r="K539" s="3" t="s">
        <v>36</v>
      </c>
      <c r="L539" s="3" t="s">
        <v>37</v>
      </c>
      <c r="M539" s="3" t="s">
        <v>52</v>
      </c>
      <c r="N539" s="3" t="s">
        <v>1248</v>
      </c>
      <c r="O539" s="3" t="s">
        <v>41</v>
      </c>
      <c r="P539" s="3" t="s">
        <v>53</v>
      </c>
      <c r="Q539" s="3" t="s">
        <v>1248</v>
      </c>
      <c r="R539" s="5">
        <v>46140.556620370371</v>
      </c>
      <c r="S539" s="5">
        <v>46141.401817129627</v>
      </c>
      <c r="T539" s="3" t="s">
        <v>1270</v>
      </c>
      <c r="U539" s="1" t="s">
        <v>42</v>
      </c>
      <c r="V539" s="1" t="s">
        <v>43</v>
      </c>
      <c r="W539" s="1" t="s">
        <v>2065</v>
      </c>
      <c r="X539" s="1" t="s">
        <v>2065</v>
      </c>
      <c r="Y539" s="1" t="s">
        <v>1271</v>
      </c>
      <c r="Z539" s="1" t="s">
        <v>1253</v>
      </c>
      <c r="AA539" s="1" t="s">
        <v>46</v>
      </c>
    </row>
    <row r="540" spans="1:27" ht="17.45" customHeight="1">
      <c r="A540" s="2" t="s">
        <v>534</v>
      </c>
      <c r="B540" s="2" t="s">
        <v>181</v>
      </c>
      <c r="C540">
        <v>1</v>
      </c>
      <c r="D540" s="2" t="s">
        <v>29</v>
      </c>
      <c r="E540" s="2" t="s">
        <v>2066</v>
      </c>
      <c r="F540" s="2" t="s">
        <v>2067</v>
      </c>
      <c r="G540" s="2" t="s">
        <v>32</v>
      </c>
      <c r="H540" s="2" t="s">
        <v>33</v>
      </c>
      <c r="I540" s="2" t="s">
        <v>34</v>
      </c>
      <c r="J540" s="2" t="s">
        <v>35</v>
      </c>
      <c r="K540" s="2" t="s">
        <v>36</v>
      </c>
      <c r="L540" s="2" t="s">
        <v>51</v>
      </c>
      <c r="M540" s="2" t="s">
        <v>64</v>
      </c>
      <c r="N540" s="2" t="s">
        <v>1248</v>
      </c>
      <c r="O540" s="2" t="s">
        <v>41</v>
      </c>
      <c r="P540" s="2" t="s">
        <v>53</v>
      </c>
      <c r="Q540" s="2" t="s">
        <v>1248</v>
      </c>
      <c r="R540" s="4">
        <v>46140.576620370368</v>
      </c>
      <c r="S540" s="4">
        <v>46142.642233796294</v>
      </c>
      <c r="T540" s="2" t="s">
        <v>2068</v>
      </c>
      <c r="U540" s="1" t="s">
        <v>95</v>
      </c>
      <c r="V540" s="1" t="s">
        <v>96</v>
      </c>
      <c r="W540" s="1" t="s">
        <v>2069</v>
      </c>
      <c r="X540" s="1" t="s">
        <v>2070</v>
      </c>
      <c r="Y540" s="1" t="s">
        <v>2071</v>
      </c>
      <c r="Z540" s="1" t="s">
        <v>1267</v>
      </c>
      <c r="AA540" s="1" t="s">
        <v>98</v>
      </c>
    </row>
    <row r="541" spans="1:27" ht="17.45" customHeight="1">
      <c r="A541" s="3" t="s">
        <v>534</v>
      </c>
      <c r="B541" s="3" t="s">
        <v>181</v>
      </c>
      <c r="C541">
        <v>1</v>
      </c>
      <c r="D541" s="3" t="s">
        <v>29</v>
      </c>
      <c r="E541" s="3" t="s">
        <v>2072</v>
      </c>
      <c r="F541" s="3" t="s">
        <v>2073</v>
      </c>
      <c r="G541" s="3" t="s">
        <v>32</v>
      </c>
      <c r="H541" s="3" t="s">
        <v>33</v>
      </c>
      <c r="I541" s="3" t="s">
        <v>34</v>
      </c>
      <c r="J541" s="3" t="s">
        <v>35</v>
      </c>
      <c r="K541" s="3" t="s">
        <v>36</v>
      </c>
      <c r="L541" s="3" t="s">
        <v>51</v>
      </c>
      <c r="M541" s="3" t="s">
        <v>64</v>
      </c>
      <c r="N541" s="3" t="s">
        <v>1248</v>
      </c>
      <c r="O541" s="3" t="s">
        <v>41</v>
      </c>
      <c r="P541" s="3" t="s">
        <v>53</v>
      </c>
      <c r="Q541" s="3" t="s">
        <v>1248</v>
      </c>
      <c r="R541" s="5">
        <v>46140.579756944448</v>
      </c>
      <c r="S541" s="5">
        <v>46142.644432870373</v>
      </c>
      <c r="T541" s="3" t="s">
        <v>2074</v>
      </c>
      <c r="U541" s="1" t="s">
        <v>95</v>
      </c>
      <c r="V541" s="1" t="s">
        <v>96</v>
      </c>
      <c r="W541" s="1" t="s">
        <v>2075</v>
      </c>
      <c r="X541" s="1" t="s">
        <v>2076</v>
      </c>
      <c r="Y541" s="1" t="s">
        <v>2077</v>
      </c>
      <c r="Z541" s="1" t="s">
        <v>1297</v>
      </c>
      <c r="AA541" s="1" t="s">
        <v>98</v>
      </c>
    </row>
    <row r="542" spans="1:27" ht="17.45" customHeight="1">
      <c r="A542" s="2" t="s">
        <v>2078</v>
      </c>
      <c r="B542" s="2" t="s">
        <v>171</v>
      </c>
      <c r="C542">
        <v>1</v>
      </c>
      <c r="D542" s="2" t="s">
        <v>228</v>
      </c>
      <c r="E542" s="2" t="s">
        <v>2079</v>
      </c>
      <c r="F542" s="2" t="s">
        <v>2005</v>
      </c>
      <c r="G542" s="2" t="s">
        <v>32</v>
      </c>
      <c r="H542" s="2" t="s">
        <v>124</v>
      </c>
      <c r="I542" s="2" t="s">
        <v>124</v>
      </c>
      <c r="J542" s="2" t="s">
        <v>35</v>
      </c>
      <c r="K542" s="2" t="s">
        <v>36</v>
      </c>
      <c r="L542" s="2" t="s">
        <v>51</v>
      </c>
      <c r="M542" s="2" t="s">
        <v>52</v>
      </c>
      <c r="N542" s="2" t="s">
        <v>1248</v>
      </c>
      <c r="O542" s="2" t="s">
        <v>41</v>
      </c>
      <c r="P542" s="2" t="s">
        <v>53</v>
      </c>
      <c r="Q542" s="2" t="s">
        <v>1248</v>
      </c>
      <c r="R542" s="4">
        <v>46140.632997685185</v>
      </c>
      <c r="S542" s="4">
        <v>46149.754502314812</v>
      </c>
      <c r="T542" s="2" t="s">
        <v>2080</v>
      </c>
      <c r="U542" s="1" t="s">
        <v>263</v>
      </c>
      <c r="V542" s="1" t="s">
        <v>264</v>
      </c>
      <c r="W542" s="1" t="s">
        <v>2005</v>
      </c>
      <c r="X542" s="1" t="s">
        <v>2005</v>
      </c>
      <c r="Y542" s="1" t="s">
        <v>2081</v>
      </c>
      <c r="Z542" s="1" t="s">
        <v>1253</v>
      </c>
      <c r="AA542" s="1" t="s">
        <v>265</v>
      </c>
    </row>
    <row r="543" spans="1:27" ht="17.45" customHeight="1">
      <c r="A543" s="3" t="s">
        <v>2082</v>
      </c>
      <c r="B543" s="3" t="s">
        <v>181</v>
      </c>
      <c r="C543">
        <v>1</v>
      </c>
      <c r="D543" s="3" t="s">
        <v>1273</v>
      </c>
      <c r="E543" s="3" t="s">
        <v>2083</v>
      </c>
      <c r="F543" s="3" t="s">
        <v>2084</v>
      </c>
      <c r="G543" s="3" t="s">
        <v>32</v>
      </c>
      <c r="H543" s="3" t="s">
        <v>1276</v>
      </c>
      <c r="I543" s="3" t="s">
        <v>1285</v>
      </c>
      <c r="J543" s="3" t="s">
        <v>35</v>
      </c>
      <c r="K543" s="3" t="s">
        <v>36</v>
      </c>
      <c r="L543" s="3" t="s">
        <v>37</v>
      </c>
      <c r="M543" s="3" t="s">
        <v>52</v>
      </c>
      <c r="N543" s="3" t="s">
        <v>1248</v>
      </c>
      <c r="O543" s="3" t="s">
        <v>41</v>
      </c>
      <c r="P543" s="3" t="s">
        <v>40</v>
      </c>
      <c r="Q543" s="3" t="s">
        <v>1248</v>
      </c>
      <c r="R543" s="5">
        <v>46140.693564814814</v>
      </c>
      <c r="S543" s="5">
        <v>46142.434664351851</v>
      </c>
      <c r="T543" s="3" t="s">
        <v>2085</v>
      </c>
      <c r="U543" s="1" t="s">
        <v>165</v>
      </c>
      <c r="V543" s="1" t="s">
        <v>625</v>
      </c>
      <c r="W543" s="1" t="s">
        <v>2086</v>
      </c>
      <c r="X543" s="1" t="s">
        <v>2087</v>
      </c>
      <c r="Y543" s="1" t="s">
        <v>2088</v>
      </c>
      <c r="Z543" s="1" t="s">
        <v>1253</v>
      </c>
      <c r="AA543" s="1" t="s">
        <v>169</v>
      </c>
    </row>
    <row r="544" spans="1:27" ht="17.45" customHeight="1">
      <c r="A544" s="2" t="s">
        <v>1894</v>
      </c>
      <c r="B544" s="2" t="s">
        <v>48</v>
      </c>
      <c r="C544">
        <v>1</v>
      </c>
      <c r="D544" s="2" t="s">
        <v>1273</v>
      </c>
      <c r="E544" s="2" t="s">
        <v>2089</v>
      </c>
      <c r="F544" s="2" t="s">
        <v>2090</v>
      </c>
      <c r="G544" s="2" t="s">
        <v>32</v>
      </c>
      <c r="H544" s="2" t="s">
        <v>1276</v>
      </c>
      <c r="I544" s="2" t="s">
        <v>1285</v>
      </c>
      <c r="J544" s="2" t="s">
        <v>35</v>
      </c>
      <c r="K544" s="2" t="s">
        <v>36</v>
      </c>
      <c r="L544" s="2" t="s">
        <v>51</v>
      </c>
      <c r="M544" s="2" t="s">
        <v>64</v>
      </c>
      <c r="N544" s="2" t="s">
        <v>1248</v>
      </c>
      <c r="O544" s="2" t="s">
        <v>41</v>
      </c>
      <c r="P544" s="2" t="s">
        <v>53</v>
      </c>
      <c r="Q544" s="2" t="s">
        <v>1248</v>
      </c>
      <c r="R544" s="4">
        <v>46141.384340277778</v>
      </c>
      <c r="S544" s="4">
        <v>46142.44462962963</v>
      </c>
      <c r="T544" s="2" t="s">
        <v>2091</v>
      </c>
      <c r="U544" s="1" t="s">
        <v>42</v>
      </c>
      <c r="V544" s="1" t="s">
        <v>105</v>
      </c>
      <c r="W544" s="1" t="s">
        <v>2092</v>
      </c>
      <c r="X544" s="1" t="s">
        <v>2090</v>
      </c>
      <c r="Y544" s="1" t="s">
        <v>2093</v>
      </c>
      <c r="Z544" s="1" t="s">
        <v>1267</v>
      </c>
      <c r="AA544" s="1" t="s">
        <v>46</v>
      </c>
    </row>
    <row r="545" spans="1:27" ht="17.45" customHeight="1">
      <c r="A545" s="3" t="s">
        <v>1289</v>
      </c>
      <c r="B545" s="3" t="s">
        <v>171</v>
      </c>
      <c r="C545">
        <v>1</v>
      </c>
      <c r="D545" s="3" t="s">
        <v>1273</v>
      </c>
      <c r="E545" s="3" t="s">
        <v>2094</v>
      </c>
      <c r="F545" s="3" t="s">
        <v>2095</v>
      </c>
      <c r="G545" s="3" t="s">
        <v>32</v>
      </c>
      <c r="H545" s="3" t="s">
        <v>1276</v>
      </c>
      <c r="I545" s="3" t="s">
        <v>1292</v>
      </c>
      <c r="J545" s="3" t="s">
        <v>35</v>
      </c>
      <c r="K545" s="3" t="s">
        <v>36</v>
      </c>
      <c r="L545" s="3" t="s">
        <v>51</v>
      </c>
      <c r="M545" s="3" t="s">
        <v>64</v>
      </c>
      <c r="N545" s="3" t="s">
        <v>1248</v>
      </c>
      <c r="O545" s="3" t="s">
        <v>41</v>
      </c>
      <c r="P545" s="3" t="s">
        <v>53</v>
      </c>
      <c r="Q545" s="3" t="s">
        <v>1248</v>
      </c>
      <c r="R545" s="5">
        <v>46141.605937499997</v>
      </c>
      <c r="S545" s="5">
        <v>46142.538263888891</v>
      </c>
      <c r="T545" s="3" t="s">
        <v>1306</v>
      </c>
      <c r="U545" s="1" t="s">
        <v>95</v>
      </c>
      <c r="V545" s="1" t="s">
        <v>96</v>
      </c>
      <c r="W545" s="1" t="s">
        <v>2095</v>
      </c>
      <c r="X545" s="1" t="s">
        <v>2095</v>
      </c>
      <c r="Y545" s="1" t="s">
        <v>1307</v>
      </c>
      <c r="Z545" s="1" t="s">
        <v>1253</v>
      </c>
      <c r="AA545" s="1" t="s">
        <v>98</v>
      </c>
    </row>
    <row r="546" spans="1:27" ht="17.45" customHeight="1">
      <c r="A546" s="2" t="s">
        <v>1692</v>
      </c>
      <c r="B546" s="2" t="s">
        <v>48</v>
      </c>
      <c r="C546">
        <v>1</v>
      </c>
      <c r="D546" s="2" t="s">
        <v>228</v>
      </c>
      <c r="E546" s="2" t="s">
        <v>2096</v>
      </c>
      <c r="F546" s="2" t="s">
        <v>2097</v>
      </c>
      <c r="G546" s="2" t="s">
        <v>32</v>
      </c>
      <c r="H546" s="2" t="s">
        <v>124</v>
      </c>
      <c r="I546" s="2" t="s">
        <v>124</v>
      </c>
      <c r="J546" s="2" t="s">
        <v>35</v>
      </c>
      <c r="K546" s="2" t="s">
        <v>36</v>
      </c>
      <c r="L546" s="2" t="s">
        <v>37</v>
      </c>
      <c r="M546" s="2" t="s">
        <v>64</v>
      </c>
      <c r="N546" s="2" t="s">
        <v>1248</v>
      </c>
      <c r="O546" s="2" t="s">
        <v>41</v>
      </c>
      <c r="P546" s="2" t="s">
        <v>40</v>
      </c>
      <c r="Q546" s="2" t="s">
        <v>1248</v>
      </c>
      <c r="R546" s="4">
        <v>46141.659236111111</v>
      </c>
      <c r="S546" s="4">
        <v>46142.552002314813</v>
      </c>
      <c r="T546" s="2" t="s">
        <v>2098</v>
      </c>
      <c r="U546" s="1" t="s">
        <v>83</v>
      </c>
      <c r="V546" s="1" t="s">
        <v>429</v>
      </c>
      <c r="W546" s="1" t="s">
        <v>2099</v>
      </c>
      <c r="X546" s="1" t="s">
        <v>2097</v>
      </c>
      <c r="Y546" s="1" t="s">
        <v>2100</v>
      </c>
      <c r="Z546" s="1" t="s">
        <v>1297</v>
      </c>
      <c r="AA546" s="1" t="s">
        <v>85</v>
      </c>
    </row>
    <row r="547" spans="1:27" ht="17.45" customHeight="1">
      <c r="A547" s="3" t="s">
        <v>1734</v>
      </c>
      <c r="B547" s="3" t="s">
        <v>48</v>
      </c>
      <c r="C547">
        <v>1</v>
      </c>
      <c r="D547" s="3" t="s">
        <v>1273</v>
      </c>
      <c r="E547" s="3" t="s">
        <v>2101</v>
      </c>
      <c r="F547" s="3" t="s">
        <v>2102</v>
      </c>
      <c r="G547" s="3" t="s">
        <v>32</v>
      </c>
      <c r="H547" s="3" t="s">
        <v>1276</v>
      </c>
      <c r="I547" s="3" t="s">
        <v>1285</v>
      </c>
      <c r="J547" s="3" t="s">
        <v>35</v>
      </c>
      <c r="K547" s="3" t="s">
        <v>36</v>
      </c>
      <c r="L547" s="3" t="s">
        <v>51</v>
      </c>
      <c r="M547" s="3" t="s">
        <v>64</v>
      </c>
      <c r="N547" s="3" t="s">
        <v>1248</v>
      </c>
      <c r="O547" s="3" t="s">
        <v>41</v>
      </c>
      <c r="P547" s="3" t="s">
        <v>53</v>
      </c>
      <c r="Q547" s="3" t="s">
        <v>1248</v>
      </c>
      <c r="R547" s="5">
        <v>46141.667962962965</v>
      </c>
      <c r="S547" s="5">
        <v>46142.461608796293</v>
      </c>
      <c r="T547" s="3" t="s">
        <v>2103</v>
      </c>
      <c r="U547" s="1" t="s">
        <v>59</v>
      </c>
      <c r="V547" s="1" t="s">
        <v>60</v>
      </c>
      <c r="W547" s="1" t="s">
        <v>2104</v>
      </c>
      <c r="X547" s="1" t="s">
        <v>2105</v>
      </c>
      <c r="Y547" s="1" t="s">
        <v>2106</v>
      </c>
      <c r="Z547" s="1" t="s">
        <v>1297</v>
      </c>
      <c r="AA547" s="1" t="s">
        <v>61</v>
      </c>
    </row>
    <row r="548" spans="1:27" ht="17.45" customHeight="1">
      <c r="A548" s="2" t="s">
        <v>227</v>
      </c>
      <c r="B548" s="2" t="s">
        <v>48</v>
      </c>
      <c r="C548">
        <v>1</v>
      </c>
      <c r="D548" s="2" t="s">
        <v>228</v>
      </c>
      <c r="E548" s="2" t="s">
        <v>2107</v>
      </c>
      <c r="F548" s="2" t="s">
        <v>2108</v>
      </c>
      <c r="G548" s="2" t="s">
        <v>32</v>
      </c>
      <c r="H548" s="2" t="s">
        <v>124</v>
      </c>
      <c r="I548" s="2" t="s">
        <v>124</v>
      </c>
      <c r="J548" s="2" t="s">
        <v>35</v>
      </c>
      <c r="K548" s="2" t="s">
        <v>36</v>
      </c>
      <c r="L548" s="2" t="s">
        <v>51</v>
      </c>
      <c r="M548" s="2" t="s">
        <v>64</v>
      </c>
      <c r="N548" s="2" t="s">
        <v>1248</v>
      </c>
      <c r="O548" s="2" t="s">
        <v>41</v>
      </c>
      <c r="P548" s="2" t="s">
        <v>53</v>
      </c>
      <c r="Q548" s="2" t="s">
        <v>1248</v>
      </c>
      <c r="R548" s="4">
        <v>46141.675567129627</v>
      </c>
      <c r="S548" s="4">
        <v>46148.674166666664</v>
      </c>
      <c r="T548" s="2" t="s">
        <v>1554</v>
      </c>
      <c r="U548" s="1" t="s">
        <v>283</v>
      </c>
      <c r="V548" s="1" t="s">
        <v>293</v>
      </c>
      <c r="W548" s="1" t="s">
        <v>2109</v>
      </c>
      <c r="X548" s="1" t="s">
        <v>2109</v>
      </c>
      <c r="Y548" s="1" t="s">
        <v>1555</v>
      </c>
      <c r="Z548" s="1" t="s">
        <v>1253</v>
      </c>
      <c r="AA548" s="1" t="s">
        <v>285</v>
      </c>
    </row>
    <row r="549" spans="1:27" ht="17.45" customHeight="1">
      <c r="A549" s="3" t="s">
        <v>227</v>
      </c>
      <c r="B549" s="3" t="s">
        <v>48</v>
      </c>
      <c r="C549">
        <v>1</v>
      </c>
      <c r="D549" s="3" t="s">
        <v>228</v>
      </c>
      <c r="E549" s="3" t="s">
        <v>2110</v>
      </c>
      <c r="F549" s="3" t="s">
        <v>2111</v>
      </c>
      <c r="G549" s="3" t="s">
        <v>32</v>
      </c>
      <c r="H549" s="3" t="s">
        <v>124</v>
      </c>
      <c r="I549" s="3" t="s">
        <v>124</v>
      </c>
      <c r="J549" s="3" t="s">
        <v>35</v>
      </c>
      <c r="K549" s="3" t="s">
        <v>36</v>
      </c>
      <c r="L549" s="3" t="s">
        <v>51</v>
      </c>
      <c r="M549" s="3" t="s">
        <v>64</v>
      </c>
      <c r="N549" s="3" t="s">
        <v>1248</v>
      </c>
      <c r="O549" s="3" t="s">
        <v>41</v>
      </c>
      <c r="P549" s="3" t="s">
        <v>53</v>
      </c>
      <c r="Q549" s="3" t="s">
        <v>1248</v>
      </c>
      <c r="R549" s="5">
        <v>46141.682129629633</v>
      </c>
      <c r="S549" s="5">
        <v>46148.677395833336</v>
      </c>
      <c r="T549" s="3" t="s">
        <v>2112</v>
      </c>
      <c r="U549" s="1" t="s">
        <v>42</v>
      </c>
      <c r="V549" s="1" t="s">
        <v>105</v>
      </c>
      <c r="W549" s="1" t="s">
        <v>2113</v>
      </c>
      <c r="X549" s="1" t="s">
        <v>2114</v>
      </c>
      <c r="Y549" s="1" t="s">
        <v>2115</v>
      </c>
      <c r="Z549" s="1" t="s">
        <v>1253</v>
      </c>
      <c r="AA549" s="1" t="s">
        <v>46</v>
      </c>
    </row>
    <row r="550" spans="1:27" ht="17.45" customHeight="1">
      <c r="A550" s="2" t="s">
        <v>1786</v>
      </c>
      <c r="B550" s="2" t="s">
        <v>28</v>
      </c>
      <c r="C550">
        <v>1</v>
      </c>
      <c r="D550" s="2" t="s">
        <v>228</v>
      </c>
      <c r="E550" s="2" t="s">
        <v>2116</v>
      </c>
      <c r="F550" s="2" t="s">
        <v>2117</v>
      </c>
      <c r="G550" s="2" t="s">
        <v>32</v>
      </c>
      <c r="H550" s="2" t="s">
        <v>124</v>
      </c>
      <c r="I550" s="2" t="s">
        <v>124</v>
      </c>
      <c r="J550" s="2" t="s">
        <v>35</v>
      </c>
      <c r="K550" s="2" t="s">
        <v>36</v>
      </c>
      <c r="L550" s="2" t="s">
        <v>51</v>
      </c>
      <c r="M550" s="2" t="s">
        <v>115</v>
      </c>
      <c r="N550" s="2" t="s">
        <v>1248</v>
      </c>
      <c r="O550" s="2" t="s">
        <v>41</v>
      </c>
      <c r="P550" s="2" t="s">
        <v>53</v>
      </c>
      <c r="Q550" s="2" t="s">
        <v>1248</v>
      </c>
      <c r="R550" s="4">
        <v>46141.725231481483</v>
      </c>
      <c r="S550" s="4">
        <v>46142.549895833334</v>
      </c>
      <c r="T550" s="2" t="s">
        <v>2118</v>
      </c>
      <c r="U550" s="1" t="s">
        <v>42</v>
      </c>
      <c r="V550" s="1" t="s">
        <v>105</v>
      </c>
      <c r="W550" s="1" t="s">
        <v>2119</v>
      </c>
      <c r="X550" s="1" t="s">
        <v>2120</v>
      </c>
      <c r="Y550" s="1" t="s">
        <v>2121</v>
      </c>
      <c r="Z550" s="1" t="s">
        <v>1267</v>
      </c>
      <c r="AA550" s="1" t="s">
        <v>46</v>
      </c>
    </row>
    <row r="551" spans="1:27" ht="17.45" customHeight="1">
      <c r="A551" s="3" t="s">
        <v>2122</v>
      </c>
      <c r="B551" s="3" t="s">
        <v>171</v>
      </c>
      <c r="C551">
        <v>1</v>
      </c>
      <c r="D551" s="3" t="s">
        <v>1273</v>
      </c>
      <c r="E551" s="3" t="s">
        <v>2123</v>
      </c>
      <c r="F551" s="3" t="s">
        <v>2124</v>
      </c>
      <c r="G551" s="3" t="s">
        <v>32</v>
      </c>
      <c r="H551" s="3" t="s">
        <v>1276</v>
      </c>
      <c r="I551" s="3" t="s">
        <v>1292</v>
      </c>
      <c r="J551" s="3" t="s">
        <v>35</v>
      </c>
      <c r="K551" s="3" t="s">
        <v>36</v>
      </c>
      <c r="L551" s="3" t="s">
        <v>37</v>
      </c>
      <c r="M551" s="3" t="s">
        <v>64</v>
      </c>
      <c r="N551" s="3" t="s">
        <v>1248</v>
      </c>
      <c r="O551" s="3" t="s">
        <v>41</v>
      </c>
      <c r="P551" s="3" t="s">
        <v>53</v>
      </c>
      <c r="Q551" s="3" t="s">
        <v>1248</v>
      </c>
      <c r="R551" s="5">
        <v>46142.395011574074</v>
      </c>
      <c r="S551" s="5">
        <v>46142.404317129629</v>
      </c>
      <c r="T551" s="3" t="s">
        <v>2125</v>
      </c>
      <c r="U551" s="1" t="s">
        <v>243</v>
      </c>
      <c r="V551" s="1" t="s">
        <v>340</v>
      </c>
      <c r="W551" s="1" t="s">
        <v>2126</v>
      </c>
      <c r="X551" s="1" t="s">
        <v>2124</v>
      </c>
      <c r="Y551" s="1" t="s">
        <v>2127</v>
      </c>
      <c r="Z551" s="1" t="s">
        <v>1267</v>
      </c>
      <c r="AA551" s="1" t="s">
        <v>246</v>
      </c>
    </row>
    <row r="552" spans="1:27" ht="17.45" customHeight="1">
      <c r="A552" s="2" t="s">
        <v>2128</v>
      </c>
      <c r="B552" s="2" t="s">
        <v>171</v>
      </c>
      <c r="C552">
        <v>1</v>
      </c>
      <c r="D552" s="2" t="s">
        <v>1273</v>
      </c>
      <c r="E552" s="2" t="s">
        <v>2129</v>
      </c>
      <c r="F552" s="2" t="s">
        <v>2130</v>
      </c>
      <c r="G552" s="2" t="s">
        <v>32</v>
      </c>
      <c r="H552" s="2" t="s">
        <v>1276</v>
      </c>
      <c r="I552" s="2" t="s">
        <v>1277</v>
      </c>
      <c r="J552" s="2" t="s">
        <v>35</v>
      </c>
      <c r="K552" s="2" t="s">
        <v>36</v>
      </c>
      <c r="L552" s="2" t="s">
        <v>37</v>
      </c>
      <c r="M552" s="2" t="s">
        <v>64</v>
      </c>
      <c r="N552" s="2" t="s">
        <v>1248</v>
      </c>
      <c r="O552" s="2" t="s">
        <v>41</v>
      </c>
      <c r="P552" s="2" t="s">
        <v>53</v>
      </c>
      <c r="Q552" s="2" t="s">
        <v>1248</v>
      </c>
      <c r="R552" s="4">
        <v>46142.411412037036</v>
      </c>
      <c r="S552" s="4">
        <v>46142.426527777781</v>
      </c>
      <c r="T552" s="2" t="s">
        <v>2131</v>
      </c>
      <c r="U552" s="1" t="s">
        <v>115</v>
      </c>
      <c r="V552" s="1" t="s">
        <v>116</v>
      </c>
      <c r="W552" s="1" t="s">
        <v>2130</v>
      </c>
      <c r="X552" s="1" t="s">
        <v>2130</v>
      </c>
      <c r="Y552" s="1" t="s">
        <v>2132</v>
      </c>
      <c r="Z552" s="1" t="s">
        <v>1267</v>
      </c>
      <c r="AA552" s="1" t="s">
        <v>118</v>
      </c>
    </row>
    <row r="553" spans="1:27" ht="17.45" customHeight="1">
      <c r="A553" s="3" t="s">
        <v>2128</v>
      </c>
      <c r="B553" s="3" t="s">
        <v>171</v>
      </c>
      <c r="C553">
        <v>1</v>
      </c>
      <c r="D553" s="3" t="s">
        <v>1273</v>
      </c>
      <c r="E553" s="3" t="s">
        <v>2133</v>
      </c>
      <c r="F553" s="3" t="s">
        <v>2134</v>
      </c>
      <c r="G553" s="3" t="s">
        <v>32</v>
      </c>
      <c r="H553" s="3" t="s">
        <v>1276</v>
      </c>
      <c r="I553" s="3" t="s">
        <v>1277</v>
      </c>
      <c r="J553" s="3" t="s">
        <v>35</v>
      </c>
      <c r="K553" s="3" t="s">
        <v>36</v>
      </c>
      <c r="L553" s="3" t="s">
        <v>37</v>
      </c>
      <c r="M553" s="3" t="s">
        <v>64</v>
      </c>
      <c r="N553" s="3" t="s">
        <v>1248</v>
      </c>
      <c r="O553" s="3" t="s">
        <v>41</v>
      </c>
      <c r="P553" s="3" t="s">
        <v>53</v>
      </c>
      <c r="Q553" s="3" t="s">
        <v>1248</v>
      </c>
      <c r="R553" s="5">
        <v>46142.415254629632</v>
      </c>
      <c r="S553" s="5">
        <v>46142.429236111115</v>
      </c>
      <c r="T553" s="3" t="s">
        <v>2135</v>
      </c>
      <c r="U553" s="1" t="s">
        <v>65</v>
      </c>
      <c r="V553" s="1" t="s">
        <v>89</v>
      </c>
      <c r="W553" s="1" t="s">
        <v>2136</v>
      </c>
      <c r="X553" s="1" t="s">
        <v>2134</v>
      </c>
      <c r="Y553" s="1" t="s">
        <v>2137</v>
      </c>
      <c r="Z553" s="1" t="s">
        <v>1267</v>
      </c>
      <c r="AA553" s="1" t="s">
        <v>67</v>
      </c>
    </row>
    <row r="554" spans="1:27" ht="17.45" customHeight="1">
      <c r="A554" s="2" t="s">
        <v>2138</v>
      </c>
      <c r="B554" s="2" t="s">
        <v>48</v>
      </c>
      <c r="C554">
        <v>1</v>
      </c>
      <c r="D554" s="2" t="s">
        <v>228</v>
      </c>
      <c r="E554" s="2" t="s">
        <v>2139</v>
      </c>
      <c r="F554" s="2" t="s">
        <v>2140</v>
      </c>
      <c r="G554" s="2" t="s">
        <v>32</v>
      </c>
      <c r="H554" s="2" t="s">
        <v>124</v>
      </c>
      <c r="I554" s="2" t="s">
        <v>124</v>
      </c>
      <c r="J554" s="2" t="s">
        <v>35</v>
      </c>
      <c r="K554" s="2" t="s">
        <v>36</v>
      </c>
      <c r="L554" s="2" t="s">
        <v>37</v>
      </c>
      <c r="M554" s="2" t="s">
        <v>64</v>
      </c>
      <c r="N554" s="2" t="s">
        <v>1248</v>
      </c>
      <c r="O554" s="2" t="s">
        <v>41</v>
      </c>
      <c r="P554" s="2" t="s">
        <v>53</v>
      </c>
      <c r="Q554" s="2" t="s">
        <v>1248</v>
      </c>
      <c r="R554" s="4">
        <v>46142.457141203704</v>
      </c>
      <c r="S554" s="4">
        <v>46142.55164351852</v>
      </c>
      <c r="T554" s="2" t="s">
        <v>2141</v>
      </c>
      <c r="U554" s="1" t="s">
        <v>42</v>
      </c>
      <c r="V554" s="1" t="s">
        <v>74</v>
      </c>
      <c r="W554" s="1" t="s">
        <v>2140</v>
      </c>
      <c r="X554" s="1" t="s">
        <v>2140</v>
      </c>
      <c r="Y554" s="1" t="s">
        <v>2142</v>
      </c>
      <c r="Z554" s="1" t="s">
        <v>1253</v>
      </c>
      <c r="AA554" s="1" t="s">
        <v>46</v>
      </c>
    </row>
    <row r="555" spans="1:27" ht="17.45" customHeight="1">
      <c r="A555" s="3" t="s">
        <v>2143</v>
      </c>
      <c r="B555" s="3" t="s">
        <v>28</v>
      </c>
      <c r="C555">
        <v>1</v>
      </c>
      <c r="D555" s="3" t="s">
        <v>1273</v>
      </c>
      <c r="E555" s="3" t="s">
        <v>2144</v>
      </c>
      <c r="F555" s="3" t="s">
        <v>2145</v>
      </c>
      <c r="G555" s="3" t="s">
        <v>32</v>
      </c>
      <c r="H555" s="3" t="s">
        <v>1276</v>
      </c>
      <c r="I555" s="3" t="s">
        <v>1285</v>
      </c>
      <c r="J555" s="3" t="s">
        <v>35</v>
      </c>
      <c r="K555" s="3" t="s">
        <v>36</v>
      </c>
      <c r="L555" s="3" t="s">
        <v>37</v>
      </c>
      <c r="M555" s="3" t="s">
        <v>64</v>
      </c>
      <c r="N555" s="3" t="s">
        <v>1248</v>
      </c>
      <c r="O555" s="3" t="s">
        <v>41</v>
      </c>
      <c r="P555" s="3" t="s">
        <v>53</v>
      </c>
      <c r="Q555" s="3" t="s">
        <v>1248</v>
      </c>
      <c r="R555" s="5">
        <v>46142.464872685188</v>
      </c>
      <c r="S555" s="5">
        <v>46142.53020833333</v>
      </c>
      <c r="T555" s="3" t="s">
        <v>2146</v>
      </c>
      <c r="U555" s="1" t="s">
        <v>65</v>
      </c>
      <c r="V555" s="1" t="s">
        <v>89</v>
      </c>
      <c r="W555" s="1" t="s">
        <v>2145</v>
      </c>
      <c r="X555" s="1" t="s">
        <v>2145</v>
      </c>
      <c r="Y555" s="1" t="s">
        <v>2147</v>
      </c>
      <c r="Z555" s="1" t="s">
        <v>1267</v>
      </c>
      <c r="AA555" s="1" t="s">
        <v>67</v>
      </c>
    </row>
    <row r="556" spans="1:27" ht="17.45" customHeight="1">
      <c r="A556" s="2" t="s">
        <v>1515</v>
      </c>
      <c r="B556" s="2" t="s">
        <v>28</v>
      </c>
      <c r="C556">
        <v>1</v>
      </c>
      <c r="D556" s="2" t="s">
        <v>1273</v>
      </c>
      <c r="E556" s="2" t="s">
        <v>2148</v>
      </c>
      <c r="F556" s="2" t="s">
        <v>2149</v>
      </c>
      <c r="G556" s="2" t="s">
        <v>32</v>
      </c>
      <c r="H556" s="2" t="s">
        <v>1276</v>
      </c>
      <c r="I556" s="2" t="s">
        <v>1277</v>
      </c>
      <c r="J556" s="2" t="s">
        <v>35</v>
      </c>
      <c r="K556" s="2" t="s">
        <v>36</v>
      </c>
      <c r="L556" s="2" t="s">
        <v>51</v>
      </c>
      <c r="M556" s="2" t="s">
        <v>64</v>
      </c>
      <c r="N556" s="2" t="s">
        <v>1248</v>
      </c>
      <c r="O556" s="2" t="s">
        <v>41</v>
      </c>
      <c r="P556" s="2" t="s">
        <v>53</v>
      </c>
      <c r="Q556" s="2" t="s">
        <v>1248</v>
      </c>
      <c r="R556" s="4">
        <v>46142.468993055554</v>
      </c>
      <c r="S556" s="4">
        <v>46142.53497685185</v>
      </c>
      <c r="T556" s="2" t="s">
        <v>2150</v>
      </c>
      <c r="U556" s="1" t="s">
        <v>243</v>
      </c>
      <c r="V556" s="1" t="s">
        <v>302</v>
      </c>
      <c r="W556" s="1" t="s">
        <v>2151</v>
      </c>
      <c r="X556" s="1" t="s">
        <v>2152</v>
      </c>
      <c r="Y556" s="1" t="s">
        <v>2153</v>
      </c>
      <c r="Z556" s="1" t="s">
        <v>1297</v>
      </c>
      <c r="AA556" s="1" t="s">
        <v>246</v>
      </c>
    </row>
    <row r="557" spans="1:27" ht="17.45" customHeight="1">
      <c r="A557" s="3" t="s">
        <v>1503</v>
      </c>
      <c r="B557" s="3" t="s">
        <v>28</v>
      </c>
      <c r="C557">
        <v>1</v>
      </c>
      <c r="D557" s="3" t="s">
        <v>1273</v>
      </c>
      <c r="E557" s="3" t="s">
        <v>2154</v>
      </c>
      <c r="F557" s="3" t="s">
        <v>2155</v>
      </c>
      <c r="G557" s="3" t="s">
        <v>32</v>
      </c>
      <c r="H557" s="3" t="s">
        <v>1276</v>
      </c>
      <c r="I557" s="3" t="s">
        <v>1277</v>
      </c>
      <c r="J557" s="3" t="s">
        <v>35</v>
      </c>
      <c r="K557" s="3" t="s">
        <v>36</v>
      </c>
      <c r="L557" s="3" t="s">
        <v>51</v>
      </c>
      <c r="M557" s="3" t="s">
        <v>64</v>
      </c>
      <c r="N557" s="3" t="s">
        <v>1248</v>
      </c>
      <c r="O557" s="3" t="s">
        <v>41</v>
      </c>
      <c r="P557" s="3" t="s">
        <v>53</v>
      </c>
      <c r="Q557" s="3" t="s">
        <v>1248</v>
      </c>
      <c r="R557" s="5">
        <v>46142.469363425924</v>
      </c>
      <c r="S557" s="5">
        <v>46142.5312962963</v>
      </c>
      <c r="T557" s="3" t="s">
        <v>2156</v>
      </c>
      <c r="U557" s="1" t="s">
        <v>165</v>
      </c>
      <c r="V557" s="1" t="s">
        <v>238</v>
      </c>
      <c r="W557" s="1" t="s">
        <v>2157</v>
      </c>
      <c r="X557" s="1" t="s">
        <v>2155</v>
      </c>
      <c r="Y557" s="1" t="s">
        <v>2158</v>
      </c>
      <c r="Z557" s="1" t="s">
        <v>1267</v>
      </c>
      <c r="AA557" s="1" t="s">
        <v>169</v>
      </c>
    </row>
    <row r="558" spans="1:27" ht="17.45" customHeight="1">
      <c r="A558" s="2" t="s">
        <v>1361</v>
      </c>
      <c r="B558" s="2" t="s">
        <v>28</v>
      </c>
      <c r="C558">
        <v>1</v>
      </c>
      <c r="D558" s="2" t="s">
        <v>1273</v>
      </c>
      <c r="E558" s="2" t="s">
        <v>2159</v>
      </c>
      <c r="F558" s="2" t="s">
        <v>2160</v>
      </c>
      <c r="G558" s="2" t="s">
        <v>32</v>
      </c>
      <c r="H558" s="2" t="s">
        <v>1276</v>
      </c>
      <c r="I558" s="2" t="s">
        <v>1277</v>
      </c>
      <c r="J558" s="2" t="s">
        <v>35</v>
      </c>
      <c r="K558" s="2" t="s">
        <v>36</v>
      </c>
      <c r="L558" s="2" t="s">
        <v>51</v>
      </c>
      <c r="M558" s="2" t="s">
        <v>64</v>
      </c>
      <c r="N558" s="2" t="s">
        <v>1248</v>
      </c>
      <c r="O558" s="2" t="s">
        <v>41</v>
      </c>
      <c r="P558" s="2" t="s">
        <v>53</v>
      </c>
      <c r="Q558" s="2" t="s">
        <v>1248</v>
      </c>
      <c r="R558" s="4">
        <v>46142.478750000002</v>
      </c>
      <c r="S558" s="4">
        <v>46142.532453703701</v>
      </c>
      <c r="T558" s="2" t="s">
        <v>1886</v>
      </c>
      <c r="U558" s="1" t="s">
        <v>165</v>
      </c>
      <c r="V558" s="1" t="s">
        <v>238</v>
      </c>
      <c r="W558" s="1" t="s">
        <v>2161</v>
      </c>
      <c r="X558" s="1" t="s">
        <v>2160</v>
      </c>
      <c r="Y558" s="1" t="s">
        <v>1888</v>
      </c>
      <c r="Z558" s="1" t="s">
        <v>1267</v>
      </c>
      <c r="AA558" s="1" t="s">
        <v>169</v>
      </c>
    </row>
    <row r="559" spans="1:27" ht="17.45" customHeight="1">
      <c r="A559" s="3" t="s">
        <v>1583</v>
      </c>
      <c r="B559" s="3" t="s">
        <v>28</v>
      </c>
      <c r="C559">
        <v>1</v>
      </c>
      <c r="D559" s="3" t="s">
        <v>1273</v>
      </c>
      <c r="E559" s="3" t="s">
        <v>2162</v>
      </c>
      <c r="F559" s="3" t="s">
        <v>2163</v>
      </c>
      <c r="G559" s="3" t="s">
        <v>32</v>
      </c>
      <c r="H559" s="3" t="s">
        <v>1276</v>
      </c>
      <c r="I559" s="3" t="s">
        <v>1277</v>
      </c>
      <c r="J559" s="3" t="s">
        <v>35</v>
      </c>
      <c r="K559" s="3" t="s">
        <v>36</v>
      </c>
      <c r="L559" s="3" t="s">
        <v>51</v>
      </c>
      <c r="M559" s="3" t="s">
        <v>64</v>
      </c>
      <c r="N559" s="3" t="s">
        <v>1248</v>
      </c>
      <c r="O559" s="3" t="s">
        <v>41</v>
      </c>
      <c r="P559" s="3" t="s">
        <v>53</v>
      </c>
      <c r="Q559" s="3" t="s">
        <v>1248</v>
      </c>
      <c r="R559" s="5">
        <v>46142.534502314818</v>
      </c>
      <c r="S559" s="5">
        <v>46142.537442129629</v>
      </c>
      <c r="T559" s="3" t="s">
        <v>2164</v>
      </c>
      <c r="U559" s="1" t="s">
        <v>165</v>
      </c>
      <c r="V559" s="1" t="s">
        <v>238</v>
      </c>
      <c r="W559" s="1" t="s">
        <v>2165</v>
      </c>
      <c r="X559" s="1" t="s">
        <v>2163</v>
      </c>
      <c r="Y559" s="1" t="s">
        <v>2166</v>
      </c>
      <c r="Z559" s="1" t="s">
        <v>1253</v>
      </c>
      <c r="AA559" s="1" t="s">
        <v>169</v>
      </c>
    </row>
    <row r="560" spans="1:27" ht="17.45" customHeight="1">
      <c r="A560" s="2" t="s">
        <v>1591</v>
      </c>
      <c r="B560" s="2" t="s">
        <v>28</v>
      </c>
      <c r="C560">
        <v>1</v>
      </c>
      <c r="D560" s="2" t="s">
        <v>1273</v>
      </c>
      <c r="E560" s="2" t="s">
        <v>2167</v>
      </c>
      <c r="F560" s="2" t="s">
        <v>2168</v>
      </c>
      <c r="G560" s="2" t="s">
        <v>32</v>
      </c>
      <c r="H560" s="2" t="s">
        <v>1276</v>
      </c>
      <c r="I560" s="2" t="s">
        <v>1277</v>
      </c>
      <c r="J560" s="2" t="s">
        <v>35</v>
      </c>
      <c r="K560" s="2" t="s">
        <v>36</v>
      </c>
      <c r="L560" s="2" t="s">
        <v>51</v>
      </c>
      <c r="M560" s="2" t="s">
        <v>64</v>
      </c>
      <c r="N560" s="2" t="s">
        <v>1248</v>
      </c>
      <c r="O560" s="2" t="s">
        <v>41</v>
      </c>
      <c r="P560" s="2" t="s">
        <v>53</v>
      </c>
      <c r="Q560" s="2" t="s">
        <v>1248</v>
      </c>
      <c r="R560" s="4">
        <v>46142.536377314813</v>
      </c>
      <c r="S560" s="4">
        <v>46142.547847222224</v>
      </c>
      <c r="T560" s="2" t="s">
        <v>1411</v>
      </c>
      <c r="U560" s="1" t="s">
        <v>95</v>
      </c>
      <c r="V560" s="1" t="s">
        <v>96</v>
      </c>
      <c r="W560" s="1" t="s">
        <v>2168</v>
      </c>
      <c r="X560" s="1" t="s">
        <v>2168</v>
      </c>
      <c r="Y560" s="1" t="s">
        <v>1412</v>
      </c>
      <c r="Z560" s="1" t="s">
        <v>1253</v>
      </c>
      <c r="AA560" s="1" t="s">
        <v>98</v>
      </c>
    </row>
    <row r="561" spans="1:27" ht="17.45" customHeight="1">
      <c r="A561" s="3" t="s">
        <v>1413</v>
      </c>
      <c r="B561" s="3" t="s">
        <v>28</v>
      </c>
      <c r="C561">
        <v>1</v>
      </c>
      <c r="D561" s="3" t="s">
        <v>1273</v>
      </c>
      <c r="E561" s="3" t="s">
        <v>2169</v>
      </c>
      <c r="F561" s="3" t="s">
        <v>2170</v>
      </c>
      <c r="G561" s="3" t="s">
        <v>32</v>
      </c>
      <c r="H561" s="3" t="s">
        <v>1276</v>
      </c>
      <c r="I561" s="3" t="s">
        <v>1277</v>
      </c>
      <c r="J561" s="3" t="s">
        <v>35</v>
      </c>
      <c r="K561" s="3" t="s">
        <v>36</v>
      </c>
      <c r="L561" s="3" t="s">
        <v>51</v>
      </c>
      <c r="M561" s="3" t="s">
        <v>64</v>
      </c>
      <c r="N561" s="3" t="s">
        <v>1248</v>
      </c>
      <c r="O561" s="3" t="s">
        <v>41</v>
      </c>
      <c r="P561" s="3" t="s">
        <v>53</v>
      </c>
      <c r="Q561" s="3" t="s">
        <v>1248</v>
      </c>
      <c r="R561" s="5">
        <v>46142.546851851854</v>
      </c>
      <c r="S561" s="5">
        <v>46148.394560185188</v>
      </c>
      <c r="T561" s="3" t="s">
        <v>2171</v>
      </c>
      <c r="U561" s="1" t="s">
        <v>569</v>
      </c>
      <c r="V561" s="1" t="s">
        <v>716</v>
      </c>
      <c r="W561" s="1" t="s">
        <v>2172</v>
      </c>
      <c r="X561" s="1" t="s">
        <v>2170</v>
      </c>
      <c r="Y561" s="1" t="s">
        <v>2173</v>
      </c>
      <c r="Z561" s="1" t="s">
        <v>1297</v>
      </c>
      <c r="AA561" s="1" t="s">
        <v>573</v>
      </c>
    </row>
    <row r="562" spans="1:27" ht="17.45" customHeight="1">
      <c r="A562" s="2" t="s">
        <v>2174</v>
      </c>
      <c r="B562" s="2" t="s">
        <v>28</v>
      </c>
      <c r="C562">
        <v>1</v>
      </c>
      <c r="D562" s="2" t="s">
        <v>228</v>
      </c>
      <c r="E562" s="2" t="s">
        <v>2175</v>
      </c>
      <c r="F562" s="2" t="s">
        <v>2176</v>
      </c>
      <c r="G562" s="2" t="s">
        <v>32</v>
      </c>
      <c r="H562" s="2" t="s">
        <v>124</v>
      </c>
      <c r="I562" s="2" t="s">
        <v>124</v>
      </c>
      <c r="J562" s="2" t="s">
        <v>35</v>
      </c>
      <c r="K562" s="2" t="s">
        <v>36</v>
      </c>
      <c r="L562" s="2" t="s">
        <v>51</v>
      </c>
      <c r="M562" s="2" t="s">
        <v>52</v>
      </c>
      <c r="N562" s="2" t="s">
        <v>1248</v>
      </c>
      <c r="O562" s="2" t="s">
        <v>41</v>
      </c>
      <c r="P562" s="2" t="s">
        <v>53</v>
      </c>
      <c r="Q562" s="2" t="s">
        <v>1248</v>
      </c>
      <c r="R562" s="4">
        <v>46142.55190972222</v>
      </c>
      <c r="S562" s="4">
        <v>46148.694513888891</v>
      </c>
      <c r="T562" s="2" t="s">
        <v>2177</v>
      </c>
      <c r="U562" s="1" t="s">
        <v>42</v>
      </c>
      <c r="V562" s="1" t="s">
        <v>105</v>
      </c>
      <c r="W562" s="1" t="s">
        <v>2178</v>
      </c>
      <c r="X562" s="1" t="s">
        <v>2179</v>
      </c>
      <c r="Y562" s="1" t="s">
        <v>2180</v>
      </c>
      <c r="Z562" s="1" t="s">
        <v>1253</v>
      </c>
      <c r="AA562" s="1" t="s">
        <v>46</v>
      </c>
    </row>
    <row r="563" spans="1:27" ht="17.45" customHeight="1">
      <c r="A563" s="3" t="s">
        <v>1325</v>
      </c>
      <c r="B563" s="3" t="s">
        <v>28</v>
      </c>
      <c r="C563">
        <v>1</v>
      </c>
      <c r="D563" s="3" t="s">
        <v>228</v>
      </c>
      <c r="E563" s="3" t="s">
        <v>2181</v>
      </c>
      <c r="F563" s="3" t="s">
        <v>2176</v>
      </c>
      <c r="G563" s="3" t="s">
        <v>32</v>
      </c>
      <c r="H563" s="3" t="s">
        <v>124</v>
      </c>
      <c r="I563" s="3" t="s">
        <v>124</v>
      </c>
      <c r="J563" s="3" t="s">
        <v>35</v>
      </c>
      <c r="K563" s="3" t="s">
        <v>36</v>
      </c>
      <c r="L563" s="3" t="s">
        <v>51</v>
      </c>
      <c r="M563" s="3" t="s">
        <v>52</v>
      </c>
      <c r="N563" s="3" t="s">
        <v>1248</v>
      </c>
      <c r="O563" s="3" t="s">
        <v>41</v>
      </c>
      <c r="P563" s="3" t="s">
        <v>53</v>
      </c>
      <c r="Q563" s="3" t="s">
        <v>1248</v>
      </c>
      <c r="R563" s="5">
        <v>46142.553148148145</v>
      </c>
      <c r="S563" s="5">
        <v>46148.696099537039</v>
      </c>
      <c r="T563" s="3" t="s">
        <v>2182</v>
      </c>
      <c r="U563" s="1" t="s">
        <v>42</v>
      </c>
      <c r="V563" s="1" t="s">
        <v>105</v>
      </c>
      <c r="W563" s="1" t="s">
        <v>2178</v>
      </c>
      <c r="X563" s="1" t="s">
        <v>2179</v>
      </c>
      <c r="Y563" s="1" t="s">
        <v>2183</v>
      </c>
      <c r="Z563" s="1" t="s">
        <v>1253</v>
      </c>
      <c r="AA563" s="1" t="s">
        <v>46</v>
      </c>
    </row>
    <row r="564" spans="1:27" ht="17.45" customHeight="1">
      <c r="A564" s="2" t="s">
        <v>1541</v>
      </c>
      <c r="B564" s="2" t="s">
        <v>28</v>
      </c>
      <c r="C564">
        <v>1</v>
      </c>
      <c r="D564" s="2" t="s">
        <v>228</v>
      </c>
      <c r="E564" s="2" t="s">
        <v>2184</v>
      </c>
      <c r="F564" s="2" t="s">
        <v>2185</v>
      </c>
      <c r="G564" s="2" t="s">
        <v>32</v>
      </c>
      <c r="H564" s="2" t="s">
        <v>124</v>
      </c>
      <c r="I564" s="2" t="s">
        <v>124</v>
      </c>
      <c r="J564" s="2" t="s">
        <v>35</v>
      </c>
      <c r="K564" s="2" t="s">
        <v>36</v>
      </c>
      <c r="L564" s="2" t="s">
        <v>51</v>
      </c>
      <c r="M564" s="2" t="s">
        <v>64</v>
      </c>
      <c r="N564" s="2" t="s">
        <v>1248</v>
      </c>
      <c r="O564" s="2" t="s">
        <v>41</v>
      </c>
      <c r="P564" s="2" t="s">
        <v>53</v>
      </c>
      <c r="Q564" s="2" t="s">
        <v>1248</v>
      </c>
      <c r="R564" s="4">
        <v>46142.555138888885</v>
      </c>
      <c r="S564" s="4">
        <v>46148.68513888889</v>
      </c>
      <c r="T564" s="2" t="s">
        <v>2186</v>
      </c>
      <c r="U564" s="1" t="s">
        <v>243</v>
      </c>
      <c r="V564" s="1" t="s">
        <v>244</v>
      </c>
      <c r="W564" s="1" t="s">
        <v>2187</v>
      </c>
      <c r="X564" s="1" t="s">
        <v>2185</v>
      </c>
      <c r="Y564" s="1" t="s">
        <v>2188</v>
      </c>
      <c r="Z564" s="1" t="s">
        <v>1764</v>
      </c>
      <c r="AA564" s="1" t="s">
        <v>246</v>
      </c>
    </row>
    <row r="565" spans="1:27" ht="17.45" customHeight="1">
      <c r="A565" s="3" t="s">
        <v>2189</v>
      </c>
      <c r="B565" s="3" t="s">
        <v>171</v>
      </c>
      <c r="C565">
        <v>1</v>
      </c>
      <c r="D565" s="3" t="s">
        <v>1273</v>
      </c>
      <c r="E565" s="3" t="s">
        <v>2190</v>
      </c>
      <c r="F565" s="3" t="s">
        <v>2191</v>
      </c>
      <c r="G565" s="3" t="s">
        <v>32</v>
      </c>
      <c r="H565" s="3" t="s">
        <v>1276</v>
      </c>
      <c r="I565" s="3" t="s">
        <v>1277</v>
      </c>
      <c r="J565" s="3" t="s">
        <v>35</v>
      </c>
      <c r="K565" s="3" t="s">
        <v>36</v>
      </c>
      <c r="L565" s="3" t="s">
        <v>37</v>
      </c>
      <c r="M565" s="3" t="s">
        <v>64</v>
      </c>
      <c r="N565" s="3" t="s">
        <v>1248</v>
      </c>
      <c r="O565" s="3" t="s">
        <v>41</v>
      </c>
      <c r="P565" s="3" t="s">
        <v>53</v>
      </c>
      <c r="Q565" s="3" t="s">
        <v>1248</v>
      </c>
      <c r="R565" s="5">
        <v>46140.65420138889</v>
      </c>
      <c r="S565" s="5">
        <v>46140.773541666669</v>
      </c>
      <c r="T565" s="3" t="s">
        <v>1829</v>
      </c>
      <c r="U565" s="1" t="s">
        <v>95</v>
      </c>
      <c r="V565" s="1" t="s">
        <v>96</v>
      </c>
      <c r="W565" s="1" t="s">
        <v>2191</v>
      </c>
      <c r="X565" s="1" t="s">
        <v>2191</v>
      </c>
      <c r="Y565" s="1" t="s">
        <v>1830</v>
      </c>
      <c r="Z565" s="1" t="s">
        <v>1253</v>
      </c>
      <c r="AA565" s="1" t="s">
        <v>98</v>
      </c>
    </row>
    <row r="566" spans="1:27" ht="17.45" customHeight="1">
      <c r="A566" s="2" t="s">
        <v>2189</v>
      </c>
      <c r="B566" s="2" t="s">
        <v>171</v>
      </c>
      <c r="C566">
        <v>1</v>
      </c>
      <c r="D566" s="2" t="s">
        <v>1273</v>
      </c>
      <c r="E566" s="2" t="s">
        <v>2192</v>
      </c>
      <c r="F566" s="2" t="s">
        <v>2193</v>
      </c>
      <c r="G566" s="2" t="s">
        <v>32</v>
      </c>
      <c r="H566" s="2" t="s">
        <v>1276</v>
      </c>
      <c r="I566" s="2" t="s">
        <v>1277</v>
      </c>
      <c r="J566" s="2" t="s">
        <v>35</v>
      </c>
      <c r="K566" s="2" t="s">
        <v>36</v>
      </c>
      <c r="L566" s="2" t="s">
        <v>37</v>
      </c>
      <c r="M566" s="2" t="s">
        <v>64</v>
      </c>
      <c r="N566" s="2" t="s">
        <v>1248</v>
      </c>
      <c r="O566" s="2" t="s">
        <v>41</v>
      </c>
      <c r="P566" s="2" t="s">
        <v>53</v>
      </c>
      <c r="Q566" s="2" t="s">
        <v>1248</v>
      </c>
      <c r="R566" s="4">
        <v>46140.655370370368</v>
      </c>
      <c r="S566" s="4">
        <v>46140.773784722223</v>
      </c>
      <c r="T566" s="2" t="s">
        <v>1829</v>
      </c>
      <c r="U566" s="1" t="s">
        <v>243</v>
      </c>
      <c r="V566" s="1" t="s">
        <v>2194</v>
      </c>
      <c r="W566" s="1" t="s">
        <v>2193</v>
      </c>
      <c r="X566" s="1" t="s">
        <v>2193</v>
      </c>
      <c r="Y566" s="1" t="s">
        <v>1830</v>
      </c>
      <c r="Z566" s="1" t="s">
        <v>1253</v>
      </c>
      <c r="AA566" s="1" t="s">
        <v>246</v>
      </c>
    </row>
    <row r="567" spans="1:27" ht="17.45" customHeight="1">
      <c r="A567" s="3" t="s">
        <v>1403</v>
      </c>
      <c r="B567" s="3" t="s">
        <v>28</v>
      </c>
      <c r="C567">
        <v>1</v>
      </c>
      <c r="D567" s="3" t="s">
        <v>1273</v>
      </c>
      <c r="E567" s="3" t="s">
        <v>2195</v>
      </c>
      <c r="F567" s="3" t="s">
        <v>2196</v>
      </c>
      <c r="G567" s="3" t="s">
        <v>32</v>
      </c>
      <c r="H567" s="3" t="s">
        <v>1276</v>
      </c>
      <c r="I567" s="3" t="s">
        <v>1277</v>
      </c>
      <c r="J567" s="3" t="s">
        <v>35</v>
      </c>
      <c r="K567" s="3" t="s">
        <v>36</v>
      </c>
      <c r="L567" s="3" t="s">
        <v>37</v>
      </c>
      <c r="M567" s="3" t="s">
        <v>141</v>
      </c>
      <c r="N567" s="3" t="s">
        <v>1248</v>
      </c>
      <c r="O567" s="3" t="s">
        <v>41</v>
      </c>
      <c r="P567" s="3" t="s">
        <v>58</v>
      </c>
      <c r="Q567" s="3" t="s">
        <v>1248</v>
      </c>
      <c r="R567" s="5">
        <v>46140.656782407408</v>
      </c>
      <c r="S567" s="5">
        <v>46142.397060185183</v>
      </c>
      <c r="T567" s="3" t="s">
        <v>2197</v>
      </c>
      <c r="U567" s="1" t="s">
        <v>165</v>
      </c>
      <c r="V567" s="1" t="s">
        <v>364</v>
      </c>
      <c r="W567" s="1" t="s">
        <v>2198</v>
      </c>
      <c r="X567" s="1" t="s">
        <v>2199</v>
      </c>
      <c r="Y567" s="1" t="s">
        <v>2200</v>
      </c>
      <c r="Z567" s="1" t="s">
        <v>1267</v>
      </c>
      <c r="AA567" s="1" t="s">
        <v>169</v>
      </c>
    </row>
    <row r="568" spans="1:27" ht="17.45" customHeight="1">
      <c r="A568" s="2" t="s">
        <v>1951</v>
      </c>
      <c r="B568" s="2" t="s">
        <v>181</v>
      </c>
      <c r="C568">
        <v>1</v>
      </c>
      <c r="D568" s="2" t="s">
        <v>1273</v>
      </c>
      <c r="E568" s="2" t="s">
        <v>2201</v>
      </c>
      <c r="F568" s="2" t="s">
        <v>2202</v>
      </c>
      <c r="G568" s="2" t="s">
        <v>32</v>
      </c>
      <c r="H568" s="2" t="s">
        <v>1276</v>
      </c>
      <c r="I568" s="2" t="s">
        <v>1292</v>
      </c>
      <c r="J568" s="2" t="s">
        <v>35</v>
      </c>
      <c r="K568" s="2" t="s">
        <v>36</v>
      </c>
      <c r="L568" s="2" t="s">
        <v>37</v>
      </c>
      <c r="M568" s="2" t="s">
        <v>52</v>
      </c>
      <c r="N568" s="2" t="s">
        <v>1248</v>
      </c>
      <c r="O568" s="2" t="s">
        <v>41</v>
      </c>
      <c r="P568" s="2" t="s">
        <v>58</v>
      </c>
      <c r="Q568" s="2" t="s">
        <v>1248</v>
      </c>
      <c r="R568" s="4">
        <v>46140.727986111109</v>
      </c>
      <c r="S568" s="4">
        <v>46141.5700462963</v>
      </c>
      <c r="T568" s="2" t="s">
        <v>2203</v>
      </c>
      <c r="U568" s="1" t="s">
        <v>95</v>
      </c>
      <c r="V568" s="1" t="s">
        <v>96</v>
      </c>
      <c r="W568" s="1" t="s">
        <v>2204</v>
      </c>
      <c r="X568" s="1" t="s">
        <v>2205</v>
      </c>
      <c r="Y568" s="1" t="s">
        <v>2206</v>
      </c>
      <c r="Z568" s="1" t="s">
        <v>1253</v>
      </c>
      <c r="AA568" s="1" t="s">
        <v>98</v>
      </c>
    </row>
    <row r="569" spans="1:27" ht="17.45" customHeight="1">
      <c r="A569" s="3" t="s">
        <v>1103</v>
      </c>
      <c r="B569" s="3" t="s">
        <v>48</v>
      </c>
      <c r="C569">
        <v>1</v>
      </c>
      <c r="D569" s="3" t="s">
        <v>121</v>
      </c>
      <c r="E569" s="3" t="s">
        <v>2207</v>
      </c>
      <c r="F569" s="3" t="s">
        <v>2208</v>
      </c>
      <c r="G569" s="3" t="s">
        <v>32</v>
      </c>
      <c r="H569" s="3" t="s">
        <v>124</v>
      </c>
      <c r="I569" s="3" t="s">
        <v>212</v>
      </c>
      <c r="J569" s="3" t="s">
        <v>35</v>
      </c>
      <c r="K569" s="3" t="s">
        <v>36</v>
      </c>
      <c r="L569" s="3" t="s">
        <v>37</v>
      </c>
      <c r="M569" s="3" t="s">
        <v>52</v>
      </c>
      <c r="N569" s="3" t="s">
        <v>1248</v>
      </c>
      <c r="O569" s="3" t="s">
        <v>41</v>
      </c>
      <c r="P569" s="3" t="s">
        <v>40</v>
      </c>
      <c r="Q569" s="3" t="s">
        <v>1248</v>
      </c>
      <c r="R569" s="5">
        <v>46140.752060185187</v>
      </c>
      <c r="S569" s="5">
        <v>46141.360625000001</v>
      </c>
      <c r="T569" s="3" t="s">
        <v>1249</v>
      </c>
      <c r="U569" s="1" t="s">
        <v>59</v>
      </c>
      <c r="V569" s="1" t="s">
        <v>60</v>
      </c>
      <c r="W569" s="1" t="s">
        <v>2209</v>
      </c>
      <c r="X569" s="1" t="s">
        <v>2210</v>
      </c>
      <c r="Y569" s="1" t="s">
        <v>1252</v>
      </c>
      <c r="Z569" s="1" t="s">
        <v>1253</v>
      </c>
      <c r="AA569" s="1" t="s">
        <v>61</v>
      </c>
    </row>
    <row r="570" spans="1:27" ht="17.45" customHeight="1">
      <c r="A570" s="2" t="s">
        <v>313</v>
      </c>
      <c r="B570" s="2" t="s">
        <v>48</v>
      </c>
      <c r="C570">
        <v>1</v>
      </c>
      <c r="D570" s="2" t="s">
        <v>121</v>
      </c>
      <c r="E570" s="2" t="s">
        <v>2211</v>
      </c>
      <c r="F570" s="2" t="s">
        <v>2212</v>
      </c>
      <c r="G570" s="2" t="s">
        <v>32</v>
      </c>
      <c r="H570" s="2" t="s">
        <v>124</v>
      </c>
      <c r="I570" s="2" t="s">
        <v>212</v>
      </c>
      <c r="J570" s="2" t="s">
        <v>35</v>
      </c>
      <c r="K570" s="2" t="s">
        <v>36</v>
      </c>
      <c r="L570" s="2" t="s">
        <v>37</v>
      </c>
      <c r="M570" s="2" t="s">
        <v>52</v>
      </c>
      <c r="N570" s="2" t="s">
        <v>1248</v>
      </c>
      <c r="O570" s="2" t="s">
        <v>41</v>
      </c>
      <c r="P570" s="2" t="s">
        <v>40</v>
      </c>
      <c r="Q570" s="2" t="s">
        <v>1248</v>
      </c>
      <c r="R570" s="4">
        <v>46140.752743055556</v>
      </c>
      <c r="S570" s="4">
        <v>46141.360462962963</v>
      </c>
      <c r="T570" s="2" t="s">
        <v>1249</v>
      </c>
      <c r="U570" s="1" t="s">
        <v>59</v>
      </c>
      <c r="V570" s="1" t="s">
        <v>60</v>
      </c>
      <c r="W570" s="1" t="s">
        <v>2212</v>
      </c>
      <c r="X570" s="1" t="s">
        <v>2212</v>
      </c>
      <c r="Y570" s="1" t="s">
        <v>1252</v>
      </c>
      <c r="Z570" s="1" t="s">
        <v>1253</v>
      </c>
      <c r="AA570" s="1" t="s">
        <v>61</v>
      </c>
    </row>
    <row r="571" spans="1:27" ht="17.45" customHeight="1">
      <c r="A571" s="3" t="s">
        <v>309</v>
      </c>
      <c r="B571" s="3" t="s">
        <v>48</v>
      </c>
      <c r="C571">
        <v>1</v>
      </c>
      <c r="D571" s="3" t="s">
        <v>121</v>
      </c>
      <c r="E571" s="3" t="s">
        <v>2213</v>
      </c>
      <c r="F571" s="3" t="s">
        <v>2214</v>
      </c>
      <c r="G571" s="3" t="s">
        <v>32</v>
      </c>
      <c r="H571" s="3" t="s">
        <v>124</v>
      </c>
      <c r="I571" s="3" t="s">
        <v>212</v>
      </c>
      <c r="J571" s="3" t="s">
        <v>35</v>
      </c>
      <c r="K571" s="3" t="s">
        <v>36</v>
      </c>
      <c r="L571" s="3" t="s">
        <v>37</v>
      </c>
      <c r="M571" s="3" t="s">
        <v>52</v>
      </c>
      <c r="N571" s="3" t="s">
        <v>1248</v>
      </c>
      <c r="O571" s="3" t="s">
        <v>41</v>
      </c>
      <c r="P571" s="3" t="s">
        <v>40</v>
      </c>
      <c r="Q571" s="3" t="s">
        <v>1248</v>
      </c>
      <c r="R571" s="5">
        <v>46140.753275462965</v>
      </c>
      <c r="S571" s="5">
        <v>46141.360289351855</v>
      </c>
      <c r="T571" s="3" t="s">
        <v>1249</v>
      </c>
      <c r="U571" s="1" t="s">
        <v>59</v>
      </c>
      <c r="V571" s="1" t="s">
        <v>60</v>
      </c>
      <c r="W571" s="1" t="s">
        <v>2214</v>
      </c>
      <c r="X571" s="1" t="s">
        <v>2214</v>
      </c>
      <c r="Y571" s="1" t="s">
        <v>1252</v>
      </c>
      <c r="Z571" s="1" t="s">
        <v>1253</v>
      </c>
      <c r="AA571" s="1" t="s">
        <v>61</v>
      </c>
    </row>
    <row r="572" spans="1:27" ht="17.45" customHeight="1">
      <c r="A572" s="2" t="s">
        <v>233</v>
      </c>
      <c r="B572" s="2" t="s">
        <v>28</v>
      </c>
      <c r="C572">
        <v>1</v>
      </c>
      <c r="D572" s="2" t="s">
        <v>228</v>
      </c>
      <c r="E572" s="2" t="s">
        <v>2215</v>
      </c>
      <c r="F572" s="2" t="s">
        <v>2216</v>
      </c>
      <c r="G572" s="2" t="s">
        <v>32</v>
      </c>
      <c r="H572" s="2" t="s">
        <v>124</v>
      </c>
      <c r="I572" s="2" t="s">
        <v>124</v>
      </c>
      <c r="J572" s="2" t="s">
        <v>35</v>
      </c>
      <c r="K572" s="2" t="s">
        <v>36</v>
      </c>
      <c r="L572" s="2" t="s">
        <v>37</v>
      </c>
      <c r="M572" s="2" t="s">
        <v>52</v>
      </c>
      <c r="N572" s="2" t="s">
        <v>2217</v>
      </c>
      <c r="O572" s="2" t="s">
        <v>124</v>
      </c>
      <c r="P572" s="2" t="s">
        <v>40</v>
      </c>
      <c r="Q572" s="2" t="s">
        <v>2217</v>
      </c>
      <c r="R572" s="4">
        <v>46141.66474537037</v>
      </c>
      <c r="S572" s="4">
        <v>46150.362696759257</v>
      </c>
      <c r="T572" s="2" t="s">
        <v>41</v>
      </c>
      <c r="U572" s="1" t="s">
        <v>283</v>
      </c>
      <c r="V572" s="1" t="s">
        <v>284</v>
      </c>
      <c r="W572" s="1" t="s">
        <v>2218</v>
      </c>
      <c r="X572" s="1" t="s">
        <v>2218</v>
      </c>
      <c r="Y572" s="1"/>
      <c r="Z572" s="1"/>
      <c r="AA572" s="1" t="s">
        <v>285</v>
      </c>
    </row>
    <row r="573" spans="1:27" ht="17.45" customHeight="1">
      <c r="A573" s="3" t="s">
        <v>717</v>
      </c>
      <c r="B573" s="3" t="s">
        <v>48</v>
      </c>
      <c r="C573">
        <v>1</v>
      </c>
      <c r="D573" s="3" t="s">
        <v>228</v>
      </c>
      <c r="E573" s="3" t="s">
        <v>2219</v>
      </c>
      <c r="F573" s="3" t="s">
        <v>2220</v>
      </c>
      <c r="G573" s="3" t="s">
        <v>32</v>
      </c>
      <c r="H573" s="3" t="s">
        <v>124</v>
      </c>
      <c r="I573" s="3" t="s">
        <v>124</v>
      </c>
      <c r="J573" s="3" t="s">
        <v>35</v>
      </c>
      <c r="K573" s="3" t="s">
        <v>36</v>
      </c>
      <c r="L573" s="3" t="s">
        <v>51</v>
      </c>
      <c r="M573" s="3" t="s">
        <v>64</v>
      </c>
      <c r="N573" s="3" t="s">
        <v>2217</v>
      </c>
      <c r="O573" s="3" t="s">
        <v>124</v>
      </c>
      <c r="P573" s="3" t="s">
        <v>53</v>
      </c>
      <c r="Q573" s="3" t="s">
        <v>2217</v>
      </c>
      <c r="R573" s="5">
        <v>46136.444988425923</v>
      </c>
      <c r="S573" s="5">
        <v>46141.667199074072</v>
      </c>
      <c r="T573" s="3" t="s">
        <v>41</v>
      </c>
      <c r="U573" s="1" t="s">
        <v>59</v>
      </c>
      <c r="V573" s="1" t="s">
        <v>60</v>
      </c>
      <c r="W573" s="1" t="s">
        <v>2221</v>
      </c>
      <c r="X573" s="1" t="s">
        <v>2222</v>
      </c>
      <c r="Y573" s="1"/>
      <c r="Z573" s="1"/>
      <c r="AA573" s="1" t="s">
        <v>61</v>
      </c>
    </row>
    <row r="574" spans="1:27" ht="17.45" customHeight="1">
      <c r="A574" s="2" t="s">
        <v>1705</v>
      </c>
      <c r="B574" s="2" t="s">
        <v>48</v>
      </c>
      <c r="C574">
        <v>1</v>
      </c>
      <c r="D574" s="2" t="s">
        <v>228</v>
      </c>
      <c r="E574" s="2" t="s">
        <v>2223</v>
      </c>
      <c r="F574" s="2" t="s">
        <v>2224</v>
      </c>
      <c r="G574" s="2" t="s">
        <v>32</v>
      </c>
      <c r="H574" s="2" t="s">
        <v>124</v>
      </c>
      <c r="I574" s="2" t="s">
        <v>124</v>
      </c>
      <c r="J574" s="2" t="s">
        <v>35</v>
      </c>
      <c r="K574" s="2" t="s">
        <v>36</v>
      </c>
      <c r="L574" s="2" t="s">
        <v>51</v>
      </c>
      <c r="M574" s="2" t="s">
        <v>64</v>
      </c>
      <c r="N574" s="2" t="s">
        <v>2217</v>
      </c>
      <c r="O574" s="2" t="s">
        <v>124</v>
      </c>
      <c r="P574" s="2" t="s">
        <v>53</v>
      </c>
      <c r="Q574" s="2" t="s">
        <v>2217</v>
      </c>
      <c r="R574" s="4">
        <v>46136.401192129626</v>
      </c>
      <c r="S574" s="4">
        <v>46141.667060185187</v>
      </c>
      <c r="T574" s="2" t="s">
        <v>41</v>
      </c>
      <c r="U574" s="1" t="s">
        <v>59</v>
      </c>
      <c r="V574" s="1" t="s">
        <v>60</v>
      </c>
      <c r="W574" s="1" t="s">
        <v>2225</v>
      </c>
      <c r="X574" s="1" t="s">
        <v>2226</v>
      </c>
      <c r="Y574" s="1"/>
      <c r="Z574" s="1"/>
      <c r="AA574" s="1" t="s">
        <v>61</v>
      </c>
    </row>
    <row r="575" spans="1:27" ht="17.45" customHeight="1">
      <c r="A575" s="3" t="s">
        <v>2227</v>
      </c>
      <c r="B575" s="3" t="s">
        <v>171</v>
      </c>
      <c r="C575">
        <v>1</v>
      </c>
      <c r="D575" s="3" t="s">
        <v>1273</v>
      </c>
      <c r="E575" s="3" t="s">
        <v>2228</v>
      </c>
      <c r="F575" s="3" t="s">
        <v>2229</v>
      </c>
      <c r="G575" s="3" t="s">
        <v>32</v>
      </c>
      <c r="H575" s="3" t="s">
        <v>1276</v>
      </c>
      <c r="I575" s="3" t="s">
        <v>1277</v>
      </c>
      <c r="J575" s="3" t="s">
        <v>35</v>
      </c>
      <c r="K575" s="3" t="s">
        <v>36</v>
      </c>
      <c r="L575" s="3" t="s">
        <v>51</v>
      </c>
      <c r="M575" s="3" t="s">
        <v>38</v>
      </c>
      <c r="N575" s="3" t="s">
        <v>2230</v>
      </c>
      <c r="O575" s="3" t="s">
        <v>41</v>
      </c>
      <c r="P575" s="3" t="s">
        <v>53</v>
      </c>
      <c r="Q575" s="3" t="s">
        <v>2230</v>
      </c>
      <c r="R575" s="5">
        <v>46136.663124999999</v>
      </c>
      <c r="S575" s="5">
        <v>46141.683935185189</v>
      </c>
      <c r="T575" s="3" t="s">
        <v>41</v>
      </c>
      <c r="U575" s="1" t="s">
        <v>177</v>
      </c>
      <c r="V575" s="1" t="s">
        <v>215</v>
      </c>
      <c r="W575" s="1" t="s">
        <v>2231</v>
      </c>
      <c r="X575" s="1" t="s">
        <v>2232</v>
      </c>
      <c r="Y575" s="1"/>
      <c r="Z575" s="1"/>
      <c r="AA575" s="1" t="s">
        <v>179</v>
      </c>
    </row>
    <row r="576" spans="1:27" ht="17.45" customHeight="1">
      <c r="A576" s="2" t="s">
        <v>1389</v>
      </c>
      <c r="B576" s="2" t="s">
        <v>171</v>
      </c>
      <c r="C576">
        <v>1</v>
      </c>
      <c r="D576" s="2" t="s">
        <v>1273</v>
      </c>
      <c r="E576" s="2" t="s">
        <v>2233</v>
      </c>
      <c r="F576" s="2" t="s">
        <v>2234</v>
      </c>
      <c r="G576" s="2" t="s">
        <v>32</v>
      </c>
      <c r="H576" s="2" t="s">
        <v>1276</v>
      </c>
      <c r="I576" s="2" t="s">
        <v>1285</v>
      </c>
      <c r="J576" s="2" t="s">
        <v>35</v>
      </c>
      <c r="K576" s="2" t="s">
        <v>36</v>
      </c>
      <c r="L576" s="2" t="s">
        <v>37</v>
      </c>
      <c r="M576" s="2" t="s">
        <v>38</v>
      </c>
      <c r="N576" s="2" t="s">
        <v>2230</v>
      </c>
      <c r="O576" s="2" t="s">
        <v>41</v>
      </c>
      <c r="P576" s="2" t="s">
        <v>53</v>
      </c>
      <c r="Q576" s="2" t="s">
        <v>2230</v>
      </c>
      <c r="R576" s="4">
        <v>46136.708923611113</v>
      </c>
      <c r="S576" s="4">
        <v>46142.431400462963</v>
      </c>
      <c r="T576" s="2" t="s">
        <v>41</v>
      </c>
      <c r="U576" s="1" t="s">
        <v>95</v>
      </c>
      <c r="V576" s="1" t="s">
        <v>96</v>
      </c>
      <c r="W576" s="1" t="s">
        <v>2235</v>
      </c>
      <c r="X576" s="1" t="s">
        <v>2236</v>
      </c>
      <c r="Y576" s="1"/>
      <c r="Z576" s="1"/>
      <c r="AA576" s="1" t="s">
        <v>98</v>
      </c>
    </row>
    <row r="577" spans="1:27" ht="17.45" customHeight="1">
      <c r="A577" s="3" t="s">
        <v>1907</v>
      </c>
      <c r="B577" s="3" t="s">
        <v>181</v>
      </c>
      <c r="C577">
        <v>1</v>
      </c>
      <c r="D577" s="3" t="s">
        <v>1273</v>
      </c>
      <c r="E577" s="3" t="s">
        <v>2237</v>
      </c>
      <c r="F577" s="3" t="s">
        <v>2238</v>
      </c>
      <c r="G577" s="3" t="s">
        <v>32</v>
      </c>
      <c r="H577" s="3" t="s">
        <v>1276</v>
      </c>
      <c r="I577" s="3" t="s">
        <v>1277</v>
      </c>
      <c r="J577" s="3" t="s">
        <v>35</v>
      </c>
      <c r="K577" s="3" t="s">
        <v>36</v>
      </c>
      <c r="L577" s="3" t="s">
        <v>37</v>
      </c>
      <c r="M577" s="3" t="s">
        <v>64</v>
      </c>
      <c r="N577" s="3" t="s">
        <v>2230</v>
      </c>
      <c r="O577" s="3" t="s">
        <v>41</v>
      </c>
      <c r="P577" s="3" t="s">
        <v>53</v>
      </c>
      <c r="Q577" s="3" t="s">
        <v>2230</v>
      </c>
      <c r="R577" s="5">
        <v>46140.650914351849</v>
      </c>
      <c r="S577" s="5">
        <v>46141.55672453704</v>
      </c>
      <c r="T577" s="3" t="s">
        <v>41</v>
      </c>
      <c r="U577" s="1" t="s">
        <v>95</v>
      </c>
      <c r="V577" s="1" t="s">
        <v>96</v>
      </c>
      <c r="W577" s="1" t="s">
        <v>2239</v>
      </c>
      <c r="X577" s="1" t="s">
        <v>2238</v>
      </c>
      <c r="Y577" s="1"/>
      <c r="Z577" s="1"/>
      <c r="AA577" s="1" t="s">
        <v>98</v>
      </c>
    </row>
    <row r="578" spans="1:27" ht="17.45" customHeight="1">
      <c r="A578" s="2" t="s">
        <v>2240</v>
      </c>
      <c r="B578" s="2" t="s">
        <v>181</v>
      </c>
      <c r="C578">
        <v>1</v>
      </c>
      <c r="D578" s="2" t="s">
        <v>1273</v>
      </c>
      <c r="E578" s="2" t="s">
        <v>2241</v>
      </c>
      <c r="F578" s="2" t="s">
        <v>2242</v>
      </c>
      <c r="G578" s="2" t="s">
        <v>32</v>
      </c>
      <c r="H578" s="2" t="s">
        <v>1276</v>
      </c>
      <c r="I578" s="2" t="s">
        <v>1277</v>
      </c>
      <c r="J578" s="2" t="s">
        <v>35</v>
      </c>
      <c r="K578" s="2" t="s">
        <v>36</v>
      </c>
      <c r="L578" s="2" t="s">
        <v>51</v>
      </c>
      <c r="M578" s="2" t="s">
        <v>64</v>
      </c>
      <c r="N578" s="2" t="s">
        <v>2230</v>
      </c>
      <c r="O578" s="2" t="s">
        <v>41</v>
      </c>
      <c r="P578" s="2" t="s">
        <v>53</v>
      </c>
      <c r="Q578" s="2" t="s">
        <v>2230</v>
      </c>
      <c r="R578" s="4">
        <v>46135.638668981483</v>
      </c>
      <c r="S578" s="4">
        <v>46142.420289351852</v>
      </c>
      <c r="T578" s="2" t="s">
        <v>41</v>
      </c>
      <c r="U578" s="1" t="s">
        <v>788</v>
      </c>
      <c r="V578" s="1" t="s">
        <v>789</v>
      </c>
      <c r="W578" s="1" t="s">
        <v>2242</v>
      </c>
      <c r="X578" s="1" t="s">
        <v>2242</v>
      </c>
      <c r="Y578" s="1"/>
      <c r="Z578" s="1"/>
      <c r="AA578" s="1" t="s">
        <v>791</v>
      </c>
    </row>
    <row r="579" spans="1:27" ht="17.45" customHeight="1">
      <c r="A579" s="3" t="s">
        <v>2243</v>
      </c>
      <c r="B579" s="3" t="s">
        <v>181</v>
      </c>
      <c r="C579">
        <v>1</v>
      </c>
      <c r="D579" s="3" t="s">
        <v>1273</v>
      </c>
      <c r="E579" s="3" t="s">
        <v>2244</v>
      </c>
      <c r="F579" s="3" t="s">
        <v>2245</v>
      </c>
      <c r="G579" s="3" t="s">
        <v>32</v>
      </c>
      <c r="H579" s="3" t="s">
        <v>1276</v>
      </c>
      <c r="I579" s="3" t="s">
        <v>1285</v>
      </c>
      <c r="J579" s="3" t="s">
        <v>35</v>
      </c>
      <c r="K579" s="3" t="s">
        <v>36</v>
      </c>
      <c r="L579" s="3" t="s">
        <v>51</v>
      </c>
      <c r="M579" s="3" t="s">
        <v>64</v>
      </c>
      <c r="N579" s="3" t="s">
        <v>2230</v>
      </c>
      <c r="O579" s="3" t="s">
        <v>41</v>
      </c>
      <c r="P579" s="3" t="s">
        <v>53</v>
      </c>
      <c r="Q579" s="3" t="s">
        <v>2230</v>
      </c>
      <c r="R579" s="5">
        <v>46136.474074074074</v>
      </c>
      <c r="S579" s="5">
        <v>46141.420555555553</v>
      </c>
      <c r="T579" s="3" t="s">
        <v>41</v>
      </c>
      <c r="U579" s="1" t="s">
        <v>95</v>
      </c>
      <c r="V579" s="1" t="s">
        <v>96</v>
      </c>
      <c r="W579" s="1" t="s">
        <v>2246</v>
      </c>
      <c r="X579" s="1" t="s">
        <v>2247</v>
      </c>
      <c r="Y579" s="1"/>
      <c r="Z579" s="1"/>
      <c r="AA579" s="1" t="s">
        <v>98</v>
      </c>
    </row>
    <row r="580" spans="1:27" ht="17.45" customHeight="1">
      <c r="A580" s="2" t="s">
        <v>1289</v>
      </c>
      <c r="B580" s="2" t="s">
        <v>171</v>
      </c>
      <c r="C580">
        <v>1</v>
      </c>
      <c r="D580" s="2" t="s">
        <v>1273</v>
      </c>
      <c r="E580" s="2" t="s">
        <v>2248</v>
      </c>
      <c r="F580" s="2" t="s">
        <v>2249</v>
      </c>
      <c r="G580" s="2" t="s">
        <v>32</v>
      </c>
      <c r="H580" s="2" t="s">
        <v>1276</v>
      </c>
      <c r="I580" s="2" t="s">
        <v>1292</v>
      </c>
      <c r="J580" s="2" t="s">
        <v>35</v>
      </c>
      <c r="K580" s="2" t="s">
        <v>36</v>
      </c>
      <c r="L580" s="2" t="s">
        <v>37</v>
      </c>
      <c r="M580" s="2" t="s">
        <v>52</v>
      </c>
      <c r="N580" s="2" t="s">
        <v>2230</v>
      </c>
      <c r="O580" s="2" t="s">
        <v>41</v>
      </c>
      <c r="P580" s="2" t="s">
        <v>40</v>
      </c>
      <c r="Q580" s="2" t="s">
        <v>2230</v>
      </c>
      <c r="R580" s="4">
        <v>46139.7421875</v>
      </c>
      <c r="S580" s="4">
        <v>46141.60633101852</v>
      </c>
      <c r="T580" s="2" t="s">
        <v>41</v>
      </c>
      <c r="U580" s="1" t="s">
        <v>165</v>
      </c>
      <c r="V580" s="1" t="s">
        <v>238</v>
      </c>
      <c r="W580" s="1" t="s">
        <v>2250</v>
      </c>
      <c r="X580" s="1" t="s">
        <v>2251</v>
      </c>
      <c r="Y580" s="1"/>
      <c r="Z580" s="1"/>
      <c r="AA580" s="1" t="s">
        <v>169</v>
      </c>
    </row>
    <row r="581" spans="1:27" ht="17.45" customHeight="1">
      <c r="A581" s="3" t="s">
        <v>1369</v>
      </c>
      <c r="B581" s="3" t="s">
        <v>28</v>
      </c>
      <c r="C581">
        <v>1</v>
      </c>
      <c r="D581" s="3" t="s">
        <v>121</v>
      </c>
      <c r="E581" s="3" t="s">
        <v>2252</v>
      </c>
      <c r="F581" s="3" t="s">
        <v>520</v>
      </c>
      <c r="G581" s="3" t="s">
        <v>32</v>
      </c>
      <c r="H581" s="3" t="s">
        <v>124</v>
      </c>
      <c r="I581" s="3" t="s">
        <v>157</v>
      </c>
      <c r="J581" s="3" t="s">
        <v>35</v>
      </c>
      <c r="K581" s="3" t="s">
        <v>36</v>
      </c>
      <c r="L581" s="3" t="s">
        <v>51</v>
      </c>
      <c r="M581" s="3" t="s">
        <v>64</v>
      </c>
      <c r="N581" s="3" t="s">
        <v>2230</v>
      </c>
      <c r="O581" s="3" t="s">
        <v>41</v>
      </c>
      <c r="P581" s="3" t="s">
        <v>53</v>
      </c>
      <c r="Q581" s="3" t="s">
        <v>2230</v>
      </c>
      <c r="R581" s="5">
        <v>46139.718206018515</v>
      </c>
      <c r="S581" s="5">
        <v>46148.745381944442</v>
      </c>
      <c r="T581" s="3" t="s">
        <v>41</v>
      </c>
      <c r="U581" s="1" t="s">
        <v>263</v>
      </c>
      <c r="V581" s="1" t="s">
        <v>264</v>
      </c>
      <c r="W581" s="1" t="s">
        <v>520</v>
      </c>
      <c r="X581" s="1" t="s">
        <v>520</v>
      </c>
      <c r="Y581" s="1"/>
      <c r="Z581" s="1"/>
      <c r="AA581" s="1" t="s">
        <v>265</v>
      </c>
    </row>
    <row r="582" spans="1:27" ht="17.45" customHeight="1">
      <c r="A582" s="2" t="s">
        <v>2253</v>
      </c>
      <c r="B582" s="2" t="s">
        <v>171</v>
      </c>
      <c r="C582">
        <v>1</v>
      </c>
      <c r="D582" s="2" t="s">
        <v>1273</v>
      </c>
      <c r="E582" s="2" t="s">
        <v>2254</v>
      </c>
      <c r="F582" s="2" t="s">
        <v>2255</v>
      </c>
      <c r="G582" s="2" t="s">
        <v>32</v>
      </c>
      <c r="H582" s="2" t="s">
        <v>1276</v>
      </c>
      <c r="I582" s="2" t="s">
        <v>1277</v>
      </c>
      <c r="J582" s="2" t="s">
        <v>35</v>
      </c>
      <c r="K582" s="2" t="s">
        <v>36</v>
      </c>
      <c r="L582" s="2" t="s">
        <v>37</v>
      </c>
      <c r="M582" s="2" t="s">
        <v>52</v>
      </c>
      <c r="N582" s="2" t="s">
        <v>2230</v>
      </c>
      <c r="O582" s="2" t="s">
        <v>41</v>
      </c>
      <c r="P582" s="2" t="s">
        <v>40</v>
      </c>
      <c r="Q582" s="2" t="s">
        <v>2230</v>
      </c>
      <c r="R582" s="4">
        <v>46139.712025462963</v>
      </c>
      <c r="S582" s="4">
        <v>46141.715590277781</v>
      </c>
      <c r="T582" s="2" t="s">
        <v>41</v>
      </c>
      <c r="U582" s="1" t="s">
        <v>177</v>
      </c>
      <c r="V582" s="1" t="s">
        <v>215</v>
      </c>
      <c r="W582" s="1" t="s">
        <v>2255</v>
      </c>
      <c r="X582" s="1" t="s">
        <v>2255</v>
      </c>
      <c r="Y582" s="1"/>
      <c r="Z582" s="1"/>
      <c r="AA582" s="1" t="s">
        <v>179</v>
      </c>
    </row>
    <row r="583" spans="1:27" ht="17.45" customHeight="1">
      <c r="A583" s="3" t="s">
        <v>1984</v>
      </c>
      <c r="B583" s="3" t="s">
        <v>171</v>
      </c>
      <c r="C583">
        <v>1</v>
      </c>
      <c r="D583" s="3" t="s">
        <v>1273</v>
      </c>
      <c r="E583" s="3" t="s">
        <v>2256</v>
      </c>
      <c r="F583" s="3" t="s">
        <v>2257</v>
      </c>
      <c r="G583" s="3" t="s">
        <v>32</v>
      </c>
      <c r="H583" s="3" t="s">
        <v>1276</v>
      </c>
      <c r="I583" s="3" t="s">
        <v>1277</v>
      </c>
      <c r="J583" s="3" t="s">
        <v>35</v>
      </c>
      <c r="K583" s="3" t="s">
        <v>36</v>
      </c>
      <c r="L583" s="3" t="s">
        <v>51</v>
      </c>
      <c r="M583" s="3" t="s">
        <v>52</v>
      </c>
      <c r="N583" s="3" t="s">
        <v>2258</v>
      </c>
      <c r="O583" s="3" t="s">
        <v>35</v>
      </c>
      <c r="P583" s="3" t="s">
        <v>53</v>
      </c>
      <c r="Q583" s="3" t="s">
        <v>2259</v>
      </c>
      <c r="R583" s="5">
        <v>46141.714386574073</v>
      </c>
      <c r="S583" s="5">
        <v>46148.39234953704</v>
      </c>
      <c r="T583" s="3" t="s">
        <v>41</v>
      </c>
      <c r="U583" s="1" t="s">
        <v>263</v>
      </c>
      <c r="V583" s="1" t="s">
        <v>264</v>
      </c>
      <c r="W583" s="1" t="s">
        <v>2257</v>
      </c>
      <c r="X583" s="1" t="s">
        <v>2257</v>
      </c>
      <c r="Y583" s="1"/>
      <c r="Z583" s="1"/>
      <c r="AA583" s="1" t="s">
        <v>265</v>
      </c>
    </row>
    <row r="584" spans="1:27" ht="17.45" customHeight="1">
      <c r="A584" s="2" t="s">
        <v>2189</v>
      </c>
      <c r="B584" s="2" t="s">
        <v>171</v>
      </c>
      <c r="C584">
        <v>1</v>
      </c>
      <c r="D584" s="2" t="s">
        <v>1273</v>
      </c>
      <c r="E584" s="2" t="s">
        <v>2260</v>
      </c>
      <c r="F584" s="2" t="s">
        <v>2261</v>
      </c>
      <c r="G584" s="2" t="s">
        <v>32</v>
      </c>
      <c r="H584" s="2" t="s">
        <v>1276</v>
      </c>
      <c r="I584" s="2" t="s">
        <v>1277</v>
      </c>
      <c r="J584" s="2" t="s">
        <v>35</v>
      </c>
      <c r="K584" s="2" t="s">
        <v>36</v>
      </c>
      <c r="L584" s="2" t="s">
        <v>37</v>
      </c>
      <c r="M584" s="2" t="s">
        <v>64</v>
      </c>
      <c r="N584" s="2" t="s">
        <v>2258</v>
      </c>
      <c r="O584" s="2" t="s">
        <v>35</v>
      </c>
      <c r="P584" s="2" t="s">
        <v>53</v>
      </c>
      <c r="Q584" s="2" t="s">
        <v>2259</v>
      </c>
      <c r="R584" s="4">
        <v>46141.741863425923</v>
      </c>
      <c r="S584" s="4">
        <v>46148.393009259256</v>
      </c>
      <c r="T584" s="2" t="s">
        <v>41</v>
      </c>
      <c r="U584" s="1" t="s">
        <v>165</v>
      </c>
      <c r="V584" s="1" t="s">
        <v>166</v>
      </c>
      <c r="W584" s="1" t="s">
        <v>2261</v>
      </c>
      <c r="X584" s="1" t="s">
        <v>2261</v>
      </c>
      <c r="Y584" s="1"/>
      <c r="Z584" s="1"/>
      <c r="AA584" s="1" t="s">
        <v>169</v>
      </c>
    </row>
    <row r="585" spans="1:27" ht="17.45" customHeight="1">
      <c r="A585" s="3" t="s">
        <v>750</v>
      </c>
      <c r="B585" s="3" t="s">
        <v>48</v>
      </c>
      <c r="C585">
        <v>1</v>
      </c>
      <c r="D585" s="3" t="s">
        <v>228</v>
      </c>
      <c r="E585" s="3" t="s">
        <v>2262</v>
      </c>
      <c r="F585" s="3" t="s">
        <v>2263</v>
      </c>
      <c r="G585" s="3" t="s">
        <v>32</v>
      </c>
      <c r="H585" s="3" t="s">
        <v>124</v>
      </c>
      <c r="I585" s="3" t="s">
        <v>124</v>
      </c>
      <c r="J585" s="3" t="s">
        <v>35</v>
      </c>
      <c r="K585" s="3" t="s">
        <v>36</v>
      </c>
      <c r="L585" s="3" t="s">
        <v>51</v>
      </c>
      <c r="M585" s="3" t="s">
        <v>64</v>
      </c>
      <c r="N585" s="3" t="s">
        <v>2258</v>
      </c>
      <c r="O585" s="3" t="s">
        <v>35</v>
      </c>
      <c r="P585" s="3" t="s">
        <v>53</v>
      </c>
      <c r="Q585" s="3" t="s">
        <v>2259</v>
      </c>
      <c r="R585" s="5">
        <v>46141.742696759262</v>
      </c>
      <c r="S585" s="5">
        <v>46149.807604166665</v>
      </c>
      <c r="T585" s="3" t="s">
        <v>41</v>
      </c>
      <c r="U585" s="1" t="s">
        <v>165</v>
      </c>
      <c r="V585" s="1" t="s">
        <v>625</v>
      </c>
      <c r="W585" s="1" t="s">
        <v>2264</v>
      </c>
      <c r="X585" s="1" t="s">
        <v>2263</v>
      </c>
      <c r="Y585" s="1"/>
      <c r="Z585" s="1"/>
      <c r="AA585" s="1" t="s">
        <v>169</v>
      </c>
    </row>
    <row r="586" spans="1:27" ht="17.45" customHeight="1">
      <c r="A586" s="2" t="s">
        <v>257</v>
      </c>
      <c r="B586" s="2" t="s">
        <v>28</v>
      </c>
      <c r="C586">
        <v>1</v>
      </c>
      <c r="D586" s="2" t="s">
        <v>228</v>
      </c>
      <c r="E586" s="2" t="s">
        <v>2265</v>
      </c>
      <c r="F586" s="2" t="s">
        <v>2266</v>
      </c>
      <c r="G586" s="2" t="s">
        <v>32</v>
      </c>
      <c r="H586" s="2" t="s">
        <v>124</v>
      </c>
      <c r="I586" s="2" t="s">
        <v>124</v>
      </c>
      <c r="J586" s="2" t="s">
        <v>35</v>
      </c>
      <c r="K586" s="2" t="s">
        <v>36</v>
      </c>
      <c r="L586" s="2" t="s">
        <v>51</v>
      </c>
      <c r="M586" s="2" t="s">
        <v>64</v>
      </c>
      <c r="N586" s="2" t="s">
        <v>2258</v>
      </c>
      <c r="O586" s="2" t="s">
        <v>35</v>
      </c>
      <c r="P586" s="2" t="s">
        <v>53</v>
      </c>
      <c r="Q586" s="2" t="s">
        <v>2259</v>
      </c>
      <c r="R586" s="4">
        <v>46142.454293981478</v>
      </c>
      <c r="S586" s="4">
        <v>46149.819618055553</v>
      </c>
      <c r="T586" s="2" t="s">
        <v>41</v>
      </c>
      <c r="U586" s="1" t="s">
        <v>177</v>
      </c>
      <c r="V586" s="1" t="s">
        <v>184</v>
      </c>
      <c r="W586" s="1" t="s">
        <v>2266</v>
      </c>
      <c r="X586" s="1" t="s">
        <v>2266</v>
      </c>
      <c r="Y586" s="1"/>
      <c r="Z586" s="1"/>
      <c r="AA586" s="1" t="s">
        <v>179</v>
      </c>
    </row>
    <row r="587" spans="1:27" ht="17.45" customHeight="1">
      <c r="A587" s="3" t="s">
        <v>2267</v>
      </c>
      <c r="B587" s="3" t="s">
        <v>48</v>
      </c>
      <c r="C587">
        <v>1</v>
      </c>
      <c r="D587" s="3" t="s">
        <v>1273</v>
      </c>
      <c r="E587" s="3" t="s">
        <v>2268</v>
      </c>
      <c r="F587" s="3" t="s">
        <v>2269</v>
      </c>
      <c r="G587" s="3" t="s">
        <v>32</v>
      </c>
      <c r="H587" s="3" t="s">
        <v>1276</v>
      </c>
      <c r="I587" s="3" t="s">
        <v>1285</v>
      </c>
      <c r="J587" s="3" t="s">
        <v>35</v>
      </c>
      <c r="K587" s="3" t="s">
        <v>36</v>
      </c>
      <c r="L587" s="3" t="s">
        <v>51</v>
      </c>
      <c r="M587" s="3" t="s">
        <v>52</v>
      </c>
      <c r="N587" s="3" t="s">
        <v>2258</v>
      </c>
      <c r="O587" s="3" t="s">
        <v>35</v>
      </c>
      <c r="P587" s="3" t="s">
        <v>40</v>
      </c>
      <c r="Q587" s="3" t="s">
        <v>2259</v>
      </c>
      <c r="R587" s="5">
        <v>46148.46675925926</v>
      </c>
      <c r="S587" s="5">
        <v>46149.450173611112</v>
      </c>
      <c r="T587" s="3" t="s">
        <v>41</v>
      </c>
      <c r="U587" s="1" t="s">
        <v>42</v>
      </c>
      <c r="V587" s="1" t="s">
        <v>74</v>
      </c>
      <c r="W587" s="1" t="s">
        <v>2269</v>
      </c>
      <c r="X587" s="1" t="s">
        <v>2269</v>
      </c>
      <c r="Y587" s="1"/>
      <c r="Z587" s="1"/>
      <c r="AA587" s="1" t="s">
        <v>46</v>
      </c>
    </row>
    <row r="588" spans="1:27" ht="17.45" customHeight="1">
      <c r="A588" s="2" t="s">
        <v>2267</v>
      </c>
      <c r="B588" s="2" t="s">
        <v>48</v>
      </c>
      <c r="C588">
        <v>1</v>
      </c>
      <c r="D588" s="2" t="s">
        <v>1273</v>
      </c>
      <c r="E588" s="2" t="s">
        <v>2270</v>
      </c>
      <c r="F588" s="2" t="s">
        <v>2271</v>
      </c>
      <c r="G588" s="2" t="s">
        <v>32</v>
      </c>
      <c r="H588" s="2" t="s">
        <v>1276</v>
      </c>
      <c r="I588" s="2" t="s">
        <v>1285</v>
      </c>
      <c r="J588" s="2" t="s">
        <v>35</v>
      </c>
      <c r="K588" s="2" t="s">
        <v>36</v>
      </c>
      <c r="L588" s="2" t="s">
        <v>51</v>
      </c>
      <c r="M588" s="2" t="s">
        <v>52</v>
      </c>
      <c r="N588" s="2" t="s">
        <v>2258</v>
      </c>
      <c r="O588" s="2" t="s">
        <v>35</v>
      </c>
      <c r="P588" s="2" t="s">
        <v>40</v>
      </c>
      <c r="Q588" s="2" t="s">
        <v>2259</v>
      </c>
      <c r="R588" s="4">
        <v>46148.468310185184</v>
      </c>
      <c r="S588" s="4">
        <v>46149.451018518521</v>
      </c>
      <c r="T588" s="2" t="s">
        <v>41</v>
      </c>
      <c r="U588" s="1" t="s">
        <v>263</v>
      </c>
      <c r="V588" s="1" t="s">
        <v>264</v>
      </c>
      <c r="W588" s="1" t="s">
        <v>2271</v>
      </c>
      <c r="X588" s="1" t="s">
        <v>2271</v>
      </c>
      <c r="Y588" s="1"/>
      <c r="Z588" s="1"/>
      <c r="AA588" s="1" t="s">
        <v>265</v>
      </c>
    </row>
    <row r="589" spans="1:27" ht="17.45" customHeight="1">
      <c r="A589" s="3" t="s">
        <v>402</v>
      </c>
      <c r="B589" s="3" t="s">
        <v>120</v>
      </c>
      <c r="C589">
        <v>1</v>
      </c>
      <c r="D589" s="3" t="s">
        <v>121</v>
      </c>
      <c r="E589" s="3" t="s">
        <v>2272</v>
      </c>
      <c r="F589" s="3" t="s">
        <v>2273</v>
      </c>
      <c r="G589" s="3" t="s">
        <v>32</v>
      </c>
      <c r="H589" s="3" t="s">
        <v>124</v>
      </c>
      <c r="I589" s="3" t="s">
        <v>157</v>
      </c>
      <c r="J589" s="3" t="s">
        <v>35</v>
      </c>
      <c r="K589" s="3" t="s">
        <v>36</v>
      </c>
      <c r="L589" s="3" t="s">
        <v>37</v>
      </c>
      <c r="M589" s="3" t="s">
        <v>38</v>
      </c>
      <c r="N589" s="3" t="s">
        <v>2258</v>
      </c>
      <c r="O589" s="3" t="s">
        <v>35</v>
      </c>
      <c r="P589" s="3" t="s">
        <v>40</v>
      </c>
      <c r="Q589" s="3" t="s">
        <v>2259</v>
      </c>
      <c r="R589" s="5">
        <v>46134.46429398148</v>
      </c>
      <c r="S589" s="5">
        <v>46139.566284722219</v>
      </c>
      <c r="T589" s="3" t="s">
        <v>41</v>
      </c>
      <c r="U589" s="1" t="s">
        <v>83</v>
      </c>
      <c r="V589" s="1" t="s">
        <v>84</v>
      </c>
      <c r="W589" s="1" t="s">
        <v>2273</v>
      </c>
      <c r="X589" s="1" t="s">
        <v>2273</v>
      </c>
      <c r="Y589" s="1"/>
      <c r="Z589" s="1"/>
      <c r="AA589" s="1" t="s">
        <v>85</v>
      </c>
    </row>
    <row r="590" spans="1:27" ht="17.45" customHeight="1">
      <c r="A590" s="2" t="s">
        <v>2274</v>
      </c>
      <c r="B590" s="2" t="s">
        <v>48</v>
      </c>
      <c r="C590">
        <v>1</v>
      </c>
      <c r="D590" s="2" t="s">
        <v>228</v>
      </c>
      <c r="E590" s="2" t="s">
        <v>2275</v>
      </c>
      <c r="F590" s="2" t="s">
        <v>2276</v>
      </c>
      <c r="G590" s="2" t="s">
        <v>32</v>
      </c>
      <c r="H590" s="2" t="s">
        <v>124</v>
      </c>
      <c r="I590" s="2" t="s">
        <v>124</v>
      </c>
      <c r="J590" s="2" t="s">
        <v>35</v>
      </c>
      <c r="K590" s="2" t="s">
        <v>36</v>
      </c>
      <c r="L590" s="2" t="s">
        <v>51</v>
      </c>
      <c r="M590" s="2" t="s">
        <v>64</v>
      </c>
      <c r="N590" s="2" t="s">
        <v>2258</v>
      </c>
      <c r="O590" s="2" t="s">
        <v>35</v>
      </c>
      <c r="P590" s="2" t="s">
        <v>53</v>
      </c>
      <c r="Q590" s="2" t="s">
        <v>2259</v>
      </c>
      <c r="R590" s="4">
        <v>46136.39640046296</v>
      </c>
      <c r="S590" s="4">
        <v>46148.7033912037</v>
      </c>
      <c r="T590" s="2" t="s">
        <v>41</v>
      </c>
      <c r="U590" s="1" t="s">
        <v>59</v>
      </c>
      <c r="V590" s="1" t="s">
        <v>60</v>
      </c>
      <c r="W590" s="1" t="s">
        <v>2277</v>
      </c>
      <c r="X590" s="1" t="s">
        <v>2278</v>
      </c>
      <c r="Y590" s="1"/>
      <c r="Z590" s="1"/>
      <c r="AA590" s="1" t="s">
        <v>61</v>
      </c>
    </row>
    <row r="591" spans="1:27" ht="17.45" customHeight="1">
      <c r="A591" s="3" t="s">
        <v>2279</v>
      </c>
      <c r="B591" s="3" t="s">
        <v>171</v>
      </c>
      <c r="C591">
        <v>1</v>
      </c>
      <c r="D591" s="3" t="s">
        <v>1273</v>
      </c>
      <c r="E591" s="3" t="s">
        <v>2280</v>
      </c>
      <c r="F591" s="3" t="s">
        <v>2281</v>
      </c>
      <c r="G591" s="3" t="s">
        <v>32</v>
      </c>
      <c r="H591" s="3" t="s">
        <v>1276</v>
      </c>
      <c r="I591" s="3" t="s">
        <v>1277</v>
      </c>
      <c r="J591" s="3" t="s">
        <v>35</v>
      </c>
      <c r="K591" s="3" t="s">
        <v>36</v>
      </c>
      <c r="L591" s="3" t="s">
        <v>37</v>
      </c>
      <c r="M591" s="3" t="s">
        <v>38</v>
      </c>
      <c r="N591" s="3" t="s">
        <v>2258</v>
      </c>
      <c r="O591" s="3" t="s">
        <v>35</v>
      </c>
      <c r="P591" s="3" t="s">
        <v>53</v>
      </c>
      <c r="Q591" s="3" t="s">
        <v>2259</v>
      </c>
      <c r="R591" s="5">
        <v>46136.701435185183</v>
      </c>
      <c r="S591" s="5">
        <v>46140.529328703706</v>
      </c>
      <c r="T591" s="3" t="s">
        <v>41</v>
      </c>
      <c r="U591" s="1" t="s">
        <v>177</v>
      </c>
      <c r="V591" s="1" t="s">
        <v>215</v>
      </c>
      <c r="W591" s="1" t="s">
        <v>2235</v>
      </c>
      <c r="X591" s="1" t="s">
        <v>2235</v>
      </c>
      <c r="Y591" s="1"/>
      <c r="Z591" s="1"/>
      <c r="AA591" s="1" t="s">
        <v>179</v>
      </c>
    </row>
    <row r="592" spans="1:27" ht="17.45" customHeight="1">
      <c r="A592" s="2" t="s">
        <v>337</v>
      </c>
      <c r="B592" s="2" t="s">
        <v>48</v>
      </c>
      <c r="C592">
        <v>1</v>
      </c>
      <c r="D592" s="2" t="s">
        <v>121</v>
      </c>
      <c r="E592" s="2" t="s">
        <v>2282</v>
      </c>
      <c r="F592" s="2" t="s">
        <v>1663</v>
      </c>
      <c r="G592" s="2" t="s">
        <v>32</v>
      </c>
      <c r="H592" s="2" t="s">
        <v>124</v>
      </c>
      <c r="I592" s="2" t="s">
        <v>147</v>
      </c>
      <c r="J592" s="2" t="s">
        <v>35</v>
      </c>
      <c r="K592" s="2" t="s">
        <v>36</v>
      </c>
      <c r="L592" s="2" t="s">
        <v>37</v>
      </c>
      <c r="M592" s="2" t="s">
        <v>52</v>
      </c>
      <c r="N592" s="2" t="s">
        <v>1248</v>
      </c>
      <c r="O592" s="2" t="s">
        <v>35</v>
      </c>
      <c r="P592" s="2" t="s">
        <v>58</v>
      </c>
      <c r="Q592" s="2" t="s">
        <v>2259</v>
      </c>
      <c r="R592" s="4">
        <v>46139.597777777781</v>
      </c>
      <c r="S592" s="4">
        <v>46141.315821759257</v>
      </c>
      <c r="T592" s="2" t="s">
        <v>1256</v>
      </c>
      <c r="U592" s="1" t="s">
        <v>115</v>
      </c>
      <c r="V592" s="1" t="s">
        <v>116</v>
      </c>
      <c r="W592" s="1" t="s">
        <v>1663</v>
      </c>
      <c r="X592" s="1" t="s">
        <v>1663</v>
      </c>
      <c r="Y592" s="1" t="s">
        <v>1257</v>
      </c>
      <c r="Z592" s="1" t="s">
        <v>1253</v>
      </c>
      <c r="AA592" s="1" t="s">
        <v>118</v>
      </c>
    </row>
    <row r="593" spans="1:27" ht="17.45" customHeight="1">
      <c r="A593" s="3" t="s">
        <v>981</v>
      </c>
      <c r="B593" s="3" t="s">
        <v>28</v>
      </c>
      <c r="C593">
        <v>1</v>
      </c>
      <c r="D593" s="3" t="s">
        <v>121</v>
      </c>
      <c r="E593" s="3" t="s">
        <v>2283</v>
      </c>
      <c r="F593" s="3" t="s">
        <v>2284</v>
      </c>
      <c r="G593" s="3" t="s">
        <v>32</v>
      </c>
      <c r="H593" s="3" t="s">
        <v>124</v>
      </c>
      <c r="I593" s="3" t="s">
        <v>33</v>
      </c>
      <c r="J593" s="3" t="s">
        <v>35</v>
      </c>
      <c r="K593" s="3" t="s">
        <v>36</v>
      </c>
      <c r="L593" s="3" t="s">
        <v>51</v>
      </c>
      <c r="M593" s="3" t="s">
        <v>64</v>
      </c>
      <c r="N593" s="3" t="s">
        <v>2258</v>
      </c>
      <c r="O593" s="3" t="s">
        <v>35</v>
      </c>
      <c r="P593" s="3" t="s">
        <v>53</v>
      </c>
      <c r="Q593" s="3" t="s">
        <v>2259</v>
      </c>
      <c r="R593" s="5">
        <v>46139.718923611108</v>
      </c>
      <c r="S593" s="5">
        <v>46141.336516203701</v>
      </c>
      <c r="T593" s="3" t="s">
        <v>41</v>
      </c>
      <c r="U593" s="1" t="s">
        <v>42</v>
      </c>
      <c r="V593" s="1" t="s">
        <v>74</v>
      </c>
      <c r="W593" s="1" t="s">
        <v>2285</v>
      </c>
      <c r="X593" s="1" t="s">
        <v>2285</v>
      </c>
      <c r="Y593" s="1"/>
      <c r="Z593" s="1"/>
      <c r="AA593" s="1" t="s">
        <v>46</v>
      </c>
    </row>
    <row r="594" spans="1:27" ht="17.45" customHeight="1">
      <c r="A594" s="2" t="s">
        <v>2286</v>
      </c>
      <c r="B594" s="2" t="s">
        <v>171</v>
      </c>
      <c r="C594">
        <v>1</v>
      </c>
      <c r="D594" s="2" t="s">
        <v>1273</v>
      </c>
      <c r="E594" s="2" t="s">
        <v>2287</v>
      </c>
      <c r="F594" s="2" t="s">
        <v>2288</v>
      </c>
      <c r="G594" s="2" t="s">
        <v>32</v>
      </c>
      <c r="H594" s="2" t="s">
        <v>1276</v>
      </c>
      <c r="I594" s="2" t="s">
        <v>1285</v>
      </c>
      <c r="J594" s="2" t="s">
        <v>35</v>
      </c>
      <c r="K594" s="2" t="s">
        <v>36</v>
      </c>
      <c r="L594" s="2" t="s">
        <v>37</v>
      </c>
      <c r="M594" s="2" t="s">
        <v>52</v>
      </c>
      <c r="N594" s="2" t="s">
        <v>2258</v>
      </c>
      <c r="O594" s="2" t="s">
        <v>35</v>
      </c>
      <c r="P594" s="2" t="s">
        <v>40</v>
      </c>
      <c r="Q594" s="2" t="s">
        <v>2259</v>
      </c>
      <c r="R594" s="4">
        <v>46139.722974537035</v>
      </c>
      <c r="S594" s="4">
        <v>46140.536319444444</v>
      </c>
      <c r="T594" s="2" t="s">
        <v>41</v>
      </c>
      <c r="U594" s="1" t="s">
        <v>788</v>
      </c>
      <c r="V594" s="1" t="s">
        <v>789</v>
      </c>
      <c r="W594" s="1" t="s">
        <v>2289</v>
      </c>
      <c r="X594" s="1" t="s">
        <v>2290</v>
      </c>
      <c r="Y594" s="1"/>
      <c r="Z594" s="1"/>
      <c r="AA594" s="1" t="s">
        <v>791</v>
      </c>
    </row>
    <row r="595" spans="1:27" ht="17.45" customHeight="1">
      <c r="A595" s="3" t="s">
        <v>534</v>
      </c>
      <c r="B595" s="3" t="s">
        <v>181</v>
      </c>
      <c r="C595">
        <v>1</v>
      </c>
      <c r="D595" s="3" t="s">
        <v>29</v>
      </c>
      <c r="E595" s="3" t="s">
        <v>2291</v>
      </c>
      <c r="F595" s="3" t="s">
        <v>2292</v>
      </c>
      <c r="G595" s="3" t="s">
        <v>32</v>
      </c>
      <c r="H595" s="3" t="s">
        <v>33</v>
      </c>
      <c r="I595" s="3" t="s">
        <v>34</v>
      </c>
      <c r="J595" s="3" t="s">
        <v>35</v>
      </c>
      <c r="K595" s="3" t="s">
        <v>36</v>
      </c>
      <c r="L595" s="3" t="s">
        <v>51</v>
      </c>
      <c r="M595" s="3" t="s">
        <v>115</v>
      </c>
      <c r="N595" s="3" t="s">
        <v>2258</v>
      </c>
      <c r="O595" s="3" t="s">
        <v>35</v>
      </c>
      <c r="P595" s="3" t="s">
        <v>53</v>
      </c>
      <c r="Q595" s="3" t="s">
        <v>2259</v>
      </c>
      <c r="R595" s="5">
        <v>46140.430706018517</v>
      </c>
      <c r="S595" s="5">
        <v>46142.632673611108</v>
      </c>
      <c r="T595" s="3" t="s">
        <v>41</v>
      </c>
      <c r="U595" s="1" t="s">
        <v>569</v>
      </c>
      <c r="V595" s="1" t="s">
        <v>570</v>
      </c>
      <c r="W595" s="1" t="s">
        <v>2293</v>
      </c>
      <c r="X595" s="1" t="s">
        <v>2293</v>
      </c>
      <c r="Y595" s="1"/>
      <c r="Z595" s="1"/>
      <c r="AA595" s="1" t="s">
        <v>573</v>
      </c>
    </row>
    <row r="596" spans="1:27" ht="17.45" customHeight="1">
      <c r="A596" s="2" t="s">
        <v>1427</v>
      </c>
      <c r="B596" s="2" t="s">
        <v>171</v>
      </c>
      <c r="C596">
        <v>1</v>
      </c>
      <c r="D596" s="2" t="s">
        <v>228</v>
      </c>
      <c r="E596" s="2" t="s">
        <v>2294</v>
      </c>
      <c r="F596" s="2" t="s">
        <v>2295</v>
      </c>
      <c r="G596" s="2" t="s">
        <v>32</v>
      </c>
      <c r="H596" s="2" t="s">
        <v>124</v>
      </c>
      <c r="I596" s="2" t="s">
        <v>124</v>
      </c>
      <c r="J596" s="2" t="s">
        <v>35</v>
      </c>
      <c r="K596" s="2" t="s">
        <v>36</v>
      </c>
      <c r="L596" s="2" t="s">
        <v>37</v>
      </c>
      <c r="M596" s="2" t="s">
        <v>52</v>
      </c>
      <c r="N596" s="2" t="s">
        <v>2258</v>
      </c>
      <c r="O596" s="2" t="s">
        <v>35</v>
      </c>
      <c r="P596" s="2" t="s">
        <v>53</v>
      </c>
      <c r="Q596" s="2" t="s">
        <v>2259</v>
      </c>
      <c r="R596" s="4">
        <v>46140.566863425927</v>
      </c>
      <c r="S596" s="4">
        <v>46149.79828703704</v>
      </c>
      <c r="T596" s="2" t="s">
        <v>41</v>
      </c>
      <c r="U596" s="1" t="s">
        <v>272</v>
      </c>
      <c r="V596" s="1" t="s">
        <v>273</v>
      </c>
      <c r="W596" s="1" t="s">
        <v>2296</v>
      </c>
      <c r="X596" s="1" t="s">
        <v>2297</v>
      </c>
      <c r="Y596" s="1"/>
      <c r="Z596" s="1"/>
      <c r="AA596" s="1" t="s">
        <v>274</v>
      </c>
    </row>
    <row r="597" spans="1:27" ht="17.45" customHeight="1">
      <c r="A597" s="3" t="s">
        <v>2298</v>
      </c>
      <c r="B597" s="3" t="s">
        <v>181</v>
      </c>
      <c r="C597">
        <v>1</v>
      </c>
      <c r="D597" s="3" t="s">
        <v>1273</v>
      </c>
      <c r="E597" s="3" t="s">
        <v>2299</v>
      </c>
      <c r="F597" s="3" t="s">
        <v>2300</v>
      </c>
      <c r="G597" s="3" t="s">
        <v>32</v>
      </c>
      <c r="H597" s="3" t="s">
        <v>1276</v>
      </c>
      <c r="I597" s="3" t="s">
        <v>1277</v>
      </c>
      <c r="J597" s="3" t="s">
        <v>35</v>
      </c>
      <c r="K597" s="3" t="s">
        <v>36</v>
      </c>
      <c r="L597" s="3" t="s">
        <v>306</v>
      </c>
      <c r="M597" s="3" t="s">
        <v>115</v>
      </c>
      <c r="N597" s="3" t="s">
        <v>2258</v>
      </c>
      <c r="O597" s="3" t="s">
        <v>35</v>
      </c>
      <c r="P597" s="3" t="s">
        <v>53</v>
      </c>
      <c r="Q597" s="3" t="s">
        <v>2259</v>
      </c>
      <c r="R597" s="5">
        <v>46141.578356481485</v>
      </c>
      <c r="S597" s="5">
        <v>46141.778229166666</v>
      </c>
      <c r="T597" s="3" t="s">
        <v>41</v>
      </c>
      <c r="U597" s="1" t="s">
        <v>788</v>
      </c>
      <c r="V597" s="1" t="s">
        <v>789</v>
      </c>
      <c r="W597" s="1" t="s">
        <v>2300</v>
      </c>
      <c r="X597" s="1" t="s">
        <v>2300</v>
      </c>
      <c r="Y597" s="1"/>
      <c r="Z597" s="1"/>
      <c r="AA597" s="1" t="s">
        <v>791</v>
      </c>
    </row>
    <row r="598" spans="1:27" ht="17.45" customHeight="1">
      <c r="A598" s="2" t="s">
        <v>233</v>
      </c>
      <c r="B598" s="2" t="s">
        <v>28</v>
      </c>
      <c r="C598">
        <v>1</v>
      </c>
      <c r="D598" s="2" t="s">
        <v>228</v>
      </c>
      <c r="E598" s="2" t="s">
        <v>2301</v>
      </c>
      <c r="F598" s="2" t="s">
        <v>2302</v>
      </c>
      <c r="G598" s="2" t="s">
        <v>32</v>
      </c>
      <c r="H598" s="2" t="s">
        <v>124</v>
      </c>
      <c r="I598" s="2" t="s">
        <v>124</v>
      </c>
      <c r="J598" s="2" t="s">
        <v>35</v>
      </c>
      <c r="K598" s="2" t="s">
        <v>36</v>
      </c>
      <c r="L598" s="2" t="s">
        <v>37</v>
      </c>
      <c r="M598" s="2" t="s">
        <v>52</v>
      </c>
      <c r="N598" s="2" t="s">
        <v>2258</v>
      </c>
      <c r="O598" s="2" t="s">
        <v>35</v>
      </c>
      <c r="P598" s="2" t="s">
        <v>58</v>
      </c>
      <c r="Q598" s="2" t="s">
        <v>2259</v>
      </c>
      <c r="R598" s="4">
        <v>46141.657152777778</v>
      </c>
      <c r="S598" s="4">
        <v>46150.361076388886</v>
      </c>
      <c r="T598" s="2" t="s">
        <v>41</v>
      </c>
      <c r="U598" s="1" t="s">
        <v>83</v>
      </c>
      <c r="V598" s="1" t="s">
        <v>84</v>
      </c>
      <c r="W598" s="1" t="s">
        <v>2302</v>
      </c>
      <c r="X598" s="1" t="s">
        <v>2302</v>
      </c>
      <c r="Y598" s="1"/>
      <c r="Z598" s="1"/>
      <c r="AA598" s="1" t="s">
        <v>85</v>
      </c>
    </row>
    <row r="599" spans="1:27" ht="17.45" customHeight="1">
      <c r="A599" s="3" t="s">
        <v>233</v>
      </c>
      <c r="B599" s="3" t="s">
        <v>28</v>
      </c>
      <c r="C599">
        <v>1</v>
      </c>
      <c r="D599" s="3" t="s">
        <v>228</v>
      </c>
      <c r="E599" s="3" t="s">
        <v>2303</v>
      </c>
      <c r="F599" s="3" t="s">
        <v>2304</v>
      </c>
      <c r="G599" s="3" t="s">
        <v>32</v>
      </c>
      <c r="H599" s="3" t="s">
        <v>124</v>
      </c>
      <c r="I599" s="3" t="s">
        <v>124</v>
      </c>
      <c r="J599" s="3" t="s">
        <v>35</v>
      </c>
      <c r="K599" s="3" t="s">
        <v>36</v>
      </c>
      <c r="L599" s="3" t="s">
        <v>37</v>
      </c>
      <c r="M599" s="3" t="s">
        <v>52</v>
      </c>
      <c r="N599" s="3" t="s">
        <v>2258</v>
      </c>
      <c r="O599" s="3" t="s">
        <v>35</v>
      </c>
      <c r="P599" s="3" t="s">
        <v>58</v>
      </c>
      <c r="Q599" s="3" t="s">
        <v>2259</v>
      </c>
      <c r="R599" s="5">
        <v>46141.65766203704</v>
      </c>
      <c r="S599" s="5">
        <v>46150.361828703702</v>
      </c>
      <c r="T599" s="3" t="s">
        <v>41</v>
      </c>
      <c r="U599" s="1" t="s">
        <v>83</v>
      </c>
      <c r="V599" s="1" t="s">
        <v>84</v>
      </c>
      <c r="W599" s="1" t="s">
        <v>2304</v>
      </c>
      <c r="X599" s="1" t="s">
        <v>2304</v>
      </c>
      <c r="Y599" s="1"/>
      <c r="Z599" s="1"/>
      <c r="AA599" s="1" t="s">
        <v>85</v>
      </c>
    </row>
    <row r="600" spans="1:27" ht="17.45" customHeight="1">
      <c r="A600" s="2" t="s">
        <v>233</v>
      </c>
      <c r="B600" s="2" t="s">
        <v>28</v>
      </c>
      <c r="C600">
        <v>1</v>
      </c>
      <c r="D600" s="2" t="s">
        <v>228</v>
      </c>
      <c r="E600" s="2" t="s">
        <v>2305</v>
      </c>
      <c r="F600" s="2" t="s">
        <v>2304</v>
      </c>
      <c r="G600" s="2" t="s">
        <v>32</v>
      </c>
      <c r="H600" s="2" t="s">
        <v>124</v>
      </c>
      <c r="I600" s="2" t="s">
        <v>124</v>
      </c>
      <c r="J600" s="2" t="s">
        <v>35</v>
      </c>
      <c r="K600" s="2" t="s">
        <v>36</v>
      </c>
      <c r="L600" s="2" t="s">
        <v>37</v>
      </c>
      <c r="M600" s="2" t="s">
        <v>52</v>
      </c>
      <c r="N600" s="2" t="s">
        <v>2258</v>
      </c>
      <c r="O600" s="2" t="s">
        <v>35</v>
      </c>
      <c r="P600" s="2" t="s">
        <v>58</v>
      </c>
      <c r="Q600" s="2" t="s">
        <v>2259</v>
      </c>
      <c r="R600" s="4">
        <v>46141.659444444442</v>
      </c>
      <c r="S600" s="4">
        <v>46150.362233796295</v>
      </c>
      <c r="T600" s="2" t="s">
        <v>41</v>
      </c>
      <c r="U600" s="1" t="s">
        <v>83</v>
      </c>
      <c r="V600" s="1" t="s">
        <v>84</v>
      </c>
      <c r="W600" s="1" t="s">
        <v>2304</v>
      </c>
      <c r="X600" s="1" t="s">
        <v>2304</v>
      </c>
      <c r="Y600" s="1"/>
      <c r="Z600" s="1"/>
      <c r="AA600" s="1" t="s">
        <v>85</v>
      </c>
    </row>
    <row r="601" spans="1:27" ht="17.45" customHeight="1">
      <c r="A601" s="3" t="s">
        <v>1303</v>
      </c>
      <c r="B601" s="3" t="s">
        <v>171</v>
      </c>
      <c r="C601">
        <v>1</v>
      </c>
      <c r="D601" s="3" t="s">
        <v>1273</v>
      </c>
      <c r="E601" s="3" t="s">
        <v>2306</v>
      </c>
      <c r="F601" s="3" t="s">
        <v>2307</v>
      </c>
      <c r="G601" s="3" t="s">
        <v>32</v>
      </c>
      <c r="H601" s="3" t="s">
        <v>1276</v>
      </c>
      <c r="I601" s="3" t="s">
        <v>1285</v>
      </c>
      <c r="J601" s="3" t="s">
        <v>35</v>
      </c>
      <c r="K601" s="3" t="s">
        <v>36</v>
      </c>
      <c r="L601" s="3" t="s">
        <v>37</v>
      </c>
      <c r="M601" s="3" t="s">
        <v>52</v>
      </c>
      <c r="N601" s="3" t="s">
        <v>2258</v>
      </c>
      <c r="O601" s="3" t="s">
        <v>35</v>
      </c>
      <c r="P601" s="3" t="s">
        <v>53</v>
      </c>
      <c r="Q601" s="3" t="s">
        <v>2259</v>
      </c>
      <c r="R601" s="5">
        <v>46141.669328703705</v>
      </c>
      <c r="S601" s="5">
        <v>46148.39329861111</v>
      </c>
      <c r="T601" s="3" t="s">
        <v>41</v>
      </c>
      <c r="U601" s="1" t="s">
        <v>177</v>
      </c>
      <c r="V601" s="1" t="s">
        <v>215</v>
      </c>
      <c r="W601" s="1" t="s">
        <v>2307</v>
      </c>
      <c r="X601" s="1" t="s">
        <v>2307</v>
      </c>
      <c r="Y601" s="1"/>
      <c r="Z601" s="1"/>
      <c r="AA601" s="1" t="s">
        <v>179</v>
      </c>
    </row>
    <row r="602" spans="1:27" ht="17.45" customHeight="1">
      <c r="A602" s="2" t="s">
        <v>247</v>
      </c>
      <c r="B602" s="2" t="s">
        <v>48</v>
      </c>
      <c r="C602">
        <v>1</v>
      </c>
      <c r="D602" s="2" t="s">
        <v>228</v>
      </c>
      <c r="E602" s="2" t="s">
        <v>2308</v>
      </c>
      <c r="F602" s="2" t="s">
        <v>2309</v>
      </c>
      <c r="G602" s="2" t="s">
        <v>32</v>
      </c>
      <c r="H602" s="2" t="s">
        <v>124</v>
      </c>
      <c r="I602" s="2" t="s">
        <v>124</v>
      </c>
      <c r="J602" s="2" t="s">
        <v>35</v>
      </c>
      <c r="K602" s="2" t="s">
        <v>36</v>
      </c>
      <c r="L602" s="2" t="s">
        <v>37</v>
      </c>
      <c r="M602" s="2" t="s">
        <v>64</v>
      </c>
      <c r="N602" s="2" t="s">
        <v>2258</v>
      </c>
      <c r="O602" s="2" t="s">
        <v>35</v>
      </c>
      <c r="P602" s="2" t="s">
        <v>53</v>
      </c>
      <c r="Q602" s="2" t="s">
        <v>2259</v>
      </c>
      <c r="R602" s="4">
        <v>46141.715069444443</v>
      </c>
      <c r="S602" s="4">
        <v>46149.807951388888</v>
      </c>
      <c r="T602" s="2" t="s">
        <v>41</v>
      </c>
      <c r="U602" s="1" t="s">
        <v>115</v>
      </c>
      <c r="V602" s="1" t="s">
        <v>116</v>
      </c>
      <c r="W602" s="1" t="s">
        <v>2310</v>
      </c>
      <c r="X602" s="1" t="s">
        <v>2309</v>
      </c>
      <c r="Y602" s="1"/>
      <c r="Z602" s="1"/>
      <c r="AA602" s="1" t="s">
        <v>118</v>
      </c>
    </row>
    <row r="603" spans="1:27" ht="17.45" customHeight="1">
      <c r="A603" s="3" t="s">
        <v>2311</v>
      </c>
      <c r="B603" s="3" t="s">
        <v>171</v>
      </c>
      <c r="C603">
        <v>1</v>
      </c>
      <c r="D603" s="3" t="s">
        <v>1273</v>
      </c>
      <c r="E603" s="3" t="s">
        <v>2312</v>
      </c>
      <c r="F603" s="3" t="s">
        <v>2313</v>
      </c>
      <c r="G603" s="3" t="s">
        <v>32</v>
      </c>
      <c r="H603" s="3" t="s">
        <v>1276</v>
      </c>
      <c r="I603" s="3" t="s">
        <v>1292</v>
      </c>
      <c r="J603" s="3" t="s">
        <v>35</v>
      </c>
      <c r="K603" s="3" t="s">
        <v>36</v>
      </c>
      <c r="L603" s="3" t="s">
        <v>37</v>
      </c>
      <c r="M603" s="3" t="s">
        <v>52</v>
      </c>
      <c r="N603" s="3" t="s">
        <v>2258</v>
      </c>
      <c r="O603" s="3" t="s">
        <v>35</v>
      </c>
      <c r="P603" s="3" t="s">
        <v>53</v>
      </c>
      <c r="Q603" s="3" t="s">
        <v>2259</v>
      </c>
      <c r="R603" s="5">
        <v>46141.724120370367</v>
      </c>
      <c r="S603" s="5">
        <v>46142.364814814813</v>
      </c>
      <c r="T603" s="3" t="s">
        <v>41</v>
      </c>
      <c r="U603" s="1" t="s">
        <v>283</v>
      </c>
      <c r="V603" s="1" t="s">
        <v>284</v>
      </c>
      <c r="W603" s="1" t="s">
        <v>2314</v>
      </c>
      <c r="X603" s="1" t="s">
        <v>2314</v>
      </c>
      <c r="Y603" s="1"/>
      <c r="Z603" s="1"/>
      <c r="AA603" s="1" t="s">
        <v>285</v>
      </c>
    </row>
    <row r="604" spans="1:27" ht="17.45" customHeight="1">
      <c r="A604" s="2" t="s">
        <v>2315</v>
      </c>
      <c r="B604" s="2" t="s">
        <v>48</v>
      </c>
      <c r="C604">
        <v>1</v>
      </c>
      <c r="D604" s="2" t="s">
        <v>1273</v>
      </c>
      <c r="E604" s="2" t="s">
        <v>2316</v>
      </c>
      <c r="F604" s="2" t="s">
        <v>2317</v>
      </c>
      <c r="G604" s="2" t="s">
        <v>32</v>
      </c>
      <c r="H604" s="2" t="s">
        <v>1276</v>
      </c>
      <c r="I604" s="2" t="s">
        <v>1285</v>
      </c>
      <c r="J604" s="2" t="s">
        <v>35</v>
      </c>
      <c r="K604" s="2" t="s">
        <v>36</v>
      </c>
      <c r="L604" s="2" t="s">
        <v>51</v>
      </c>
      <c r="M604" s="2" t="s">
        <v>64</v>
      </c>
      <c r="N604" s="2" t="s">
        <v>2258</v>
      </c>
      <c r="O604" s="2" t="s">
        <v>35</v>
      </c>
      <c r="P604" s="2" t="s">
        <v>53</v>
      </c>
      <c r="Q604" s="2" t="s">
        <v>2259</v>
      </c>
      <c r="R604" s="4">
        <v>46141.727673611109</v>
      </c>
      <c r="S604" s="4">
        <v>46142.454143518517</v>
      </c>
      <c r="T604" s="2" t="s">
        <v>41</v>
      </c>
      <c r="U604" s="1" t="s">
        <v>59</v>
      </c>
      <c r="V604" s="1" t="s">
        <v>60</v>
      </c>
      <c r="W604" s="1" t="s">
        <v>2318</v>
      </c>
      <c r="X604" s="1" t="s">
        <v>2319</v>
      </c>
      <c r="Y604" s="1"/>
      <c r="Z604" s="1"/>
      <c r="AA604" s="1" t="s">
        <v>61</v>
      </c>
    </row>
    <row r="605" spans="1:27" ht="17.45" customHeight="1">
      <c r="A605" s="3" t="s">
        <v>750</v>
      </c>
      <c r="B605" s="3" t="s">
        <v>48</v>
      </c>
      <c r="C605">
        <v>1</v>
      </c>
      <c r="D605" s="3" t="s">
        <v>228</v>
      </c>
      <c r="E605" s="3" t="s">
        <v>2320</v>
      </c>
      <c r="F605" s="3" t="s">
        <v>2321</v>
      </c>
      <c r="G605" s="3" t="s">
        <v>32</v>
      </c>
      <c r="H605" s="3" t="s">
        <v>124</v>
      </c>
      <c r="I605" s="3" t="s">
        <v>124</v>
      </c>
      <c r="J605" s="3" t="s">
        <v>35</v>
      </c>
      <c r="K605" s="3" t="s">
        <v>36</v>
      </c>
      <c r="L605" s="3" t="s">
        <v>51</v>
      </c>
      <c r="M605" s="3" t="s">
        <v>64</v>
      </c>
      <c r="N605" s="3" t="s">
        <v>2258</v>
      </c>
      <c r="O605" s="3" t="s">
        <v>35</v>
      </c>
      <c r="P605" s="3" t="s">
        <v>53</v>
      </c>
      <c r="Q605" s="3" t="s">
        <v>2259</v>
      </c>
      <c r="R605" s="5">
        <v>46141.747731481482</v>
      </c>
      <c r="S605" s="5">
        <v>46149.807442129626</v>
      </c>
      <c r="T605" s="3" t="s">
        <v>41</v>
      </c>
      <c r="U605" s="1" t="s">
        <v>263</v>
      </c>
      <c r="V605" s="1" t="s">
        <v>264</v>
      </c>
      <c r="W605" s="1" t="s">
        <v>2321</v>
      </c>
      <c r="X605" s="1" t="s">
        <v>2321</v>
      </c>
      <c r="Y605" s="1"/>
      <c r="Z605" s="1"/>
      <c r="AA605" s="1" t="s">
        <v>265</v>
      </c>
    </row>
    <row r="606" spans="1:27" ht="17.45" customHeight="1">
      <c r="A606" s="2" t="s">
        <v>1325</v>
      </c>
      <c r="B606" s="2" t="s">
        <v>28</v>
      </c>
      <c r="C606">
        <v>1</v>
      </c>
      <c r="D606" s="2" t="s">
        <v>228</v>
      </c>
      <c r="E606" s="2" t="s">
        <v>2322</v>
      </c>
      <c r="F606" s="2" t="s">
        <v>2323</v>
      </c>
      <c r="G606" s="2" t="s">
        <v>32</v>
      </c>
      <c r="H606" s="2" t="s">
        <v>124</v>
      </c>
      <c r="I606" s="2" t="s">
        <v>124</v>
      </c>
      <c r="J606" s="2" t="s">
        <v>35</v>
      </c>
      <c r="K606" s="2" t="s">
        <v>36</v>
      </c>
      <c r="L606" s="2" t="s">
        <v>37</v>
      </c>
      <c r="M606" s="2" t="s">
        <v>52</v>
      </c>
      <c r="N606" s="2" t="s">
        <v>2258</v>
      </c>
      <c r="O606" s="2" t="s">
        <v>35</v>
      </c>
      <c r="P606" s="2" t="s">
        <v>58</v>
      </c>
      <c r="Q606" s="2" t="s">
        <v>2259</v>
      </c>
      <c r="R606" s="4">
        <v>46142.59988425926</v>
      </c>
      <c r="S606" s="4">
        <v>46150.370069444441</v>
      </c>
      <c r="T606" s="2" t="s">
        <v>41</v>
      </c>
      <c r="U606" s="1" t="s">
        <v>42</v>
      </c>
      <c r="V606" s="1" t="s">
        <v>105</v>
      </c>
      <c r="W606" s="1" t="s">
        <v>2324</v>
      </c>
      <c r="X606" s="1" t="s">
        <v>2325</v>
      </c>
      <c r="Y606" s="1"/>
      <c r="Z606" s="1"/>
      <c r="AA606" s="1" t="s">
        <v>46</v>
      </c>
    </row>
    <row r="607" spans="1:27" ht="17.45" customHeight="1">
      <c r="A607" s="3" t="s">
        <v>636</v>
      </c>
      <c r="B607" s="3" t="s">
        <v>28</v>
      </c>
      <c r="C607">
        <v>1</v>
      </c>
      <c r="D607" s="3" t="s">
        <v>29</v>
      </c>
      <c r="E607" s="3" t="s">
        <v>2326</v>
      </c>
      <c r="F607" s="3" t="s">
        <v>2327</v>
      </c>
      <c r="G607" s="3" t="s">
        <v>32</v>
      </c>
      <c r="H607" s="3" t="s">
        <v>33</v>
      </c>
      <c r="I607" s="3" t="s">
        <v>78</v>
      </c>
      <c r="J607" s="3" t="s">
        <v>35</v>
      </c>
      <c r="K607" s="3" t="s">
        <v>36</v>
      </c>
      <c r="L607" s="3" t="s">
        <v>37</v>
      </c>
      <c r="M607" s="3" t="s">
        <v>52</v>
      </c>
      <c r="N607" s="3" t="s">
        <v>2258</v>
      </c>
      <c r="O607" s="3" t="s">
        <v>35</v>
      </c>
      <c r="P607" s="3" t="s">
        <v>40</v>
      </c>
      <c r="Q607" s="3" t="s">
        <v>2259</v>
      </c>
      <c r="R607" s="5">
        <v>46141.617476851854</v>
      </c>
      <c r="S607" s="5">
        <v>46142.727870370371</v>
      </c>
      <c r="T607" s="3" t="s">
        <v>41</v>
      </c>
      <c r="U607" s="1" t="s">
        <v>95</v>
      </c>
      <c r="V607" s="1" t="s">
        <v>96</v>
      </c>
      <c r="W607" s="1" t="s">
        <v>2327</v>
      </c>
      <c r="X607" s="1" t="s">
        <v>2327</v>
      </c>
      <c r="Y607" s="1"/>
      <c r="Z607" s="1"/>
      <c r="AA607" s="1" t="s">
        <v>98</v>
      </c>
    </row>
    <row r="608" spans="1:27" ht="17.45" customHeight="1">
      <c r="A608" s="2" t="s">
        <v>1474</v>
      </c>
      <c r="B608" s="2" t="s">
        <v>181</v>
      </c>
      <c r="C608">
        <v>1</v>
      </c>
      <c r="D608" s="2" t="s">
        <v>29</v>
      </c>
      <c r="E608" s="2" t="s">
        <v>2328</v>
      </c>
      <c r="F608" s="2" t="s">
        <v>2329</v>
      </c>
      <c r="G608" s="2" t="s">
        <v>32</v>
      </c>
      <c r="H608" s="2" t="s">
        <v>33</v>
      </c>
      <c r="I608" s="2" t="s">
        <v>34</v>
      </c>
      <c r="J608" s="2" t="s">
        <v>35</v>
      </c>
      <c r="K608" s="2" t="s">
        <v>36</v>
      </c>
      <c r="L608" s="2" t="s">
        <v>37</v>
      </c>
      <c r="M608" s="2" t="s">
        <v>38</v>
      </c>
      <c r="N608" s="2" t="s">
        <v>2258</v>
      </c>
      <c r="O608" s="2" t="s">
        <v>35</v>
      </c>
      <c r="P608" s="2" t="s">
        <v>53</v>
      </c>
      <c r="Q608" s="2" t="s">
        <v>2259</v>
      </c>
      <c r="R608" s="4">
        <v>46139.645543981482</v>
      </c>
      <c r="S608" s="4">
        <v>46142.657824074071</v>
      </c>
      <c r="T608" s="2" t="s">
        <v>41</v>
      </c>
      <c r="U608" s="1" t="s">
        <v>95</v>
      </c>
      <c r="V608" s="1" t="s">
        <v>96</v>
      </c>
      <c r="W608" s="1" t="s">
        <v>2329</v>
      </c>
      <c r="X608" s="1" t="s">
        <v>2329</v>
      </c>
      <c r="Y608" s="1"/>
      <c r="Z608" s="1"/>
      <c r="AA608" s="1" t="s">
        <v>98</v>
      </c>
    </row>
    <row r="609" spans="1:27" ht="17.45" customHeight="1">
      <c r="A609" s="3" t="s">
        <v>2330</v>
      </c>
      <c r="B609" s="3" t="s">
        <v>171</v>
      </c>
      <c r="C609">
        <v>1</v>
      </c>
      <c r="D609" s="3" t="s">
        <v>29</v>
      </c>
      <c r="E609" s="3" t="s">
        <v>2331</v>
      </c>
      <c r="F609" s="3" t="s">
        <v>2332</v>
      </c>
      <c r="G609" s="3" t="s">
        <v>32</v>
      </c>
      <c r="H609" s="3" t="s">
        <v>33</v>
      </c>
      <c r="I609" s="3" t="s">
        <v>34</v>
      </c>
      <c r="J609" s="3" t="s">
        <v>35</v>
      </c>
      <c r="K609" s="3" t="s">
        <v>36</v>
      </c>
      <c r="L609" s="3" t="s">
        <v>51</v>
      </c>
      <c r="M609" s="3" t="s">
        <v>115</v>
      </c>
      <c r="N609" s="3" t="s">
        <v>2258</v>
      </c>
      <c r="O609" s="3" t="s">
        <v>35</v>
      </c>
      <c r="P609" s="3" t="s">
        <v>53</v>
      </c>
      <c r="Q609" s="3" t="s">
        <v>2259</v>
      </c>
      <c r="R609" s="5">
        <v>46139.743344907409</v>
      </c>
      <c r="S609" s="5">
        <v>46148.478194444448</v>
      </c>
      <c r="T609" s="3" t="s">
        <v>41</v>
      </c>
      <c r="U609" s="1" t="s">
        <v>272</v>
      </c>
      <c r="V609" s="1" t="s">
        <v>273</v>
      </c>
      <c r="W609" s="1" t="s">
        <v>2333</v>
      </c>
      <c r="X609" s="1" t="s">
        <v>2333</v>
      </c>
      <c r="Y609" s="1"/>
      <c r="Z609" s="1"/>
      <c r="AA609" s="1" t="s">
        <v>274</v>
      </c>
    </row>
    <row r="610" spans="1:27" ht="17.45" customHeight="1">
      <c r="A610" s="2" t="s">
        <v>2334</v>
      </c>
      <c r="B610" s="2" t="s">
        <v>171</v>
      </c>
      <c r="C610">
        <v>1</v>
      </c>
      <c r="D610" s="2" t="s">
        <v>29</v>
      </c>
      <c r="E610" s="2" t="s">
        <v>2335</v>
      </c>
      <c r="F610" s="2" t="s">
        <v>2333</v>
      </c>
      <c r="G610" s="2" t="s">
        <v>32</v>
      </c>
      <c r="H610" s="2" t="s">
        <v>33</v>
      </c>
      <c r="I610" s="2" t="s">
        <v>34</v>
      </c>
      <c r="J610" s="2" t="s">
        <v>35</v>
      </c>
      <c r="K610" s="2" t="s">
        <v>36</v>
      </c>
      <c r="L610" s="2" t="s">
        <v>51</v>
      </c>
      <c r="M610" s="2" t="s">
        <v>115</v>
      </c>
      <c r="N610" s="2" t="s">
        <v>2258</v>
      </c>
      <c r="O610" s="2" t="s">
        <v>35</v>
      </c>
      <c r="P610" s="2" t="s">
        <v>53</v>
      </c>
      <c r="Q610" s="2" t="s">
        <v>2259</v>
      </c>
      <c r="R610" s="4">
        <v>46139.744432870371</v>
      </c>
      <c r="S610" s="4">
        <v>46148.484537037039</v>
      </c>
      <c r="T610" s="2" t="s">
        <v>41</v>
      </c>
      <c r="U610" s="1" t="s">
        <v>272</v>
      </c>
      <c r="V610" s="1" t="s">
        <v>273</v>
      </c>
      <c r="W610" s="1" t="s">
        <v>2333</v>
      </c>
      <c r="X610" s="1" t="s">
        <v>2333</v>
      </c>
      <c r="Y610" s="1"/>
      <c r="Z610" s="1"/>
      <c r="AA610" s="1" t="s">
        <v>274</v>
      </c>
    </row>
    <row r="611" spans="1:27" ht="17.45" customHeight="1">
      <c r="A611" s="3" t="s">
        <v>309</v>
      </c>
      <c r="B611" s="3" t="s">
        <v>48</v>
      </c>
      <c r="C611">
        <v>1</v>
      </c>
      <c r="D611" s="3" t="s">
        <v>121</v>
      </c>
      <c r="E611" s="3" t="s">
        <v>2336</v>
      </c>
      <c r="F611" s="3" t="s">
        <v>1766</v>
      </c>
      <c r="G611" s="3" t="s">
        <v>32</v>
      </c>
      <c r="H611" s="3" t="s">
        <v>124</v>
      </c>
      <c r="I611" s="3" t="s">
        <v>212</v>
      </c>
      <c r="J611" s="3" t="s">
        <v>35</v>
      </c>
      <c r="K611" s="3" t="s">
        <v>36</v>
      </c>
      <c r="L611" s="3" t="s">
        <v>51</v>
      </c>
      <c r="M611" s="3" t="s">
        <v>52</v>
      </c>
      <c r="N611" s="3" t="s">
        <v>2258</v>
      </c>
      <c r="O611" s="3" t="s">
        <v>35</v>
      </c>
      <c r="P611" s="3" t="s">
        <v>53</v>
      </c>
      <c r="Q611" s="3" t="s">
        <v>2259</v>
      </c>
      <c r="R611" s="5">
        <v>46140.543032407404</v>
      </c>
      <c r="S611" s="5">
        <v>46141.401006944441</v>
      </c>
      <c r="T611" s="3" t="s">
        <v>41</v>
      </c>
      <c r="U611" s="1" t="s">
        <v>42</v>
      </c>
      <c r="V611" s="1" t="s">
        <v>43</v>
      </c>
      <c r="W611" s="1" t="s">
        <v>1766</v>
      </c>
      <c r="X611" s="1" t="s">
        <v>1766</v>
      </c>
      <c r="Y611" s="1"/>
      <c r="Z611" s="1"/>
      <c r="AA611" s="1" t="s">
        <v>46</v>
      </c>
    </row>
    <row r="612" spans="1:27" ht="17.45" customHeight="1">
      <c r="A612" s="2" t="s">
        <v>1318</v>
      </c>
      <c r="B612" s="2" t="s">
        <v>171</v>
      </c>
      <c r="C612">
        <v>1</v>
      </c>
      <c r="D612" s="2" t="s">
        <v>1273</v>
      </c>
      <c r="E612" s="2" t="s">
        <v>2337</v>
      </c>
      <c r="F612" s="2" t="s">
        <v>2338</v>
      </c>
      <c r="G612" s="2" t="s">
        <v>32</v>
      </c>
      <c r="H612" s="2" t="s">
        <v>1276</v>
      </c>
      <c r="I612" s="2" t="s">
        <v>1285</v>
      </c>
      <c r="J612" s="2" t="s">
        <v>35</v>
      </c>
      <c r="K612" s="2" t="s">
        <v>36</v>
      </c>
      <c r="L612" s="2" t="s">
        <v>37</v>
      </c>
      <c r="M612" s="2" t="s">
        <v>52</v>
      </c>
      <c r="N612" s="2" t="s">
        <v>2258</v>
      </c>
      <c r="O612" s="2" t="s">
        <v>35</v>
      </c>
      <c r="P612" s="2" t="s">
        <v>40</v>
      </c>
      <c r="Q612" s="2" t="s">
        <v>2259</v>
      </c>
      <c r="R612" s="4">
        <v>46140.606053240743</v>
      </c>
      <c r="S612" s="4">
        <v>46141.800312500003</v>
      </c>
      <c r="T612" s="2" t="s">
        <v>41</v>
      </c>
      <c r="U612" s="1" t="s">
        <v>165</v>
      </c>
      <c r="V612" s="1" t="s">
        <v>238</v>
      </c>
      <c r="W612" s="1" t="s">
        <v>2339</v>
      </c>
      <c r="X612" s="1" t="s">
        <v>2340</v>
      </c>
      <c r="Y612" s="1"/>
      <c r="Z612" s="1"/>
      <c r="AA612" s="1" t="s">
        <v>169</v>
      </c>
    </row>
    <row r="613" spans="1:27" ht="17.45" customHeight="1">
      <c r="A613" s="3" t="s">
        <v>2138</v>
      </c>
      <c r="B613" s="3" t="s">
        <v>48</v>
      </c>
      <c r="C613">
        <v>1</v>
      </c>
      <c r="D613" s="3" t="s">
        <v>228</v>
      </c>
      <c r="E613" s="3" t="s">
        <v>2341</v>
      </c>
      <c r="F613" s="3" t="s">
        <v>2342</v>
      </c>
      <c r="G613" s="3" t="s">
        <v>32</v>
      </c>
      <c r="H613" s="3" t="s">
        <v>124</v>
      </c>
      <c r="I613" s="3" t="s">
        <v>124</v>
      </c>
      <c r="J613" s="3" t="s">
        <v>35</v>
      </c>
      <c r="K613" s="3" t="s">
        <v>36</v>
      </c>
      <c r="L613" s="3" t="s">
        <v>51</v>
      </c>
      <c r="M613" s="3" t="s">
        <v>64</v>
      </c>
      <c r="N613" s="3" t="s">
        <v>2258</v>
      </c>
      <c r="O613" s="3" t="s">
        <v>35</v>
      </c>
      <c r="P613" s="3" t="s">
        <v>40</v>
      </c>
      <c r="Q613" s="3" t="s">
        <v>2259</v>
      </c>
      <c r="R613" s="5">
        <v>46136.559930555559</v>
      </c>
      <c r="S613" s="5">
        <v>46150.370856481481</v>
      </c>
      <c r="T613" s="3" t="s">
        <v>41</v>
      </c>
      <c r="U613" s="1" t="s">
        <v>59</v>
      </c>
      <c r="V613" s="1" t="s">
        <v>60</v>
      </c>
      <c r="W613" s="1" t="s">
        <v>2343</v>
      </c>
      <c r="X613" s="1" t="s">
        <v>2344</v>
      </c>
      <c r="Y613" s="1"/>
      <c r="Z613" s="1"/>
      <c r="AA613" s="1" t="s">
        <v>61</v>
      </c>
    </row>
    <row r="614" spans="1:27" ht="17.45" customHeight="1">
      <c r="A614" s="2" t="s">
        <v>1816</v>
      </c>
      <c r="B614" s="2" t="s">
        <v>171</v>
      </c>
      <c r="C614">
        <v>1</v>
      </c>
      <c r="D614" s="2" t="s">
        <v>1273</v>
      </c>
      <c r="E614" s="2" t="s">
        <v>2345</v>
      </c>
      <c r="F614" s="2" t="s">
        <v>2346</v>
      </c>
      <c r="G614" s="2" t="s">
        <v>32</v>
      </c>
      <c r="H614" s="2" t="s">
        <v>1276</v>
      </c>
      <c r="I614" s="2" t="s">
        <v>1277</v>
      </c>
      <c r="J614" s="2" t="s">
        <v>35</v>
      </c>
      <c r="K614" s="2" t="s">
        <v>36</v>
      </c>
      <c r="L614" s="2" t="s">
        <v>51</v>
      </c>
      <c r="M614" s="2" t="s">
        <v>141</v>
      </c>
      <c r="N614" s="2" t="s">
        <v>2258</v>
      </c>
      <c r="O614" s="2" t="s">
        <v>35</v>
      </c>
      <c r="P614" s="2" t="s">
        <v>53</v>
      </c>
      <c r="Q614" s="2" t="s">
        <v>2259</v>
      </c>
      <c r="R614" s="4">
        <v>46140.629895833335</v>
      </c>
      <c r="S614" s="4">
        <v>46140.766469907408</v>
      </c>
      <c r="T614" s="2" t="s">
        <v>41</v>
      </c>
      <c r="U614" s="1" t="s">
        <v>263</v>
      </c>
      <c r="V614" s="1" t="s">
        <v>264</v>
      </c>
      <c r="W614" s="1" t="s">
        <v>2347</v>
      </c>
      <c r="X614" s="1" t="s">
        <v>2346</v>
      </c>
      <c r="Y614" s="1"/>
      <c r="Z614" s="1"/>
      <c r="AA614" s="1" t="s">
        <v>265</v>
      </c>
    </row>
    <row r="615" spans="1:27" ht="17.45" customHeight="1">
      <c r="A615" s="3" t="s">
        <v>2348</v>
      </c>
      <c r="B615" s="3" t="s">
        <v>181</v>
      </c>
      <c r="C615">
        <v>1</v>
      </c>
      <c r="D615" s="3" t="s">
        <v>228</v>
      </c>
      <c r="E615" s="3" t="s">
        <v>2349</v>
      </c>
      <c r="F615" s="3" t="s">
        <v>2350</v>
      </c>
      <c r="G615" s="3" t="s">
        <v>32</v>
      </c>
      <c r="H615" s="3" t="s">
        <v>124</v>
      </c>
      <c r="I615" s="3" t="s">
        <v>124</v>
      </c>
      <c r="J615" s="3" t="s">
        <v>35</v>
      </c>
      <c r="K615" s="3" t="s">
        <v>36</v>
      </c>
      <c r="L615" s="3" t="s">
        <v>37</v>
      </c>
      <c r="M615" s="3" t="s">
        <v>52</v>
      </c>
      <c r="N615" s="3" t="s">
        <v>2258</v>
      </c>
      <c r="O615" s="3" t="s">
        <v>35</v>
      </c>
      <c r="P615" s="3" t="s">
        <v>53</v>
      </c>
      <c r="Q615" s="3" t="s">
        <v>2259</v>
      </c>
      <c r="R615" s="5">
        <v>46146.739849537036</v>
      </c>
      <c r="S615" s="5">
        <v>46150.379143518519</v>
      </c>
      <c r="T615" s="3" t="s">
        <v>41</v>
      </c>
      <c r="U615" s="1" t="s">
        <v>115</v>
      </c>
      <c r="V615" s="1" t="s">
        <v>116</v>
      </c>
      <c r="W615" s="1" t="s">
        <v>2350</v>
      </c>
      <c r="X615" s="1" t="s">
        <v>2350</v>
      </c>
      <c r="Y615" s="1"/>
      <c r="Z615" s="1"/>
      <c r="AA615" s="1" t="s">
        <v>118</v>
      </c>
    </row>
    <row r="616" spans="1:27" ht="17.45" customHeight="1">
      <c r="A616" s="2" t="s">
        <v>2267</v>
      </c>
      <c r="B616" s="2" t="s">
        <v>48</v>
      </c>
      <c r="C616">
        <v>1</v>
      </c>
      <c r="D616" s="2" t="s">
        <v>1273</v>
      </c>
      <c r="E616" s="2" t="s">
        <v>2351</v>
      </c>
      <c r="F616" s="2" t="s">
        <v>2352</v>
      </c>
      <c r="G616" s="2" t="s">
        <v>32</v>
      </c>
      <c r="H616" s="2" t="s">
        <v>1276</v>
      </c>
      <c r="I616" s="2" t="s">
        <v>1285</v>
      </c>
      <c r="J616" s="2" t="s">
        <v>35</v>
      </c>
      <c r="K616" s="2" t="s">
        <v>36</v>
      </c>
      <c r="L616" s="2" t="s">
        <v>37</v>
      </c>
      <c r="M616" s="2" t="s">
        <v>52</v>
      </c>
      <c r="N616" s="2" t="s">
        <v>2258</v>
      </c>
      <c r="O616" s="2" t="s">
        <v>35</v>
      </c>
      <c r="P616" s="2" t="s">
        <v>58</v>
      </c>
      <c r="Q616" s="2" t="s">
        <v>2259</v>
      </c>
      <c r="R616" s="4">
        <v>46148.446944444448</v>
      </c>
      <c r="S616" s="4">
        <v>46149.449641203704</v>
      </c>
      <c r="T616" s="2" t="s">
        <v>41</v>
      </c>
      <c r="U616" s="1" t="s">
        <v>272</v>
      </c>
      <c r="V616" s="1" t="s">
        <v>273</v>
      </c>
      <c r="W616" s="1" t="s">
        <v>2352</v>
      </c>
      <c r="X616" s="1" t="s">
        <v>2352</v>
      </c>
      <c r="Y616" s="1"/>
      <c r="Z616" s="1"/>
      <c r="AA616" s="1" t="s">
        <v>274</v>
      </c>
    </row>
    <row r="617" spans="1:27" ht="17.45" customHeight="1">
      <c r="A617" s="3" t="s">
        <v>2353</v>
      </c>
      <c r="B617" s="3" t="s">
        <v>48</v>
      </c>
      <c r="C617">
        <v>1</v>
      </c>
      <c r="D617" s="3" t="s">
        <v>1273</v>
      </c>
      <c r="E617" s="3" t="s">
        <v>2354</v>
      </c>
      <c r="F617" s="3" t="s">
        <v>2355</v>
      </c>
      <c r="G617" s="3" t="s">
        <v>32</v>
      </c>
      <c r="H617" s="3" t="s">
        <v>1276</v>
      </c>
      <c r="I617" s="3" t="s">
        <v>1285</v>
      </c>
      <c r="J617" s="3" t="s">
        <v>35</v>
      </c>
      <c r="K617" s="3" t="s">
        <v>36</v>
      </c>
      <c r="L617" s="3" t="s">
        <v>37</v>
      </c>
      <c r="M617" s="3" t="s">
        <v>52</v>
      </c>
      <c r="N617" s="3" t="s">
        <v>2258</v>
      </c>
      <c r="O617" s="3" t="s">
        <v>35</v>
      </c>
      <c r="P617" s="3" t="s">
        <v>58</v>
      </c>
      <c r="Q617" s="3" t="s">
        <v>2259</v>
      </c>
      <c r="R617" s="5">
        <v>46148.621377314812</v>
      </c>
      <c r="S617" s="5">
        <v>46149.452037037037</v>
      </c>
      <c r="T617" s="3" t="s">
        <v>41</v>
      </c>
      <c r="U617" s="1" t="s">
        <v>95</v>
      </c>
      <c r="V617" s="1" t="s">
        <v>96</v>
      </c>
      <c r="W617" s="1" t="s">
        <v>2355</v>
      </c>
      <c r="X617" s="1" t="s">
        <v>2355</v>
      </c>
      <c r="Y617" s="1"/>
      <c r="Z617" s="1"/>
      <c r="AA617" s="1" t="s">
        <v>98</v>
      </c>
    </row>
    <row r="618" spans="1:27" ht="17.45" customHeight="1">
      <c r="A618" s="2" t="s">
        <v>2356</v>
      </c>
      <c r="B618" s="2" t="s">
        <v>171</v>
      </c>
      <c r="C618">
        <v>1</v>
      </c>
      <c r="D618" s="2" t="s">
        <v>228</v>
      </c>
      <c r="E618" s="2" t="s">
        <v>2357</v>
      </c>
      <c r="F618" s="2" t="s">
        <v>2358</v>
      </c>
      <c r="G618" s="2" t="s">
        <v>32</v>
      </c>
      <c r="H618" s="2" t="s">
        <v>124</v>
      </c>
      <c r="I618" s="2" t="s">
        <v>124</v>
      </c>
      <c r="J618" s="2" t="s">
        <v>35</v>
      </c>
      <c r="K618" s="2" t="s">
        <v>36</v>
      </c>
      <c r="L618" s="2" t="s">
        <v>51</v>
      </c>
      <c r="M618" s="2" t="s">
        <v>52</v>
      </c>
      <c r="N618" s="2" t="s">
        <v>2258</v>
      </c>
      <c r="O618" s="2" t="s">
        <v>35</v>
      </c>
      <c r="P618" s="2" t="s">
        <v>53</v>
      </c>
      <c r="Q618" s="2" t="s">
        <v>2259</v>
      </c>
      <c r="R618" s="4">
        <v>46140.627743055556</v>
      </c>
      <c r="S618" s="4">
        <v>46149.798518518517</v>
      </c>
      <c r="T618" s="2" t="s">
        <v>41</v>
      </c>
      <c r="U618" s="1" t="s">
        <v>83</v>
      </c>
      <c r="V618" s="1" t="s">
        <v>84</v>
      </c>
      <c r="W618" s="1" t="s">
        <v>2359</v>
      </c>
      <c r="X618" s="1" t="s">
        <v>2360</v>
      </c>
      <c r="Y618" s="1"/>
      <c r="Z618" s="1"/>
      <c r="AA618" s="1" t="s">
        <v>85</v>
      </c>
    </row>
    <row r="619" spans="1:27" ht="17.45" customHeight="1">
      <c r="A619" s="3" t="s">
        <v>2361</v>
      </c>
      <c r="B619" s="3" t="s">
        <v>48</v>
      </c>
      <c r="C619">
        <v>1</v>
      </c>
      <c r="D619" s="3" t="s">
        <v>1273</v>
      </c>
      <c r="E619" s="3" t="s">
        <v>2362</v>
      </c>
      <c r="F619" s="3" t="s">
        <v>2363</v>
      </c>
      <c r="G619" s="3" t="s">
        <v>32</v>
      </c>
      <c r="H619" s="3" t="s">
        <v>1276</v>
      </c>
      <c r="I619" s="3" t="s">
        <v>1285</v>
      </c>
      <c r="J619" s="3" t="s">
        <v>35</v>
      </c>
      <c r="K619" s="3" t="s">
        <v>36</v>
      </c>
      <c r="L619" s="3" t="s">
        <v>51</v>
      </c>
      <c r="M619" s="3" t="s">
        <v>38</v>
      </c>
      <c r="N619" s="3" t="s">
        <v>2258</v>
      </c>
      <c r="O619" s="3" t="s">
        <v>35</v>
      </c>
      <c r="P619" s="3" t="s">
        <v>40</v>
      </c>
      <c r="Q619" s="3" t="s">
        <v>2259</v>
      </c>
      <c r="R619" s="5">
        <v>46148.715162037035</v>
      </c>
      <c r="S619" s="5">
        <v>46149.454143518517</v>
      </c>
      <c r="T619" s="3" t="s">
        <v>41</v>
      </c>
      <c r="U619" s="1" t="s">
        <v>263</v>
      </c>
      <c r="V619" s="1" t="s">
        <v>264</v>
      </c>
      <c r="W619" s="1" t="s">
        <v>2363</v>
      </c>
      <c r="X619" s="1" t="s">
        <v>2363</v>
      </c>
      <c r="Y619" s="1"/>
      <c r="Z619" s="1"/>
      <c r="AA619" s="1" t="s">
        <v>265</v>
      </c>
    </row>
    <row r="620" spans="1:27" ht="17.45" customHeight="1">
      <c r="A620" s="2" t="s">
        <v>1541</v>
      </c>
      <c r="B620" s="2" t="s">
        <v>28</v>
      </c>
      <c r="C620">
        <v>1</v>
      </c>
      <c r="D620" s="2" t="s">
        <v>228</v>
      </c>
      <c r="E620" s="2" t="s">
        <v>2364</v>
      </c>
      <c r="F620" s="2" t="s">
        <v>2365</v>
      </c>
      <c r="G620" s="2" t="s">
        <v>32</v>
      </c>
      <c r="H620" s="2" t="s">
        <v>124</v>
      </c>
      <c r="I620" s="2" t="s">
        <v>124</v>
      </c>
      <c r="J620" s="2" t="s">
        <v>35</v>
      </c>
      <c r="K620" s="2" t="s">
        <v>36</v>
      </c>
      <c r="L620" s="2" t="s">
        <v>37</v>
      </c>
      <c r="M620" s="2" t="s">
        <v>64</v>
      </c>
      <c r="N620" s="2" t="s">
        <v>2258</v>
      </c>
      <c r="O620" s="2" t="s">
        <v>35</v>
      </c>
      <c r="P620" s="2" t="s">
        <v>58</v>
      </c>
      <c r="Q620" s="2" t="s">
        <v>2259</v>
      </c>
      <c r="R620" s="4">
        <v>46141.611712962964</v>
      </c>
      <c r="S620" s="4">
        <v>46150.382893518516</v>
      </c>
      <c r="T620" s="2" t="s">
        <v>41</v>
      </c>
      <c r="U620" s="1" t="s">
        <v>59</v>
      </c>
      <c r="V620" s="1" t="s">
        <v>971</v>
      </c>
      <c r="W620" s="1" t="s">
        <v>2366</v>
      </c>
      <c r="X620" s="1" t="s">
        <v>2367</v>
      </c>
      <c r="Y620" s="1"/>
      <c r="Z620" s="1"/>
      <c r="AA620" s="1" t="s">
        <v>61</v>
      </c>
    </row>
    <row r="621" spans="1:27" ht="17.45" customHeight="1">
      <c r="A621" s="3" t="s">
        <v>1705</v>
      </c>
      <c r="B621" s="3" t="s">
        <v>48</v>
      </c>
      <c r="C621">
        <v>1</v>
      </c>
      <c r="D621" s="3" t="s">
        <v>228</v>
      </c>
      <c r="E621" s="3" t="s">
        <v>2368</v>
      </c>
      <c r="F621" s="3" t="s">
        <v>2369</v>
      </c>
      <c r="G621" s="3" t="s">
        <v>32</v>
      </c>
      <c r="H621" s="3" t="s">
        <v>124</v>
      </c>
      <c r="I621" s="3" t="s">
        <v>124</v>
      </c>
      <c r="J621" s="3" t="s">
        <v>35</v>
      </c>
      <c r="K621" s="3" t="s">
        <v>36</v>
      </c>
      <c r="L621" s="3" t="s">
        <v>51</v>
      </c>
      <c r="M621" s="3" t="s">
        <v>38</v>
      </c>
      <c r="N621" s="3" t="s">
        <v>2258</v>
      </c>
      <c r="O621" s="3" t="s">
        <v>35</v>
      </c>
      <c r="P621" s="3" t="s">
        <v>53</v>
      </c>
      <c r="Q621" s="3" t="s">
        <v>2259</v>
      </c>
      <c r="R621" s="5">
        <v>46141.567928240744</v>
      </c>
      <c r="S621" s="5">
        <v>46150.360011574077</v>
      </c>
      <c r="T621" s="3" t="s">
        <v>41</v>
      </c>
      <c r="U621" s="1" t="s">
        <v>263</v>
      </c>
      <c r="V621" s="1" t="s">
        <v>264</v>
      </c>
      <c r="W621" s="1" t="s">
        <v>2369</v>
      </c>
      <c r="X621" s="1" t="s">
        <v>2369</v>
      </c>
      <c r="Y621" s="1"/>
      <c r="Z621" s="1"/>
      <c r="AA621" s="1" t="s">
        <v>265</v>
      </c>
    </row>
    <row r="622" spans="1:27" ht="17.45" customHeight="1">
      <c r="A622" s="2" t="s">
        <v>2370</v>
      </c>
      <c r="B622" s="2" t="s">
        <v>48</v>
      </c>
      <c r="C622">
        <v>1</v>
      </c>
      <c r="D622" s="2" t="s">
        <v>1273</v>
      </c>
      <c r="E622" s="2" t="s">
        <v>2371</v>
      </c>
      <c r="F622" s="2" t="s">
        <v>2372</v>
      </c>
      <c r="G622" s="2" t="s">
        <v>32</v>
      </c>
      <c r="H622" s="2" t="s">
        <v>1276</v>
      </c>
      <c r="I622" s="2" t="s">
        <v>1285</v>
      </c>
      <c r="J622" s="2" t="s">
        <v>35</v>
      </c>
      <c r="K622" s="2" t="s">
        <v>36</v>
      </c>
      <c r="L622" s="2" t="s">
        <v>37</v>
      </c>
      <c r="M622" s="2" t="s">
        <v>52</v>
      </c>
      <c r="N622" s="2" t="s">
        <v>2373</v>
      </c>
      <c r="O622" s="2" t="s">
        <v>35</v>
      </c>
      <c r="P622" s="2" t="s">
        <v>40</v>
      </c>
      <c r="Q622" s="2" t="s">
        <v>2259</v>
      </c>
      <c r="R622" s="4">
        <v>46136.60596064815</v>
      </c>
      <c r="S622" s="4">
        <v>46141.598229166666</v>
      </c>
      <c r="T622" s="2" t="s">
        <v>41</v>
      </c>
      <c r="U622" s="1" t="s">
        <v>283</v>
      </c>
      <c r="V622" s="1" t="s">
        <v>565</v>
      </c>
      <c r="W622" s="1" t="s">
        <v>2372</v>
      </c>
      <c r="X622" s="1" t="s">
        <v>2372</v>
      </c>
      <c r="Y622" s="1"/>
      <c r="Z622" s="1"/>
      <c r="AA622" s="1" t="s">
        <v>285</v>
      </c>
    </row>
    <row r="623" spans="1:27" ht="17.45" customHeight="1">
      <c r="A623" s="3" t="s">
        <v>2128</v>
      </c>
      <c r="B623" s="3" t="s">
        <v>171</v>
      </c>
      <c r="C623">
        <v>1</v>
      </c>
      <c r="D623" s="3" t="s">
        <v>1273</v>
      </c>
      <c r="E623" s="3" t="s">
        <v>2374</v>
      </c>
      <c r="F623" s="3" t="s">
        <v>2281</v>
      </c>
      <c r="G623" s="3" t="s">
        <v>32</v>
      </c>
      <c r="H623" s="3" t="s">
        <v>1276</v>
      </c>
      <c r="I623" s="3" t="s">
        <v>1277</v>
      </c>
      <c r="J623" s="3" t="s">
        <v>35</v>
      </c>
      <c r="K623" s="3" t="s">
        <v>36</v>
      </c>
      <c r="L623" s="3" t="s">
        <v>37</v>
      </c>
      <c r="M623" s="3" t="s">
        <v>38</v>
      </c>
      <c r="N623" s="3" t="s">
        <v>2258</v>
      </c>
      <c r="O623" s="3" t="s">
        <v>35</v>
      </c>
      <c r="P623" s="3" t="s">
        <v>40</v>
      </c>
      <c r="Q623" s="3" t="s">
        <v>2259</v>
      </c>
      <c r="R623" s="5">
        <v>46136.690023148149</v>
      </c>
      <c r="S623" s="5">
        <v>46140.527268518519</v>
      </c>
      <c r="T623" s="3" t="s">
        <v>41</v>
      </c>
      <c r="U623" s="1" t="s">
        <v>177</v>
      </c>
      <c r="V623" s="1" t="s">
        <v>215</v>
      </c>
      <c r="W623" s="1" t="s">
        <v>2235</v>
      </c>
      <c r="X623" s="1" t="s">
        <v>2235</v>
      </c>
      <c r="Y623" s="1"/>
      <c r="Z623" s="1"/>
      <c r="AA623" s="1" t="s">
        <v>179</v>
      </c>
    </row>
    <row r="624" spans="1:27" ht="17.45" customHeight="1">
      <c r="A624" s="2" t="s">
        <v>1722</v>
      </c>
      <c r="B624" s="2" t="s">
        <v>171</v>
      </c>
      <c r="C624">
        <v>1</v>
      </c>
      <c r="D624" s="2" t="s">
        <v>1273</v>
      </c>
      <c r="E624" s="2" t="s">
        <v>2375</v>
      </c>
      <c r="F624" s="2" t="s">
        <v>2376</v>
      </c>
      <c r="G624" s="2" t="s">
        <v>32</v>
      </c>
      <c r="H624" s="2" t="s">
        <v>1276</v>
      </c>
      <c r="I624" s="2" t="s">
        <v>1285</v>
      </c>
      <c r="J624" s="2" t="s">
        <v>35</v>
      </c>
      <c r="K624" s="2" t="s">
        <v>36</v>
      </c>
      <c r="L624" s="2" t="s">
        <v>51</v>
      </c>
      <c r="M624" s="2" t="s">
        <v>64</v>
      </c>
      <c r="N624" s="2" t="s">
        <v>2258</v>
      </c>
      <c r="O624" s="2" t="s">
        <v>35</v>
      </c>
      <c r="P624" s="2" t="s">
        <v>53</v>
      </c>
      <c r="Q624" s="2" t="s">
        <v>2259</v>
      </c>
      <c r="R624" s="4">
        <v>46142.381863425922</v>
      </c>
      <c r="S624" s="4">
        <v>46149.448437500003</v>
      </c>
      <c r="T624" s="2" t="s">
        <v>41</v>
      </c>
      <c r="U624" s="1" t="s">
        <v>569</v>
      </c>
      <c r="V624" s="1" t="s">
        <v>570</v>
      </c>
      <c r="W624" s="1" t="s">
        <v>2377</v>
      </c>
      <c r="X624" s="1" t="s">
        <v>2377</v>
      </c>
      <c r="Y624" s="1"/>
      <c r="Z624" s="1"/>
      <c r="AA624" s="1" t="s">
        <v>573</v>
      </c>
    </row>
    <row r="625" spans="1:27" ht="17.45" customHeight="1">
      <c r="A625" s="3" t="s">
        <v>2279</v>
      </c>
      <c r="B625" s="3" t="s">
        <v>171</v>
      </c>
      <c r="C625">
        <v>1</v>
      </c>
      <c r="D625" s="3" t="s">
        <v>1273</v>
      </c>
      <c r="E625" s="3" t="s">
        <v>2378</v>
      </c>
      <c r="F625" s="3" t="s">
        <v>2379</v>
      </c>
      <c r="G625" s="3" t="s">
        <v>32</v>
      </c>
      <c r="H625" s="3" t="s">
        <v>1276</v>
      </c>
      <c r="I625" s="3" t="s">
        <v>1277</v>
      </c>
      <c r="J625" s="3" t="s">
        <v>35</v>
      </c>
      <c r="K625" s="3" t="s">
        <v>36</v>
      </c>
      <c r="L625" s="3" t="s">
        <v>37</v>
      </c>
      <c r="M625" s="3" t="s">
        <v>64</v>
      </c>
      <c r="N625" s="3" t="s">
        <v>2258</v>
      </c>
      <c r="O625" s="3" t="s">
        <v>35</v>
      </c>
      <c r="P625" s="3" t="s">
        <v>53</v>
      </c>
      <c r="Q625" s="3" t="s">
        <v>2259</v>
      </c>
      <c r="R625" s="5">
        <v>46142.420405092591</v>
      </c>
      <c r="S625" s="5">
        <v>46149.458113425928</v>
      </c>
      <c r="T625" s="3" t="s">
        <v>41</v>
      </c>
      <c r="U625" s="1" t="s">
        <v>65</v>
      </c>
      <c r="V625" s="1" t="s">
        <v>89</v>
      </c>
      <c r="W625" s="1" t="s">
        <v>2380</v>
      </c>
      <c r="X625" s="1" t="s">
        <v>2381</v>
      </c>
      <c r="Y625" s="1"/>
      <c r="Z625" s="1"/>
      <c r="AA625" s="1" t="s">
        <v>67</v>
      </c>
    </row>
    <row r="626" spans="1:27" ht="17.45" customHeight="1">
      <c r="A626" s="2" t="s">
        <v>750</v>
      </c>
      <c r="B626" s="2" t="s">
        <v>48</v>
      </c>
      <c r="C626">
        <v>1</v>
      </c>
      <c r="D626" s="2" t="s">
        <v>228</v>
      </c>
      <c r="E626" s="2" t="s">
        <v>2382</v>
      </c>
      <c r="F626" s="2" t="s">
        <v>2383</v>
      </c>
      <c r="G626" s="2" t="s">
        <v>32</v>
      </c>
      <c r="H626" s="2" t="s">
        <v>124</v>
      </c>
      <c r="I626" s="2" t="s">
        <v>124</v>
      </c>
      <c r="J626" s="2" t="s">
        <v>35</v>
      </c>
      <c r="K626" s="2" t="s">
        <v>36</v>
      </c>
      <c r="L626" s="2" t="s">
        <v>37</v>
      </c>
      <c r="M626" s="2" t="s">
        <v>64</v>
      </c>
      <c r="N626" s="2" t="s">
        <v>2258</v>
      </c>
      <c r="O626" s="2" t="s">
        <v>35</v>
      </c>
      <c r="P626" s="2" t="s">
        <v>53</v>
      </c>
      <c r="Q626" s="2" t="s">
        <v>2259</v>
      </c>
      <c r="R626" s="4">
        <v>46142.423333333332</v>
      </c>
      <c r="S626" s="4">
        <v>46150.363356481481</v>
      </c>
      <c r="T626" s="2" t="s">
        <v>41</v>
      </c>
      <c r="U626" s="1" t="s">
        <v>115</v>
      </c>
      <c r="V626" s="1" t="s">
        <v>116</v>
      </c>
      <c r="W626" s="1" t="s">
        <v>2384</v>
      </c>
      <c r="X626" s="1" t="s">
        <v>2383</v>
      </c>
      <c r="Y626" s="1"/>
      <c r="Z626" s="1"/>
      <c r="AA626" s="1" t="s">
        <v>118</v>
      </c>
    </row>
    <row r="627" spans="1:27" ht="17.45" customHeight="1">
      <c r="A627" s="3" t="s">
        <v>2348</v>
      </c>
      <c r="B627" s="3" t="s">
        <v>181</v>
      </c>
      <c r="C627">
        <v>1</v>
      </c>
      <c r="D627" s="3" t="s">
        <v>228</v>
      </c>
      <c r="E627" s="3" t="s">
        <v>2385</v>
      </c>
      <c r="F627" s="3" t="s">
        <v>2386</v>
      </c>
      <c r="G627" s="3" t="s">
        <v>32</v>
      </c>
      <c r="H627" s="3" t="s">
        <v>124</v>
      </c>
      <c r="I627" s="3" t="s">
        <v>124</v>
      </c>
      <c r="J627" s="3" t="s">
        <v>35</v>
      </c>
      <c r="K627" s="3" t="s">
        <v>36</v>
      </c>
      <c r="L627" s="3" t="s">
        <v>37</v>
      </c>
      <c r="M627" s="3" t="s">
        <v>52</v>
      </c>
      <c r="N627" s="3" t="s">
        <v>2258</v>
      </c>
      <c r="O627" s="3" t="s">
        <v>35</v>
      </c>
      <c r="P627" s="3" t="s">
        <v>53</v>
      </c>
      <c r="Q627" s="3" t="s">
        <v>2259</v>
      </c>
      <c r="R627" s="5">
        <v>46146.748506944445</v>
      </c>
      <c r="S627" s="5">
        <v>46148.690428240741</v>
      </c>
      <c r="T627" s="3" t="s">
        <v>41</v>
      </c>
      <c r="U627" s="1" t="s">
        <v>95</v>
      </c>
      <c r="V627" s="1" t="s">
        <v>96</v>
      </c>
      <c r="W627" s="1" t="s">
        <v>2387</v>
      </c>
      <c r="X627" s="1" t="s">
        <v>2386</v>
      </c>
      <c r="Y627" s="1"/>
      <c r="Z627" s="1"/>
      <c r="AA627" s="1" t="s">
        <v>98</v>
      </c>
    </row>
    <row r="628" spans="1:27" ht="17.45" customHeight="1">
      <c r="A628" s="2" t="s">
        <v>1463</v>
      </c>
      <c r="B628" s="2" t="s">
        <v>171</v>
      </c>
      <c r="C628">
        <v>1</v>
      </c>
      <c r="D628" s="2" t="s">
        <v>228</v>
      </c>
      <c r="E628" s="2" t="s">
        <v>2388</v>
      </c>
      <c r="F628" s="2" t="s">
        <v>2389</v>
      </c>
      <c r="G628" s="2" t="s">
        <v>32</v>
      </c>
      <c r="H628" s="2" t="s">
        <v>124</v>
      </c>
      <c r="I628" s="2" t="s">
        <v>124</v>
      </c>
      <c r="J628" s="2" t="s">
        <v>35</v>
      </c>
      <c r="K628" s="2" t="s">
        <v>36</v>
      </c>
      <c r="L628" s="2" t="s">
        <v>37</v>
      </c>
      <c r="M628" s="2" t="s">
        <v>52</v>
      </c>
      <c r="N628" s="2" t="s">
        <v>2258</v>
      </c>
      <c r="O628" s="2" t="s">
        <v>35</v>
      </c>
      <c r="P628" s="2" t="s">
        <v>40</v>
      </c>
      <c r="Q628" s="2" t="s">
        <v>2259</v>
      </c>
      <c r="R628" s="4">
        <v>46148.432337962964</v>
      </c>
      <c r="S628" s="4">
        <v>46150.382256944446</v>
      </c>
      <c r="T628" s="2" t="s">
        <v>41</v>
      </c>
      <c r="U628" s="1" t="s">
        <v>42</v>
      </c>
      <c r="V628" s="1" t="s">
        <v>74</v>
      </c>
      <c r="W628" s="1" t="s">
        <v>2390</v>
      </c>
      <c r="X628" s="1" t="s">
        <v>2389</v>
      </c>
      <c r="Y628" s="1"/>
      <c r="Z628" s="1"/>
      <c r="AA628" s="1" t="s">
        <v>46</v>
      </c>
    </row>
    <row r="629" spans="1:27" ht="17.45" customHeight="1">
      <c r="A629" s="3" t="s">
        <v>2348</v>
      </c>
      <c r="B629" s="3" t="s">
        <v>181</v>
      </c>
      <c r="C629">
        <v>1</v>
      </c>
      <c r="D629" s="3" t="s">
        <v>228</v>
      </c>
      <c r="E629" s="3" t="s">
        <v>2391</v>
      </c>
      <c r="F629" s="3" t="s">
        <v>2392</v>
      </c>
      <c r="G629" s="3" t="s">
        <v>32</v>
      </c>
      <c r="H629" s="3" t="s">
        <v>124</v>
      </c>
      <c r="I629" s="3" t="s">
        <v>124</v>
      </c>
      <c r="J629" s="3" t="s">
        <v>35</v>
      </c>
      <c r="K629" s="3" t="s">
        <v>36</v>
      </c>
      <c r="L629" s="3" t="s">
        <v>51</v>
      </c>
      <c r="M629" s="3" t="s">
        <v>52</v>
      </c>
      <c r="N629" s="3" t="s">
        <v>2258</v>
      </c>
      <c r="O629" s="3" t="s">
        <v>35</v>
      </c>
      <c r="P629" s="3" t="s">
        <v>53</v>
      </c>
      <c r="Q629" s="3" t="s">
        <v>2259</v>
      </c>
      <c r="R629" s="5">
        <v>46139.693055555559</v>
      </c>
      <c r="S629" s="5">
        <v>46149.791898148149</v>
      </c>
      <c r="T629" s="3" t="s">
        <v>41</v>
      </c>
      <c r="U629" s="1" t="s">
        <v>95</v>
      </c>
      <c r="V629" s="1" t="s">
        <v>96</v>
      </c>
      <c r="W629" s="1" t="s">
        <v>2392</v>
      </c>
      <c r="X629" s="1" t="s">
        <v>2392</v>
      </c>
      <c r="Y629" s="1"/>
      <c r="Z629" s="1"/>
      <c r="AA629" s="1" t="s">
        <v>98</v>
      </c>
    </row>
    <row r="630" spans="1:27" ht="17.45" customHeight="1">
      <c r="A630" s="2" t="s">
        <v>1342</v>
      </c>
      <c r="B630" s="2" t="s">
        <v>120</v>
      </c>
      <c r="C630">
        <v>1</v>
      </c>
      <c r="D630" s="2" t="s">
        <v>1273</v>
      </c>
      <c r="E630" s="2" t="s">
        <v>2393</v>
      </c>
      <c r="F630" s="2" t="s">
        <v>2394</v>
      </c>
      <c r="G630" s="2" t="s">
        <v>32</v>
      </c>
      <c r="H630" s="2" t="s">
        <v>1276</v>
      </c>
      <c r="I630" s="2" t="s">
        <v>1292</v>
      </c>
      <c r="J630" s="2" t="s">
        <v>35</v>
      </c>
      <c r="K630" s="2" t="s">
        <v>36</v>
      </c>
      <c r="L630" s="2" t="s">
        <v>37</v>
      </c>
      <c r="M630" s="2" t="s">
        <v>64</v>
      </c>
      <c r="N630" s="2" t="s">
        <v>2258</v>
      </c>
      <c r="O630" s="2" t="s">
        <v>35</v>
      </c>
      <c r="P630" s="2" t="s">
        <v>53</v>
      </c>
      <c r="Q630" s="2" t="s">
        <v>2259</v>
      </c>
      <c r="R630" s="4">
        <v>46140.458657407406</v>
      </c>
      <c r="S630" s="4">
        <v>46142.437696759262</v>
      </c>
      <c r="T630" s="2" t="s">
        <v>41</v>
      </c>
      <c r="U630" s="1" t="s">
        <v>59</v>
      </c>
      <c r="V630" s="1" t="s">
        <v>142</v>
      </c>
      <c r="W630" s="1" t="s">
        <v>2395</v>
      </c>
      <c r="X630" s="1" t="s">
        <v>2396</v>
      </c>
      <c r="Y630" s="1"/>
      <c r="Z630" s="1"/>
      <c r="AA630" s="1" t="s">
        <v>61</v>
      </c>
    </row>
    <row r="631" spans="1:27" ht="17.45" customHeight="1">
      <c r="A631" s="3" t="s">
        <v>2397</v>
      </c>
      <c r="B631" s="3" t="s">
        <v>120</v>
      </c>
      <c r="C631">
        <v>1</v>
      </c>
      <c r="D631" s="3" t="s">
        <v>228</v>
      </c>
      <c r="E631" s="3" t="s">
        <v>2398</v>
      </c>
      <c r="F631" s="3" t="s">
        <v>2399</v>
      </c>
      <c r="G631" s="3" t="s">
        <v>32</v>
      </c>
      <c r="H631" s="3" t="s">
        <v>124</v>
      </c>
      <c r="I631" s="3" t="s">
        <v>124</v>
      </c>
      <c r="J631" s="3" t="s">
        <v>35</v>
      </c>
      <c r="K631" s="3" t="s">
        <v>36</v>
      </c>
      <c r="L631" s="3" t="s">
        <v>37</v>
      </c>
      <c r="M631" s="3" t="s">
        <v>52</v>
      </c>
      <c r="N631" s="3" t="s">
        <v>2258</v>
      </c>
      <c r="O631" s="3" t="s">
        <v>35</v>
      </c>
      <c r="P631" s="3" t="s">
        <v>40</v>
      </c>
      <c r="Q631" s="3" t="s">
        <v>2259</v>
      </c>
      <c r="R631" s="5">
        <v>46148.617777777778</v>
      </c>
      <c r="S631" s="5">
        <v>46148.696851851855</v>
      </c>
      <c r="T631" s="3" t="s">
        <v>41</v>
      </c>
      <c r="U631" s="1" t="s">
        <v>243</v>
      </c>
      <c r="V631" s="1" t="s">
        <v>340</v>
      </c>
      <c r="W631" s="1" t="s">
        <v>2399</v>
      </c>
      <c r="X631" s="1" t="s">
        <v>2399</v>
      </c>
      <c r="Y631" s="1"/>
      <c r="Z631" s="1"/>
      <c r="AA631" s="1" t="s">
        <v>246</v>
      </c>
    </row>
    <row r="632" spans="1:27" ht="17.45" customHeight="1">
      <c r="A632" s="2" t="s">
        <v>2400</v>
      </c>
      <c r="B632" s="2" t="s">
        <v>48</v>
      </c>
      <c r="C632">
        <v>1</v>
      </c>
      <c r="D632" s="2" t="s">
        <v>1273</v>
      </c>
      <c r="E632" s="2" t="s">
        <v>2401</v>
      </c>
      <c r="F632" s="2" t="s">
        <v>2402</v>
      </c>
      <c r="G632" s="2" t="s">
        <v>32</v>
      </c>
      <c r="H632" s="2" t="s">
        <v>1276</v>
      </c>
      <c r="I632" s="2" t="s">
        <v>1285</v>
      </c>
      <c r="J632" s="2" t="s">
        <v>35</v>
      </c>
      <c r="K632" s="2" t="s">
        <v>36</v>
      </c>
      <c r="L632" s="2" t="s">
        <v>51</v>
      </c>
      <c r="M632" s="2" t="s">
        <v>64</v>
      </c>
      <c r="N632" s="2" t="s">
        <v>2258</v>
      </c>
      <c r="O632" s="2" t="s">
        <v>35</v>
      </c>
      <c r="P632" s="2" t="s">
        <v>53</v>
      </c>
      <c r="Q632" s="2" t="s">
        <v>2259</v>
      </c>
      <c r="R632" s="4">
        <v>46148.629953703705</v>
      </c>
      <c r="S632" s="4">
        <v>46149.453113425923</v>
      </c>
      <c r="T632" s="2" t="s">
        <v>41</v>
      </c>
      <c r="U632" s="1" t="s">
        <v>165</v>
      </c>
      <c r="V632" s="1" t="s">
        <v>166</v>
      </c>
      <c r="W632" s="1" t="s">
        <v>2403</v>
      </c>
      <c r="X632" s="1" t="s">
        <v>2403</v>
      </c>
      <c r="Y632" s="1"/>
      <c r="Z632" s="1"/>
      <c r="AA632" s="1" t="s">
        <v>169</v>
      </c>
    </row>
    <row r="633" spans="1:27" ht="17.45" customHeight="1">
      <c r="A633" s="3" t="s">
        <v>2404</v>
      </c>
      <c r="B633" s="3" t="s">
        <v>120</v>
      </c>
      <c r="C633">
        <v>1</v>
      </c>
      <c r="D633" s="3" t="s">
        <v>1273</v>
      </c>
      <c r="E633" s="3" t="s">
        <v>2405</v>
      </c>
      <c r="F633" s="3" t="s">
        <v>2406</v>
      </c>
      <c r="G633" s="3" t="s">
        <v>32</v>
      </c>
      <c r="H633" s="3" t="s">
        <v>1276</v>
      </c>
      <c r="I633" s="3" t="s">
        <v>1277</v>
      </c>
      <c r="J633" s="3" t="s">
        <v>35</v>
      </c>
      <c r="K633" s="3" t="s">
        <v>36</v>
      </c>
      <c r="L633" s="3" t="s">
        <v>51</v>
      </c>
      <c r="M633" s="3" t="s">
        <v>64</v>
      </c>
      <c r="N633" s="3" t="s">
        <v>2258</v>
      </c>
      <c r="O633" s="3" t="s">
        <v>35</v>
      </c>
      <c r="P633" s="3" t="s">
        <v>40</v>
      </c>
      <c r="Q633" s="3" t="s">
        <v>2259</v>
      </c>
      <c r="R633" s="5">
        <v>46135.443611111114</v>
      </c>
      <c r="S633" s="5">
        <v>46142.453460648147</v>
      </c>
      <c r="T633" s="3" t="s">
        <v>41</v>
      </c>
      <c r="U633" s="1" t="s">
        <v>59</v>
      </c>
      <c r="V633" s="1" t="s">
        <v>142</v>
      </c>
      <c r="W633" s="1" t="s">
        <v>2407</v>
      </c>
      <c r="X633" s="1" t="s">
        <v>2406</v>
      </c>
      <c r="Y633" s="1"/>
      <c r="Z633" s="1"/>
      <c r="AA633" s="1" t="s">
        <v>61</v>
      </c>
    </row>
    <row r="634" spans="1:27" ht="17.45" customHeight="1">
      <c r="A634" s="2" t="s">
        <v>1342</v>
      </c>
      <c r="B634" s="2" t="s">
        <v>120</v>
      </c>
      <c r="C634">
        <v>1</v>
      </c>
      <c r="D634" s="2" t="s">
        <v>1273</v>
      </c>
      <c r="E634" s="2" t="s">
        <v>2408</v>
      </c>
      <c r="F634" s="2" t="s">
        <v>2409</v>
      </c>
      <c r="G634" s="2" t="s">
        <v>32</v>
      </c>
      <c r="H634" s="2" t="s">
        <v>1276</v>
      </c>
      <c r="I634" s="2" t="s">
        <v>1292</v>
      </c>
      <c r="J634" s="2" t="s">
        <v>35</v>
      </c>
      <c r="K634" s="2" t="s">
        <v>36</v>
      </c>
      <c r="L634" s="2" t="s">
        <v>51</v>
      </c>
      <c r="M634" s="2" t="s">
        <v>64</v>
      </c>
      <c r="N634" s="2" t="s">
        <v>2258</v>
      </c>
      <c r="O634" s="2" t="s">
        <v>35</v>
      </c>
      <c r="P634" s="2" t="s">
        <v>53</v>
      </c>
      <c r="Q634" s="2" t="s">
        <v>2259</v>
      </c>
      <c r="R634" s="4">
        <v>46135.454421296294</v>
      </c>
      <c r="S634" s="4">
        <v>46135.707673611112</v>
      </c>
      <c r="T634" s="2" t="s">
        <v>41</v>
      </c>
      <c r="U634" s="1" t="s">
        <v>59</v>
      </c>
      <c r="V634" s="1" t="s">
        <v>60</v>
      </c>
      <c r="W634" s="1" t="s">
        <v>2409</v>
      </c>
      <c r="X634" s="1" t="s">
        <v>2409</v>
      </c>
      <c r="Y634" s="1"/>
      <c r="Z634" s="1"/>
      <c r="AA634" s="1" t="s">
        <v>61</v>
      </c>
    </row>
    <row r="635" spans="1:27" ht="17.45" customHeight="1">
      <c r="A635" s="3" t="s">
        <v>1342</v>
      </c>
      <c r="B635" s="3" t="s">
        <v>120</v>
      </c>
      <c r="C635">
        <v>1</v>
      </c>
      <c r="D635" s="3" t="s">
        <v>1273</v>
      </c>
      <c r="E635" s="3" t="s">
        <v>2410</v>
      </c>
      <c r="F635" s="3" t="s">
        <v>2411</v>
      </c>
      <c r="G635" s="3" t="s">
        <v>32</v>
      </c>
      <c r="H635" s="3" t="s">
        <v>1276</v>
      </c>
      <c r="I635" s="3" t="s">
        <v>1292</v>
      </c>
      <c r="J635" s="3" t="s">
        <v>35</v>
      </c>
      <c r="K635" s="3" t="s">
        <v>36</v>
      </c>
      <c r="L635" s="3" t="s">
        <v>37</v>
      </c>
      <c r="M635" s="3" t="s">
        <v>64</v>
      </c>
      <c r="N635" s="3" t="s">
        <v>2258</v>
      </c>
      <c r="O635" s="3" t="s">
        <v>35</v>
      </c>
      <c r="P635" s="3" t="s">
        <v>58</v>
      </c>
      <c r="Q635" s="3" t="s">
        <v>2259</v>
      </c>
      <c r="R635" s="5">
        <v>46135.468159722222</v>
      </c>
      <c r="S635" s="5">
        <v>46135.719884259262</v>
      </c>
      <c r="T635" s="3" t="s">
        <v>41</v>
      </c>
      <c r="U635" s="1" t="s">
        <v>59</v>
      </c>
      <c r="V635" s="1" t="s">
        <v>60</v>
      </c>
      <c r="W635" s="1" t="s">
        <v>2412</v>
      </c>
      <c r="X635" s="1" t="s">
        <v>2413</v>
      </c>
      <c r="Y635" s="1"/>
      <c r="Z635" s="1"/>
      <c r="AA635" s="1" t="s">
        <v>61</v>
      </c>
    </row>
    <row r="636" spans="1:27" ht="17.45" customHeight="1">
      <c r="A636" s="2" t="s">
        <v>1680</v>
      </c>
      <c r="B636" s="2" t="s">
        <v>48</v>
      </c>
      <c r="C636">
        <v>1</v>
      </c>
      <c r="D636" s="2" t="s">
        <v>1273</v>
      </c>
      <c r="E636" s="2" t="s">
        <v>2414</v>
      </c>
      <c r="F636" s="2" t="s">
        <v>2415</v>
      </c>
      <c r="G636" s="2" t="s">
        <v>32</v>
      </c>
      <c r="H636" s="2" t="s">
        <v>1276</v>
      </c>
      <c r="I636" s="2" t="s">
        <v>1285</v>
      </c>
      <c r="J636" s="2" t="s">
        <v>35</v>
      </c>
      <c r="K636" s="2" t="s">
        <v>36</v>
      </c>
      <c r="L636" s="2" t="s">
        <v>37</v>
      </c>
      <c r="M636" s="2" t="s">
        <v>52</v>
      </c>
      <c r="N636" s="2" t="s">
        <v>2258</v>
      </c>
      <c r="O636" s="2" t="s">
        <v>35</v>
      </c>
      <c r="P636" s="2" t="s">
        <v>40</v>
      </c>
      <c r="Q636" s="2" t="s">
        <v>2259</v>
      </c>
      <c r="R636" s="4">
        <v>46135.664675925924</v>
      </c>
      <c r="S636" s="4">
        <v>46135.684641203705</v>
      </c>
      <c r="T636" s="2" t="s">
        <v>41</v>
      </c>
      <c r="U636" s="1" t="s">
        <v>95</v>
      </c>
      <c r="V636" s="1" t="s">
        <v>96</v>
      </c>
      <c r="W636" s="1" t="s">
        <v>2415</v>
      </c>
      <c r="X636" s="1" t="s">
        <v>2415</v>
      </c>
      <c r="Y636" s="1"/>
      <c r="Z636" s="1"/>
      <c r="AA636" s="1" t="s">
        <v>98</v>
      </c>
    </row>
    <row r="637" spans="1:27" ht="17.45" customHeight="1">
      <c r="A637" s="3" t="s">
        <v>1586</v>
      </c>
      <c r="B637" s="3" t="s">
        <v>48</v>
      </c>
      <c r="C637">
        <v>1</v>
      </c>
      <c r="D637" s="3" t="s">
        <v>228</v>
      </c>
      <c r="E637" s="3" t="s">
        <v>2416</v>
      </c>
      <c r="F637" s="3" t="s">
        <v>2417</v>
      </c>
      <c r="G637" s="3" t="s">
        <v>32</v>
      </c>
      <c r="H637" s="3" t="s">
        <v>124</v>
      </c>
      <c r="I637" s="3" t="s">
        <v>124</v>
      </c>
      <c r="J637" s="3" t="s">
        <v>35</v>
      </c>
      <c r="K637" s="3" t="s">
        <v>36</v>
      </c>
      <c r="L637" s="3" t="s">
        <v>51</v>
      </c>
      <c r="M637" s="3" t="s">
        <v>64</v>
      </c>
      <c r="N637" s="3" t="s">
        <v>2258</v>
      </c>
      <c r="O637" s="3" t="s">
        <v>35</v>
      </c>
      <c r="P637" s="3" t="s">
        <v>53</v>
      </c>
      <c r="Q637" s="3" t="s">
        <v>2259</v>
      </c>
      <c r="R637" s="5">
        <v>46136.386759259258</v>
      </c>
      <c r="S637" s="5">
        <v>46148.703622685185</v>
      </c>
      <c r="T637" s="3" t="s">
        <v>41</v>
      </c>
      <c r="U637" s="1" t="s">
        <v>59</v>
      </c>
      <c r="V637" s="1" t="s">
        <v>60</v>
      </c>
      <c r="W637" s="1" t="s">
        <v>2417</v>
      </c>
      <c r="X637" s="1" t="s">
        <v>2417</v>
      </c>
      <c r="Y637" s="1"/>
      <c r="Z637" s="1"/>
      <c r="AA637" s="1" t="s">
        <v>61</v>
      </c>
    </row>
    <row r="638" spans="1:27" ht="17.45" customHeight="1">
      <c r="A638" s="2" t="s">
        <v>1413</v>
      </c>
      <c r="B638" s="2" t="s">
        <v>28</v>
      </c>
      <c r="C638">
        <v>1</v>
      </c>
      <c r="D638" s="2" t="s">
        <v>1273</v>
      </c>
      <c r="E638" s="2" t="s">
        <v>2418</v>
      </c>
      <c r="F638" s="2" t="s">
        <v>2419</v>
      </c>
      <c r="G638" s="2" t="s">
        <v>32</v>
      </c>
      <c r="H638" s="2" t="s">
        <v>1276</v>
      </c>
      <c r="I638" s="2" t="s">
        <v>1277</v>
      </c>
      <c r="J638" s="2" t="s">
        <v>35</v>
      </c>
      <c r="K638" s="2" t="s">
        <v>36</v>
      </c>
      <c r="L638" s="2" t="s">
        <v>37</v>
      </c>
      <c r="M638" s="2" t="s">
        <v>64</v>
      </c>
      <c r="N638" s="2" t="s">
        <v>2258</v>
      </c>
      <c r="O638" s="2" t="s">
        <v>35</v>
      </c>
      <c r="P638" s="2" t="s">
        <v>40</v>
      </c>
      <c r="Q638" s="2" t="s">
        <v>2259</v>
      </c>
      <c r="R638" s="4">
        <v>46136.402372685188</v>
      </c>
      <c r="S638" s="4">
        <v>46139.439363425925</v>
      </c>
      <c r="T638" s="2" t="s">
        <v>41</v>
      </c>
      <c r="U638" s="1" t="s">
        <v>283</v>
      </c>
      <c r="V638" s="1" t="s">
        <v>410</v>
      </c>
      <c r="W638" s="1" t="s">
        <v>2420</v>
      </c>
      <c r="X638" s="1" t="s">
        <v>2421</v>
      </c>
      <c r="Y638" s="1"/>
      <c r="Z638" s="1"/>
      <c r="AA638" s="1" t="s">
        <v>285</v>
      </c>
    </row>
    <row r="639" spans="1:27" ht="17.45" customHeight="1">
      <c r="A639" s="3" t="s">
        <v>2315</v>
      </c>
      <c r="B639" s="3" t="s">
        <v>48</v>
      </c>
      <c r="C639">
        <v>1</v>
      </c>
      <c r="D639" s="3" t="s">
        <v>1273</v>
      </c>
      <c r="E639" s="3" t="s">
        <v>2422</v>
      </c>
      <c r="F639" s="3" t="s">
        <v>2423</v>
      </c>
      <c r="G639" s="3" t="s">
        <v>32</v>
      </c>
      <c r="H639" s="3" t="s">
        <v>1276</v>
      </c>
      <c r="I639" s="3" t="s">
        <v>1285</v>
      </c>
      <c r="J639" s="3" t="s">
        <v>35</v>
      </c>
      <c r="K639" s="3" t="s">
        <v>36</v>
      </c>
      <c r="L639" s="3" t="s">
        <v>51</v>
      </c>
      <c r="M639" s="3" t="s">
        <v>52</v>
      </c>
      <c r="N639" s="3" t="s">
        <v>2258</v>
      </c>
      <c r="O639" s="3" t="s">
        <v>35</v>
      </c>
      <c r="P639" s="3" t="s">
        <v>40</v>
      </c>
      <c r="Q639" s="3" t="s">
        <v>2259</v>
      </c>
      <c r="R639" s="5">
        <v>46136.404247685183</v>
      </c>
      <c r="S639" s="5">
        <v>46139.44127314815</v>
      </c>
      <c r="T639" s="3" t="s">
        <v>41</v>
      </c>
      <c r="U639" s="1" t="s">
        <v>283</v>
      </c>
      <c r="V639" s="1" t="s">
        <v>565</v>
      </c>
      <c r="W639" s="1" t="s">
        <v>2423</v>
      </c>
      <c r="X639" s="1" t="s">
        <v>2423</v>
      </c>
      <c r="Y639" s="1"/>
      <c r="Z639" s="1"/>
      <c r="AA639" s="1" t="s">
        <v>285</v>
      </c>
    </row>
    <row r="640" spans="1:27" ht="17.45" customHeight="1">
      <c r="A640" s="2" t="s">
        <v>2424</v>
      </c>
      <c r="B640" s="2" t="s">
        <v>28</v>
      </c>
      <c r="C640">
        <v>1</v>
      </c>
      <c r="D640" s="2" t="s">
        <v>1273</v>
      </c>
      <c r="E640" s="2" t="s">
        <v>2425</v>
      </c>
      <c r="F640" s="2" t="s">
        <v>2426</v>
      </c>
      <c r="G640" s="2" t="s">
        <v>32</v>
      </c>
      <c r="H640" s="2" t="s">
        <v>1276</v>
      </c>
      <c r="I640" s="2" t="s">
        <v>1277</v>
      </c>
      <c r="J640" s="2" t="s">
        <v>35</v>
      </c>
      <c r="K640" s="2" t="s">
        <v>36</v>
      </c>
      <c r="L640" s="2" t="s">
        <v>37</v>
      </c>
      <c r="M640" s="2" t="s">
        <v>52</v>
      </c>
      <c r="N640" s="2" t="s">
        <v>2258</v>
      </c>
      <c r="O640" s="2" t="s">
        <v>35</v>
      </c>
      <c r="P640" s="2" t="s">
        <v>40</v>
      </c>
      <c r="Q640" s="2" t="s">
        <v>2259</v>
      </c>
      <c r="R640" s="4">
        <v>46135.637604166666</v>
      </c>
      <c r="S640" s="4">
        <v>46136.45380787037</v>
      </c>
      <c r="T640" s="2" t="s">
        <v>41</v>
      </c>
      <c r="U640" s="1" t="s">
        <v>42</v>
      </c>
      <c r="V640" s="1" t="s">
        <v>74</v>
      </c>
      <c r="W640" s="1" t="s">
        <v>2427</v>
      </c>
      <c r="X640" s="1" t="s">
        <v>2428</v>
      </c>
      <c r="Y640" s="1"/>
      <c r="Z640" s="1"/>
      <c r="AA640" s="1" t="s">
        <v>46</v>
      </c>
    </row>
    <row r="641" spans="1:27" ht="17.45" customHeight="1">
      <c r="A641" s="3" t="s">
        <v>1403</v>
      </c>
      <c r="B641" s="3" t="s">
        <v>28</v>
      </c>
      <c r="C641">
        <v>1</v>
      </c>
      <c r="D641" s="3" t="s">
        <v>1273</v>
      </c>
      <c r="E641" s="3" t="s">
        <v>2429</v>
      </c>
      <c r="F641" s="3" t="s">
        <v>2430</v>
      </c>
      <c r="G641" s="3" t="s">
        <v>32</v>
      </c>
      <c r="H641" s="3" t="s">
        <v>1276</v>
      </c>
      <c r="I641" s="3" t="s">
        <v>1277</v>
      </c>
      <c r="J641" s="3" t="s">
        <v>35</v>
      </c>
      <c r="K641" s="3" t="s">
        <v>36</v>
      </c>
      <c r="L641" s="3" t="s">
        <v>37</v>
      </c>
      <c r="M641" s="3" t="s">
        <v>52</v>
      </c>
      <c r="N641" s="3" t="s">
        <v>2258</v>
      </c>
      <c r="O641" s="3" t="s">
        <v>35</v>
      </c>
      <c r="P641" s="3" t="s">
        <v>40</v>
      </c>
      <c r="Q641" s="3" t="s">
        <v>2259</v>
      </c>
      <c r="R641" s="5">
        <v>46135.641550925924</v>
      </c>
      <c r="S641" s="5">
        <v>46136.455324074072</v>
      </c>
      <c r="T641" s="3" t="s">
        <v>41</v>
      </c>
      <c r="U641" s="1" t="s">
        <v>42</v>
      </c>
      <c r="V641" s="1" t="s">
        <v>74</v>
      </c>
      <c r="W641" s="1" t="s">
        <v>2431</v>
      </c>
      <c r="X641" s="1" t="s">
        <v>2432</v>
      </c>
      <c r="Y641" s="1"/>
      <c r="Z641" s="1"/>
      <c r="AA641" s="1" t="s">
        <v>46</v>
      </c>
    </row>
    <row r="642" spans="1:27" ht="17.45" customHeight="1">
      <c r="A642" s="2" t="s">
        <v>1907</v>
      </c>
      <c r="B642" s="2" t="s">
        <v>181</v>
      </c>
      <c r="C642">
        <v>1</v>
      </c>
      <c r="D642" s="2" t="s">
        <v>1273</v>
      </c>
      <c r="E642" s="2" t="s">
        <v>2433</v>
      </c>
      <c r="F642" s="2" t="s">
        <v>2434</v>
      </c>
      <c r="G642" s="2" t="s">
        <v>32</v>
      </c>
      <c r="H642" s="2" t="s">
        <v>1276</v>
      </c>
      <c r="I642" s="2" t="s">
        <v>1277</v>
      </c>
      <c r="J642" s="2" t="s">
        <v>35</v>
      </c>
      <c r="K642" s="2" t="s">
        <v>36</v>
      </c>
      <c r="L642" s="2" t="s">
        <v>37</v>
      </c>
      <c r="M642" s="2" t="s">
        <v>52</v>
      </c>
      <c r="N642" s="2" t="s">
        <v>2373</v>
      </c>
      <c r="O642" s="2" t="s">
        <v>35</v>
      </c>
      <c r="P642" s="2" t="s">
        <v>40</v>
      </c>
      <c r="Q642" s="2" t="s">
        <v>2259</v>
      </c>
      <c r="R642" s="4">
        <v>46136.457430555558</v>
      </c>
      <c r="S642" s="4">
        <v>46141.555358796293</v>
      </c>
      <c r="T642" s="2" t="s">
        <v>41</v>
      </c>
      <c r="U642" s="1" t="s">
        <v>95</v>
      </c>
      <c r="V642" s="1" t="s">
        <v>96</v>
      </c>
      <c r="W642" s="1" t="s">
        <v>2435</v>
      </c>
      <c r="X642" s="1" t="s">
        <v>2436</v>
      </c>
      <c r="Y642" s="1"/>
      <c r="Z642" s="1"/>
      <c r="AA642" s="1" t="s">
        <v>98</v>
      </c>
    </row>
    <row r="643" spans="1:27" ht="17.45" customHeight="1">
      <c r="A643" s="3" t="s">
        <v>2437</v>
      </c>
      <c r="B643" s="3" t="s">
        <v>48</v>
      </c>
      <c r="C643">
        <v>1</v>
      </c>
      <c r="D643" s="3" t="s">
        <v>1273</v>
      </c>
      <c r="E643" s="3" t="s">
        <v>2438</v>
      </c>
      <c r="F643" s="3" t="s">
        <v>2372</v>
      </c>
      <c r="G643" s="3" t="s">
        <v>32</v>
      </c>
      <c r="H643" s="3" t="s">
        <v>1276</v>
      </c>
      <c r="I643" s="3" t="s">
        <v>1285</v>
      </c>
      <c r="J643" s="3" t="s">
        <v>35</v>
      </c>
      <c r="K643" s="3" t="s">
        <v>36</v>
      </c>
      <c r="L643" s="3" t="s">
        <v>37</v>
      </c>
      <c r="M643" s="3" t="s">
        <v>52</v>
      </c>
      <c r="N643" s="3" t="s">
        <v>2373</v>
      </c>
      <c r="O643" s="3" t="s">
        <v>35</v>
      </c>
      <c r="P643" s="3" t="s">
        <v>40</v>
      </c>
      <c r="Q643" s="3" t="s">
        <v>2259</v>
      </c>
      <c r="R643" s="5">
        <v>46136.608275462961</v>
      </c>
      <c r="S643" s="5">
        <v>46141.595185185186</v>
      </c>
      <c r="T643" s="3" t="s">
        <v>41</v>
      </c>
      <c r="U643" s="1" t="s">
        <v>283</v>
      </c>
      <c r="V643" s="1" t="s">
        <v>565</v>
      </c>
      <c r="W643" s="1" t="s">
        <v>2372</v>
      </c>
      <c r="X643" s="1" t="s">
        <v>2372</v>
      </c>
      <c r="Y643" s="1"/>
      <c r="Z643" s="1"/>
      <c r="AA643" s="1" t="s">
        <v>285</v>
      </c>
    </row>
    <row r="644" spans="1:27" ht="17.45" customHeight="1">
      <c r="A644" s="2" t="s">
        <v>2189</v>
      </c>
      <c r="B644" s="2" t="s">
        <v>171</v>
      </c>
      <c r="C644">
        <v>1</v>
      </c>
      <c r="D644" s="2" t="s">
        <v>1273</v>
      </c>
      <c r="E644" s="2" t="s">
        <v>2439</v>
      </c>
      <c r="F644" s="2" t="s">
        <v>2281</v>
      </c>
      <c r="G644" s="2" t="s">
        <v>32</v>
      </c>
      <c r="H644" s="2" t="s">
        <v>1276</v>
      </c>
      <c r="I644" s="2" t="s">
        <v>1277</v>
      </c>
      <c r="J644" s="2" t="s">
        <v>35</v>
      </c>
      <c r="K644" s="2" t="s">
        <v>36</v>
      </c>
      <c r="L644" s="2" t="s">
        <v>37</v>
      </c>
      <c r="M644" s="2" t="s">
        <v>38</v>
      </c>
      <c r="N644" s="2" t="s">
        <v>2258</v>
      </c>
      <c r="O644" s="2" t="s">
        <v>35</v>
      </c>
      <c r="P644" s="2" t="s">
        <v>53</v>
      </c>
      <c r="Q644" s="2" t="s">
        <v>2259</v>
      </c>
      <c r="R644" s="4">
        <v>46136.670046296298</v>
      </c>
      <c r="S644" s="4">
        <v>46140.525150462963</v>
      </c>
      <c r="T644" s="2" t="s">
        <v>41</v>
      </c>
      <c r="U644" s="1" t="s">
        <v>177</v>
      </c>
      <c r="V644" s="1" t="s">
        <v>215</v>
      </c>
      <c r="W644" s="1" t="s">
        <v>2235</v>
      </c>
      <c r="X644" s="1" t="s">
        <v>2235</v>
      </c>
      <c r="Y644" s="1"/>
      <c r="Z644" s="1"/>
      <c r="AA644" s="1" t="s">
        <v>179</v>
      </c>
    </row>
    <row r="645" spans="1:27" ht="17.45" customHeight="1">
      <c r="A645" s="3" t="s">
        <v>981</v>
      </c>
      <c r="B645" s="3" t="s">
        <v>28</v>
      </c>
      <c r="C645">
        <v>1</v>
      </c>
      <c r="D645" s="3" t="s">
        <v>121</v>
      </c>
      <c r="E645" s="3" t="s">
        <v>2440</v>
      </c>
      <c r="F645" s="3" t="s">
        <v>1632</v>
      </c>
      <c r="G645" s="3" t="s">
        <v>32</v>
      </c>
      <c r="H645" s="3" t="s">
        <v>124</v>
      </c>
      <c r="I645" s="3" t="s">
        <v>33</v>
      </c>
      <c r="J645" s="3" t="s">
        <v>35</v>
      </c>
      <c r="K645" s="3" t="s">
        <v>36</v>
      </c>
      <c r="L645" s="3" t="s">
        <v>51</v>
      </c>
      <c r="M645" s="3" t="s">
        <v>64</v>
      </c>
      <c r="N645" s="3" t="s">
        <v>2258</v>
      </c>
      <c r="O645" s="3" t="s">
        <v>35</v>
      </c>
      <c r="P645" s="3" t="s">
        <v>53</v>
      </c>
      <c r="Q645" s="3" t="s">
        <v>2259</v>
      </c>
      <c r="R645" s="5">
        <v>46139.425162037034</v>
      </c>
      <c r="S645" s="5">
        <v>46141.336284722223</v>
      </c>
      <c r="T645" s="3" t="s">
        <v>41</v>
      </c>
      <c r="U645" s="1" t="s">
        <v>83</v>
      </c>
      <c r="V645" s="1" t="s">
        <v>84</v>
      </c>
      <c r="W645" s="1" t="s">
        <v>1632</v>
      </c>
      <c r="X645" s="1" t="s">
        <v>1632</v>
      </c>
      <c r="Y645" s="1"/>
      <c r="Z645" s="1"/>
      <c r="AA645" s="1" t="s">
        <v>85</v>
      </c>
    </row>
    <row r="646" spans="1:27" ht="17.45" customHeight="1">
      <c r="A646" s="2" t="s">
        <v>2441</v>
      </c>
      <c r="B646" s="2" t="s">
        <v>171</v>
      </c>
      <c r="C646">
        <v>1</v>
      </c>
      <c r="D646" s="2" t="s">
        <v>29</v>
      </c>
      <c r="E646" s="2" t="s">
        <v>2442</v>
      </c>
      <c r="F646" s="2" t="s">
        <v>2443</v>
      </c>
      <c r="G646" s="2" t="s">
        <v>32</v>
      </c>
      <c r="H646" s="2" t="s">
        <v>33</v>
      </c>
      <c r="I646" s="2" t="s">
        <v>34</v>
      </c>
      <c r="J646" s="2" t="s">
        <v>35</v>
      </c>
      <c r="K646" s="2" t="s">
        <v>36</v>
      </c>
      <c r="L646" s="2" t="s">
        <v>37</v>
      </c>
      <c r="M646" s="2" t="s">
        <v>38</v>
      </c>
      <c r="N646" s="2" t="s">
        <v>2258</v>
      </c>
      <c r="O646" s="2" t="s">
        <v>35</v>
      </c>
      <c r="P646" s="2" t="s">
        <v>40</v>
      </c>
      <c r="Q646" s="2" t="s">
        <v>2259</v>
      </c>
      <c r="R646" s="4">
        <v>46139.613206018519</v>
      </c>
      <c r="S646" s="4">
        <v>46148.475648148145</v>
      </c>
      <c r="T646" s="2" t="s">
        <v>41</v>
      </c>
      <c r="U646" s="1" t="s">
        <v>95</v>
      </c>
      <c r="V646" s="1" t="s">
        <v>96</v>
      </c>
      <c r="W646" s="1" t="s">
        <v>2444</v>
      </c>
      <c r="X646" s="1" t="s">
        <v>2445</v>
      </c>
      <c r="Y646" s="1"/>
      <c r="Z646" s="1"/>
      <c r="AA646" s="1" t="s">
        <v>98</v>
      </c>
    </row>
    <row r="647" spans="1:27" ht="17.45" customHeight="1">
      <c r="A647" s="3" t="s">
        <v>699</v>
      </c>
      <c r="B647" s="3" t="s">
        <v>181</v>
      </c>
      <c r="C647">
        <v>1</v>
      </c>
      <c r="D647" s="3" t="s">
        <v>121</v>
      </c>
      <c r="E647" s="3" t="s">
        <v>2446</v>
      </c>
      <c r="F647" s="3" t="s">
        <v>2447</v>
      </c>
      <c r="G647" s="3" t="s">
        <v>32</v>
      </c>
      <c r="H647" s="3" t="s">
        <v>124</v>
      </c>
      <c r="I647" s="3" t="s">
        <v>147</v>
      </c>
      <c r="J647" s="3" t="s">
        <v>35</v>
      </c>
      <c r="K647" s="3" t="s">
        <v>36</v>
      </c>
      <c r="L647" s="3" t="s">
        <v>37</v>
      </c>
      <c r="M647" s="3" t="s">
        <v>52</v>
      </c>
      <c r="N647" s="3" t="s">
        <v>2258</v>
      </c>
      <c r="O647" s="3" t="s">
        <v>35</v>
      </c>
      <c r="P647" s="3" t="s">
        <v>40</v>
      </c>
      <c r="Q647" s="3" t="s">
        <v>2259</v>
      </c>
      <c r="R647" s="5">
        <v>46139.628125000003</v>
      </c>
      <c r="S647" s="5">
        <v>46141.381944444445</v>
      </c>
      <c r="T647" s="3" t="s">
        <v>41</v>
      </c>
      <c r="U647" s="1" t="s">
        <v>283</v>
      </c>
      <c r="V647" s="1" t="s">
        <v>284</v>
      </c>
      <c r="W647" s="1" t="s">
        <v>2447</v>
      </c>
      <c r="X647" s="1" t="s">
        <v>2447</v>
      </c>
      <c r="Y647" s="1"/>
      <c r="Z647" s="1"/>
      <c r="AA647" s="1" t="s">
        <v>285</v>
      </c>
    </row>
    <row r="648" spans="1:27" ht="17.45" customHeight="1">
      <c r="A648" s="2" t="s">
        <v>776</v>
      </c>
      <c r="B648" s="2" t="s">
        <v>181</v>
      </c>
      <c r="C648">
        <v>1</v>
      </c>
      <c r="D648" s="2" t="s">
        <v>228</v>
      </c>
      <c r="E648" s="2" t="s">
        <v>2448</v>
      </c>
      <c r="F648" s="2" t="s">
        <v>2449</v>
      </c>
      <c r="G648" s="2" t="s">
        <v>32</v>
      </c>
      <c r="H648" s="2" t="s">
        <v>124</v>
      </c>
      <c r="I648" s="2" t="s">
        <v>124</v>
      </c>
      <c r="J648" s="2" t="s">
        <v>35</v>
      </c>
      <c r="K648" s="2" t="s">
        <v>36</v>
      </c>
      <c r="L648" s="2" t="s">
        <v>51</v>
      </c>
      <c r="M648" s="2" t="s">
        <v>52</v>
      </c>
      <c r="N648" s="2" t="s">
        <v>2258</v>
      </c>
      <c r="O648" s="2" t="s">
        <v>35</v>
      </c>
      <c r="P648" s="2" t="s">
        <v>53</v>
      </c>
      <c r="Q648" s="2" t="s">
        <v>2259</v>
      </c>
      <c r="R648" s="4">
        <v>46139.691655092596</v>
      </c>
      <c r="S648" s="4">
        <v>46149.790995370371</v>
      </c>
      <c r="T648" s="2" t="s">
        <v>41</v>
      </c>
      <c r="U648" s="1" t="s">
        <v>283</v>
      </c>
      <c r="V648" s="1" t="s">
        <v>293</v>
      </c>
      <c r="W648" s="1" t="s">
        <v>2449</v>
      </c>
      <c r="X648" s="1" t="s">
        <v>2449</v>
      </c>
      <c r="Y648" s="1"/>
      <c r="Z648" s="1"/>
      <c r="AA648" s="1" t="s">
        <v>285</v>
      </c>
    </row>
    <row r="649" spans="1:27" ht="17.45" customHeight="1">
      <c r="A649" s="3" t="s">
        <v>1808</v>
      </c>
      <c r="B649" s="3" t="s">
        <v>171</v>
      </c>
      <c r="C649">
        <v>1</v>
      </c>
      <c r="D649" s="3" t="s">
        <v>1273</v>
      </c>
      <c r="E649" s="3" t="s">
        <v>2450</v>
      </c>
      <c r="F649" s="3" t="s">
        <v>2451</v>
      </c>
      <c r="G649" s="3" t="s">
        <v>32</v>
      </c>
      <c r="H649" s="3" t="s">
        <v>1276</v>
      </c>
      <c r="I649" s="3" t="s">
        <v>1285</v>
      </c>
      <c r="J649" s="3" t="s">
        <v>35</v>
      </c>
      <c r="K649" s="3" t="s">
        <v>36</v>
      </c>
      <c r="L649" s="3" t="s">
        <v>37</v>
      </c>
      <c r="M649" s="3" t="s">
        <v>52</v>
      </c>
      <c r="N649" s="3" t="s">
        <v>2258</v>
      </c>
      <c r="O649" s="3" t="s">
        <v>35</v>
      </c>
      <c r="P649" s="3" t="s">
        <v>40</v>
      </c>
      <c r="Q649" s="3" t="s">
        <v>2259</v>
      </c>
      <c r="R649" s="5">
        <v>46139.724212962959</v>
      </c>
      <c r="S649" s="5">
        <v>46140.537604166668</v>
      </c>
      <c r="T649" s="3" t="s">
        <v>41</v>
      </c>
      <c r="U649" s="1" t="s">
        <v>83</v>
      </c>
      <c r="V649" s="1" t="s">
        <v>677</v>
      </c>
      <c r="W649" s="1" t="s">
        <v>2452</v>
      </c>
      <c r="X649" s="1" t="s">
        <v>2453</v>
      </c>
      <c r="Y649" s="1"/>
      <c r="Z649" s="1"/>
      <c r="AA649" s="1" t="s">
        <v>85</v>
      </c>
    </row>
    <row r="650" spans="1:27" ht="17.45" customHeight="1">
      <c r="A650" s="2" t="s">
        <v>2404</v>
      </c>
      <c r="B650" s="2" t="s">
        <v>120</v>
      </c>
      <c r="C650">
        <v>1</v>
      </c>
      <c r="D650" s="2" t="s">
        <v>1273</v>
      </c>
      <c r="E650" s="2" t="s">
        <v>2454</v>
      </c>
      <c r="F650" s="2" t="s">
        <v>2455</v>
      </c>
      <c r="G650" s="2" t="s">
        <v>32</v>
      </c>
      <c r="H650" s="2" t="s">
        <v>1276</v>
      </c>
      <c r="I650" s="2" t="s">
        <v>1277</v>
      </c>
      <c r="J650" s="2" t="s">
        <v>35</v>
      </c>
      <c r="K650" s="2" t="s">
        <v>36</v>
      </c>
      <c r="L650" s="2" t="s">
        <v>51</v>
      </c>
      <c r="M650" s="2" t="s">
        <v>64</v>
      </c>
      <c r="N650" s="2" t="s">
        <v>2258</v>
      </c>
      <c r="O650" s="2" t="s">
        <v>35</v>
      </c>
      <c r="P650" s="2" t="s">
        <v>53</v>
      </c>
      <c r="Q650" s="2" t="s">
        <v>2259</v>
      </c>
      <c r="R650" s="4">
        <v>46140.434513888889</v>
      </c>
      <c r="S650" s="4">
        <v>46141.57199074074</v>
      </c>
      <c r="T650" s="2" t="s">
        <v>41</v>
      </c>
      <c r="U650" s="1" t="s">
        <v>569</v>
      </c>
      <c r="V650" s="1" t="s">
        <v>570</v>
      </c>
      <c r="W650" s="1" t="s">
        <v>2456</v>
      </c>
      <c r="X650" s="1" t="s">
        <v>2457</v>
      </c>
      <c r="Y650" s="1"/>
      <c r="Z650" s="1"/>
      <c r="AA650" s="1" t="s">
        <v>573</v>
      </c>
    </row>
    <row r="651" spans="1:27" ht="17.45" customHeight="1">
      <c r="A651" s="3" t="s">
        <v>534</v>
      </c>
      <c r="B651" s="3" t="s">
        <v>181</v>
      </c>
      <c r="C651">
        <v>1</v>
      </c>
      <c r="D651" s="3" t="s">
        <v>29</v>
      </c>
      <c r="E651" s="3" t="s">
        <v>2458</v>
      </c>
      <c r="F651" s="3" t="s">
        <v>2459</v>
      </c>
      <c r="G651" s="3" t="s">
        <v>32</v>
      </c>
      <c r="H651" s="3" t="s">
        <v>33</v>
      </c>
      <c r="I651" s="3" t="s">
        <v>34</v>
      </c>
      <c r="J651" s="3" t="s">
        <v>35</v>
      </c>
      <c r="K651" s="3" t="s">
        <v>36</v>
      </c>
      <c r="L651" s="3" t="s">
        <v>51</v>
      </c>
      <c r="M651" s="3" t="s">
        <v>115</v>
      </c>
      <c r="N651" s="3" t="s">
        <v>2258</v>
      </c>
      <c r="O651" s="3" t="s">
        <v>35</v>
      </c>
      <c r="P651" s="3" t="s">
        <v>53</v>
      </c>
      <c r="Q651" s="3" t="s">
        <v>2259</v>
      </c>
      <c r="R651" s="5">
        <v>46140.573136574072</v>
      </c>
      <c r="S651" s="5">
        <v>46142.638136574074</v>
      </c>
      <c r="T651" s="3" t="s">
        <v>41</v>
      </c>
      <c r="U651" s="1" t="s">
        <v>283</v>
      </c>
      <c r="V651" s="1" t="s">
        <v>565</v>
      </c>
      <c r="W651" s="1" t="s">
        <v>2460</v>
      </c>
      <c r="X651" s="1" t="s">
        <v>2460</v>
      </c>
      <c r="Y651" s="1"/>
      <c r="Z651" s="1"/>
      <c r="AA651" s="1" t="s">
        <v>285</v>
      </c>
    </row>
    <row r="652" spans="1:27" ht="17.45" customHeight="1">
      <c r="A652" s="2" t="s">
        <v>318</v>
      </c>
      <c r="B652" s="2" t="s">
        <v>48</v>
      </c>
      <c r="C652">
        <v>1</v>
      </c>
      <c r="D652" s="2" t="s">
        <v>121</v>
      </c>
      <c r="E652" s="2" t="s">
        <v>2461</v>
      </c>
      <c r="F652" s="2" t="s">
        <v>2462</v>
      </c>
      <c r="G652" s="2" t="s">
        <v>32</v>
      </c>
      <c r="H652" s="2" t="s">
        <v>124</v>
      </c>
      <c r="I652" s="2" t="s">
        <v>33</v>
      </c>
      <c r="J652" s="2" t="s">
        <v>35</v>
      </c>
      <c r="K652" s="2" t="s">
        <v>36</v>
      </c>
      <c r="L652" s="2" t="s">
        <v>51</v>
      </c>
      <c r="M652" s="2" t="s">
        <v>115</v>
      </c>
      <c r="N652" s="2" t="s">
        <v>1248</v>
      </c>
      <c r="O652" s="2" t="s">
        <v>35</v>
      </c>
      <c r="P652" s="2" t="s">
        <v>53</v>
      </c>
      <c r="Q652" s="2" t="s">
        <v>2259</v>
      </c>
      <c r="R652" s="4">
        <v>46140.735127314816</v>
      </c>
      <c r="S652" s="4">
        <v>46141.315821759257</v>
      </c>
      <c r="T652" s="2" t="s">
        <v>2463</v>
      </c>
      <c r="U652" s="1" t="s">
        <v>263</v>
      </c>
      <c r="V652" s="1" t="s">
        <v>264</v>
      </c>
      <c r="W652" s="1" t="s">
        <v>2462</v>
      </c>
      <c r="X652" s="1" t="s">
        <v>2462</v>
      </c>
      <c r="Y652" s="1" t="s">
        <v>2464</v>
      </c>
      <c r="Z652" s="1" t="s">
        <v>1764</v>
      </c>
      <c r="AA652" s="1" t="s">
        <v>265</v>
      </c>
    </row>
    <row r="653" spans="1:27" ht="17.45" customHeight="1">
      <c r="A653" s="3" t="s">
        <v>1289</v>
      </c>
      <c r="B653" s="3" t="s">
        <v>171</v>
      </c>
      <c r="C653">
        <v>1</v>
      </c>
      <c r="D653" s="3" t="s">
        <v>1273</v>
      </c>
      <c r="E653" s="3" t="s">
        <v>2465</v>
      </c>
      <c r="F653" s="3" t="s">
        <v>2466</v>
      </c>
      <c r="G653" s="3" t="s">
        <v>32</v>
      </c>
      <c r="H653" s="3" t="s">
        <v>1276</v>
      </c>
      <c r="I653" s="3" t="s">
        <v>1292</v>
      </c>
      <c r="J653" s="3" t="s">
        <v>35</v>
      </c>
      <c r="K653" s="3" t="s">
        <v>36</v>
      </c>
      <c r="L653" s="3" t="s">
        <v>37</v>
      </c>
      <c r="M653" s="3" t="s">
        <v>52</v>
      </c>
      <c r="N653" s="3" t="s">
        <v>2258</v>
      </c>
      <c r="O653" s="3" t="s">
        <v>35</v>
      </c>
      <c r="P653" s="3" t="s">
        <v>53</v>
      </c>
      <c r="Q653" s="3" t="s">
        <v>2259</v>
      </c>
      <c r="R653" s="5">
        <v>46141.626307870371</v>
      </c>
      <c r="S653" s="5">
        <v>46148.394872685189</v>
      </c>
      <c r="T653" s="3" t="s">
        <v>41</v>
      </c>
      <c r="U653" s="1" t="s">
        <v>283</v>
      </c>
      <c r="V653" s="1" t="s">
        <v>410</v>
      </c>
      <c r="W653" s="1" t="s">
        <v>2467</v>
      </c>
      <c r="X653" s="1" t="s">
        <v>2468</v>
      </c>
      <c r="Y653" s="1"/>
      <c r="Z653" s="1"/>
      <c r="AA653" s="1" t="s">
        <v>285</v>
      </c>
    </row>
    <row r="654" spans="1:27" ht="17.45" customHeight="1">
      <c r="A654" s="2" t="s">
        <v>1289</v>
      </c>
      <c r="B654" s="2" t="s">
        <v>171</v>
      </c>
      <c r="C654">
        <v>1</v>
      </c>
      <c r="D654" s="2" t="s">
        <v>1273</v>
      </c>
      <c r="E654" s="2" t="s">
        <v>2469</v>
      </c>
      <c r="F654" s="2" t="s">
        <v>2470</v>
      </c>
      <c r="G654" s="2" t="s">
        <v>32</v>
      </c>
      <c r="H654" s="2" t="s">
        <v>1276</v>
      </c>
      <c r="I654" s="2" t="s">
        <v>1292</v>
      </c>
      <c r="J654" s="2" t="s">
        <v>35</v>
      </c>
      <c r="K654" s="2" t="s">
        <v>36</v>
      </c>
      <c r="L654" s="2" t="s">
        <v>51</v>
      </c>
      <c r="M654" s="2" t="s">
        <v>64</v>
      </c>
      <c r="N654" s="2" t="s">
        <v>2258</v>
      </c>
      <c r="O654" s="2" t="s">
        <v>35</v>
      </c>
      <c r="P654" s="2" t="s">
        <v>53</v>
      </c>
      <c r="Q654" s="2" t="s">
        <v>2259</v>
      </c>
      <c r="R654" s="4">
        <v>46141.628576388888</v>
      </c>
      <c r="S654" s="4">
        <v>46148.39534722222</v>
      </c>
      <c r="T654" s="2" t="s">
        <v>41</v>
      </c>
      <c r="U654" s="1" t="s">
        <v>165</v>
      </c>
      <c r="V654" s="1" t="s">
        <v>625</v>
      </c>
      <c r="W654" s="1" t="s">
        <v>2471</v>
      </c>
      <c r="X654" s="1" t="s">
        <v>2470</v>
      </c>
      <c r="Y654" s="1"/>
      <c r="Z654" s="1"/>
      <c r="AA654" s="1" t="s">
        <v>169</v>
      </c>
    </row>
    <row r="655" spans="1:27" ht="17.45" customHeight="1">
      <c r="A655" s="3" t="s">
        <v>227</v>
      </c>
      <c r="B655" s="3" t="s">
        <v>48</v>
      </c>
      <c r="C655">
        <v>1</v>
      </c>
      <c r="D655" s="3" t="s">
        <v>228</v>
      </c>
      <c r="E655" s="3" t="s">
        <v>2472</v>
      </c>
      <c r="F655" s="3" t="s">
        <v>2473</v>
      </c>
      <c r="G655" s="3" t="s">
        <v>32</v>
      </c>
      <c r="H655" s="3" t="s">
        <v>124</v>
      </c>
      <c r="I655" s="3" t="s">
        <v>124</v>
      </c>
      <c r="J655" s="3" t="s">
        <v>35</v>
      </c>
      <c r="K655" s="3" t="s">
        <v>36</v>
      </c>
      <c r="L655" s="3" t="s">
        <v>51</v>
      </c>
      <c r="M655" s="3" t="s">
        <v>64</v>
      </c>
      <c r="N655" s="3" t="s">
        <v>2258</v>
      </c>
      <c r="O655" s="3" t="s">
        <v>35</v>
      </c>
      <c r="P655" s="3" t="s">
        <v>53</v>
      </c>
      <c r="Q655" s="3" t="s">
        <v>2259</v>
      </c>
      <c r="R655" s="5">
        <v>46141.642418981479</v>
      </c>
      <c r="S655" s="5">
        <v>46149.815196759257</v>
      </c>
      <c r="T655" s="3" t="s">
        <v>41</v>
      </c>
      <c r="U655" s="1" t="s">
        <v>42</v>
      </c>
      <c r="V655" s="1" t="s">
        <v>74</v>
      </c>
      <c r="W655" s="1" t="s">
        <v>2473</v>
      </c>
      <c r="X655" s="1" t="s">
        <v>2473</v>
      </c>
      <c r="Y655" s="1"/>
      <c r="Z655" s="1"/>
      <c r="AA655" s="1" t="s">
        <v>46</v>
      </c>
    </row>
  </sheetData>
  <phoneticPr fontId="5" type="noConversion"/>
  <pageMargins left="0.7" right="0.7" top="0.75" bottom="0.75" header="0.3" footer="0.3"/>
  <pageSetup orientation="portrait"/>
  <headerFooter>
    <oddHeader>&amp;L&amp;C&amp;R</oddHeader>
    <oddFooter>&amp;L&amp;C&amp;R</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49E3A-7EC8-7018-EB31-12A91FB4C358}">
  <dimension ref="A1:M62"/>
  <sheetViews>
    <sheetView tabSelected="1" topLeftCell="B1" workbookViewId="0">
      <selection activeCell="P6" sqref="P6"/>
    </sheetView>
  </sheetViews>
  <sheetFormatPr defaultColWidth="8.75" defaultRowHeight="15" customHeight="1"/>
  <cols>
    <col min="1" max="1" width="27.25" customWidth="1"/>
    <col min="2" max="2" width="27.75" customWidth="1"/>
    <col min="3" max="3" width="14.25" customWidth="1"/>
    <col min="4" max="4" width="31.375" customWidth="1"/>
    <col min="5" max="6" width="14.25" customWidth="1"/>
    <col min="11" max="11" width="29.375" customWidth="1"/>
  </cols>
  <sheetData>
    <row r="1" spans="1:13" ht="27" customHeight="1">
      <c r="A1" s="11" t="s">
        <v>2474</v>
      </c>
      <c r="B1" s="12"/>
      <c r="C1" s="12"/>
      <c r="D1" s="12"/>
      <c r="E1" s="12"/>
      <c r="F1" s="12"/>
      <c r="K1" t="s">
        <v>2477</v>
      </c>
      <c r="L1" t="s">
        <v>2478</v>
      </c>
      <c r="M1" t="s">
        <v>2479</v>
      </c>
    </row>
    <row r="2" spans="1:13" ht="15" customHeight="1">
      <c r="K2" t="s">
        <v>95</v>
      </c>
      <c r="L2">
        <v>110</v>
      </c>
      <c r="M2" s="48">
        <v>0.16819571865443425</v>
      </c>
    </row>
    <row r="3" spans="1:13" ht="15" customHeight="1">
      <c r="A3" s="6" t="s">
        <v>2475</v>
      </c>
      <c r="D3" s="6" t="s">
        <v>2476</v>
      </c>
      <c r="K3" t="s">
        <v>59</v>
      </c>
      <c r="L3">
        <v>97</v>
      </c>
      <c r="M3" s="48">
        <v>0.14831804281345565</v>
      </c>
    </row>
    <row r="4" spans="1:13" ht="15" customHeight="1">
      <c r="A4" s="7" t="s">
        <v>2477</v>
      </c>
      <c r="B4" s="7" t="s">
        <v>2478</v>
      </c>
      <c r="C4" s="7" t="s">
        <v>2479</v>
      </c>
      <c r="D4" s="7" t="s">
        <v>2480</v>
      </c>
      <c r="E4" s="7" t="s">
        <v>2478</v>
      </c>
      <c r="F4" s="7" t="s">
        <v>2479</v>
      </c>
      <c r="K4" t="s">
        <v>42</v>
      </c>
      <c r="L4">
        <v>93</v>
      </c>
      <c r="M4" s="48">
        <v>0.14220183486238533</v>
      </c>
    </row>
    <row r="5" spans="1:13" ht="15" customHeight="1">
      <c r="A5" s="7" t="s">
        <v>165</v>
      </c>
      <c r="B5" s="7">
        <f>COUNTIF('UIUX 점검'!U:U,A5)</f>
        <v>34</v>
      </c>
      <c r="C5" s="7">
        <f t="shared" ref="C5:C19" si="0">IFERROR(B5/SUM(B$5:B$19),0)</f>
        <v>5.1987767584097858E-2</v>
      </c>
      <c r="D5" s="7" t="s">
        <v>1297</v>
      </c>
      <c r="E5" s="7">
        <f>COUNTIF('UIUX 점검'!Z:Z,D5)</f>
        <v>16</v>
      </c>
      <c r="F5" s="7">
        <f t="shared" ref="F5:F13" si="1">IFERROR(E5/SUM(E$5:E$13),0)</f>
        <v>7.3059360730593603E-2</v>
      </c>
      <c r="K5" t="s">
        <v>83</v>
      </c>
      <c r="L5">
        <v>57</v>
      </c>
      <c r="M5" s="48">
        <v>8.7155963302752298E-2</v>
      </c>
    </row>
    <row r="6" spans="1:13" ht="15" customHeight="1">
      <c r="A6" s="7" t="s">
        <v>42</v>
      </c>
      <c r="B6" s="7">
        <f>COUNTIF('UIUX 점검'!U:U,A6)</f>
        <v>93</v>
      </c>
      <c r="C6" s="7">
        <f t="shared" si="0"/>
        <v>0.14220183486238533</v>
      </c>
      <c r="D6" s="7" t="s">
        <v>2481</v>
      </c>
      <c r="E6" s="7">
        <f>COUNTIF('UIUX 점검'!Z:Z,D6)</f>
        <v>0</v>
      </c>
      <c r="F6" s="7">
        <f t="shared" si="1"/>
        <v>0</v>
      </c>
      <c r="K6" t="s">
        <v>263</v>
      </c>
      <c r="L6">
        <v>54</v>
      </c>
      <c r="M6" s="48">
        <v>8.2568807339449546E-2</v>
      </c>
    </row>
    <row r="7" spans="1:13" ht="15" customHeight="1">
      <c r="A7" s="7" t="s">
        <v>95</v>
      </c>
      <c r="B7" s="7">
        <f>COUNTIF('UIUX 점검'!U:U,A7)</f>
        <v>110</v>
      </c>
      <c r="C7" s="7">
        <f t="shared" si="0"/>
        <v>0.16819571865443425</v>
      </c>
      <c r="D7" s="7" t="s">
        <v>1267</v>
      </c>
      <c r="E7" s="7">
        <f>COUNTIF('UIUX 점검'!Z:Z,D7)</f>
        <v>63</v>
      </c>
      <c r="F7" s="7">
        <f t="shared" si="1"/>
        <v>0.28767123287671231</v>
      </c>
      <c r="K7" t="s">
        <v>283</v>
      </c>
      <c r="L7">
        <v>45</v>
      </c>
      <c r="M7" s="48">
        <v>6.8807339449541288E-2</v>
      </c>
    </row>
    <row r="8" spans="1:13" ht="15" customHeight="1">
      <c r="A8" s="7" t="s">
        <v>177</v>
      </c>
      <c r="B8" s="7">
        <f>COUNTIF('UIUX 점검'!U:U,A8)</f>
        <v>24</v>
      </c>
      <c r="C8" s="7">
        <f t="shared" si="0"/>
        <v>3.669724770642202E-2</v>
      </c>
      <c r="D8" s="7" t="s">
        <v>2482</v>
      </c>
      <c r="E8" s="7">
        <f>COUNTIF('UIUX 점검'!Z:Z,D8)</f>
        <v>0</v>
      </c>
      <c r="F8" s="7">
        <f t="shared" si="1"/>
        <v>0</v>
      </c>
      <c r="K8" t="s">
        <v>115</v>
      </c>
      <c r="L8">
        <v>42</v>
      </c>
      <c r="M8" s="48">
        <v>6.4220183486238536E-2</v>
      </c>
    </row>
    <row r="9" spans="1:13" ht="15" customHeight="1">
      <c r="A9" s="7" t="s">
        <v>65</v>
      </c>
      <c r="B9" s="7">
        <f>COUNTIF('UIUX 점검'!U:U,A9)</f>
        <v>38</v>
      </c>
      <c r="C9" s="7">
        <f t="shared" si="0"/>
        <v>5.8103975535168197E-2</v>
      </c>
      <c r="D9" s="7" t="s">
        <v>1670</v>
      </c>
      <c r="E9" s="7">
        <f>COUNTIF('UIUX 점검'!Z:Z,D9)</f>
        <v>1</v>
      </c>
      <c r="F9" s="7">
        <f t="shared" si="1"/>
        <v>4.5662100456621002E-3</v>
      </c>
      <c r="K9" t="s">
        <v>65</v>
      </c>
      <c r="L9">
        <v>38</v>
      </c>
      <c r="M9" s="48">
        <v>5.8103975535168197E-2</v>
      </c>
    </row>
    <row r="10" spans="1:13" ht="15" customHeight="1">
      <c r="A10" s="7" t="s">
        <v>59</v>
      </c>
      <c r="B10" s="7">
        <f>COUNTIF('UIUX 점검'!U:U,A10)</f>
        <v>97</v>
      </c>
      <c r="C10" s="7">
        <f t="shared" si="0"/>
        <v>0.14831804281345565</v>
      </c>
      <c r="D10" s="7" t="s">
        <v>2483</v>
      </c>
      <c r="E10" s="7">
        <f>COUNTIF('UIUX 점검'!Z:Z,D10)</f>
        <v>0</v>
      </c>
      <c r="F10" s="7">
        <f t="shared" si="1"/>
        <v>0</v>
      </c>
      <c r="K10" t="s">
        <v>165</v>
      </c>
      <c r="L10">
        <v>34</v>
      </c>
      <c r="M10" s="48">
        <v>5.1987767584097858E-2</v>
      </c>
    </row>
    <row r="11" spans="1:13" ht="15" customHeight="1">
      <c r="A11" s="7" t="s">
        <v>569</v>
      </c>
      <c r="B11" s="7">
        <f>COUNTIF('UIUX 점검'!U:U,A11)</f>
        <v>11</v>
      </c>
      <c r="C11" s="7">
        <f t="shared" si="0"/>
        <v>1.6819571865443424E-2</v>
      </c>
      <c r="D11" s="7" t="s">
        <v>1551</v>
      </c>
      <c r="E11" s="7">
        <f>COUNTIF('UIUX 점검'!Z:Z,D11)</f>
        <v>6</v>
      </c>
      <c r="F11" s="7">
        <f t="shared" si="1"/>
        <v>2.7397260273972601E-2</v>
      </c>
      <c r="K11" t="s">
        <v>243</v>
      </c>
      <c r="L11">
        <v>30</v>
      </c>
      <c r="M11" s="48">
        <v>4.5871559633027525E-2</v>
      </c>
    </row>
    <row r="12" spans="1:13" ht="15" customHeight="1">
      <c r="A12" s="7" t="s">
        <v>243</v>
      </c>
      <c r="B12" s="7">
        <f>COUNTIF('UIUX 점검'!U:U,A12)</f>
        <v>30</v>
      </c>
      <c r="C12" s="7">
        <f t="shared" si="0"/>
        <v>4.5871559633027525E-2</v>
      </c>
      <c r="D12" s="7" t="s">
        <v>1764</v>
      </c>
      <c r="E12" s="7">
        <f>COUNTIF('UIUX 점검'!Z:Z,D12)</f>
        <v>3</v>
      </c>
      <c r="F12" s="7">
        <f t="shared" si="1"/>
        <v>1.3698630136986301E-2</v>
      </c>
      <c r="K12" t="s">
        <v>177</v>
      </c>
      <c r="L12">
        <v>24</v>
      </c>
      <c r="M12" s="48">
        <v>3.669724770642202E-2</v>
      </c>
    </row>
    <row r="13" spans="1:13" ht="15" customHeight="1">
      <c r="A13" s="7" t="s">
        <v>283</v>
      </c>
      <c r="B13" s="7">
        <f>COUNTIF('UIUX 점검'!U:U,A13)</f>
        <v>45</v>
      </c>
      <c r="C13" s="7">
        <f t="shared" si="0"/>
        <v>6.8807339449541288E-2</v>
      </c>
      <c r="D13" s="7" t="s">
        <v>1253</v>
      </c>
      <c r="E13" s="7">
        <f>COUNTIF('UIUX 점검'!Z:Z,D13)</f>
        <v>130</v>
      </c>
      <c r="F13" s="7">
        <f t="shared" si="1"/>
        <v>0.59360730593607303</v>
      </c>
      <c r="K13" t="s">
        <v>569</v>
      </c>
      <c r="L13">
        <v>11</v>
      </c>
      <c r="M13" s="48">
        <v>1.6819571865443424E-2</v>
      </c>
    </row>
    <row r="14" spans="1:13" ht="15" customHeight="1">
      <c r="A14" s="7" t="s">
        <v>272</v>
      </c>
      <c r="B14" s="7">
        <f>COUNTIF('UIUX 점검'!U:U,A14)</f>
        <v>11</v>
      </c>
      <c r="C14" s="7">
        <f t="shared" si="0"/>
        <v>1.6819571865443424E-2</v>
      </c>
      <c r="D14" s="7" t="s">
        <v>2484</v>
      </c>
      <c r="E14" s="7">
        <f t="shared" ref="E14:F14" si="2">SUM(E5:E13)</f>
        <v>219</v>
      </c>
      <c r="F14" s="7">
        <f t="shared" si="2"/>
        <v>1</v>
      </c>
      <c r="K14" t="s">
        <v>272</v>
      </c>
      <c r="L14">
        <v>11</v>
      </c>
      <c r="M14" s="48">
        <v>1.6819571865443424E-2</v>
      </c>
    </row>
    <row r="15" spans="1:13" ht="15" customHeight="1">
      <c r="A15" s="7" t="s">
        <v>788</v>
      </c>
      <c r="B15" s="7">
        <f>COUNTIF('UIUX 점검'!U:U,A15)</f>
        <v>7</v>
      </c>
      <c r="C15" s="7">
        <f t="shared" si="0"/>
        <v>1.0703363914373088E-2</v>
      </c>
      <c r="K15" t="s">
        <v>788</v>
      </c>
      <c r="L15">
        <v>7</v>
      </c>
      <c r="M15" s="48">
        <v>1.0703363914373088E-2</v>
      </c>
    </row>
    <row r="16" spans="1:13" ht="15" customHeight="1">
      <c r="A16" s="7" t="s">
        <v>83</v>
      </c>
      <c r="B16" s="7">
        <f>COUNTIF('UIUX 점검'!U:U,A16)</f>
        <v>57</v>
      </c>
      <c r="C16" s="7">
        <f t="shared" si="0"/>
        <v>8.7155963302752298E-2</v>
      </c>
      <c r="K16" t="s">
        <v>952</v>
      </c>
      <c r="L16">
        <v>1</v>
      </c>
      <c r="M16" s="48">
        <v>1.5290519877675841E-3</v>
      </c>
    </row>
    <row r="17" spans="1:13" ht="15" customHeight="1">
      <c r="A17" s="7" t="s">
        <v>952</v>
      </c>
      <c r="B17" s="7">
        <f>COUNTIF('UIUX 점검'!U:U,A17)</f>
        <v>1</v>
      </c>
      <c r="C17" s="7">
        <f t="shared" si="0"/>
        <v>1.5290519877675841E-3</v>
      </c>
      <c r="K17" t="s">
        <v>2484</v>
      </c>
      <c r="L17">
        <v>654</v>
      </c>
      <c r="M17">
        <v>1.0000000000000002</v>
      </c>
    </row>
    <row r="18" spans="1:13" ht="15" customHeight="1">
      <c r="A18" s="7" t="s">
        <v>263</v>
      </c>
      <c r="B18" s="7">
        <f>COUNTIF('UIUX 점검'!U:U,A18)</f>
        <v>54</v>
      </c>
      <c r="C18" s="7">
        <f t="shared" si="0"/>
        <v>8.2568807339449546E-2</v>
      </c>
    </row>
    <row r="19" spans="1:13" ht="15" customHeight="1">
      <c r="A19" s="7" t="s">
        <v>115</v>
      </c>
      <c r="B19" s="7">
        <f>COUNTIF('UIUX 점검'!U:U,A19)</f>
        <v>42</v>
      </c>
      <c r="C19" s="7">
        <f t="shared" si="0"/>
        <v>6.4220183486238536E-2</v>
      </c>
    </row>
    <row r="20" spans="1:13" ht="15" customHeight="1">
      <c r="A20" s="7" t="s">
        <v>2484</v>
      </c>
      <c r="B20" s="7">
        <f t="shared" ref="B20:C20" si="3">SUM(B5:B19)</f>
        <v>654</v>
      </c>
      <c r="C20" s="7">
        <f t="shared" si="3"/>
        <v>1.0000000000000002</v>
      </c>
    </row>
    <row r="22" spans="1:13" ht="15" customHeight="1">
      <c r="A22" s="6" t="s">
        <v>2485</v>
      </c>
    </row>
    <row r="23" spans="1:13" ht="15" customHeight="1">
      <c r="A23" s="7" t="s">
        <v>15</v>
      </c>
      <c r="B23" s="7" t="s">
        <v>20</v>
      </c>
      <c r="C23" s="7" t="s">
        <v>2478</v>
      </c>
    </row>
    <row r="24" spans="1:13" ht="15" customHeight="1">
      <c r="A24" s="7" t="s">
        <v>53</v>
      </c>
      <c r="B24" s="7" t="s">
        <v>95</v>
      </c>
      <c r="C24" s="7">
        <v>76</v>
      </c>
      <c r="D24" s="31"/>
      <c r="E24" s="32"/>
    </row>
    <row r="25" spans="1:13" ht="15" customHeight="1">
      <c r="A25" s="7" t="s">
        <v>53</v>
      </c>
      <c r="B25" s="7" t="s">
        <v>59</v>
      </c>
      <c r="C25" s="7">
        <v>75</v>
      </c>
      <c r="D25" s="31"/>
      <c r="E25" s="32"/>
    </row>
    <row r="26" spans="1:13" ht="15" customHeight="1">
      <c r="A26" s="7" t="s">
        <v>53</v>
      </c>
      <c r="B26" s="7" t="s">
        <v>42</v>
      </c>
      <c r="C26" s="7">
        <v>69</v>
      </c>
      <c r="D26" s="31"/>
      <c r="E26" s="32"/>
    </row>
    <row r="27" spans="1:13" ht="15" customHeight="1">
      <c r="A27" s="7" t="s">
        <v>53</v>
      </c>
      <c r="B27" s="7" t="s">
        <v>263</v>
      </c>
      <c r="C27" s="7">
        <v>47</v>
      </c>
      <c r="D27" s="31"/>
      <c r="E27" s="32"/>
    </row>
    <row r="28" spans="1:13" ht="15" customHeight="1">
      <c r="A28" s="7" t="s">
        <v>53</v>
      </c>
      <c r="B28" s="7" t="s">
        <v>83</v>
      </c>
      <c r="C28" s="7">
        <v>36</v>
      </c>
      <c r="D28" s="31"/>
      <c r="E28" s="32"/>
    </row>
    <row r="29" spans="1:13" ht="15" customHeight="1">
      <c r="A29" s="7" t="s">
        <v>40</v>
      </c>
      <c r="B29" s="7" t="s">
        <v>95</v>
      </c>
      <c r="C29" s="7">
        <v>27</v>
      </c>
      <c r="D29" s="31"/>
      <c r="E29" s="32"/>
    </row>
    <row r="30" spans="1:13" ht="15" customHeight="1">
      <c r="A30" s="7" t="s">
        <v>53</v>
      </c>
      <c r="B30" s="7" t="s">
        <v>165</v>
      </c>
      <c r="C30" s="7">
        <v>27</v>
      </c>
      <c r="D30" s="31"/>
      <c r="E30" s="32"/>
    </row>
    <row r="31" spans="1:13" ht="15" customHeight="1">
      <c r="A31" s="7" t="s">
        <v>53</v>
      </c>
      <c r="B31" s="7" t="s">
        <v>243</v>
      </c>
      <c r="C31" s="7">
        <v>27</v>
      </c>
      <c r="D31" s="31"/>
      <c r="E31" s="32"/>
    </row>
    <row r="32" spans="1:13" ht="15" customHeight="1">
      <c r="A32" s="7" t="s">
        <v>40</v>
      </c>
      <c r="B32" s="7" t="s">
        <v>283</v>
      </c>
      <c r="C32" s="7">
        <v>25</v>
      </c>
      <c r="D32" s="31"/>
      <c r="E32" s="32"/>
    </row>
    <row r="33" spans="1:5" ht="15" customHeight="1">
      <c r="A33" s="7" t="s">
        <v>53</v>
      </c>
      <c r="B33" s="7" t="s">
        <v>65</v>
      </c>
      <c r="C33" s="7">
        <v>23</v>
      </c>
      <c r="D33" s="31"/>
      <c r="E33" s="32"/>
    </row>
    <row r="34" spans="1:5" ht="15" customHeight="1">
      <c r="A34" s="7" t="s">
        <v>53</v>
      </c>
      <c r="B34" s="7" t="s">
        <v>115</v>
      </c>
      <c r="C34" s="7">
        <v>19</v>
      </c>
      <c r="D34" s="31"/>
      <c r="E34" s="32"/>
    </row>
    <row r="35" spans="1:5" ht="15" customHeight="1">
      <c r="A35" s="7" t="s">
        <v>53</v>
      </c>
      <c r="B35" s="7" t="s">
        <v>177</v>
      </c>
      <c r="C35" s="7">
        <v>18</v>
      </c>
      <c r="D35" s="31"/>
      <c r="E35" s="32"/>
    </row>
    <row r="36" spans="1:5" ht="15" customHeight="1">
      <c r="A36" s="7" t="s">
        <v>40</v>
      </c>
      <c r="B36" s="7" t="s">
        <v>42</v>
      </c>
      <c r="C36" s="7">
        <v>17</v>
      </c>
      <c r="D36" s="31"/>
      <c r="E36" s="32"/>
    </row>
    <row r="37" spans="1:5" ht="15" customHeight="1">
      <c r="A37" s="7" t="s">
        <v>40</v>
      </c>
      <c r="B37" s="7" t="s">
        <v>59</v>
      </c>
      <c r="C37" s="7">
        <v>16</v>
      </c>
      <c r="D37" s="31"/>
      <c r="E37" s="32"/>
    </row>
    <row r="38" spans="1:5" ht="15" customHeight="1">
      <c r="A38" s="7" t="s">
        <v>53</v>
      </c>
      <c r="B38" s="7" t="s">
        <v>283</v>
      </c>
      <c r="C38" s="7">
        <v>16</v>
      </c>
      <c r="D38" s="31"/>
      <c r="E38" s="32"/>
    </row>
    <row r="41" spans="1:5" ht="15" customHeight="1">
      <c r="A41" s="6" t="s">
        <v>2486</v>
      </c>
    </row>
    <row r="42" spans="1:5" ht="15" customHeight="1">
      <c r="A42" s="7" t="s">
        <v>3</v>
      </c>
      <c r="B42" s="7" t="s">
        <v>20</v>
      </c>
      <c r="C42" s="7" t="s">
        <v>2478</v>
      </c>
    </row>
    <row r="43" spans="1:5" ht="15" customHeight="1">
      <c r="A43" s="7" t="s">
        <v>29</v>
      </c>
      <c r="B43" s="7" t="s">
        <v>95</v>
      </c>
      <c r="C43" s="7">
        <v>63</v>
      </c>
    </row>
    <row r="44" spans="1:5" ht="15" customHeight="1">
      <c r="A44" s="7" t="s">
        <v>29</v>
      </c>
      <c r="B44" s="7" t="s">
        <v>42</v>
      </c>
      <c r="C44" s="7">
        <v>44</v>
      </c>
    </row>
    <row r="45" spans="1:5" ht="15" customHeight="1">
      <c r="A45" s="7" t="s">
        <v>29</v>
      </c>
      <c r="B45" s="7" t="s">
        <v>59</v>
      </c>
      <c r="C45" s="7">
        <v>35</v>
      </c>
    </row>
    <row r="46" spans="1:5" ht="15" customHeight="1">
      <c r="A46" s="7" t="s">
        <v>121</v>
      </c>
      <c r="B46" s="7" t="s">
        <v>263</v>
      </c>
      <c r="C46" s="7">
        <v>32</v>
      </c>
    </row>
    <row r="47" spans="1:5" ht="15" customHeight="1">
      <c r="A47" s="7" t="s">
        <v>228</v>
      </c>
      <c r="B47" s="7" t="s">
        <v>42</v>
      </c>
      <c r="C47" s="7">
        <v>27</v>
      </c>
    </row>
    <row r="48" spans="1:5" ht="15" customHeight="1">
      <c r="A48" s="7" t="s">
        <v>121</v>
      </c>
      <c r="B48" s="7" t="s">
        <v>65</v>
      </c>
      <c r="C48" s="7">
        <v>24</v>
      </c>
    </row>
    <row r="49" spans="1:3" ht="15" customHeight="1">
      <c r="A49" s="7" t="s">
        <v>228</v>
      </c>
      <c r="B49" s="7" t="s">
        <v>59</v>
      </c>
      <c r="C49" s="7">
        <v>24</v>
      </c>
    </row>
    <row r="50" spans="1:3" ht="15" customHeight="1">
      <c r="A50" s="7" t="s">
        <v>121</v>
      </c>
      <c r="B50" s="7" t="s">
        <v>83</v>
      </c>
      <c r="C50" s="7">
        <v>23</v>
      </c>
    </row>
    <row r="51" spans="1:3" ht="15" customHeight="1">
      <c r="A51" s="7" t="s">
        <v>121</v>
      </c>
      <c r="B51" s="7" t="s">
        <v>59</v>
      </c>
      <c r="C51" s="7">
        <v>23</v>
      </c>
    </row>
    <row r="52" spans="1:3" ht="15" customHeight="1">
      <c r="A52" s="7" t="s">
        <v>1273</v>
      </c>
      <c r="B52" s="7" t="s">
        <v>95</v>
      </c>
      <c r="C52" s="7">
        <v>22</v>
      </c>
    </row>
    <row r="53" spans="1:3" ht="15" customHeight="1">
      <c r="A53" s="7" t="s">
        <v>1273</v>
      </c>
      <c r="B53" s="7" t="s">
        <v>283</v>
      </c>
      <c r="C53" s="7">
        <v>21</v>
      </c>
    </row>
    <row r="54" spans="1:3" ht="15" customHeight="1">
      <c r="A54" s="7" t="s">
        <v>29</v>
      </c>
      <c r="B54" s="7" t="s">
        <v>83</v>
      </c>
      <c r="C54" s="7">
        <v>17</v>
      </c>
    </row>
    <row r="55" spans="1:3" ht="15" customHeight="1">
      <c r="A55" s="7" t="s">
        <v>121</v>
      </c>
      <c r="B55" s="7" t="s">
        <v>95</v>
      </c>
      <c r="C55" s="7">
        <v>16</v>
      </c>
    </row>
    <row r="56" spans="1:3" ht="15" customHeight="1">
      <c r="A56" s="7" t="s">
        <v>1273</v>
      </c>
      <c r="B56" s="7" t="s">
        <v>59</v>
      </c>
      <c r="C56" s="7">
        <v>15</v>
      </c>
    </row>
    <row r="57" spans="1:3" ht="15" customHeight="1">
      <c r="A57" s="7" t="s">
        <v>29</v>
      </c>
      <c r="B57" s="7" t="s">
        <v>115</v>
      </c>
      <c r="C57" s="7">
        <v>14</v>
      </c>
    </row>
    <row r="58" spans="1:3" ht="15" customHeight="1">
      <c r="A58" s="7" t="s">
        <v>1273</v>
      </c>
      <c r="B58" s="7" t="s">
        <v>165</v>
      </c>
      <c r="C58" s="7">
        <v>14</v>
      </c>
    </row>
    <row r="59" spans="1:3" ht="15" customHeight="1">
      <c r="A59" s="7" t="s">
        <v>121</v>
      </c>
      <c r="B59" s="7" t="s">
        <v>42</v>
      </c>
      <c r="C59" s="7">
        <v>13</v>
      </c>
    </row>
    <row r="60" spans="1:3" ht="15" customHeight="1">
      <c r="A60" s="7" t="s">
        <v>29</v>
      </c>
      <c r="B60" s="7" t="s">
        <v>165</v>
      </c>
      <c r="C60" s="7">
        <v>13</v>
      </c>
    </row>
    <row r="61" spans="1:3" ht="15" customHeight="1">
      <c r="A61" s="7" t="s">
        <v>228</v>
      </c>
      <c r="B61" s="7" t="s">
        <v>83</v>
      </c>
      <c r="C61" s="7">
        <v>13</v>
      </c>
    </row>
    <row r="62" spans="1:3" ht="15" customHeight="1">
      <c r="A62" s="7" t="s">
        <v>228</v>
      </c>
      <c r="B62" s="7" t="s">
        <v>115</v>
      </c>
      <c r="C62" s="7">
        <v>12</v>
      </c>
    </row>
  </sheetData>
  <sortState xmlns:xlrd2="http://schemas.microsoft.com/office/spreadsheetml/2017/richdata2" ref="K2:M16">
    <sortCondition descending="1" ref="L2:L16"/>
  </sortState>
  <mergeCells count="1">
    <mergeCell ref="A1:F1"/>
  </mergeCells>
  <phoneticPr fontId="5" type="noConversion"/>
  <pageMargins left="0.7" right="0.7" top="0.75" bottom="0.75" header="0.3" footer="0.3"/>
  <pageSetup orientation="portrait"/>
  <headerFooter>
    <oddHeader>&amp;L&amp;C&amp;R</oddHeader>
    <oddFooter>&amp;L&amp;C&amp;R</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67DCE-AEED-4D25-88AD-B4D9E92241B0}">
  <dimension ref="A1:N9"/>
  <sheetViews>
    <sheetView workbookViewId="0">
      <selection activeCell="N8" sqref="A1:N9"/>
    </sheetView>
  </sheetViews>
  <sheetFormatPr defaultRowHeight="16.5"/>
  <cols>
    <col min="1" max="1" width="23.5" customWidth="1"/>
    <col min="12" max="12" width="10.5" style="8" customWidth="1"/>
    <col min="13" max="14" width="9.75" bestFit="1" customWidth="1"/>
  </cols>
  <sheetData>
    <row r="1" spans="1:14">
      <c r="A1" s="22" t="s">
        <v>2487</v>
      </c>
      <c r="B1" s="24" t="s">
        <v>2488</v>
      </c>
      <c r="C1" s="25"/>
      <c r="D1" s="25"/>
      <c r="E1" s="25"/>
      <c r="F1" s="25"/>
      <c r="G1" s="26"/>
      <c r="H1" s="27" t="s">
        <v>2502</v>
      </c>
      <c r="I1" s="27"/>
      <c r="J1" s="27"/>
      <c r="K1" s="22" t="s">
        <v>2489</v>
      </c>
      <c r="L1" s="22" t="s">
        <v>2507</v>
      </c>
      <c r="M1" s="28" t="s">
        <v>2490</v>
      </c>
      <c r="N1" s="29"/>
    </row>
    <row r="2" spans="1:14" ht="31.5">
      <c r="A2" s="23"/>
      <c r="B2" s="13" t="s">
        <v>2491</v>
      </c>
      <c r="C2" s="13" t="s">
        <v>2492</v>
      </c>
      <c r="D2" s="13" t="s">
        <v>2493</v>
      </c>
      <c r="E2" s="13" t="s">
        <v>2494</v>
      </c>
      <c r="F2" s="13" t="s">
        <v>2495</v>
      </c>
      <c r="G2" s="13" t="s">
        <v>2489</v>
      </c>
      <c r="H2" s="14" t="s">
        <v>1248</v>
      </c>
      <c r="I2" s="14" t="s">
        <v>2504</v>
      </c>
      <c r="J2" s="14" t="s">
        <v>2503</v>
      </c>
      <c r="K2" s="23"/>
      <c r="L2" s="23"/>
      <c r="M2" s="15" t="s">
        <v>2496</v>
      </c>
      <c r="N2" s="15" t="s">
        <v>2497</v>
      </c>
    </row>
    <row r="3" spans="1:14" ht="26.25" customHeight="1">
      <c r="A3" s="16" t="s">
        <v>1273</v>
      </c>
      <c r="B3" s="17">
        <v>31</v>
      </c>
      <c r="C3" s="17">
        <v>13</v>
      </c>
      <c r="D3" s="17">
        <v>20</v>
      </c>
      <c r="E3" s="17">
        <v>38</v>
      </c>
      <c r="F3" s="17">
        <v>6</v>
      </c>
      <c r="G3" s="18">
        <v>108</v>
      </c>
      <c r="H3" s="17">
        <f>VLOOKUP(A3,list,3,FALSE)</f>
        <v>85</v>
      </c>
      <c r="I3" s="17">
        <f>VLOOKUP(A3,list,5,FALSE)+VLOOKUP(A3,list,6,FALSE)</f>
        <v>43</v>
      </c>
      <c r="J3" s="17">
        <f>K3-H3-I3</f>
        <v>0</v>
      </c>
      <c r="K3" s="17">
        <f>VLOOKUP(A3,list,7,FALSE)</f>
        <v>128</v>
      </c>
      <c r="L3" s="45">
        <f>K3/G3</f>
        <v>1.1851851851851851</v>
      </c>
      <c r="M3" s="19">
        <f>(H3)/K3</f>
        <v>0.6640625</v>
      </c>
      <c r="N3" s="19">
        <f>(H3+I3)/K3</f>
        <v>1</v>
      </c>
    </row>
    <row r="4" spans="1:14" ht="26.25" customHeight="1">
      <c r="A4" s="16" t="s">
        <v>29</v>
      </c>
      <c r="B4" s="17">
        <v>20</v>
      </c>
      <c r="C4" s="17">
        <v>32</v>
      </c>
      <c r="D4" s="17">
        <v>27</v>
      </c>
      <c r="E4" s="17">
        <v>17</v>
      </c>
      <c r="F4" s="17">
        <v>18</v>
      </c>
      <c r="G4" s="18">
        <v>114</v>
      </c>
      <c r="H4" s="17">
        <f>VLOOKUP(A4,list,3,FALSE)</f>
        <v>15</v>
      </c>
      <c r="I4" s="17">
        <f>VLOOKUP(A4,list,5,FALSE)+VLOOKUP(A4,list,6,FALSE)</f>
        <v>7</v>
      </c>
      <c r="J4" s="17">
        <f t="shared" ref="J4:J6" si="0">K4-H4-I4</f>
        <v>212</v>
      </c>
      <c r="K4" s="17">
        <f>VLOOKUP(A4,list,7,FALSE)</f>
        <v>234</v>
      </c>
      <c r="L4" s="45">
        <f t="shared" ref="L4:L6" si="1">K4/G4</f>
        <v>2.0526315789473686</v>
      </c>
      <c r="M4" s="19">
        <f t="shared" ref="M4:M6" si="2">(H4)/K4</f>
        <v>6.4102564102564097E-2</v>
      </c>
      <c r="N4" s="19">
        <f t="shared" ref="N4:N6" si="3">(H4+I4)/K4</f>
        <v>9.4017094017094016E-2</v>
      </c>
    </row>
    <row r="5" spans="1:14" ht="26.25" customHeight="1">
      <c r="A5" s="16" t="s">
        <v>121</v>
      </c>
      <c r="B5" s="17">
        <v>0</v>
      </c>
      <c r="C5" s="17">
        <v>7</v>
      </c>
      <c r="D5" s="17">
        <v>26</v>
      </c>
      <c r="E5" s="17">
        <v>15</v>
      </c>
      <c r="F5" s="17">
        <v>29</v>
      </c>
      <c r="G5" s="18">
        <v>77</v>
      </c>
      <c r="H5" s="17">
        <f>VLOOKUP(A5,list,3,FALSE)</f>
        <v>63</v>
      </c>
      <c r="I5" s="17">
        <f>VLOOKUP(A5,list,5,FALSE)+VLOOKUP(A5,list,6,FALSE)</f>
        <v>8</v>
      </c>
      <c r="J5" s="17">
        <f t="shared" si="0"/>
        <v>102</v>
      </c>
      <c r="K5" s="17">
        <f>VLOOKUP(A5,list,7,FALSE)</f>
        <v>173</v>
      </c>
      <c r="L5" s="45">
        <f t="shared" si="1"/>
        <v>2.2467532467532467</v>
      </c>
      <c r="M5" s="19">
        <f t="shared" si="2"/>
        <v>0.36416184971098264</v>
      </c>
      <c r="N5" s="19">
        <f t="shared" si="3"/>
        <v>0.41040462427745666</v>
      </c>
    </row>
    <row r="6" spans="1:14" ht="26.25" customHeight="1">
      <c r="A6" s="16" t="s">
        <v>228</v>
      </c>
      <c r="B6" s="17">
        <v>19</v>
      </c>
      <c r="C6" s="17">
        <v>29</v>
      </c>
      <c r="D6" s="17">
        <v>15</v>
      </c>
      <c r="E6" s="17">
        <v>11</v>
      </c>
      <c r="F6" s="17">
        <v>3</v>
      </c>
      <c r="G6" s="18">
        <v>77</v>
      </c>
      <c r="H6" s="17">
        <f>VLOOKUP(A6,list,3,FALSE)</f>
        <v>54</v>
      </c>
      <c r="I6" s="17">
        <f>VLOOKUP(A6,list,5,FALSE)+VLOOKUP(A6,list,6,FALSE)</f>
        <v>23</v>
      </c>
      <c r="J6" s="17">
        <f t="shared" si="0"/>
        <v>42</v>
      </c>
      <c r="K6" s="17">
        <f>VLOOKUP(A6,list,7,FALSE)</f>
        <v>119</v>
      </c>
      <c r="L6" s="45">
        <f t="shared" si="1"/>
        <v>1.5454545454545454</v>
      </c>
      <c r="M6" s="19">
        <f t="shared" si="2"/>
        <v>0.45378151260504201</v>
      </c>
      <c r="N6" s="19">
        <f t="shared" si="3"/>
        <v>0.6470588235294118</v>
      </c>
    </row>
    <row r="7" spans="1:14" ht="26.25" customHeight="1">
      <c r="A7" s="33" t="s">
        <v>2498</v>
      </c>
      <c r="B7" s="34">
        <v>0</v>
      </c>
      <c r="C7" s="34">
        <v>0</v>
      </c>
      <c r="D7" s="34">
        <v>18</v>
      </c>
      <c r="E7" s="34">
        <v>55</v>
      </c>
      <c r="F7" s="34">
        <v>98</v>
      </c>
      <c r="G7" s="35">
        <v>171</v>
      </c>
      <c r="H7" s="36"/>
      <c r="I7" s="36"/>
      <c r="J7" s="33"/>
      <c r="K7" s="36">
        <f t="shared" ref="K7" si="4">SUM(H7:J7)</f>
        <v>0</v>
      </c>
      <c r="L7" s="36"/>
      <c r="M7" s="37">
        <v>0</v>
      </c>
      <c r="N7" s="37">
        <v>0</v>
      </c>
    </row>
    <row r="8" spans="1:14" ht="16.5" customHeight="1">
      <c r="A8" s="20" t="s">
        <v>2505</v>
      </c>
      <c r="B8" s="21">
        <f>SUM(B3:B7)</f>
        <v>70</v>
      </c>
      <c r="C8" s="21">
        <f t="shared" ref="C8:F8" si="5">SUM(C3:C7)</f>
        <v>81</v>
      </c>
      <c r="D8" s="21">
        <f t="shared" si="5"/>
        <v>106</v>
      </c>
      <c r="E8" s="21">
        <f t="shared" si="5"/>
        <v>136</v>
      </c>
      <c r="F8" s="21">
        <f t="shared" si="5"/>
        <v>154</v>
      </c>
      <c r="G8" s="21">
        <v>547</v>
      </c>
      <c r="H8" s="38">
        <f>SUM(H3:H6)</f>
        <v>217</v>
      </c>
      <c r="I8" s="38">
        <f t="shared" ref="I8:K8" si="6">SUM(I3:I6)</f>
        <v>81</v>
      </c>
      <c r="J8" s="38">
        <f t="shared" si="6"/>
        <v>356</v>
      </c>
      <c r="K8" s="38">
        <f t="shared" si="6"/>
        <v>654</v>
      </c>
      <c r="L8" s="47">
        <f>K8/G9</f>
        <v>1.7393617021276595</v>
      </c>
      <c r="M8" s="40">
        <f>H8/K8</f>
        <v>0.33180428134556578</v>
      </c>
      <c r="N8" s="40">
        <f>(H8+I8)/K8</f>
        <v>0.45565749235474007</v>
      </c>
    </row>
    <row r="9" spans="1:14" s="8" customFormat="1" ht="26.25" customHeight="1">
      <c r="A9" s="42" t="s">
        <v>2506</v>
      </c>
      <c r="B9" s="43">
        <f>SUM(B3:B6)</f>
        <v>70</v>
      </c>
      <c r="C9" s="43">
        <f t="shared" ref="C9:F9" si="7">SUM(C3:C6)</f>
        <v>81</v>
      </c>
      <c r="D9" s="43">
        <f t="shared" si="7"/>
        <v>88</v>
      </c>
      <c r="E9" s="43">
        <f t="shared" si="7"/>
        <v>81</v>
      </c>
      <c r="F9" s="43">
        <f t="shared" si="7"/>
        <v>56</v>
      </c>
      <c r="G9" s="44">
        <f>SUM(G3:G6)</f>
        <v>376</v>
      </c>
      <c r="H9" s="39"/>
      <c r="I9" s="39"/>
      <c r="J9" s="39"/>
      <c r="K9" s="39"/>
      <c r="L9" s="46"/>
      <c r="M9" s="41"/>
      <c r="N9" s="41"/>
    </row>
  </sheetData>
  <mergeCells count="13">
    <mergeCell ref="N8:N9"/>
    <mergeCell ref="L1:L2"/>
    <mergeCell ref="L8:L9"/>
    <mergeCell ref="A1:A2"/>
    <mergeCell ref="B1:G1"/>
    <mergeCell ref="H1:J1"/>
    <mergeCell ref="K1:K2"/>
    <mergeCell ref="M1:N1"/>
    <mergeCell ref="H8:H9"/>
    <mergeCell ref="I8:I9"/>
    <mergeCell ref="J8:J9"/>
    <mergeCell ref="K8:K9"/>
    <mergeCell ref="M8:M9"/>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2</vt:i4>
      </vt:variant>
    </vt:vector>
  </HeadingPairs>
  <TitlesOfParts>
    <vt:vector size="7" baseType="lpstr">
      <vt:lpstr>Sheet2</vt:lpstr>
      <vt:lpstr>Sheet3</vt:lpstr>
      <vt:lpstr>UIUX 점검</vt:lpstr>
      <vt:lpstr>분석요약</vt:lpstr>
      <vt:lpstr>Sheet1</vt:lpstr>
      <vt:lpstr>'UIUX 점검'!ExternalData_1</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양수정</dc:creator>
  <cp:lastModifiedBy>IIS-IDT-N-0063-U</cp:lastModifiedBy>
  <dcterms:created xsi:type="dcterms:W3CDTF">2026-05-08T02:14:42Z</dcterms:created>
  <dcterms:modified xsi:type="dcterms:W3CDTF">2026-05-08T08:58:14Z</dcterms:modified>
</cp:coreProperties>
</file>