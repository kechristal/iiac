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file trans\"/>
    </mc:Choice>
  </mc:AlternateContent>
  <xr:revisionPtr revIDLastSave="0" documentId="13_ncr:1_{C3E6693B-6681-4019-881C-DB2ACC8B078B}" xr6:coauthVersionLast="47" xr6:coauthVersionMax="47" xr10:uidLastSave="{00000000-0000-0000-0000-000000000000}"/>
  <bookViews>
    <workbookView xWindow="-120" yWindow="-120" windowWidth="29040" windowHeight="15720" activeTab="4" xr2:uid="{88F2D18C-2547-4E62-B99B-7D00429EFFA8}"/>
  </bookViews>
  <sheets>
    <sheet name="Sheet2" sheetId="2" r:id="rId1"/>
    <sheet name="Sheet5" sheetId="5" r:id="rId2"/>
    <sheet name="Sheet6" sheetId="6" r:id="rId3"/>
    <sheet name="Iteration2_2차_3자_결함" sheetId="1" r:id="rId4"/>
    <sheet name="Sheet8" sheetId="8" r:id="rId5"/>
    <sheet name="Sheet7" sheetId="7" r:id="rId6"/>
  </sheets>
  <externalReferences>
    <externalReference r:id="rId7"/>
  </externalReferences>
  <definedNames>
    <definedName name="_xlchart.v1.0" hidden="1">Sheet2!$G$3:$G$9</definedName>
    <definedName name="_xlchart.v1.1" hidden="1">Sheet2!$H$3:$H$9</definedName>
    <definedName name="_xlchart.v1.2" hidden="1">Sheet2!$G$3:$G$9</definedName>
    <definedName name="_xlchart.v1.3" hidden="1">Sheet2!$H$3:$H$9</definedName>
    <definedName name="ALL">[1]Itr2_2_결함_pivot!$L$28:$W$43</definedName>
    <definedName name="C_LL">[1]Itr2_2_결함_pivot!$L$74:$T$89</definedName>
    <definedName name="DEAL">[1]Itr2_2_결함_pivot!$Z$27:$AB$42</definedName>
    <definedName name="ExternalData_2" localSheetId="3" hidden="1">Iteration2_2차_3자_결함!$A$1:$T$259</definedName>
    <definedName name="f_list_3rd">[1]Itr2_2_결함_pivot!$A$5:$E$20</definedName>
    <definedName name="F_LL">[1]Itr2_2_결함_pivot!$L$51:$T$66</definedName>
    <definedName name="F_STAT_3_C">[1]Itr2_2_결함_pivot!$A$74:$H$85</definedName>
    <definedName name="t_rlt">[1]Itr2_2_결과_pivot!$A$5:$D$21</definedName>
    <definedName name="tag">Sheet8!$N$5:$W$20</definedName>
  </definedNames>
  <calcPr calcId="191029"/>
  <pivotCaches>
    <pivotCache cacheId="17" r:id="rId8"/>
    <pivotCache cacheId="3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2" i="8" l="1"/>
  <c r="Y42" i="8"/>
  <c r="R42" i="8"/>
  <c r="S42" i="8"/>
  <c r="T42" i="8"/>
  <c r="U42" i="8"/>
  <c r="V42" i="8"/>
  <c r="W42" i="8"/>
  <c r="X42" i="8"/>
  <c r="Q42" i="8"/>
  <c r="Y41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25" i="8"/>
  <c r="X25" i="8"/>
  <c r="W25" i="8"/>
  <c r="U41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25" i="8"/>
  <c r="I4" i="2"/>
  <c r="I5" i="2"/>
  <c r="I6" i="2"/>
  <c r="I7" i="2"/>
  <c r="I8" i="2"/>
  <c r="I9" i="2"/>
  <c r="I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65949B-F7E9-43C3-B67D-C3C53BDFCE59}" keepAlive="1" name="쿼리 - Iteration2_2차_3자_결함TMS202601280834" description="통합 문서의 'Iteration2_2차_3자_결함TMS202601280834' 쿼리에 대한 연결입니다." type="5" refreshedVersion="7" background="1" saveData="1">
    <dbPr connection="Provider=Microsoft.Mashup.OleDb.1;Data Source=$Workbook$;Location=Iteration2_2차_3자_결함TMS202601280834;Extended Properties=&quot;&quot;" command="SELECT * FROM [Iteration2_2차_3자_결함TMS202601280834]"/>
  </connection>
</connections>
</file>

<file path=xl/sharedStrings.xml><?xml version="1.0" encoding="utf-8"?>
<sst xmlns="http://schemas.openxmlformats.org/spreadsheetml/2006/main" count="8316" uniqueCount="843">
  <si>
    <t>시니리오ID</t>
  </si>
  <si>
    <t>차수</t>
  </si>
  <si>
    <t>단계</t>
  </si>
  <si>
    <t>업무모듈명</t>
  </si>
  <si>
    <t>결함ID</t>
  </si>
  <si>
    <t>결함내용</t>
  </si>
  <si>
    <t>테스트단계</t>
  </si>
  <si>
    <t>PL</t>
  </si>
  <si>
    <t>개발자</t>
  </si>
  <si>
    <t>테스터</t>
  </si>
  <si>
    <t>기능유형</t>
  </si>
  <si>
    <t>결함구분</t>
  </si>
  <si>
    <t>결함유형</t>
  </si>
  <si>
    <t>결함상태</t>
  </si>
  <si>
    <t>담당자</t>
  </si>
  <si>
    <t>심각도</t>
  </si>
  <si>
    <t>조치상태</t>
  </si>
  <si>
    <t>결함등록일</t>
  </si>
  <si>
    <t>결함수정일시</t>
  </si>
  <si>
    <t>UT-CM30029S</t>
  </si>
  <si>
    <t>A-CDM(CM)</t>
  </si>
  <si>
    <t>DEF-03588</t>
  </si>
  <si>
    <t>3자테스트</t>
  </si>
  <si>
    <t>이지연</t>
  </si>
  <si>
    <t>김단호</t>
  </si>
  <si>
    <t>장희경</t>
  </si>
  <si>
    <t>Online</t>
  </si>
  <si>
    <t>개선/변경</t>
  </si>
  <si>
    <t>기타</t>
  </si>
  <si>
    <t xml:space="preserve">최종확인    </t>
  </si>
  <si>
    <t/>
  </si>
  <si>
    <t>Minor</t>
  </si>
  <si>
    <t>UT-CM10301S</t>
  </si>
  <si>
    <t>DEF-03401</t>
  </si>
  <si>
    <t>[X_1]영문단어수정필요
Defination -&gt;Definition</t>
  </si>
  <si>
    <t>UT-CM20030S</t>
  </si>
  <si>
    <t>DEF-03520</t>
  </si>
  <si>
    <t>[S_1]Alarm 있는 그리드 선택 후 Alarm 없는 그리드 선택하는 경우 하단  Alarm 이 계속 활성화 되어 있음 
(출발편운항정보관리 와 동일함)</t>
  </si>
  <si>
    <t>김은정</t>
  </si>
  <si>
    <t>기능</t>
  </si>
  <si>
    <t>UT-CM20016S</t>
  </si>
  <si>
    <t>DEF-03531</t>
  </si>
  <si>
    <t>[X_1]필터적용 관련 제안
그리드 필터 설정 시 "Alert" 컬럼의 필터 기준을 Alert 있음/없음 혹은 업무적으로 필터링 가능한 조건을 명시해줌이 어떨지 제안드립니다.  
참고로 출발편 운항정보관리(월)  에 적용된 grid 에는 Alert는 필터조건이 없습니다.</t>
  </si>
  <si>
    <t>DEF-03496</t>
  </si>
  <si>
    <t>UT-CM10103R</t>
  </si>
  <si>
    <t>DEF-03766</t>
  </si>
  <si>
    <t xml:space="preserve">[S_1]리포트 "저장" 시 리포트 포맷 확인, 조회 및 저장 시 표기 방식 확인 필요
1.리포트 "저장" 버튼 클릭으로 나타나는 각종 형식의 파일(PDF, EXCEL 등등)로 저장후 파일 확인을 해보면, ETC 부분이 하위 테이블에 겹쳐져 표기됩니다.
2. 화면 조회 및 저장 시 
상단 우측 ETC 셀의 경우 값표기가 
0/0, 1/98 등의 형식이 아닌 0/, 1/ 로 모수가 표기되지 않습니다. 
 </t>
  </si>
  <si>
    <t>확인요청</t>
  </si>
  <si>
    <t>확인대기</t>
  </si>
  <si>
    <t>UT-CARF028S(A)</t>
  </si>
  <si>
    <t>공통관리(AOMS-CA)</t>
  </si>
  <si>
    <t>DEF-03472</t>
  </si>
  <si>
    <t xml:space="preserve">[x_001]시나리오 6번부터 9번 화면이 달라 테스트 수행 불가
- FOIS Irregular Code Mapping List화면에 입력,수정,삭제 기능 없음 - 시나리오 화면과 다름 </t>
  </si>
  <si>
    <t>박영수</t>
  </si>
  <si>
    <t>최민지</t>
  </si>
  <si>
    <t>김승무</t>
  </si>
  <si>
    <t>문서화</t>
  </si>
  <si>
    <t>결함등록기각</t>
  </si>
  <si>
    <t>UT-CASY043S(A)</t>
  </si>
  <si>
    <t>DEF-03391</t>
  </si>
  <si>
    <t>[X_002]테스트 값이 나오지 않아 테스트 하지 못함</t>
  </si>
  <si>
    <t>UT-CARF029S(A)</t>
  </si>
  <si>
    <t>DEF-03475</t>
  </si>
  <si>
    <t xml:space="preserve">[x_001]Delay List 삭제 및 입력하는 기능 없어 테스트 불가 </t>
  </si>
  <si>
    <t>UT-CA-SP30(A)</t>
  </si>
  <si>
    <t>DEF-03767</t>
  </si>
  <si>
    <t>[S_2] SQL Error [ERRPS]: JDBC-15146:PSM compilation error</t>
  </si>
  <si>
    <t>정연준</t>
  </si>
  <si>
    <t>프로시져</t>
  </si>
  <si>
    <t>UT-CASY011S(A)</t>
  </si>
  <si>
    <t>DEF-03385</t>
  </si>
  <si>
    <t>[X_001] 관리자 로그인 하면 SMS 통합관리 메뉴가 보이지 않음</t>
  </si>
  <si>
    <t>UT-CARF004S</t>
  </si>
  <si>
    <t>공통관리(FIMS-CA)</t>
  </si>
  <si>
    <t>DEF-03618</t>
  </si>
  <si>
    <t>[x_001]IATA코드에서  ** 만 조회 할수 없음</t>
  </si>
  <si>
    <t>UT-CARF027S</t>
  </si>
  <si>
    <t>DEF-03650</t>
  </si>
  <si>
    <t>UT-CASY049S</t>
  </si>
  <si>
    <t>DEF-03627</t>
  </si>
  <si>
    <t xml:space="preserve">[X_001] 현재일로 부터 2일전 데이타는 볼수 없음
업무정의가 그렇게 되어 있다면 기각 해 주세요. </t>
  </si>
  <si>
    <t>UT-MESMF031S</t>
  </si>
  <si>
    <t>모바일(MES)</t>
  </si>
  <si>
    <t>DEF-03536</t>
  </si>
  <si>
    <t>[X_1]화면깨짐 (와이드 모니터)</t>
  </si>
  <si>
    <t>임지훈</t>
  </si>
  <si>
    <t>홍성민</t>
  </si>
  <si>
    <t>윤성훈</t>
  </si>
  <si>
    <t>UI</t>
  </si>
  <si>
    <t>UT-MESMF013S</t>
  </si>
  <si>
    <t>DEF-03503</t>
  </si>
  <si>
    <t>[C_11]제목, 내용 입력란에 길이제한이 없음</t>
  </si>
  <si>
    <t>김용진</t>
  </si>
  <si>
    <t>UT-MESRS022S</t>
  </si>
  <si>
    <t>DEF-03399</t>
  </si>
  <si>
    <t>[S_7]Reason 수정후 저장이 안됨</t>
  </si>
  <si>
    <t>이수빈</t>
  </si>
  <si>
    <t>Major</t>
  </si>
  <si>
    <t>UT-WESRS020M</t>
  </si>
  <si>
    <t>모바일(WES)</t>
  </si>
  <si>
    <t>DEF-03608</t>
  </si>
  <si>
    <t>[X_3]데이터가 없어 테스트 불가</t>
  </si>
  <si>
    <t>데이터</t>
  </si>
  <si>
    <t>UT-WESRS019S</t>
  </si>
  <si>
    <t>DEF-03606</t>
  </si>
  <si>
    <t>UT-WESRS011S</t>
  </si>
  <si>
    <t>DEF-03596</t>
  </si>
  <si>
    <t>[X_2]데이터가 없어 테스트 불가</t>
  </si>
  <si>
    <t>조치요청</t>
  </si>
  <si>
    <t>UT-PM10201S</t>
  </si>
  <si>
    <t>예측관리(PM)</t>
  </si>
  <si>
    <t>DEF-03721</t>
  </si>
  <si>
    <t>염희석</t>
  </si>
  <si>
    <t>pmtbd1</t>
  </si>
  <si>
    <t>권아윤</t>
  </si>
  <si>
    <t>UT-FPMG042M</t>
  </si>
  <si>
    <t>운항계획(FP)</t>
  </si>
  <si>
    <t>DEF-03500</t>
  </si>
  <si>
    <t>[C_22] Message Details 상세 정보 창이 pendinglist Next를 할 때, 갑자기 가운데로 옮겨지는 현상이 발생함. FLC가 다른 항공사로 변경될 때 발생(ADM Message 종류가 바뀔 때)</t>
  </si>
  <si>
    <t>장경진</t>
  </si>
  <si>
    <t>현영광</t>
  </si>
  <si>
    <t>최중혁</t>
  </si>
  <si>
    <t>UT-FPFA066S</t>
  </si>
  <si>
    <t>DEF-03387</t>
  </si>
  <si>
    <t>UT-FP-SP152</t>
  </si>
  <si>
    <t>DEF-03660</t>
  </si>
  <si>
    <t>[S_1] 데이터의 PUSH_MSG_ID가 null값으로 조회됨</t>
  </si>
  <si>
    <t>이인용</t>
  </si>
  <si>
    <t>UT-FP-SP116</t>
  </si>
  <si>
    <t>DEF-03615</t>
  </si>
  <si>
    <t>UT-FP-SP113</t>
  </si>
  <si>
    <t>DEF-03617</t>
  </si>
  <si>
    <t>[S_3] FOIS_AFSDEP 가 호출되지 않음</t>
  </si>
  <si>
    <t>UT-FP-SP114</t>
  </si>
  <si>
    <t>DEF-03656</t>
  </si>
  <si>
    <t xml:space="preserve">[S_2] 해당 테이블의 호출된 데이터가 없음. 확인 불가. </t>
  </si>
  <si>
    <t>UT-FPMG040M</t>
  </si>
  <si>
    <t>DEF-03497</t>
  </si>
  <si>
    <t>[C_22] Message Details 상세 정보 창이 pendinglist Next를 할 때, 갑자기 가운데로 옮겨지는 현상이 발생함. FLC가 다른 항공사로 변경될 때(ADM Message 종류가 바뀔 때) 발생</t>
  </si>
  <si>
    <t>UT-FP-SP154</t>
  </si>
  <si>
    <t>DEF-03647</t>
  </si>
  <si>
    <t>[S_7] 선언문 실행시, '실제 인출은 요구된 것보다 많은 행을 추출합니다.' 문구가 뜸</t>
  </si>
  <si>
    <t>UT-FP-SP153</t>
  </si>
  <si>
    <t>DEF-03649</t>
  </si>
  <si>
    <t>[S_1] '실제 인출은 요구된 것보다 많은 행을 추출합니다.' 문구가 뜸</t>
  </si>
  <si>
    <t>DEF-03506</t>
  </si>
  <si>
    <t>[S_2]TYS 값이 readonly가 아니라, reg랑 상관없이 TYS 값을 변경하고 submit 시 서버오류가 발생</t>
  </si>
  <si>
    <t>UT-FPMG043M</t>
  </si>
  <si>
    <t>DEF-03509</t>
  </si>
  <si>
    <t>DEF-03390</t>
  </si>
  <si>
    <t>[S_4] FLN이 insert할 때, 4자리가 아니라 5자리까지 입력이 가능함</t>
  </si>
  <si>
    <t>UT-FPFA091S</t>
  </si>
  <si>
    <t>DEF-03398</t>
  </si>
  <si>
    <t>[C_18] FOIS에 없는 운항편 삭제 후에 삭제된 행이 그대로 남아있음. 기능/데이터상으론 문제없이 삭제된 것으로 보임. 다른 화면처럼 즉각적으로 화면이 업데이트가 되었으면 함</t>
  </si>
  <si>
    <t>UT-FPMG052M</t>
  </si>
  <si>
    <t>DEF-03527</t>
  </si>
  <si>
    <t>Critical</t>
  </si>
  <si>
    <t>DEF-03529</t>
  </si>
  <si>
    <t>[S_2] STY가 RAD임에도, 5) FLN 입력 불가</t>
  </si>
  <si>
    <t>DEF-03524</t>
  </si>
  <si>
    <t>[S_2] 4) TYS 수정 시, REG 빈값으로 바뀌는지 확인 불가</t>
  </si>
  <si>
    <t>UT-FPFA184M</t>
  </si>
  <si>
    <t>DEF-03427</t>
  </si>
  <si>
    <t>[S_2] 다른 일자 플랜도 실행이 되어야 할 때, 해당 팝업보다 '서버 오류입니다. 관리자에게 문의하세요' 팝업이 먼저 뜸. 안내 팝업보다 오류 팝업이 먼저 뜨는게 오류로 보일 것 같음 -&gt; [3자 테스트 결함으로 등록]</t>
  </si>
  <si>
    <t>UT-RSPK059S</t>
  </si>
  <si>
    <t>자원배정(RS)</t>
  </si>
  <si>
    <t>DEF-03685</t>
  </si>
  <si>
    <t>[X-1] 
데이터가 없어 테스트 불가
(테스트 결과서에서 제시한 2025-05-01, 2025-05-03)</t>
  </si>
  <si>
    <t>유경섭</t>
  </si>
  <si>
    <t>장동혁</t>
  </si>
  <si>
    <t>결함검토요청</t>
  </si>
  <si>
    <t>DEF-03469</t>
  </si>
  <si>
    <t>[X_1]
1920*1080, 크롬 100% 배율
D SOUTH, D NORTH에서 디폴트 사이즈가 하나도 없는것 같이 보임</t>
  </si>
  <si>
    <t>UT-RSCI021S</t>
  </si>
  <si>
    <t>DEF-03581</t>
  </si>
  <si>
    <t>[C_10]
공통 날짜 형식 yyyy-mm-dd 가 아님.</t>
  </si>
  <si>
    <t>이수연</t>
  </si>
  <si>
    <t>표준</t>
  </si>
  <si>
    <t>UT-RSCI036M</t>
  </si>
  <si>
    <t>DEF-03589</t>
  </si>
  <si>
    <t>[C_10]
공통 날짜 형식 yyyy-mm-dd 가 아님</t>
  </si>
  <si>
    <t>UT-RSCI022S</t>
  </si>
  <si>
    <t>DEF-03765</t>
  </si>
  <si>
    <t xml:space="preserve">[S_4]
중복된 행이 있다고 해서 중복되는 행을 삭제 후 저장했을 때
중복된 데이터가 있다는 알림이 뜸
삭제 row는 제외하고 중복여부체크하는게 좋을 것 같습니다
</t>
  </si>
  <si>
    <t>UT-RSFI002S</t>
  </si>
  <si>
    <t>DEF-03626</t>
  </si>
  <si>
    <t>[X_1] 
기본 화면 폰트 및 사이즈가 팝업 켰을때랑 다름
(아이디 찾기, 비밀번호 초기화, 비밀번호 변경 팝업 동일)</t>
  </si>
  <si>
    <t>UT-RSFI001S</t>
  </si>
  <si>
    <t>DEF-03775</t>
  </si>
  <si>
    <t xml:space="preserve">[X_1]
엔터로 검색이 되면 좋을것같습니다 </t>
  </si>
  <si>
    <t>DEF-03550</t>
  </si>
  <si>
    <t>[C_7]
값 수정 후 원복해도 왼쪽 아이콘이 사라지지 않음</t>
  </si>
  <si>
    <t>DEF-03579</t>
  </si>
  <si>
    <t xml:space="preserve">[X_1]
기본 사이즈에서 요일이 잘려보임 </t>
  </si>
  <si>
    <t>김훈근</t>
  </si>
  <si>
    <t>DEF-03756</t>
  </si>
  <si>
    <t xml:space="preserve">[C_11] 
입력값 제한이 필요해 보임 </t>
  </si>
  <si>
    <t>UT-REPK003S</t>
  </si>
  <si>
    <t>자원배정엔진(RE)</t>
  </si>
  <si>
    <t>DEF-03677</t>
  </si>
  <si>
    <t>[C_7] 실행결과 행 선택할 때, Stand 값이 0일 경우, '검색 결과가 없습니다' 대신 갯수가 0이라는 의미의 문구를 명시적으로 보여주는게 적절할 것 같음</t>
  </si>
  <si>
    <t>문현희</t>
  </si>
  <si>
    <t>UT-RCCR002L</t>
  </si>
  <si>
    <t>자원배정차트(RC)</t>
  </si>
  <si>
    <t>DEF-03739</t>
  </si>
  <si>
    <t>[C_4] 검색 결과가 없을 때도 조회 건수가 0건으로 표기하는 것이 명확할 듯 함</t>
  </si>
  <si>
    <t>이미라</t>
  </si>
  <si>
    <t>UT-AS13101S</t>
  </si>
  <si>
    <t>항공통계포털(AS)</t>
  </si>
  <si>
    <t>DEF-03734</t>
  </si>
  <si>
    <t>[주제별 통계], [리포트 관리], [Notice], [New Report], [개선의견] 클릭 이동 후 뒤로가기 불가</t>
  </si>
  <si>
    <t>장영진</t>
  </si>
  <si>
    <t>임소정</t>
  </si>
  <si>
    <t>강도훈</t>
  </si>
  <si>
    <t>김경준</t>
  </si>
  <si>
    <t>UT-CM20036S</t>
  </si>
  <si>
    <t>DEF-03473</t>
  </si>
  <si>
    <t>[S_1]화면 조회 시 데이터 표기 안되어 테스트 불가
화면 상단 날짜정보 포함 정보 조회 안됩니다.</t>
  </si>
  <si>
    <t>결함</t>
  </si>
  <si>
    <t>DEF-03487</t>
  </si>
  <si>
    <t xml:space="preserve">[S_3-1]해더툴팁 표기 오류
Pb 마우스 오버 시 Actual Start Up Request Time 으로 표기됨
</t>
  </si>
  <si>
    <t>UT-CM20023S</t>
  </si>
  <si>
    <t>DEF-03470</t>
  </si>
  <si>
    <t xml:space="preserve">[S_3-1]입력 데이터 미반영
현재활주로 및 ATFM 수정 및 저장하였으나  기존 데이터로 조회됨
DATE를 과거 및 오늘 날짜 기준으로 해보았으나 동일한 현상
</t>
  </si>
  <si>
    <t>UT-CM10102S</t>
  </si>
  <si>
    <t>DEF-03420</t>
  </si>
  <si>
    <t>[S_6-2]그리드의 "제빙처리용량" 조회 불가 및 변경 반영 안됨
최초 조회 시 그리드에서 표기되지 않으며, "사용불가" 입력 후에도 값 변경 반영 안됩니다.</t>
  </si>
  <si>
    <t>DEF-03414</t>
  </si>
  <si>
    <t>[S_5-2]그리드 새로고침 오류
'저장되었습니다' 메시지 팝업 후 하단 그리드가 즉시 새로고침 반영이 안되고 "SEARCH" 버튼 클릭 시 변경된 값으로 조회됩니다.</t>
  </si>
  <si>
    <t>UT-CM40001S</t>
  </si>
  <si>
    <t>DEF-03468</t>
  </si>
  <si>
    <t>[S_5-5]근무자(추가주간 혹은 추가야간) 레코드 삭제 및 정보변경 오류
근무자(추가주간) 혹은 근무자(추가야간) 으로 선택한 경우 해당열 삭제 후 저장하면 반영 안되고, 주/야 구분 변경시에도 변경반영이 안됩니다.
**제가 근무자(추가주간), 근무자(추가야간)의 개념을 몰라서일 수 있으니, 확인 부탁드립니다.</t>
  </si>
  <si>
    <t>UT-CM20034S</t>
  </si>
  <si>
    <t>DEF-03543</t>
  </si>
  <si>
    <t>[S_1]조회조건 변경시에도 화면상단 출발교통량, 터미널 주기장 운영 현황, 지연현황의 데이터 변동이 없음</t>
  </si>
  <si>
    <t>UT-CM-SP81</t>
  </si>
  <si>
    <t>DEF-03715</t>
  </si>
  <si>
    <t>[S_1]화면 표기 오류
프로시져 및 데이터는 조회되나 화면 표시되는 내역이 없습니다.</t>
  </si>
  <si>
    <t>UT-CM10103S</t>
  </si>
  <si>
    <t>DEF-03431</t>
  </si>
  <si>
    <t xml:space="preserve">[S_1]특정일 조회 시 조회 오류 발생
2025-10-01, 2025,10-02 조회 시 첨부된 오류 발생
</t>
  </si>
  <si>
    <t>DEF-03423</t>
  </si>
  <si>
    <t>DEF-03764</t>
  </si>
  <si>
    <t>UT-SLOTQM003M</t>
  </si>
  <si>
    <t>SLOT관리(SLOT)</t>
  </si>
  <si>
    <t>DEF-03573</t>
  </si>
  <si>
    <t>[x_1] 화면 조회가 안되고 시스템 오류남</t>
  </si>
  <si>
    <t>김형진</t>
  </si>
  <si>
    <t>서창민</t>
  </si>
  <si>
    <t>김민욱</t>
  </si>
  <si>
    <t>UT-SLOTRM002R</t>
  </si>
  <si>
    <t>DEF-03577</t>
  </si>
  <si>
    <t>[x_1] 초기화면 로딩후 모즌 버튼이 눌러도 작동하지 않음</t>
  </si>
  <si>
    <t>UT-SLOTQM004R</t>
  </si>
  <si>
    <t>DEF-03574</t>
  </si>
  <si>
    <t>[x_1] 화면 조회가 안되고 서버 오류남</t>
  </si>
  <si>
    <t>UT-SLOTRM003R</t>
  </si>
  <si>
    <t>DEF-03580</t>
  </si>
  <si>
    <t>[s_1] Season은 필수 항목인데 안넣어도 조회가 됨</t>
  </si>
  <si>
    <t>UT-CA-SP32(A)</t>
  </si>
  <si>
    <t>DEF-03772</t>
  </si>
  <si>
    <t>[X_001] 테스트 시나리오 문서 없어 테스트 못함
--&gt; 문서 받아서 테스트 진행 정상 처리 됨 
이건 기각 해 주세요.</t>
  </si>
  <si>
    <t>UT-CARF036S(A)</t>
  </si>
  <si>
    <t>DEF-03521</t>
  </si>
  <si>
    <t>[S_2] Airline Code에 * 값이 들어가 있는데 이 값은 조회할 수 없음</t>
  </si>
  <si>
    <t>UT-CARF033S(A)</t>
  </si>
  <si>
    <t>DEF-03501</t>
  </si>
  <si>
    <t>[S_5]일부 우측이동시 다른 cHECK-IN CLUSTER ID에도 같이 반영됨
[S_6]일부 좌측이동시 다른 cHECK-IN CLUSTER ID에 다르게 반영 됨</t>
  </si>
  <si>
    <t>UT-CARF002S(A)</t>
  </si>
  <si>
    <t>DEF-03539</t>
  </si>
  <si>
    <t xml:space="preserve">[S_2] Use y/n 검색 건수가 다름
전체 472 건 , Yse 291건 , No 115건  472 =/  (291 + 115) = 406 </t>
  </si>
  <si>
    <t>UT-CA-SP29(A)</t>
  </si>
  <si>
    <t>UT-CA-SP23(A)</t>
  </si>
  <si>
    <t>DEF-03695</t>
  </si>
  <si>
    <t xml:space="preserve">[s_1] TN_CA_SMS_USER(SMS사용자) 테이블에 INSERT 안됨 </t>
  </si>
  <si>
    <t>UT-CARF031S(A)</t>
  </si>
  <si>
    <t>DEF-03484</t>
  </si>
  <si>
    <t xml:space="preserve">[S_3]Cancel Code 값을 넣지 않고 저장시 오류 </t>
  </si>
  <si>
    <t>UT-CARF024S(A)</t>
  </si>
  <si>
    <t>DEF-03466</t>
  </si>
  <si>
    <t>[C_3] 화면의 첫 째 필드에 커셔가 Set focus되어 있지 않음</t>
  </si>
  <si>
    <t>UT-CARF009S(A)</t>
  </si>
  <si>
    <t>DEF-03450</t>
  </si>
  <si>
    <t>[C_5]오류에대한 메세지가 정확하지 않</t>
  </si>
  <si>
    <t>UT-CASY052S(A)</t>
  </si>
  <si>
    <t>DEF-03411</t>
  </si>
  <si>
    <t>[C_2] Date 값은 필수입력 값으로 보이나 값을 넣지 않아도 조회가 됨
[C-3] 화면의 첫 째 필드에 커셔가 Set focus되어 있지 않음</t>
  </si>
  <si>
    <t>UT-CARF039S(A)</t>
  </si>
  <si>
    <t>DEF-03526</t>
  </si>
  <si>
    <t>[[S_3]이름필드에 한글 25자 넘어가면 다음과 같은 에러가 남</t>
  </si>
  <si>
    <t>UT-CARF011S(A)</t>
  </si>
  <si>
    <t>DEF-03458</t>
  </si>
  <si>
    <t xml:space="preserve">[C_3] 화면의 첫 째 필드에 커셔가 Set focus되어 있지 않음 </t>
  </si>
  <si>
    <t>UT-CARF010S(A)</t>
  </si>
  <si>
    <t>DEF-03455</t>
  </si>
  <si>
    <t>[C_3] Set focus가  첫 화면에 위치하지 않음</t>
  </si>
  <si>
    <t>UT-CASY053S(A)</t>
  </si>
  <si>
    <t>DEF-03416</t>
  </si>
  <si>
    <t>[c_2]필수입력 오루 
[c_3] 화면의 첫 째 필드에 커셔가 Set focus되어 있지않음
[x_001] 시나리오문서상  메세지 값과 실제 메세지 내용이 다</t>
  </si>
  <si>
    <t>UT-CARF001S(A)</t>
  </si>
  <si>
    <t>DEF-03533</t>
  </si>
  <si>
    <t>[S_4]Min Work Time을 3분에서 4분으로 바꾸었더니 서버오류가 남
왜 에러가 났는지  알기 어려움</t>
  </si>
  <si>
    <t>DEF-03546</t>
  </si>
  <si>
    <t xml:space="preserve">[S_4] Average Flight Speed 입력시 5자리 넘으면 서버 오류 메세지 </t>
  </si>
  <si>
    <t>UT-CARF003S(A)</t>
  </si>
  <si>
    <t>DEF-03551</t>
  </si>
  <si>
    <t xml:space="preserve">[S_4] Aircraft Crew Count 4자리 이상 입력 경우 오류 </t>
  </si>
  <si>
    <t>UT-CARF032S(A)</t>
  </si>
  <si>
    <t>DEF-03492</t>
  </si>
  <si>
    <t>[s_5]이미지 Upload후 다시 조회 하면 이미지가 보이지 않음</t>
  </si>
  <si>
    <t>UT-CASY051S(A)</t>
  </si>
  <si>
    <t>DEF-03407</t>
  </si>
  <si>
    <t>[C_7]필수값 일자를 넣지 않을때 정확한 메세지가 나오지 않음
[C_3} 화면의 첫 째 필드에 커셔가 Set focus되어 있지 않음
[X_001]테스트  시나리오에는 조회시작일자,종료일자에 데한 체크시나리오가 있는데, 테스트 화면에 날자는 단일 입력날자로 되어 있음.  테스트시나리오 수정 필요</t>
  </si>
  <si>
    <t>UT-CARF038S(A)</t>
  </si>
  <si>
    <t>DEF-03522</t>
  </si>
  <si>
    <t>[S_3] 수정시 오류 
[C_11] 입력항목 값 입력 시 한글필드가 입력 됨</t>
  </si>
  <si>
    <t>UT-CASY048S(A)</t>
  </si>
  <si>
    <t>DEF-03405</t>
  </si>
  <si>
    <t>[C_5] 8일 초과 할수 없다고 메세지는 나오나 데이터 값을 넣지 않으면 전체가 조회 됨
PS : 시나리오에 해당 테스트가 작성 되지 않아 메세지가 적정하게 표출되지 않는 것으로 판단 공통에러로 표기 함</t>
  </si>
  <si>
    <t>UT-CASY047S(A)</t>
  </si>
  <si>
    <t>DEF-03404</t>
  </si>
  <si>
    <t>[S_3] 최대조회기간 8일 초과 할수 없으나 전체가 조회 됨
[X_001]테스트 시나리오의 메세지 내용과 테스트시 메세지 내용이 다름</t>
  </si>
  <si>
    <t>UT-CA-SP33(A)</t>
  </si>
  <si>
    <t>DEF-03720</t>
  </si>
  <si>
    <t xml:space="preserve">[S_1,2,3,4,5]  JDBC-90603:Invalid operation: disconnected from the server.
</t>
  </si>
  <si>
    <t>김태훈</t>
  </si>
  <si>
    <t>UT-CA-SP31(A)</t>
  </si>
  <si>
    <t>DEF-03771</t>
  </si>
  <si>
    <t>[S_1]SQL Error [23000]: JDBC-10007:UNIQUE constraint violation ('CAOWN'.'PK_TN_CA_USER_SESS').
[S_2] SQL Error [ERRPS]: JDBC-15146:PSM compilation error.</t>
  </si>
  <si>
    <t>UT-CASY046S(A)</t>
  </si>
  <si>
    <t>DEF-03402</t>
  </si>
  <si>
    <t>{S_5]메세지는 조회기간 8일을 초과 할구 없다고 나오나 DATE를 입력하지 않으면 전체일자가 모두 조회 됨</t>
  </si>
  <si>
    <t>DEF-03760</t>
  </si>
  <si>
    <t>[S_44] 그룹리스트 상위그룹명,상세그룹명  자리수 check 
[s_63] excel Upload시 check 없이 그대로 저장됨 
[S_68] 발송요청일 값을 안넣어도 조회됨
[s_69] 응답일시 시간 체크 필요
[s_70] 요청일시(2차)는 수정이 안됨(display mode)
[s_74] 엑셀 추출권한이 없음</t>
  </si>
  <si>
    <t>UT-CA-SP22(A)</t>
  </si>
  <si>
    <t>DEF-03689</t>
  </si>
  <si>
    <t xml:space="preserve">[s_1] TN_CA_SMS_USER(SMS사용자) 테이블에 INSERT 시 SQL Error [ERRTX]: JDBC-21008:Savepoint 'SVP1' was not found. </t>
  </si>
  <si>
    <t>UT-CA-SP28(A)</t>
  </si>
  <si>
    <t>DEF-03697</t>
  </si>
  <si>
    <t xml:space="preserve">[S_1] SQL ERROR </t>
  </si>
  <si>
    <t>UT-CASY013S</t>
  </si>
  <si>
    <t>DEF-03727</t>
  </si>
  <si>
    <t>[X_001]테스트 시나리오에 결과서 없음</t>
  </si>
  <si>
    <t>UT-CASY041S</t>
  </si>
  <si>
    <t>DEF-03575</t>
  </si>
  <si>
    <t>[S_2] 전체 조회의 경우 CSDL 연계상태 와 메세지 송신현황 조회기준을 모르겠음.  시스템 id를 클릭하면 그 시스템 id에 해당하는 메세지 송신현황이 보여야 하나 반응이 없음
마스테 메세지송신 에러현황도 반을을 하지 않음
- 메세지 송신형황에서 시스템 id 에 SACP가 보이는데 , 시스템 id 팝업에는 해당 id가 없음</t>
  </si>
  <si>
    <t>UT-CAMN007M</t>
  </si>
  <si>
    <t>DEF-03725</t>
  </si>
  <si>
    <t>[X_001]테스트 시나리오에 테스트 결과서 없음</t>
  </si>
  <si>
    <t>UT-CARF032S</t>
  </si>
  <si>
    <t>DEF-03658</t>
  </si>
  <si>
    <t xml:space="preserve">[S-3].추가입력시 Airline Code, ICAO코드, Unit  System ID 가  Default로 뜸. list box의 입력 값을 변경할 수 없음 </t>
  </si>
  <si>
    <t>UT-CARF034S</t>
  </si>
  <si>
    <t>DEF-03661</t>
  </si>
  <si>
    <t xml:space="preserve">
[S_3] Countes ID 5자리 이상 값이 들어가면 시스템 오류 , 한글도 입력 됨 
==&gt; check-in Count내용이 잘못 들어감  기각처리 해 주세요. </t>
  </si>
  <si>
    <t>UT-CA-SP22</t>
  </si>
  <si>
    <t>DEF-03688</t>
  </si>
  <si>
    <t xml:space="preserve">[s_2] sql 에러 
TN_CA_SMS_USER(SMS사용자) 테이블에 UPDATE 시 </t>
  </si>
  <si>
    <t>UT-CA-SP40</t>
  </si>
  <si>
    <t>DEF-03712</t>
  </si>
  <si>
    <t xml:space="preserve">[x_001]테스트 결과서 없음 </t>
  </si>
  <si>
    <t>UT-CARF003S</t>
  </si>
  <si>
    <t>DEF-03584</t>
  </si>
  <si>
    <t>[S_4] 신규 생성시 
. Other Information 항목에 Aircraft Remark가 300byte까지 입력 가능하나, 100byte 까지만 입력됨.
test 값 : Registration No - B309Q, B309u</t>
  </si>
  <si>
    <t>UT-CASY052S</t>
  </si>
  <si>
    <t>DEF-03614</t>
  </si>
  <si>
    <t>[S_2] date에 값을 넣지 않을때 오류
[C-3] 화면의 첫 째 필드에 커셔가 Set focus되어 있지 않음</t>
  </si>
  <si>
    <t>UT-CASY044S</t>
  </si>
  <si>
    <t>DEF-03592</t>
  </si>
  <si>
    <t>[S_2] Timestamp에 값을 넣지 않으면 전체가 조회 됨</t>
  </si>
  <si>
    <t>UT-CASY047S</t>
  </si>
  <si>
    <t>DEF-03603</t>
  </si>
  <si>
    <t xml:space="preserve">[S_3] DATE값을 넣지 않으면 최대조회기간 8일 초과 할수 없으나 전체가 조회 됨 </t>
  </si>
  <si>
    <t>UT-CASY043S</t>
  </si>
  <si>
    <t>DEF-03582</t>
  </si>
  <si>
    <t xml:space="preserve">[S_2] 최대 조회기간이 2일을 초과 할수 없는데 Timestamp에 값을 넣지 않으면 전체 Data를 다 가져 옴 </t>
  </si>
  <si>
    <t>UT-CASY046S</t>
  </si>
  <si>
    <t>DEF-03597</t>
  </si>
  <si>
    <t>[S_3]DATA에 값을 넣지 않으면 전체 DATA가 조회 됨</t>
  </si>
  <si>
    <t>DEF-03628</t>
  </si>
  <si>
    <t xml:space="preserve">[S_2]과거일을 조회할 수 없음 </t>
  </si>
  <si>
    <t>UT-CASY053S</t>
  </si>
  <si>
    <t>DEF-03616</t>
  </si>
  <si>
    <t>[c_2]필수입력 오류 
[c_3] 화면의 첫 째 필드에 커셔가 Set focus되어 있지않음
[x_001] 시나리오문서상  메세지 값과 실제 메세지 내용이 다름</t>
  </si>
  <si>
    <t>UT-CARF002S</t>
  </si>
  <si>
    <t>DEF-03601</t>
  </si>
  <si>
    <t>[C_11] Aircraft Type Description 입력란이 500byte 까지 인데 500byte 이상 입력이 가능함. 단, 500byte 이상 입력 후 저장 시 오류메세지 뜸</t>
  </si>
  <si>
    <t>UT-CARF011S</t>
  </si>
  <si>
    <t>DEF-03633</t>
  </si>
  <si>
    <t xml:space="preserve">[s_3] Runway ID 한글로 입력하면 에레 
[S_6]여러건 입력시 Use Y/N을 1건만 입력하고 다른건은 입력하지 않아도  저장됨
</t>
  </si>
  <si>
    <t>UT-CARF026S</t>
  </si>
  <si>
    <t>DEF-03645</t>
  </si>
  <si>
    <t>[S_3]여러건 동시에 입력시 use yn 및 sort order 입력 하지 않아도 저장 됨</t>
  </si>
  <si>
    <t>UT-CARF029S</t>
  </si>
  <si>
    <t>DEF-03651</t>
  </si>
  <si>
    <t xml:space="preserve">[S_3]여러건 입력시 필수필드 입력 하지 않아도 저장 </t>
  </si>
  <si>
    <t>UT-CARF030S</t>
  </si>
  <si>
    <t>DEF-03652</t>
  </si>
  <si>
    <t xml:space="preserve">[S_3]여러건 입력시 필수필드 누락 되어도 처리 
</t>
  </si>
  <si>
    <t>UT-CARF035S</t>
  </si>
  <si>
    <t>DEF-03662</t>
  </si>
  <si>
    <t>[S_3] Count ID  5자리이상 입력 하면 오류 , 한글도 입력 됨</t>
  </si>
  <si>
    <t>UT-CA-SP38</t>
  </si>
  <si>
    <t>DEF-03709</t>
  </si>
  <si>
    <t>[S_2]  SMS수신테이블에 UPDATE 오류</t>
  </si>
  <si>
    <t>UT-CA-SP39</t>
  </si>
  <si>
    <t>DEF-03711</t>
  </si>
  <si>
    <t xml:space="preserve">[s_2][s_3  'SP_ESB_SMSRPLYFIMS_RCV' 호출 시 인수의 갯수나 유형이 잘못되었습니다
</t>
  </si>
  <si>
    <t>UT-CA-SP41</t>
  </si>
  <si>
    <t>DEF-03722</t>
  </si>
  <si>
    <t>[S_1]'CAOWN.SP_CA_PERS_INFO_CONFF_INSERT' 식별자가 정의되어야 합니다
[S_2] 'CAOWN.SP_CA_PERS_INFO_CONFF_INSERT' 식별자가 정의되어야 합니다</t>
  </si>
  <si>
    <t>UT-CA-SP42</t>
  </si>
  <si>
    <t>DEF-03723</t>
  </si>
  <si>
    <t xml:space="preserve">[S_1]SQL ERROR </t>
  </si>
  <si>
    <t>UT-CARF036S</t>
  </si>
  <si>
    <t>DEF-03663</t>
  </si>
  <si>
    <t xml:space="preserve">[S_3]여러건 처리시 필수항목 입려하지 않아도 저장 </t>
  </si>
  <si>
    <t>UT-CARF001S</t>
  </si>
  <si>
    <t>DEF-03669</t>
  </si>
  <si>
    <t>[S_5] Aircraft Type에 Work List를 추가하거나, Detail을 변경 하면 오류가 남</t>
  </si>
  <si>
    <t>UT-CARF031S</t>
  </si>
  <si>
    <t>DEF-03654</t>
  </si>
  <si>
    <t>[s_3] 데이터 입력시 알수없는 오류가 남</t>
  </si>
  <si>
    <t>UT-CASY051S</t>
  </si>
  <si>
    <t>DEF-03611</t>
  </si>
  <si>
    <t>UT-CASY048S</t>
  </si>
  <si>
    <t>DEF-03609</t>
  </si>
  <si>
    <t>[S_2] Date값을 넣지 않으면 최대조회기간 8일 초과 할수 없으나 전체가 조회 됨</t>
  </si>
  <si>
    <t>UT-GO-SP8</t>
  </si>
  <si>
    <t>공항운영(GO)</t>
  </si>
  <si>
    <t>DEF-03517</t>
  </si>
  <si>
    <t>[S_1] DECLARE문 실행시 계속 실행되고 종료가 안됨</t>
  </si>
  <si>
    <t>신문호</t>
  </si>
  <si>
    <t>정병환</t>
  </si>
  <si>
    <t>UT-GO12506R</t>
  </si>
  <si>
    <t>DEF-03400</t>
  </si>
  <si>
    <t>[S_1] 2019년도 하계성수기만 조회 가능함 확인 핗료</t>
  </si>
  <si>
    <t>UT-GO11960S</t>
  </si>
  <si>
    <t>DEF-03384</t>
  </si>
  <si>
    <t>[S_4] 운항실적 기준 탭에서 엑셀 다운로드시  승객예약 기준 자료가 다운로드 됨 확인 필요</t>
  </si>
  <si>
    <t>UT-GO21401S</t>
  </si>
  <si>
    <t>DEF-03394</t>
  </si>
  <si>
    <t>[S_6] 저장 버튼 클릭시 저장되지 않음</t>
  </si>
  <si>
    <t>UT-GO-SP133</t>
  </si>
  <si>
    <t>DEF-03504</t>
  </si>
  <si>
    <t>[S_2-1] SQL 실행 에러</t>
  </si>
  <si>
    <t>UT-GO12903S</t>
  </si>
  <si>
    <t>DEF-03403</t>
  </si>
  <si>
    <t>UT-GO-SP9</t>
  </si>
  <si>
    <t>DEF-03515</t>
  </si>
  <si>
    <t>UT-MESRS023S</t>
  </si>
  <si>
    <t>DEF-03409</t>
  </si>
  <si>
    <t>[S_9]신규 생성후 저장시 저장이 안됨.</t>
  </si>
  <si>
    <t>UT-MESRS031S</t>
  </si>
  <si>
    <t>DEF-03418</t>
  </si>
  <si>
    <t>[C_11]power 수치 입력에대한 제한값이 없음(1~100%)</t>
  </si>
  <si>
    <t>UT-MESMF041S</t>
  </si>
  <si>
    <t>DEF-03508</t>
  </si>
  <si>
    <t>[S_9]그룹 대상자 목록 수정 후 저장시 변경사항이 없다는 메세지창 뜸.</t>
  </si>
  <si>
    <t>UT-ES-SP166</t>
  </si>
  <si>
    <t>DEF-03629</t>
  </si>
  <si>
    <t>[S_1] sql 오류발생</t>
  </si>
  <si>
    <t>UT-ES-SP167</t>
  </si>
  <si>
    <t>DEF-03630</t>
  </si>
  <si>
    <t>UT-CP-SP13</t>
  </si>
  <si>
    <t>비상계획(CP)</t>
  </si>
  <si>
    <t>DEF-03686</t>
  </si>
  <si>
    <t>[S_2] SQL 오류남</t>
  </si>
  <si>
    <t>UT-PM10107S</t>
  </si>
  <si>
    <t>DEF-03489</t>
  </si>
  <si>
    <t>[S_6] 
화면: 검색조건에 맞는 데이터가 하나도 나오지 않음
엑셀다운로드: 전체 데이터가 나오는 듯함
(검색조건 다르게 걸어도 화면과 동일하게 엑셀 다운되지 않음)</t>
  </si>
  <si>
    <t>pmtbd3</t>
  </si>
  <si>
    <t>UT-PM20157S</t>
  </si>
  <si>
    <t>DEF-03396</t>
  </si>
  <si>
    <t>[S_6] 
시뮬레이션 이력이 저장되지 않음</t>
  </si>
  <si>
    <t>노세찬</t>
  </si>
  <si>
    <t>DEF-03488</t>
  </si>
  <si>
    <t>[C_19] 
행 수정 후 저장완료하였는데 왼쪽 수정 아이콘이 사라지지 않음</t>
  </si>
  <si>
    <t>UT-PM20161M</t>
  </si>
  <si>
    <t>DEF-03444</t>
  </si>
  <si>
    <t>[X_1] 
1920*1080, 크롬 100% 배율
최초 조회시 그래프 이미지 사이즈가 맞지 않음 (스크롤바도 안보임)
한번 배율 조정후에야 스크롤바 보임</t>
  </si>
  <si>
    <t>UT-PM20160S</t>
  </si>
  <si>
    <t>DEF-03448</t>
  </si>
  <si>
    <t>[C_5] 
시뮬레이션 결과값이 정상적으로 저장되었는지의 메시지 표출이 없음</t>
  </si>
  <si>
    <t>DEF-03447</t>
  </si>
  <si>
    <t>[X_2] 
테이블 초기 선택 row가 마지막 행으로 되어있음</t>
  </si>
  <si>
    <t>UT-PM20159S</t>
  </si>
  <si>
    <t>DEF-03443</t>
  </si>
  <si>
    <t>[X_3] 
헤더명 결함 추정
동편 -&gt; 선택한 라디오 값 (출국장1/출국장2)</t>
  </si>
  <si>
    <t>DEF-03441</t>
  </si>
  <si>
    <t>DEF-03439</t>
  </si>
  <si>
    <t>DEF-03437</t>
  </si>
  <si>
    <t>UT-PM20158S</t>
  </si>
  <si>
    <t>DEF-03408</t>
  </si>
  <si>
    <t>DEF-03417</t>
  </si>
  <si>
    <t>DEF-03410</t>
  </si>
  <si>
    <t>[S_2] 
서편 선택시에도 테이블에 동편 데이터로 나옴</t>
  </si>
  <si>
    <t>DEF-03393</t>
  </si>
  <si>
    <t xml:space="preserve">[S_5] 
최초 조회시 (2026-01-19 기준) 그래프 값 정상 확인
2번째 조회시 (2026-01-01 기준) 값이 이전 값 그대로 유지됨, 업데이트가 되지 않음 </t>
  </si>
  <si>
    <t>DEF-03413</t>
  </si>
  <si>
    <t>DEF-03389</t>
  </si>
  <si>
    <t>DEF-03440</t>
  </si>
  <si>
    <t>UT-PM10204S</t>
  </si>
  <si>
    <t>DEF-03495</t>
  </si>
  <si>
    <t>[S_5] 
화면상 검색 데이터와 엑셀다운로드 데이터가 맞지 않음</t>
  </si>
  <si>
    <t>pmtbd2</t>
  </si>
  <si>
    <t>UT-PM10202S</t>
  </si>
  <si>
    <t>DEF-03494</t>
  </si>
  <si>
    <t>DEF-03436</t>
  </si>
  <si>
    <t>DEF-03434</t>
  </si>
  <si>
    <t>UT-PM20156S</t>
  </si>
  <si>
    <t>DEF-03388</t>
  </si>
  <si>
    <t>DEF-03412</t>
  </si>
  <si>
    <t>DEF-03717</t>
  </si>
  <si>
    <t>[C_11]
"메모" 입력 자리수 제한 필요
(출국장운영시간설정관리 페이지 동일)</t>
  </si>
  <si>
    <t>DEF-03446</t>
  </si>
  <si>
    <t>DEF-03383</t>
  </si>
  <si>
    <t>DEF-03719</t>
  </si>
  <si>
    <t xml:space="preserve">[S_2]
운영여부 변경후 완료버튼 누르면 서버오류 알림이 뜸 </t>
  </si>
  <si>
    <t>DEF-03381</t>
  </si>
  <si>
    <t>[X_1] 
1920*1080, 크롬 100% 배율
최초 조회시 그래프 이미지 사이즈가 맞지 않음 (스크롤바도 안보임)
한번 배율 조정후에야 스크롤바 보임
(동일건들은 기각하셔도 됩니다!)</t>
  </si>
  <si>
    <t>UT-PM10106S</t>
  </si>
  <si>
    <t>DEF-03485</t>
  </si>
  <si>
    <t>[C_13] 
종료일이 시작일보다 과거여도 아무 알림이 뜨지 않고 검색도 되지 않음</t>
  </si>
  <si>
    <t>조은지</t>
  </si>
  <si>
    <t>DEF-03397</t>
  </si>
  <si>
    <t>UT-PM10105S</t>
  </si>
  <si>
    <t>DEF-03486</t>
  </si>
  <si>
    <t>UT-FP-SP108</t>
  </si>
  <si>
    <t>DEF-03632</t>
  </si>
  <si>
    <t>[S_2] 적재 확인 불가</t>
  </si>
  <si>
    <t>DEF-03631</t>
  </si>
  <si>
    <t>[S_1] 적재 확인 불가</t>
  </si>
  <si>
    <t>UT-FP-SP109</t>
  </si>
  <si>
    <t>DEF-03639</t>
  </si>
  <si>
    <t>[S_3] 데이터 적재 확인 불가</t>
  </si>
  <si>
    <t>DEF-03640</t>
  </si>
  <si>
    <t>[S_4] 데이터 적재 확인 불가</t>
  </si>
  <si>
    <t>UT-FP-SP111</t>
  </si>
  <si>
    <t>DEF-03635</t>
  </si>
  <si>
    <t>[S_3] 적재 확인 불가</t>
  </si>
  <si>
    <t>UT-FPFA101S</t>
  </si>
  <si>
    <t>DEF-03459</t>
  </si>
  <si>
    <t>[C_12] 검색기간이 2일 이내인데 2일을 초과할 수 없습니다라고 뜸</t>
  </si>
  <si>
    <t>UT-FPMG031M</t>
  </si>
  <si>
    <t>DEF-03467</t>
  </si>
  <si>
    <t>[S_5] 시험데이터가 조회되지 않는 관계로 다른 데이터로 테스트. error log가 존재하는 정보임에도 존재를 error log 버튼이 활성화되지 않음,</t>
  </si>
  <si>
    <t>DEF-03464</t>
  </si>
  <si>
    <t>[C_16] DATE 간격이 3일인데, 3일을 '초과'할 수 없다라는 문구가 뜸</t>
  </si>
  <si>
    <t>UT-FPMG032M</t>
  </si>
  <si>
    <t>DEF-03465</t>
  </si>
  <si>
    <t>[S_5] 시험 데이터가 조회되지 않는 관계로 다른 데이터로 테스트. error log가 존재하는 정보임에도 존재를 error log 버튼이 활성화되지 않음</t>
  </si>
  <si>
    <t>DEF-03523</t>
  </si>
  <si>
    <t>[C_12] 적어도 하나의 운항번호(FNL)를 입력해 주십시오라고 할 때, FNL -&gt; FLN 으로 오타</t>
  </si>
  <si>
    <t>UT-FPFA185S</t>
  </si>
  <si>
    <t>DEF-03435</t>
  </si>
  <si>
    <t>[S_8] [SELECT] 버튼 클릭하고 닫은 뒤, 다른 row를 선택하고 [SELECT] 버튼을 누르면 이전 데이터의 팝업이 계속 뜸</t>
  </si>
  <si>
    <t>DEF-03433</t>
  </si>
  <si>
    <t xml:space="preserve">[S_3] Unlink 체크박스 체크 시. 링크 운항편이 즉각적으로 출력되지 않음.
체크박스를 한번 더 미체크/체크 시, 링크 운항편이 출력됨. </t>
  </si>
  <si>
    <t>UT-FPMG055M</t>
  </si>
  <si>
    <t>DEF-03602</t>
  </si>
  <si>
    <t>[C_15] 날짜포맷에 맞지않은 형식이 들어감, submit도 가능</t>
  </si>
  <si>
    <t>UT-FPMG054M</t>
  </si>
  <si>
    <t>DEF-03585</t>
  </si>
  <si>
    <t>[C_15] 날짜가 32일도 입력이 됨 날짜 제한 체크 필요</t>
  </si>
  <si>
    <t>UT-FPMG059M</t>
  </si>
  <si>
    <t>DEF-03605</t>
  </si>
  <si>
    <t>UT-FPMG073M</t>
  </si>
  <si>
    <t>DEF-03670</t>
  </si>
  <si>
    <t>[S_3] 특정 Row를 클릭후 DELETE 버튼을 클릭해도 삭제가 완료되었습니다는 뜨지만, 리스트에서 Row는 남아있음. 총 갯수도 그대로임</t>
  </si>
  <si>
    <t>DEF-03406</t>
  </si>
  <si>
    <t>[S_4] 엑셀 다운로드시, FLT가 실제 검색 결과대로 출력되지 않음. ex) 7C2606 -&gt; 1, 2 ,3 이렇게 출력됨</t>
  </si>
  <si>
    <t>DEF-03692</t>
  </si>
  <si>
    <t>[C_11] 엑셀 업로드 시, 유효하지 않은 값(한글, 5자리 이상)이 입력 자체는 가능함. submit 시에 서버 오류 발생</t>
  </si>
  <si>
    <t>UT-RS-SP53</t>
  </si>
  <si>
    <t>DEF-03729</t>
  </si>
  <si>
    <t>[S_1] 
체크인카운터 신규데이터를 인서트시 무결성제약조건 에러가 발생</t>
  </si>
  <si>
    <t>양우창</t>
  </si>
  <si>
    <t>UT-RS-SP66</t>
  </si>
  <si>
    <t>DEF-03736</t>
  </si>
  <si>
    <t>[S_2] 
프로시저 실행 후 데이터 반영 (SELECT ) 확인시 0건 조회됨
SP_RS_WESCKNCTSSNPRESCH_RCV
(체크인카운터 가스케쥴입력 데이터 수신)
프로시저 테스트시에도 동일하게 0건 조회됨</t>
  </si>
  <si>
    <t>UT-RS-SP68</t>
  </si>
  <si>
    <t>DEF-03747</t>
  </si>
  <si>
    <t xml:space="preserve">[S_2]
샘플데이터 생성 후 프로시저 실행시 다음 무결성제약에러가 발생 </t>
  </si>
  <si>
    <t>UT-RS-SP44</t>
  </si>
  <si>
    <t>DEF-03769</t>
  </si>
  <si>
    <t xml:space="preserve">[X_1]
시나리오는 있는데 결과서가 없어 쿼리 테스트 불가 </t>
  </si>
  <si>
    <t>UT-RS-SP69</t>
  </si>
  <si>
    <t>DEF-03768</t>
  </si>
  <si>
    <t xml:space="preserve">[S_2]
프로시저 실행시 무결성 에러 남 </t>
  </si>
  <si>
    <t>UT-RSCI040S</t>
  </si>
  <si>
    <t>DEF-03519</t>
  </si>
  <si>
    <t>UT-RSPK076S</t>
  </si>
  <si>
    <t>DEF-03514</t>
  </si>
  <si>
    <t>DEF-03599</t>
  </si>
  <si>
    <t xml:space="preserve">[C_15]
MQT Active 단일선택으로 보이는데 radio button이 아님 </t>
  </si>
  <si>
    <t>UT-RSPK094M</t>
  </si>
  <si>
    <t>DEF-03516</t>
  </si>
  <si>
    <t>DEF-03578</t>
  </si>
  <si>
    <t>[S_7]
날짜 수정이 자유롭게 되지 않음.
원래 값: 2026-10-29
캘린더에서 변경하고자 하는 날짜를 선택하면 특정날짜 (2026-10-25) 이후만 선택이 됨. 2026-10-25 이전 날짜를 선택하면 2026-10-25로 강제변경됨 
(키보드로 타이핑시 정상 입력됨)</t>
  </si>
  <si>
    <t>UT-RSPK074S</t>
  </si>
  <si>
    <t>DEF-03512</t>
  </si>
  <si>
    <t>UT-RSPK073S</t>
  </si>
  <si>
    <t>DEF-03510</t>
  </si>
  <si>
    <t xml:space="preserve">[C_10]
공통 날짜 형식 yyyy-mm-dd 가 아님 </t>
  </si>
  <si>
    <t>DEF-03774</t>
  </si>
  <si>
    <t xml:space="preserve">[S_3] 
시작일이 종료일보다 커도 입력/조회가 됨 
</t>
  </si>
  <si>
    <t>UT-RS-SP71</t>
  </si>
  <si>
    <t>DEF-03671</t>
  </si>
  <si>
    <t>[S_2] 
테스트 결과서의 기대결과값과 다르게 나옴
45-&gt; 90</t>
  </si>
  <si>
    <t>UT-RS-SP73</t>
  </si>
  <si>
    <t>DEF-03666</t>
  </si>
  <si>
    <t xml:space="preserve">[S_1]
1번 ESB 샘플데이터 INSERT후, ESB수신 테이블 조회시
테스트 결과서는 2건인데, 총 12건이 조회됨
이후 무시하고 진행해도 결국 프로시저 
(CALL SP_RS_WESGAPADREQ_RCV()) 실행시 다음 에러가 남
SQL Error [30926] [99999]: ORA-30926: 원본 테이블의 고정 행 집합을 가져올 수 없습니다
ORA-06512: "RSOWN.SP_RS_WESGAPADREQ_RCV",  155행
ORA-06512: "RSOWN.SP_RS_WESGAPADREQ_RCV",  45행
https://docs.oracle.com/error-help/db/ora-30926/
</t>
  </si>
  <si>
    <t>DEF-03558</t>
  </si>
  <si>
    <t xml:space="preserve">[S_5] 
엑셀 업로드 오류
1. 2025년에 다운받은 양식 그대로 업로드 함
2. 엑셀에는 2015-10-25, 2016-03-26 인 값이 
   업로드 후 2026-10-25, 2027-03-27이 됨
3. 저장하면 화면에 아무것도 보이지 않음
4. 년도를 2026년으로 변경하면 방금 업로드 했던 데이터 확인 가능
5. 동일하게 2025년으로 업로드하면 3,4번 과정이 반복되며
   중복 업로드도 가능한것으로 확인 </t>
  </si>
  <si>
    <t>UT-RSPK075S</t>
  </si>
  <si>
    <t>[S_1] 
메뉴 진입하자마자 다음 에러가 뜸</t>
  </si>
  <si>
    <t>UT-RS-SP70</t>
  </si>
  <si>
    <t>DEF-03750</t>
  </si>
  <si>
    <t xml:space="preserve">[S_2]
샘플데이터 생성후 프로시저 실행시 다음 에러가 남
</t>
  </si>
  <si>
    <t>UT-RSPK055S</t>
  </si>
  <si>
    <t>DEF-03761</t>
  </si>
  <si>
    <t xml:space="preserve">[S_1]
화물 필드 재정렬시 "가용"이 아니라 "사용"에 마우스 오버시 그리드가 표출됨
 </t>
  </si>
  <si>
    <t>DEF-03561</t>
  </si>
  <si>
    <t>[S_4]
STD 시간 이상하게 입력했을때 다음 에러가 남
- 시간유효성 체크 필요
08:05로 변경하고 저장해도 동일한 제약조건 에러가 남</t>
  </si>
  <si>
    <t>DEF-03762</t>
  </si>
  <si>
    <t>[S_2]
검색 결과와 맞지 않음 
(penalty = N, use = ALL)</t>
  </si>
  <si>
    <t>UT-REPK001S</t>
  </si>
  <si>
    <t>DEF-03758</t>
  </si>
  <si>
    <t>[S_4] 배정(CREATE 버튼 클릭) 시 아래와 같은 오류 발생</t>
  </si>
  <si>
    <t>UT-REPK005S</t>
  </si>
  <si>
    <t>DEF-03737</t>
  </si>
  <si>
    <t>[X_1] 테스트 결과서 확인불가</t>
  </si>
  <si>
    <t>UT-RECR001S</t>
  </si>
  <si>
    <t>DEF-03675</t>
  </si>
  <si>
    <t>[C_1] 조회된 리스트에서 캐러셀 정렬을 할 때, 순서대로 조회되지않음.
한자리 숫자(2, 3)를 두자리 숫자(20, 30)로 인식하는 것 같음</t>
  </si>
  <si>
    <t>UT-REPK004S</t>
  </si>
  <si>
    <t>DEF-03681</t>
  </si>
  <si>
    <t>[C_1] 조회된 리스트에서 Stand 정렬을 할 때, 순서대로 조회되지않음.
두자리 숫자(11)를 세자리 숫자(110)로 인식하는 것 같음</t>
  </si>
  <si>
    <t>DEF-03676</t>
  </si>
  <si>
    <t>DEF-03738</t>
  </si>
  <si>
    <t>UT-RCCR009M</t>
  </si>
  <si>
    <t>DEF-03752</t>
  </si>
  <si>
    <t>신철진</t>
  </si>
  <si>
    <t>UT-RCCR008L</t>
  </si>
  <si>
    <t>DEF-03751</t>
  </si>
  <si>
    <t>[S_11] Print 클릭시 출력화면이 나오지 않음</t>
  </si>
  <si>
    <t>UT-AC01010M</t>
  </si>
  <si>
    <t>항공기관제(AC)</t>
  </si>
  <si>
    <t>DEF-03684</t>
  </si>
  <si>
    <t>단위 테스트 문서 없음</t>
  </si>
  <si>
    <t>조수일</t>
  </si>
  <si>
    <t>안소정</t>
  </si>
  <si>
    <t>UT-AC-SP58</t>
  </si>
  <si>
    <t>DEF-03569</t>
  </si>
  <si>
    <t>SP_ESB_ONOFFBLOCKTIMEVDG3_RCV() ; 실행 시
SQL Error [6576] [65000]: ORA-06576: 함수 또는 프로시저 이름이 부적합합니다</t>
  </si>
  <si>
    <t>이용혁</t>
  </si>
  <si>
    <t>UT-AC-SP51</t>
  </si>
  <si>
    <t>DEF-03565</t>
  </si>
  <si>
    <t>CALL SP_ESB_DEICING_INFO_RCV() ; 실행 시
SQL Error [6576] [65000]: ORA-06576: 함수 또는 프로시저 이름이 부적합합니다</t>
  </si>
  <si>
    <t>UT-AC-SP53</t>
  </si>
  <si>
    <t>DEF-03567</t>
  </si>
  <si>
    <t>CALL SP_ESB_DEICINGWORKTIMEKASS_RCV() ; 실행 시
SQL Error [6576] [65000]: ORA-06576: 함수 또는 프로시저 이름이 부적합합니다</t>
  </si>
  <si>
    <t>UT-AC-SP49</t>
  </si>
  <si>
    <t>DEF-03563</t>
  </si>
  <si>
    <t xml:space="preserve">CALL SP_ESB_ASDESPOTTIME_RCV() ; 실행 시
SQL Error [6576] [65000]: ORA-06576: 함수 또는 프로시저 이름이 부적합합니다
</t>
  </si>
  <si>
    <t>UT-AC-SP48</t>
  </si>
  <si>
    <t>DEF-03562</t>
  </si>
  <si>
    <t>CALL SP_ESB_AFSRAMPASDE_RCV(); 실행 시
SQL Error [6576] [65000]: ORA-06576: 함수 또는 프로시저 이름이 부적합합니다</t>
  </si>
  <si>
    <t>UT-AC-SP24</t>
  </si>
  <si>
    <t>DEF-03507</t>
  </si>
  <si>
    <t xml:space="preserve">SQL Error [6576] [65000]: ORA-06576: 함수 또는 프로시저 이름이 부적합합니다
</t>
  </si>
  <si>
    <t>UT-AC-SP22</t>
  </si>
  <si>
    <t>DEF-03502</t>
  </si>
  <si>
    <t>SP 실행 시 함수 또는 프로시저 이름 부적합</t>
  </si>
  <si>
    <t>UT-AC-SP21</t>
  </si>
  <si>
    <t>DEF-03499</t>
  </si>
  <si>
    <t>SP실행 시 함수 또는 프로시저 이름 부적합</t>
  </si>
  <si>
    <t>UT-AC-SP29</t>
  </si>
  <si>
    <t>DEF-03518</t>
  </si>
  <si>
    <t xml:space="preserve">SP 실행 시 오류
SQL Error [6576] [65000]: ORA-06576: 함수 또는 프로시저 이름이 부적합합니다
</t>
  </si>
  <si>
    <t>UT-AC-SP54</t>
  </si>
  <si>
    <t>DEF-03568</t>
  </si>
  <si>
    <t xml:space="preserve">CALL SP_ESB_ELECSTRIPARRARTS_RCV() ; 실행 시
SQL Error [6576] [65000]: ORA-06576: 함수 또는 프로시저 이름이 부적합합니다
</t>
  </si>
  <si>
    <t>UT-AC-SP50</t>
  </si>
  <si>
    <t>DEF-03564</t>
  </si>
  <si>
    <t>CALL SP_ESB_ASDESPOTTIME4TH_RCV() ; 실행 시
SQL Error [6576] [65000]: ORA-06576: 함수 또는 프로시저 이름이 부적합합니다</t>
  </si>
  <si>
    <t>UT-AC-SP35</t>
  </si>
  <si>
    <t>DEF-03544</t>
  </si>
  <si>
    <t>SQL Error [6550] [65000]: ORA-06550: 줄 25, 열1:PLS-00201: 'SP_AC_FIMSABNTRFFDSBLTY_SND' 식별자가 정의되어야 합니다
ORA-06550: 줄 25, 열1:PL/SQL: Statement ignored</t>
  </si>
  <si>
    <t>UT-AC-SP33</t>
  </si>
  <si>
    <t>DEF-03537</t>
  </si>
  <si>
    <t>SQL Error [6550] [65000]: ORA-06550: 줄 58, 열1:PLS-00201: 'SP_AC_FIMSARCFTAPRCTRL_SND' 식별자가 정의되어야 합니다
ORA-06550: 줄 58, 열1:PL/SQL: Statement ignored</t>
  </si>
  <si>
    <t>UT-AC-SP40</t>
  </si>
  <si>
    <t>DEF-03549</t>
  </si>
  <si>
    <t>SQL Error [6550] [65000]: ORA-06550: 줄 60, 열1:PLS-00201: 'SP_AC_FIMSELECFLTINFO_SND' 식별자가 정의되어야 합니다
ORA-06550: 줄 60, 열1:PL/SQL: Statement ignored</t>
  </si>
  <si>
    <t>UT-AC-SP39</t>
  </si>
  <si>
    <t>DEF-03548</t>
  </si>
  <si>
    <t>CALL SP_AC_CM_AZRT_DELETE('2025111100000006439615', to_char(CURRENT_TIMESTAMP,'YYYYMMDDHH24MISS.FF3') );
SP 실행 시 오류
SQL Error [6576] [65000]: ORA-06576: 함수 또는 프로시저 이름이 부적합합니다</t>
  </si>
  <si>
    <t>UT-AC-SP38</t>
  </si>
  <si>
    <t>DEF-03547</t>
  </si>
  <si>
    <t>SQL Error [6550] [65000]: ORA-06550: 줄 29, 열1:PLS-00201: 'SP_AC_FIMSCTRLTASKDIARY_SND' 식별자가 정의되어야 합니다
ORA-06550: 줄 29, 열1:PL/SQL: Statement ignored</t>
  </si>
  <si>
    <t>UT-AC-SP37</t>
  </si>
  <si>
    <t>DEF-03545</t>
  </si>
  <si>
    <t xml:space="preserve">SQL Error [6550] [65000]: ORA-06550: 줄 29, 열1:PLS-00201: 'SP_AC_FIMSACCOMCD_SND' 식별자가 정의되어야 합니다
ORA-06550: 줄 29, 열1:PL/SQL: Statement ignored
</t>
  </si>
  <si>
    <t>UT-AC-SP57</t>
  </si>
  <si>
    <t>DEF-03570</t>
  </si>
  <si>
    <t>SP_ESB_ONOFFBLOCKTIMEVDG1_RCV() ; 실행 시
SQL Error [6576] [65000]: ORA-06576: 함수 또는 프로시저 이름이 부적합합니다</t>
  </si>
  <si>
    <t>UT-AC-SP56</t>
  </si>
  <si>
    <t>DEF-03571</t>
  </si>
  <si>
    <t>SP_ESB_ONOFFBLOCKTIME_RCV() ; 실행 시
SQL Error [6576] [65000]: ORA-06576: 함수 또는 프로시저 이름이 부적합합니다</t>
  </si>
  <si>
    <t>UT-AC-SP52</t>
  </si>
  <si>
    <t>DEF-03566</t>
  </si>
  <si>
    <t xml:space="preserve">CALL SP_ESB_DEICINGWORKTIMEAAPS_RCV() ; 실행 시
SQL Error [6576] [65000]: ORA-06576: 함수 또는 프로시저 이름이 부적합합니다
</t>
  </si>
  <si>
    <t>UT-AC-SP55</t>
  </si>
  <si>
    <t>DEF-03572</t>
  </si>
  <si>
    <t>SP_ESB_ELECSTRIPDEPARTS_RCV() ; 실행 시
SQL Error [6576] [65000]: ORA-06576: 함수 또는 프로시저 이름이 부적합합니다</t>
  </si>
  <si>
    <t>UT-AC50010S</t>
  </si>
  <si>
    <t>DEF-03595</t>
  </si>
  <si>
    <t>[S_38] 제빙종료시간 입력 시 입력한 값이 반영되지 않음</t>
  </si>
  <si>
    <t>구혜지</t>
  </si>
  <si>
    <t>UT-AC06001S</t>
  </si>
  <si>
    <t>DEF-03461</t>
  </si>
  <si>
    <t>[S_06] order_number가 1부터 시작하지 않고 지정한 페이지당 출력할 숫자 + 1부터 시작. 프린트 결과는 정상.</t>
  </si>
  <si>
    <t>인터페이스</t>
  </si>
  <si>
    <t>UT-AC07002S</t>
  </si>
  <si>
    <t>DEF-03478</t>
  </si>
  <si>
    <t>[S_12] 캘린더 검색 문법 오류</t>
  </si>
  <si>
    <t>UT-FSEX080S</t>
  </si>
  <si>
    <t>항공보안(FS)</t>
  </si>
  <si>
    <t>DEF-03454</t>
  </si>
  <si>
    <t>[S_4] 행추가 저장시 오류 발생</t>
  </si>
  <si>
    <t>UT-FSEX080M</t>
  </si>
  <si>
    <t>DEF-03452</t>
  </si>
  <si>
    <t>[S_4] 저장시 저장 오류가 남</t>
  </si>
  <si>
    <t>UT-AS78101S</t>
  </si>
  <si>
    <t>DEF-03667</t>
  </si>
  <si>
    <t>"리포트명" 입력 후 검색 시 서버 오류 ALERT</t>
  </si>
  <si>
    <t>UT-AS77104S</t>
  </si>
  <si>
    <t>DEF-03665</t>
  </si>
  <si>
    <t>작성 목적 미입력 후 저장 시 발생하는 ALERT 텍스트 오타</t>
  </si>
  <si>
    <t>UT-AS72102S</t>
  </si>
  <si>
    <t>DEF-03673</t>
  </si>
  <si>
    <t>[S_03] 첨부파일 다운로드 실패</t>
  </si>
  <si>
    <t>UT-AS37701S</t>
  </si>
  <si>
    <t>DEF-03755</t>
  </si>
  <si>
    <t>검색 UI 미구현</t>
  </si>
  <si>
    <t>UT-AS33201S</t>
  </si>
  <si>
    <t>DEF-03706</t>
  </si>
  <si>
    <t>관계형 그래프로 보기 클릭 시 페이지 로드 에러</t>
  </si>
  <si>
    <t>UT-AS11101S</t>
  </si>
  <si>
    <t>DEF-03699</t>
  </si>
  <si>
    <t>[S_02]비로그인 상태에서 상단 메뉴 DW 클릭 시, Alert 발생 후 DW 페이지로 이동</t>
  </si>
  <si>
    <t>UT-AS33302S</t>
  </si>
  <si>
    <t>DEF-03749</t>
  </si>
  <si>
    <t>검색일자 임의 설정 후 검색 시 항상 데이터 없음 출력
Default(1일 전 ~ 현재일자)일자로 검색 시 데이터 정상 출력</t>
  </si>
  <si>
    <t>UT-AS31901S</t>
  </si>
  <si>
    <t>DEF-03759</t>
  </si>
  <si>
    <t>UT-AS31801S</t>
  </si>
  <si>
    <t>DEF-03757</t>
  </si>
  <si>
    <t>UT-AS78102M</t>
  </si>
  <si>
    <t>DEF-03668</t>
  </si>
  <si>
    <t>실제 값과 다른 그래프</t>
  </si>
  <si>
    <t>UT-AS37501S</t>
  </si>
  <si>
    <t>DEF-03754</t>
  </si>
  <si>
    <t>UT-AS37401S</t>
  </si>
  <si>
    <t>DEF-03753</t>
  </si>
  <si>
    <t>UT-FPFA004R</t>
  </si>
  <si>
    <t>DEF-03744</t>
  </si>
  <si>
    <t>[X_1] 테스트 결과서가 확인되지 않음(FPFA004R, FPFA014S, FPFA015S, FPFA101S, FPFA201S, FPFA211S)</t>
  </si>
  <si>
    <t>신규</t>
  </si>
  <si>
    <t>UT-FPFC071M</t>
  </si>
  <si>
    <t>DEF-03746</t>
  </si>
  <si>
    <t>[X_1] 테스트 결과서가 확인되지 않음(FPFC071M, FPFC084M, FPFC106M)</t>
  </si>
  <si>
    <t>UT-AC-SP43</t>
  </si>
  <si>
    <t>DEF-03553</t>
  </si>
  <si>
    <t>단위테스트결과서 없음</t>
  </si>
  <si>
    <t>UT-AC01024S</t>
  </si>
  <si>
    <t>DEF-03600</t>
  </si>
  <si>
    <t>단위테스트 문서 없음</t>
  </si>
  <si>
    <t>행 레이블</t>
  </si>
  <si>
    <t>총합계</t>
  </si>
  <si>
    <t>열 레이블</t>
  </si>
  <si>
    <t>개수 : 결함ID</t>
  </si>
  <si>
    <t>(다중 항목)</t>
  </si>
  <si>
    <t xml:space="preserve">[S_3]신규입력시 메모리에 남아있는 값이 입력을 하지 않았는데 나타 남
    업무가 그렇게 정의 되었다면 기각 하십시오. </t>
    <phoneticPr fontId="3" type="noConversion"/>
  </si>
  <si>
    <t>[S_3] SP_ESB_ARTS3RP_FLTPLAN 호출되지 않음</t>
    <phoneticPr fontId="3" type="noConversion"/>
  </si>
  <si>
    <t>[S_1] ) 테이블에 INSERT 안됨	- 
이 테스트 내용은 UT-SP_ESB_SMSRQSTAOMS_SND 내용을 잘못 처리 함. 
SP_CA_SMSRQST_SND,시나리오는 테스티 시나리오와 결과서가 없음</t>
    <phoneticPr fontId="3" type="noConversion"/>
  </si>
  <si>
    <t>DEF-03705</t>
    <phoneticPr fontId="3" type="noConversion"/>
  </si>
  <si>
    <t>[S_1] 초기 화면 진입 시, 검색을 하지 않았는데도 '검색된 결과가 없습니다'란 팝업이 뜸</t>
    <phoneticPr fontId="3" type="noConversion"/>
  </si>
  <si>
    <t xml:space="preserve">[X_1]선행 조회에 나온 결과가 있었고, 조회조건을 RESET 하고 새롭게 조회하면 선행 결과에서 선택한 GRID에 커서가 선택되어 있습니다.
즉 새로 조회하면 GRID 첫 라인에 커서가 선택되어 있지 않습니다.
첨부된 케이스는 처음조회 시 
분석유형명에 "활" 입력 후 조회 한다음
모든 조회 조건을 삭제하고 재조회 한 경우 8번라인에 커서가 위치해 있는 경우입니다.
</t>
    <phoneticPr fontId="3" type="noConversion"/>
  </si>
  <si>
    <t>DEF-03474</t>
    <phoneticPr fontId="3" type="noConversion"/>
  </si>
  <si>
    <t>[C_9] 아이콘이 'Alarm' 메뉴 겹쳐져 있어, 깨진 현상이 발생. MicroSoft edge 에서 테스트</t>
    <phoneticPr fontId="3" type="noConversion"/>
  </si>
  <si>
    <t>[C_1] Search 버튼이 겹쳐서 가려짐</t>
    <phoneticPr fontId="3" type="noConversion"/>
  </si>
  <si>
    <t>[S_3] STY가 NEW이지만, 5) via 입력 불가능</t>
    <phoneticPr fontId="3" type="noConversion"/>
  </si>
  <si>
    <t>[C_15] 날짜 포맷에 맞지 않는 형식이 저장됨</t>
    <phoneticPr fontId="3" type="noConversion"/>
  </si>
  <si>
    <t>[S_2]TYS 값이 readonly가 아니라, reg랑 상관없이 TYS 값을 변경하고 submit 시 서버오류가 발생</t>
    <phoneticPr fontId="3" type="noConversion"/>
  </si>
  <si>
    <t>[S_5]
선택한 라디오와 전체 값을 비교했을때
헤더도 다르고, 숫자값도 다름</t>
    <phoneticPr fontId="3" type="noConversion"/>
  </si>
  <si>
    <t>[X_1] 
오후 2시 -&gt;  14시로 표시되면 좋을것같습니다
(출국장 페이지 동일)</t>
    <phoneticPr fontId="3" type="noConversion"/>
  </si>
  <si>
    <t>[C_2] 조회에서 주기장이 필수항목으로 푯되여 있으나 입력없이도 조회됨</t>
    <phoneticPr fontId="3" type="noConversion"/>
  </si>
  <si>
    <t>[X_2] 
테이블 초기 선택 row가 마지막 행으로 되어있음</t>
    <phoneticPr fontId="3" type="noConversion"/>
  </si>
  <si>
    <t>검색 조건 UI 없음</t>
    <phoneticPr fontId="3" type="noConversion"/>
  </si>
  <si>
    <t>[S_1]조회 시 오류 발생
기준일자 2025-10-01, 2025-10-02로 조회 시 오류 발생(첨부참조)
그외 몇개 일자 조회시 정상 조회됨</t>
    <phoneticPr fontId="3" type="noConversion"/>
  </si>
  <si>
    <t>[S_8]Common Code Detail 의 Code Description 입력 시 자리수 체크 
영문 및 숫자는 입력하는 동안 최대 허용 byte 초과시 입력되지 않고 바로 alert 메시지를 나타내나(정상), 한글을 입력하는 경우 1200자까지 입력이 되고 "저장" 버튼 클릭 시 alert 메시지가 표출됩니다 
*공통업무 체크 지침 상 작성하는 동안 alert 메시지가 표출되는 것이 원칙이라 전달받아 해당내용 남깁니다.</t>
    <phoneticPr fontId="3" type="noConversion"/>
  </si>
  <si>
    <t xml:space="preserve">[S_5]alarm 탭 활성화/비활성화
알람 있는 출발편을 클릭하였다가 없는 항목을 클릭하는 경우 여전히 Alarm 탭은 파란색으로 활성화 되어 있습니다. </t>
    <phoneticPr fontId="3" type="noConversion"/>
  </si>
  <si>
    <t>[S_2] Terminal 선택후 조회하면 모든 터미날 조회됨</t>
    <phoneticPr fontId="3" type="noConversion"/>
  </si>
  <si>
    <t>환경미비</t>
  </si>
  <si>
    <t>스키마 권한</t>
  </si>
  <si>
    <t>프로세스</t>
  </si>
  <si>
    <t>문서</t>
  </si>
  <si>
    <t>값검증</t>
  </si>
  <si>
    <t>화면</t>
  </si>
  <si>
    <t>데이터누락</t>
  </si>
  <si>
    <t>권한누락</t>
  </si>
  <si>
    <t>공통화면</t>
  </si>
  <si>
    <t>결함아님</t>
  </si>
  <si>
    <t>기</t>
  </si>
  <si>
    <t>기</t>
    <phoneticPr fontId="3" type="noConversion"/>
  </si>
  <si>
    <t>화</t>
  </si>
  <si>
    <t>화</t>
    <phoneticPr fontId="3" type="noConversion"/>
  </si>
  <si>
    <t>문</t>
  </si>
  <si>
    <t>문</t>
    <phoneticPr fontId="3" type="noConversion"/>
  </si>
  <si>
    <t>U</t>
  </si>
  <si>
    <t>U</t>
    <phoneticPr fontId="3" type="noConversion"/>
  </si>
  <si>
    <t>프</t>
  </si>
  <si>
    <t>프</t>
    <phoneticPr fontId="3" type="noConversion"/>
  </si>
  <si>
    <t>공</t>
  </si>
  <si>
    <t>공</t>
    <phoneticPr fontId="3" type="noConversion"/>
  </si>
  <si>
    <t>데</t>
  </si>
  <si>
    <t>데</t>
    <phoneticPr fontId="3" type="noConversion"/>
  </si>
  <si>
    <t>권</t>
  </si>
  <si>
    <t>권</t>
    <phoneticPr fontId="3" type="noConversion"/>
  </si>
  <si>
    <t>결함분류TAG</t>
    <phoneticPr fontId="3" type="noConversion"/>
  </si>
  <si>
    <t>값</t>
  </si>
  <si>
    <t>값</t>
    <phoneticPr fontId="3" type="noConversion"/>
  </si>
  <si>
    <t xml:space="preserve">[S_1]
1번 ESB 샘플데이터 INSERT후, ESB수신 테이블 조회시
테스트 결과서는 2건인데, 총 12건이 조회됨
이후 무시하고 진행해도 결국 프로시저 
(CALL SP_RS_WESGAPADREQ_RCV()) 실행시 다음 에러가 남
SQL Error [30926] [99999]: ORA-30926: 원본 테이블의 고정 행 집합을 가져올 수 없습니다
ORA-06512: "RSOWN.SP_RS_WESGAPADREQ_RCV",  155행
ORA-06512: "RSOWN.SP_RS_WESGAPADREQ_RCV",  45행
https://docs.oracle.com/error-help/db/ora-30926/
</t>
    <phoneticPr fontId="3" type="noConversion"/>
  </si>
  <si>
    <t>푸시SW(PUSH)</t>
  </si>
  <si>
    <t>총 대상</t>
  </si>
  <si>
    <t>공항운영관리
AOMS</t>
    <phoneticPr fontId="3" type="noConversion"/>
  </si>
  <si>
    <t>운항정보관리
FIMS</t>
    <phoneticPr fontId="3" type="noConversion"/>
  </si>
  <si>
    <t>상용</t>
    <phoneticPr fontId="3" type="noConversion"/>
  </si>
  <si>
    <t>계</t>
    <phoneticPr fontId="3" type="noConversion"/>
  </si>
  <si>
    <t>업무영역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</si>
</sst>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KoPub돋움체 Medium"/>
      <family val="3"/>
      <charset val="129"/>
    </font>
    <font>
      <b/>
      <sz val="12"/>
      <color rgb="FF000000"/>
      <name val="KoPub돋움체 Medium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0000"/>
      <name val="KoPub돋움체 Medium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1" xfId="0" applyFont="1" applyFill="1" applyBorder="1">
      <alignment vertical="center"/>
    </xf>
    <xf numFmtId="0" fontId="0" fillId="2" borderId="2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2" fillId="3" borderId="12" xfId="0" applyFont="1" applyFill="1" applyBorder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6" fontId="0" fillId="0" borderId="0" xfId="1" applyNumberFormat="1" applyFont="1">
      <alignment vertical="center"/>
    </xf>
    <xf numFmtId="0" fontId="4" fillId="0" borderId="15" xfId="0" applyFont="1" applyBorder="1" applyAlignment="1">
      <alignment horizontal="center" vertical="center" wrapText="1" readingOrder="1"/>
    </xf>
    <xf numFmtId="0" fontId="0" fillId="2" borderId="2" xfId="0" applyFont="1" applyFill="1" applyBorder="1" applyAlignment="1">
      <alignment vertical="center" wrapText="1"/>
    </xf>
    <xf numFmtId="22" fontId="0" fillId="2" borderId="2" xfId="0" applyNumberFormat="1" applyFont="1" applyFill="1" applyBorder="1">
      <alignment vertical="center"/>
    </xf>
    <xf numFmtId="22" fontId="0" fillId="2" borderId="14" xfId="0" applyNumberFormat="1" applyFont="1" applyFill="1" applyBorder="1">
      <alignment vertical="center"/>
    </xf>
    <xf numFmtId="22" fontId="0" fillId="0" borderId="2" xfId="0" applyNumberFormat="1" applyFont="1" applyBorder="1">
      <alignment vertical="center"/>
    </xf>
    <xf numFmtId="22" fontId="0" fillId="0" borderId="14" xfId="0" applyNumberFormat="1" applyFont="1" applyBorder="1">
      <alignment vertical="center"/>
    </xf>
    <xf numFmtId="0" fontId="0" fillId="0" borderId="2" xfId="0" applyFont="1" applyBorder="1" applyAlignment="1">
      <alignment vertical="center" wrapText="1"/>
    </xf>
    <xf numFmtId="0" fontId="4" fillId="0" borderId="15" xfId="0" applyFont="1" applyBorder="1" applyAlignment="1">
      <alignment horizontal="right" vertical="center" wrapText="1" readingOrder="1"/>
    </xf>
    <xf numFmtId="0" fontId="2" fillId="3" borderId="13" xfId="0" applyFont="1" applyFill="1" applyBorder="1" applyAlignment="1">
      <alignment horizontal="left" vertical="center"/>
    </xf>
    <xf numFmtId="0" fontId="2" fillId="3" borderId="13" xfId="0" applyNumberFormat="1" applyFont="1" applyFill="1" applyBorder="1">
      <alignment vertical="center"/>
    </xf>
    <xf numFmtId="0" fontId="6" fillId="4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right" vertical="center"/>
    </xf>
    <xf numFmtId="0" fontId="0" fillId="0" borderId="16" xfId="0" applyBorder="1">
      <alignment vertical="center"/>
    </xf>
    <xf numFmtId="0" fontId="6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6" xfId="0" applyFont="1" applyFill="1" applyBorder="1">
      <alignment vertical="center"/>
    </xf>
    <xf numFmtId="0" fontId="6" fillId="6" borderId="16" xfId="0" applyFont="1" applyFill="1" applyBorder="1" applyAlignment="1">
      <alignment horizontal="right" vertical="center"/>
    </xf>
    <xf numFmtId="0" fontId="5" fillId="7" borderId="16" xfId="0" applyFont="1" applyFill="1" applyBorder="1" applyAlignment="1">
      <alignment horizontal="center" vertical="center" wrapText="1" readingOrder="1"/>
    </xf>
    <xf numFmtId="0" fontId="8" fillId="5" borderId="16" xfId="0" applyFont="1" applyFill="1" applyBorder="1" applyAlignment="1">
      <alignment horizontal="center" vertical="center" wrapText="1" readingOrder="1"/>
    </xf>
  </cellXfs>
  <cellStyles count="2">
    <cellStyle name="백분율" xfId="1" builtinId="5"/>
    <cellStyle name="표준" xfId="0" builtinId="0"/>
  </cellStyles>
  <dxfs count="17">
    <dxf>
      <numFmt numFmtId="27" formatCode="yyyy/mm/dd\ h:mm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[3자결함_분석용.xlsx]Sheet2!피벗 테이블2</c:name>
    <c:fmtId val="20"/>
  </c:pivotSource>
  <c:chart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00C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1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Sheet2!$B$28:$B$29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Sheet2!$A$30</c:f>
              <c:strCache>
                <c:ptCount val="1"/>
                <c:pt idx="0">
                  <c:v>요약</c:v>
                </c:pt>
              </c:strCache>
            </c:strRef>
          </c:cat>
          <c:val>
            <c:numRef>
              <c:f>Sheet2!$B$30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2-459F-8A50-DDC3E357D894}"/>
            </c:ext>
          </c:extLst>
        </c:ser>
        <c:ser>
          <c:idx val="1"/>
          <c:order val="1"/>
          <c:tx>
            <c:strRef>
              <c:f>Sheet2!$C$28:$C$29</c:f>
              <c:strCache>
                <c:ptCount val="1"/>
                <c:pt idx="0">
                  <c:v>Major</c:v>
                </c:pt>
              </c:strCache>
            </c:strRef>
          </c:tx>
          <c:spPr>
            <a:solidFill>
              <a:srgbClr val="0000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Sheet2!$A$30</c:f>
              <c:strCache>
                <c:ptCount val="1"/>
                <c:pt idx="0">
                  <c:v>요약</c:v>
                </c:pt>
              </c:strCache>
            </c:strRef>
          </c:cat>
          <c:val>
            <c:numRef>
              <c:f>Sheet2!$C$30</c:f>
              <c:numCache>
                <c:formatCode>General</c:formatCode>
                <c:ptCount val="1"/>
                <c:pt idx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72-459F-8A50-DDC3E357D894}"/>
            </c:ext>
          </c:extLst>
        </c:ser>
        <c:ser>
          <c:idx val="2"/>
          <c:order val="2"/>
          <c:tx>
            <c:strRef>
              <c:f>Sheet2!$D$28:$D$29</c:f>
              <c:strCache>
                <c:ptCount val="1"/>
                <c:pt idx="0">
                  <c:v>Minor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72-459F-8A50-DDC3E357D8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Sheet2!$A$30</c:f>
              <c:strCache>
                <c:ptCount val="1"/>
                <c:pt idx="0">
                  <c:v>요약</c:v>
                </c:pt>
              </c:strCache>
            </c:strRef>
          </c:cat>
          <c:val>
            <c:numRef>
              <c:f>Sheet2!$D$30</c:f>
              <c:numCache>
                <c:formatCode>General</c:formatCode>
                <c:ptCount val="1"/>
                <c:pt idx="0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72-459F-8A50-DDC3E357D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266816"/>
        <c:axId val="521261824"/>
      </c:barChart>
      <c:catAx>
        <c:axId val="52126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261824"/>
        <c:crosses val="autoZero"/>
        <c:auto val="1"/>
        <c:lblAlgn val="ctr"/>
        <c:lblOffset val="100"/>
        <c:noMultiLvlLbl val="0"/>
      </c:catAx>
      <c:valAx>
        <c:axId val="52126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126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[3자결함_분석용.xlsx]Sheet2!피벗 테이블1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요약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Sheet2!$A$4:$A$11</c:f>
              <c:strCache>
                <c:ptCount val="7"/>
                <c:pt idx="0">
                  <c:v>UI</c:v>
                </c:pt>
                <c:pt idx="1">
                  <c:v>기능</c:v>
                </c:pt>
                <c:pt idx="2">
                  <c:v>기타</c:v>
                </c:pt>
                <c:pt idx="3">
                  <c:v>데이터</c:v>
                </c:pt>
                <c:pt idx="4">
                  <c:v>문서화</c:v>
                </c:pt>
                <c:pt idx="5">
                  <c:v>인터페이스</c:v>
                </c:pt>
                <c:pt idx="6">
                  <c:v>표준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17</c:v>
                </c:pt>
                <c:pt idx="1">
                  <c:v>110</c:v>
                </c:pt>
                <c:pt idx="2">
                  <c:v>7</c:v>
                </c:pt>
                <c:pt idx="3">
                  <c:v>13</c:v>
                </c:pt>
                <c:pt idx="4">
                  <c:v>4</c:v>
                </c:pt>
                <c:pt idx="5">
                  <c:v>1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7-4042-BFE6-06CBBD9A4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plotArea>
      <cx:plotAreaRegion>
        <cx:series layoutId="treemap" uniqueId="{E358F8D6-C756-4520-BA1A-E3438288091D}"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>
                    <a:latin typeface="KoPub돋움체 Medium" panose="00000600000000000000" pitchFamily="2" charset="-127"/>
                    <a:ea typeface="KoPub돋움체 Medium" panose="00000600000000000000" pitchFamily="2" charset="-127"/>
                    <a:cs typeface="KoPub돋움체 Medium" panose="00000600000000000000" pitchFamily="2" charset="-127"/>
                  </a:defRPr>
                </a:pPr>
                <a:endParaRPr lang="ko-KR" altLang="en-US" sz="1200" b="0" i="0" u="none" strike="noStrike" baseline="0">
                  <a:solidFill>
                    <a:sysClr val="window" lastClr="FFFFFF"/>
                  </a:solidFill>
                  <a:latin typeface="KoPub돋움체 Medium" panose="00000600000000000000" pitchFamily="2" charset="-127"/>
                  <a:ea typeface="KoPub돋움체 Medium" panose="00000600000000000000" pitchFamily="2" charset="-127"/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latin typeface="KoPub돋움체 Medium" panose="00000600000000000000" pitchFamily="2" charset="-127"/>
              <a:ea typeface="KoPub돋움체 Medium" panose="00000600000000000000" pitchFamily="2" charset="-127"/>
              <a:cs typeface="KoPub돋움체 Medium" panose="00000600000000000000" pitchFamily="2" charset="-127"/>
            </a:defRPr>
          </a:pPr>
          <a:endParaRPr lang="ko-KR" altLang="en-US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KoPub돋움체 Medium" panose="00000600000000000000" pitchFamily="2" charset="-127"/>
            <a:ea typeface="KoPub돋움체 Medium" panose="00000600000000000000" pitchFamily="2" charset="-127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41</xdr:row>
      <xdr:rowOff>57150</xdr:rowOff>
    </xdr:from>
    <xdr:to>
      <xdr:col>14</xdr:col>
      <xdr:colOff>438150</xdr:colOff>
      <xdr:row>54</xdr:row>
      <xdr:rowOff>76200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FAB430F-1734-46D3-91A6-5ACC08328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190500</xdr:colOff>
      <xdr:row>9</xdr:row>
      <xdr:rowOff>104775</xdr:rowOff>
    </xdr:from>
    <xdr:to>
      <xdr:col>11</xdr:col>
      <xdr:colOff>228600</xdr:colOff>
      <xdr:row>22</xdr:row>
      <xdr:rowOff>123825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4AB30FC-B473-40A4-9CA9-EEDDFDA29E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876300</xdr:colOff>
      <xdr:row>9</xdr:row>
      <xdr:rowOff>104775</xdr:rowOff>
    </xdr:from>
    <xdr:to>
      <xdr:col>12</xdr:col>
      <xdr:colOff>1476375</xdr:colOff>
      <xdr:row>22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차트 5">
              <a:extLst>
                <a:ext uri="{FF2B5EF4-FFF2-40B4-BE49-F238E27FC236}">
                  <a16:creationId xmlns:a16="http://schemas.microsoft.com/office/drawing/2014/main" id="{FE141655-1569-4B27-8AFC-36260A1575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91300" y="19907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9733;%20ITR2_2&#52264;_&#49688;&#54665;%20&#44208;&#44284;_01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r2_2_결과_pivot"/>
      <sheetName val="Iteration2_2차_3자_결과TMS202601280"/>
      <sheetName val="Itr2_2_결함_pivot"/>
      <sheetName val="Iteration2_2차_3자_결함TMS202601280"/>
      <sheetName val="Itr2_1_공사 결함_pivot"/>
      <sheetName val="Iteration2_1차_공사현업_결과TMS2026012"/>
    </sheetNames>
    <sheetDataSet>
      <sheetData sheetId="0">
        <row r="5">
          <cell r="A5" t="str">
            <v>A-CDM(CM)</v>
          </cell>
          <cell r="B5">
            <v>4</v>
          </cell>
          <cell r="C5">
            <v>74</v>
          </cell>
          <cell r="D5">
            <v>78</v>
          </cell>
        </row>
        <row r="6">
          <cell r="A6" t="str">
            <v>SLOT관리(SLOT)</v>
          </cell>
          <cell r="B6">
            <v>3</v>
          </cell>
          <cell r="C6">
            <v>16</v>
          </cell>
          <cell r="D6">
            <v>19</v>
          </cell>
        </row>
        <row r="7">
          <cell r="A7" t="str">
            <v>공통관리(AOMS-CA)</v>
          </cell>
          <cell r="B7">
            <v>22</v>
          </cell>
          <cell r="C7">
            <v>29</v>
          </cell>
          <cell r="D7">
            <v>51</v>
          </cell>
        </row>
        <row r="8">
          <cell r="A8" t="str">
            <v>공통관리(FIMS-CA)</v>
          </cell>
          <cell r="B8">
            <v>21</v>
          </cell>
          <cell r="C8">
            <v>30</v>
          </cell>
          <cell r="D8">
            <v>51</v>
          </cell>
        </row>
        <row r="9">
          <cell r="A9" t="str">
            <v>공항운영(GO)</v>
          </cell>
          <cell r="B9">
            <v>7</v>
          </cell>
          <cell r="C9">
            <v>35</v>
          </cell>
          <cell r="D9">
            <v>42</v>
          </cell>
        </row>
        <row r="10">
          <cell r="A10" t="str">
            <v>모바일(MES)</v>
          </cell>
          <cell r="B10">
            <v>1</v>
          </cell>
          <cell r="C10">
            <v>40</v>
          </cell>
          <cell r="D10">
            <v>41</v>
          </cell>
        </row>
        <row r="11">
          <cell r="A11" t="str">
            <v>모바일(WES)</v>
          </cell>
          <cell r="B11">
            <v>2</v>
          </cell>
          <cell r="C11">
            <v>17</v>
          </cell>
          <cell r="D11">
            <v>19</v>
          </cell>
        </row>
        <row r="12">
          <cell r="A12" t="str">
            <v>비상계획(CP)</v>
          </cell>
          <cell r="B12">
            <v>1</v>
          </cell>
          <cell r="C12">
            <v>17</v>
          </cell>
          <cell r="D12">
            <v>18</v>
          </cell>
        </row>
        <row r="13">
          <cell r="A13" t="str">
            <v>예측관리(PM)</v>
          </cell>
          <cell r="B13">
            <v>8</v>
          </cell>
          <cell r="C13">
            <v>14</v>
          </cell>
          <cell r="D13">
            <v>22</v>
          </cell>
        </row>
        <row r="14">
          <cell r="A14" t="str">
            <v>운항계획(FP)</v>
          </cell>
          <cell r="B14">
            <v>2</v>
          </cell>
          <cell r="C14">
            <v>88</v>
          </cell>
          <cell r="D14">
            <v>90</v>
          </cell>
        </row>
        <row r="15">
          <cell r="A15" t="str">
            <v>자원배정(RS)</v>
          </cell>
          <cell r="B15">
            <v>13</v>
          </cell>
          <cell r="C15">
            <v>52</v>
          </cell>
          <cell r="D15">
            <v>65</v>
          </cell>
        </row>
        <row r="16">
          <cell r="A16" t="str">
            <v>자원배정엔진(RE)</v>
          </cell>
          <cell r="B16">
            <v>3</v>
          </cell>
          <cell r="C16">
            <v>7</v>
          </cell>
          <cell r="D16">
            <v>10</v>
          </cell>
        </row>
        <row r="17">
          <cell r="A17" t="str">
            <v>자원배정차트(RC)</v>
          </cell>
          <cell r="B17">
            <v>3</v>
          </cell>
          <cell r="C17">
            <v>7</v>
          </cell>
          <cell r="D17">
            <v>10</v>
          </cell>
        </row>
        <row r="18">
          <cell r="A18" t="str">
            <v>푸시SW(PUSH)</v>
          </cell>
          <cell r="C18">
            <v>1</v>
          </cell>
          <cell r="D18">
            <v>1</v>
          </cell>
        </row>
        <row r="19">
          <cell r="A19" t="str">
            <v>항공기관제(AC)</v>
          </cell>
          <cell r="B19">
            <v>2</v>
          </cell>
          <cell r="C19">
            <v>55</v>
          </cell>
          <cell r="D19">
            <v>57</v>
          </cell>
        </row>
        <row r="20">
          <cell r="A20" t="str">
            <v>항공보안(FS)</v>
          </cell>
          <cell r="B20">
            <v>2</v>
          </cell>
          <cell r="C20">
            <v>9</v>
          </cell>
          <cell r="D20">
            <v>11</v>
          </cell>
        </row>
        <row r="21">
          <cell r="A21" t="str">
            <v>항공통계포털(AS)</v>
          </cell>
          <cell r="B21">
            <v>12</v>
          </cell>
          <cell r="C21">
            <v>43</v>
          </cell>
          <cell r="D21">
            <v>55</v>
          </cell>
        </row>
      </sheetData>
      <sheetData sheetId="1"/>
      <sheetData sheetId="2">
        <row r="5">
          <cell r="A5" t="str">
            <v>A-CDM(CM)</v>
          </cell>
          <cell r="B5">
            <v>6</v>
          </cell>
          <cell r="C5">
            <v>11</v>
          </cell>
          <cell r="E5">
            <v>17</v>
          </cell>
        </row>
        <row r="6">
          <cell r="A6" t="str">
            <v>SLOT관리(SLOT)</v>
          </cell>
          <cell r="C6">
            <v>4</v>
          </cell>
          <cell r="E6">
            <v>4</v>
          </cell>
        </row>
        <row r="7">
          <cell r="A7" t="str">
            <v>공통관리(AOMS-CA)</v>
          </cell>
          <cell r="B7">
            <v>5</v>
          </cell>
          <cell r="C7">
            <v>28</v>
          </cell>
          <cell r="E7">
            <v>33</v>
          </cell>
        </row>
        <row r="8">
          <cell r="A8" t="str">
            <v>공통관리(FIMS-CA)</v>
          </cell>
          <cell r="B8">
            <v>3</v>
          </cell>
          <cell r="C8">
            <v>30</v>
          </cell>
          <cell r="E8">
            <v>33</v>
          </cell>
        </row>
        <row r="9">
          <cell r="A9" t="str">
            <v>공항운영(GO)</v>
          </cell>
          <cell r="C9">
            <v>7</v>
          </cell>
          <cell r="E9">
            <v>7</v>
          </cell>
        </row>
        <row r="10">
          <cell r="A10" t="str">
            <v>모바일(MES)</v>
          </cell>
          <cell r="B10">
            <v>3</v>
          </cell>
          <cell r="C10">
            <v>3</v>
          </cell>
          <cell r="E10">
            <v>6</v>
          </cell>
        </row>
        <row r="11">
          <cell r="A11" t="str">
            <v>모바일(WES)</v>
          </cell>
          <cell r="B11">
            <v>3</v>
          </cell>
          <cell r="C11">
            <v>2</v>
          </cell>
          <cell r="E11">
            <v>5</v>
          </cell>
        </row>
        <row r="12">
          <cell r="A12" t="str">
            <v>비상계획(CP)</v>
          </cell>
          <cell r="C12">
            <v>1</v>
          </cell>
          <cell r="E12">
            <v>1</v>
          </cell>
        </row>
        <row r="13">
          <cell r="A13" t="str">
            <v>예측관리(PM)</v>
          </cell>
          <cell r="B13">
            <v>1</v>
          </cell>
          <cell r="C13">
            <v>31</v>
          </cell>
          <cell r="E13">
            <v>32</v>
          </cell>
        </row>
        <row r="14">
          <cell r="A14" t="str">
            <v>운항계획(FP)</v>
          </cell>
          <cell r="B14">
            <v>17</v>
          </cell>
          <cell r="C14">
            <v>18</v>
          </cell>
          <cell r="D14">
            <v>2</v>
          </cell>
          <cell r="E14">
            <v>37</v>
          </cell>
        </row>
        <row r="15">
          <cell r="A15" t="str">
            <v>자원배정(RS)</v>
          </cell>
          <cell r="B15">
            <v>10</v>
          </cell>
          <cell r="C15">
            <v>21</v>
          </cell>
          <cell r="E15">
            <v>31</v>
          </cell>
        </row>
        <row r="16">
          <cell r="A16" t="str">
            <v>자원배정엔진(RE)</v>
          </cell>
          <cell r="B16">
            <v>1</v>
          </cell>
          <cell r="C16">
            <v>5</v>
          </cell>
          <cell r="E16">
            <v>6</v>
          </cell>
        </row>
        <row r="17">
          <cell r="A17" t="str">
            <v>자원배정차트(RC)</v>
          </cell>
          <cell r="B17">
            <v>1</v>
          </cell>
          <cell r="C17">
            <v>3</v>
          </cell>
          <cell r="E17">
            <v>4</v>
          </cell>
        </row>
        <row r="18">
          <cell r="A18" t="str">
            <v>항공기관제(AC)</v>
          </cell>
          <cell r="C18">
            <v>25</v>
          </cell>
          <cell r="D18">
            <v>2</v>
          </cell>
          <cell r="E18">
            <v>27</v>
          </cell>
        </row>
        <row r="19">
          <cell r="A19" t="str">
            <v>항공보안(FS)</v>
          </cell>
          <cell r="C19">
            <v>2</v>
          </cell>
          <cell r="E19">
            <v>2</v>
          </cell>
        </row>
        <row r="20">
          <cell r="A20" t="str">
            <v>항공통계포털(AS)</v>
          </cell>
          <cell r="B20">
            <v>1</v>
          </cell>
          <cell r="C20">
            <v>12</v>
          </cell>
          <cell r="E20">
            <v>13</v>
          </cell>
        </row>
        <row r="27">
          <cell r="AB27">
            <v>0</v>
          </cell>
        </row>
        <row r="28">
          <cell r="L28" t="str">
            <v>A-CDM(CM)</v>
          </cell>
          <cell r="Q28">
            <v>12</v>
          </cell>
          <cell r="R28">
            <v>5</v>
          </cell>
          <cell r="T28">
            <v>17</v>
          </cell>
          <cell r="U28">
            <v>17</v>
          </cell>
          <cell r="V28">
            <v>0</v>
          </cell>
          <cell r="W28">
            <v>1</v>
          </cell>
          <cell r="Z28" t="str">
            <v>업무영역</v>
          </cell>
          <cell r="AB28" t="str">
            <v>결함검토요청</v>
          </cell>
        </row>
        <row r="29">
          <cell r="L29" t="str">
            <v>SLOT관리(SLOT)</v>
          </cell>
          <cell r="M29">
            <v>2</v>
          </cell>
          <cell r="N29">
            <v>1</v>
          </cell>
          <cell r="R29">
            <v>1</v>
          </cell>
          <cell r="T29">
            <v>4</v>
          </cell>
          <cell r="U29">
            <v>2</v>
          </cell>
          <cell r="V29">
            <v>2</v>
          </cell>
          <cell r="W29">
            <v>0.5</v>
          </cell>
          <cell r="Z29" t="str">
            <v>공항운영관리
AOMS</v>
          </cell>
          <cell r="AA29" t="str">
            <v>예측관리(PM)</v>
          </cell>
          <cell r="AB29">
            <v>3</v>
          </cell>
        </row>
        <row r="30">
          <cell r="L30" t="str">
            <v>공통관리(AOMS-CA)</v>
          </cell>
          <cell r="N30">
            <v>9</v>
          </cell>
          <cell r="P30">
            <v>1</v>
          </cell>
          <cell r="Q30">
            <v>6</v>
          </cell>
          <cell r="R30">
            <v>16</v>
          </cell>
          <cell r="S30">
            <v>1</v>
          </cell>
          <cell r="T30">
            <v>33</v>
          </cell>
          <cell r="U30">
            <v>31</v>
          </cell>
          <cell r="V30">
            <v>2</v>
          </cell>
          <cell r="W30">
            <v>0.93939393939393945</v>
          </cell>
          <cell r="AA30" t="str">
            <v>항공보안(FS)</v>
          </cell>
          <cell r="AB30">
            <v>0</v>
          </cell>
        </row>
        <row r="31">
          <cell r="L31" t="str">
            <v>공통관리(FIMS-CA)</v>
          </cell>
          <cell r="N31">
            <v>10</v>
          </cell>
          <cell r="Q31">
            <v>3</v>
          </cell>
          <cell r="R31">
            <v>20</v>
          </cell>
          <cell r="T31">
            <v>33</v>
          </cell>
          <cell r="U31">
            <v>33</v>
          </cell>
          <cell r="V31">
            <v>0</v>
          </cell>
          <cell r="W31">
            <v>1</v>
          </cell>
          <cell r="AA31" t="str">
            <v>공항운영(GO)</v>
          </cell>
          <cell r="AB31">
            <v>0</v>
          </cell>
        </row>
        <row r="32">
          <cell r="L32" t="str">
            <v>공항운영(GO)</v>
          </cell>
          <cell r="R32">
            <v>7</v>
          </cell>
          <cell r="T32">
            <v>7</v>
          </cell>
          <cell r="U32">
            <v>7</v>
          </cell>
          <cell r="V32">
            <v>0</v>
          </cell>
          <cell r="W32">
            <v>1</v>
          </cell>
          <cell r="AA32" t="str">
            <v>항공통계포털(AS)</v>
          </cell>
          <cell r="AB32">
            <v>0</v>
          </cell>
        </row>
        <row r="33">
          <cell r="L33" t="str">
            <v>모바일(MES)</v>
          </cell>
          <cell r="N33">
            <v>2</v>
          </cell>
          <cell r="R33">
            <v>2</v>
          </cell>
          <cell r="S33">
            <v>2</v>
          </cell>
          <cell r="T33">
            <v>6</v>
          </cell>
          <cell r="U33">
            <v>4</v>
          </cell>
          <cell r="V33">
            <v>2</v>
          </cell>
          <cell r="W33">
            <v>0.66666666666666663</v>
          </cell>
          <cell r="AA33" t="str">
            <v>공통관리(AOMS-CA)</v>
          </cell>
          <cell r="AB33">
            <v>0</v>
          </cell>
        </row>
        <row r="34">
          <cell r="L34" t="str">
            <v>모바일(WES)</v>
          </cell>
          <cell r="M34">
            <v>2</v>
          </cell>
          <cell r="N34">
            <v>2</v>
          </cell>
          <cell r="P34">
            <v>1</v>
          </cell>
          <cell r="T34">
            <v>5</v>
          </cell>
          <cell r="U34">
            <v>2</v>
          </cell>
          <cell r="V34">
            <v>3</v>
          </cell>
          <cell r="W34">
            <v>0.4</v>
          </cell>
          <cell r="Z34" t="str">
            <v>운항정보관리
FIMS</v>
          </cell>
          <cell r="AA34" t="str">
            <v>A-CDM(CM)</v>
          </cell>
          <cell r="AB34">
            <v>0</v>
          </cell>
        </row>
        <row r="35">
          <cell r="L35" t="str">
            <v>비상계획(CP)</v>
          </cell>
          <cell r="R35">
            <v>1</v>
          </cell>
          <cell r="T35">
            <v>1</v>
          </cell>
          <cell r="U35">
            <v>1</v>
          </cell>
          <cell r="V35">
            <v>0</v>
          </cell>
          <cell r="W35">
            <v>1</v>
          </cell>
          <cell r="AA35" t="str">
            <v>공통관리(FIMS-CA)</v>
          </cell>
          <cell r="AB35">
            <v>0</v>
          </cell>
        </row>
        <row r="36">
          <cell r="L36" t="str">
            <v>예측관리(PM)</v>
          </cell>
          <cell r="M36">
            <v>3</v>
          </cell>
          <cell r="N36">
            <v>16</v>
          </cell>
          <cell r="R36">
            <v>10</v>
          </cell>
          <cell r="S36">
            <v>3</v>
          </cell>
          <cell r="T36">
            <v>32</v>
          </cell>
          <cell r="U36">
            <v>26</v>
          </cell>
          <cell r="V36">
            <v>6</v>
          </cell>
          <cell r="W36">
            <v>0.8125</v>
          </cell>
          <cell r="AA36" t="str">
            <v>비상계획(CP)</v>
          </cell>
          <cell r="AB36">
            <v>0</v>
          </cell>
        </row>
        <row r="37">
          <cell r="L37" t="str">
            <v>운항계획(FP)</v>
          </cell>
          <cell r="N37">
            <v>21</v>
          </cell>
          <cell r="Q37">
            <v>8</v>
          </cell>
          <cell r="R37">
            <v>8</v>
          </cell>
          <cell r="T37">
            <v>37</v>
          </cell>
          <cell r="U37">
            <v>37</v>
          </cell>
          <cell r="V37">
            <v>0</v>
          </cell>
          <cell r="W37">
            <v>1</v>
          </cell>
          <cell r="AA37" t="str">
            <v>운항계획(FP)</v>
          </cell>
          <cell r="AB37">
            <v>0</v>
          </cell>
        </row>
        <row r="38">
          <cell r="L38" t="str">
            <v>자원배정(RS)</v>
          </cell>
          <cell r="M38">
            <v>6</v>
          </cell>
          <cell r="N38">
            <v>12</v>
          </cell>
          <cell r="P38">
            <v>5</v>
          </cell>
          <cell r="Q38">
            <v>1</v>
          </cell>
          <cell r="R38">
            <v>1</v>
          </cell>
          <cell r="S38">
            <v>6</v>
          </cell>
          <cell r="T38">
            <v>31</v>
          </cell>
          <cell r="U38">
            <v>14</v>
          </cell>
          <cell r="V38">
            <v>17</v>
          </cell>
          <cell r="W38">
            <v>0.45161290322580644</v>
          </cell>
          <cell r="AA38" t="str">
            <v>자원배정(RS)</v>
          </cell>
          <cell r="AB38">
            <v>6</v>
          </cell>
        </row>
        <row r="39">
          <cell r="L39" t="str">
            <v>자원배정엔진(RE)</v>
          </cell>
          <cell r="M39">
            <v>2</v>
          </cell>
          <cell r="N39">
            <v>2</v>
          </cell>
          <cell r="Q39">
            <v>1</v>
          </cell>
          <cell r="R39">
            <v>1</v>
          </cell>
          <cell r="T39">
            <v>6</v>
          </cell>
          <cell r="U39">
            <v>4</v>
          </cell>
          <cell r="V39">
            <v>2</v>
          </cell>
          <cell r="W39">
            <v>0.66666666666666663</v>
          </cell>
          <cell r="AA39" t="str">
            <v>항공기관제(AC)</v>
          </cell>
          <cell r="AB39">
            <v>2</v>
          </cell>
        </row>
        <row r="40">
          <cell r="L40" t="str">
            <v>자원배정차트(RC)</v>
          </cell>
          <cell r="R40">
            <v>4</v>
          </cell>
          <cell r="T40">
            <v>4</v>
          </cell>
          <cell r="U40">
            <v>4</v>
          </cell>
          <cell r="V40">
            <v>0</v>
          </cell>
          <cell r="W40">
            <v>1</v>
          </cell>
          <cell r="Z40" t="str">
            <v>상용</v>
          </cell>
          <cell r="AA40" t="str">
            <v>자원배정차트(RC)</v>
          </cell>
          <cell r="AB40">
            <v>0</v>
          </cell>
        </row>
        <row r="41">
          <cell r="L41" t="str">
            <v>항공기관제(AC)</v>
          </cell>
          <cell r="M41">
            <v>2</v>
          </cell>
          <cell r="N41">
            <v>22</v>
          </cell>
          <cell r="Q41">
            <v>2</v>
          </cell>
          <cell r="R41">
            <v>1</v>
          </cell>
          <cell r="T41">
            <v>27</v>
          </cell>
          <cell r="U41">
            <v>25</v>
          </cell>
          <cell r="V41">
            <v>2</v>
          </cell>
          <cell r="W41">
            <v>0.92592592592592593</v>
          </cell>
          <cell r="AA41" t="str">
            <v>SLOT관리(SLOT)</v>
          </cell>
          <cell r="AB41">
            <v>2</v>
          </cell>
        </row>
        <row r="42">
          <cell r="L42" t="str">
            <v>항공보안(FS)</v>
          </cell>
          <cell r="R42">
            <v>2</v>
          </cell>
          <cell r="T42">
            <v>2</v>
          </cell>
          <cell r="U42">
            <v>2</v>
          </cell>
          <cell r="V42">
            <v>0</v>
          </cell>
          <cell r="W42">
            <v>1</v>
          </cell>
          <cell r="AA42" t="str">
            <v>모바일(MES)</v>
          </cell>
          <cell r="AB42">
            <v>0</v>
          </cell>
        </row>
        <row r="43">
          <cell r="L43" t="str">
            <v>항공통계포털(AS)</v>
          </cell>
          <cell r="P43">
            <v>10</v>
          </cell>
          <cell r="R43">
            <v>1</v>
          </cell>
          <cell r="S43">
            <v>2</v>
          </cell>
          <cell r="T43">
            <v>13</v>
          </cell>
          <cell r="U43">
            <v>1</v>
          </cell>
          <cell r="V43">
            <v>12</v>
          </cell>
          <cell r="W43">
            <v>7.6923076923076927E-2</v>
          </cell>
        </row>
        <row r="51">
          <cell r="L51" t="str">
            <v>A-CDM(CM)</v>
          </cell>
          <cell r="Q51">
            <v>7</v>
          </cell>
          <cell r="R51">
            <v>4</v>
          </cell>
          <cell r="T51">
            <v>11</v>
          </cell>
        </row>
        <row r="52">
          <cell r="L52" t="str">
            <v>SLOT관리(SLOT)</v>
          </cell>
          <cell r="M52">
            <v>2</v>
          </cell>
          <cell r="N52">
            <v>1</v>
          </cell>
          <cell r="R52">
            <v>1</v>
          </cell>
          <cell r="T52">
            <v>4</v>
          </cell>
        </row>
        <row r="53">
          <cell r="L53" t="str">
            <v>공통관리(AOMS-CA)</v>
          </cell>
          <cell r="N53">
            <v>6</v>
          </cell>
          <cell r="P53">
            <v>1</v>
          </cell>
          <cell r="Q53">
            <v>7</v>
          </cell>
          <cell r="R53">
            <v>15</v>
          </cell>
          <cell r="T53">
            <v>29</v>
          </cell>
        </row>
        <row r="54">
          <cell r="L54" t="str">
            <v>공통관리(FIMS-CA)</v>
          </cell>
          <cell r="N54">
            <v>8</v>
          </cell>
          <cell r="Q54">
            <v>3</v>
          </cell>
          <cell r="R54">
            <v>19</v>
          </cell>
          <cell r="T54">
            <v>30</v>
          </cell>
        </row>
        <row r="55">
          <cell r="L55" t="str">
            <v>공항운영(GO)</v>
          </cell>
          <cell r="R55">
            <v>7</v>
          </cell>
          <cell r="T55">
            <v>7</v>
          </cell>
        </row>
        <row r="56">
          <cell r="L56" t="str">
            <v>모바일(MES)</v>
          </cell>
          <cell r="N56">
            <v>2</v>
          </cell>
          <cell r="S56">
            <v>1</v>
          </cell>
          <cell r="T56">
            <v>3</v>
          </cell>
        </row>
        <row r="57">
          <cell r="L57" t="str">
            <v>모바일(WES)</v>
          </cell>
          <cell r="M57">
            <v>2</v>
          </cell>
          <cell r="T57">
            <v>2</v>
          </cell>
        </row>
        <row r="58">
          <cell r="L58" t="str">
            <v>비상계획(CP)</v>
          </cell>
          <cell r="R58">
            <v>1</v>
          </cell>
          <cell r="T58">
            <v>1</v>
          </cell>
        </row>
        <row r="59">
          <cell r="L59" t="str">
            <v>예측관리(PM)</v>
          </cell>
          <cell r="M59">
            <v>3</v>
          </cell>
          <cell r="N59">
            <v>16</v>
          </cell>
          <cell r="R59">
            <v>9</v>
          </cell>
          <cell r="S59">
            <v>3</v>
          </cell>
          <cell r="T59">
            <v>31</v>
          </cell>
        </row>
        <row r="60">
          <cell r="L60" t="str">
            <v>운항계획(FP)</v>
          </cell>
          <cell r="N60">
            <v>12</v>
          </cell>
          <cell r="Q60">
            <v>4</v>
          </cell>
          <cell r="R60">
            <v>2</v>
          </cell>
          <cell r="T60">
            <v>18</v>
          </cell>
        </row>
        <row r="61">
          <cell r="L61" t="str">
            <v>자원배정(RS)</v>
          </cell>
          <cell r="M61">
            <v>5</v>
          </cell>
          <cell r="N61">
            <v>7</v>
          </cell>
          <cell r="P61">
            <v>4</v>
          </cell>
          <cell r="Q61">
            <v>5</v>
          </cell>
          <cell r="R61">
            <v>1</v>
          </cell>
          <cell r="S61">
            <v>4</v>
          </cell>
          <cell r="T61">
            <v>26</v>
          </cell>
        </row>
        <row r="62">
          <cell r="L62" t="str">
            <v>자원배정엔진(RE)</v>
          </cell>
          <cell r="M62">
            <v>2</v>
          </cell>
          <cell r="N62">
            <v>2</v>
          </cell>
          <cell r="Q62">
            <v>1</v>
          </cell>
          <cell r="T62">
            <v>5</v>
          </cell>
        </row>
        <row r="63">
          <cell r="L63" t="str">
            <v>자원배정차트(RC)</v>
          </cell>
          <cell r="R63">
            <v>3</v>
          </cell>
          <cell r="T63">
            <v>3</v>
          </cell>
        </row>
        <row r="64">
          <cell r="L64" t="str">
            <v>항공기관제(AC)</v>
          </cell>
          <cell r="M64">
            <v>1</v>
          </cell>
          <cell r="N64">
            <v>22</v>
          </cell>
          <cell r="P64">
            <v>3</v>
          </cell>
          <cell r="Q64">
            <v>3</v>
          </cell>
          <cell r="R64">
            <v>1</v>
          </cell>
          <cell r="T64">
            <v>30</v>
          </cell>
        </row>
        <row r="65">
          <cell r="L65" t="str">
            <v>항공보안(FS)</v>
          </cell>
          <cell r="R65">
            <v>2</v>
          </cell>
          <cell r="T65">
            <v>2</v>
          </cell>
        </row>
        <row r="66">
          <cell r="L66" t="str">
            <v>항공통계포털(AS)</v>
          </cell>
          <cell r="P66">
            <v>9</v>
          </cell>
          <cell r="R66">
            <v>1</v>
          </cell>
          <cell r="S66">
            <v>2</v>
          </cell>
          <cell r="T66">
            <v>12</v>
          </cell>
        </row>
        <row r="74">
          <cell r="A74" t="str">
            <v>A-CDM(CM)</v>
          </cell>
          <cell r="E74">
            <v>5</v>
          </cell>
          <cell r="F74">
            <v>1</v>
          </cell>
          <cell r="H74">
            <v>6</v>
          </cell>
          <cell r="L74" t="str">
            <v>A-CDM(CM)</v>
          </cell>
          <cell r="M74">
            <v>0</v>
          </cell>
          <cell r="N74">
            <v>0</v>
          </cell>
          <cell r="P74">
            <v>0</v>
          </cell>
          <cell r="Q74">
            <v>5</v>
          </cell>
          <cell r="R74">
            <v>1</v>
          </cell>
          <cell r="S74">
            <v>0</v>
          </cell>
          <cell r="T74">
            <v>6</v>
          </cell>
        </row>
        <row r="75">
          <cell r="A75" t="str">
            <v>공통관리(AOMS-CA)</v>
          </cell>
          <cell r="C75">
            <v>3</v>
          </cell>
          <cell r="F75">
            <v>1</v>
          </cell>
          <cell r="G75">
            <v>1</v>
          </cell>
          <cell r="H75">
            <v>5</v>
          </cell>
          <cell r="L75" t="str">
            <v>SLOT관리(SLOT)</v>
          </cell>
          <cell r="M75" t="str">
            <v/>
          </cell>
          <cell r="N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  <cell r="T75">
            <v>0</v>
          </cell>
        </row>
        <row r="76">
          <cell r="A76" t="str">
            <v>공통관리(FIMS-CA)</v>
          </cell>
          <cell r="C76">
            <v>2</v>
          </cell>
          <cell r="F76">
            <v>1</v>
          </cell>
          <cell r="H76">
            <v>3</v>
          </cell>
          <cell r="L76" t="str">
            <v>공통관리(AOMS-CA)</v>
          </cell>
          <cell r="M76">
            <v>0</v>
          </cell>
          <cell r="N76">
            <v>3</v>
          </cell>
          <cell r="P76">
            <v>0</v>
          </cell>
          <cell r="Q76">
            <v>0</v>
          </cell>
          <cell r="R76">
            <v>1</v>
          </cell>
          <cell r="S76">
            <v>1</v>
          </cell>
          <cell r="T76">
            <v>5</v>
          </cell>
        </row>
        <row r="77">
          <cell r="A77" t="str">
            <v>모바일(MES)</v>
          </cell>
          <cell r="F77">
            <v>2</v>
          </cell>
          <cell r="G77">
            <v>1</v>
          </cell>
          <cell r="H77">
            <v>3</v>
          </cell>
          <cell r="L77" t="str">
            <v>공통관리(FIMS-CA)</v>
          </cell>
          <cell r="M77">
            <v>0</v>
          </cell>
          <cell r="N77">
            <v>2</v>
          </cell>
          <cell r="P77">
            <v>0</v>
          </cell>
          <cell r="Q77">
            <v>0</v>
          </cell>
          <cell r="R77">
            <v>1</v>
          </cell>
          <cell r="S77">
            <v>0</v>
          </cell>
          <cell r="T77">
            <v>3</v>
          </cell>
        </row>
        <row r="78">
          <cell r="A78" t="str">
            <v>모바일(WES)</v>
          </cell>
          <cell r="C78">
            <v>2</v>
          </cell>
          <cell r="D78">
            <v>1</v>
          </cell>
          <cell r="H78">
            <v>3</v>
          </cell>
          <cell r="L78" t="str">
            <v>공항운영(GO)</v>
          </cell>
          <cell r="M78" t="str">
            <v/>
          </cell>
          <cell r="N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  <cell r="T78">
            <v>0</v>
          </cell>
        </row>
        <row r="79">
          <cell r="A79" t="str">
            <v>예측관리(PM)</v>
          </cell>
          <cell r="F79">
            <v>1</v>
          </cell>
          <cell r="H79">
            <v>1</v>
          </cell>
          <cell r="L79" t="str">
            <v>모바일(MES)</v>
          </cell>
          <cell r="M79">
            <v>0</v>
          </cell>
          <cell r="N79">
            <v>0</v>
          </cell>
          <cell r="P79">
            <v>0</v>
          </cell>
          <cell r="Q79">
            <v>0</v>
          </cell>
          <cell r="R79">
            <v>2</v>
          </cell>
          <cell r="S79">
            <v>1</v>
          </cell>
          <cell r="T79">
            <v>3</v>
          </cell>
        </row>
        <row r="80">
          <cell r="A80" t="str">
            <v>운항계획(FP)</v>
          </cell>
          <cell r="C80">
            <v>9</v>
          </cell>
          <cell r="E80">
            <v>4</v>
          </cell>
          <cell r="F80">
            <v>6</v>
          </cell>
          <cell r="H80">
            <v>19</v>
          </cell>
          <cell r="L80" t="str">
            <v>모바일(WES)</v>
          </cell>
          <cell r="M80">
            <v>0</v>
          </cell>
          <cell r="N80">
            <v>2</v>
          </cell>
          <cell r="P80">
            <v>1</v>
          </cell>
          <cell r="Q80">
            <v>0</v>
          </cell>
          <cell r="R80">
            <v>0</v>
          </cell>
          <cell r="S80">
            <v>0</v>
          </cell>
          <cell r="T80">
            <v>3</v>
          </cell>
        </row>
        <row r="81">
          <cell r="A81" t="str">
            <v>자원배정(RS)</v>
          </cell>
          <cell r="B81">
            <v>1</v>
          </cell>
          <cell r="C81">
            <v>5</v>
          </cell>
          <cell r="D81">
            <v>2</v>
          </cell>
          <cell r="G81">
            <v>2</v>
          </cell>
          <cell r="H81">
            <v>10</v>
          </cell>
          <cell r="L81" t="str">
            <v>비상계획(CP)</v>
          </cell>
          <cell r="M81" t="str">
            <v/>
          </cell>
          <cell r="N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  <cell r="T81">
            <v>0</v>
          </cell>
        </row>
        <row r="82">
          <cell r="A82" t="str">
            <v>자원배정엔진(RE)</v>
          </cell>
          <cell r="F82">
            <v>1</v>
          </cell>
          <cell r="H82">
            <v>1</v>
          </cell>
          <cell r="L82" t="str">
            <v>예측관리(PM)</v>
          </cell>
          <cell r="M82">
            <v>0</v>
          </cell>
          <cell r="N82">
            <v>0</v>
          </cell>
          <cell r="P82">
            <v>0</v>
          </cell>
          <cell r="Q82">
            <v>0</v>
          </cell>
          <cell r="R82">
            <v>1</v>
          </cell>
          <cell r="S82">
            <v>0</v>
          </cell>
          <cell r="T82">
            <v>1</v>
          </cell>
        </row>
        <row r="83">
          <cell r="A83" t="str">
            <v>자원배정차트(RC)</v>
          </cell>
          <cell r="F83">
            <v>1</v>
          </cell>
          <cell r="H83">
            <v>1</v>
          </cell>
          <cell r="L83" t="str">
            <v>운항계획(FP)</v>
          </cell>
          <cell r="M83">
            <v>0</v>
          </cell>
          <cell r="N83">
            <v>9</v>
          </cell>
          <cell r="P83">
            <v>0</v>
          </cell>
          <cell r="Q83">
            <v>4</v>
          </cell>
          <cell r="R83">
            <v>6</v>
          </cell>
          <cell r="S83">
            <v>0</v>
          </cell>
          <cell r="T83">
            <v>19</v>
          </cell>
        </row>
        <row r="84">
          <cell r="A84" t="str">
            <v>항공기관제(AC)</v>
          </cell>
          <cell r="B84">
            <v>1</v>
          </cell>
          <cell r="C84">
            <v>1</v>
          </cell>
          <cell r="H84">
            <v>2</v>
          </cell>
          <cell r="L84" t="str">
            <v>자원배정(RS)</v>
          </cell>
          <cell r="M84">
            <v>1</v>
          </cell>
          <cell r="N84">
            <v>5</v>
          </cell>
          <cell r="P84">
            <v>2</v>
          </cell>
          <cell r="Q84">
            <v>0</v>
          </cell>
          <cell r="R84">
            <v>0</v>
          </cell>
          <cell r="S84">
            <v>2</v>
          </cell>
          <cell r="T84">
            <v>10</v>
          </cell>
        </row>
        <row r="85">
          <cell r="A85" t="str">
            <v>항공통계포털(AS)</v>
          </cell>
          <cell r="D85">
            <v>1</v>
          </cell>
          <cell r="H85">
            <v>1</v>
          </cell>
          <cell r="L85" t="str">
            <v>자원배정엔진(RE)</v>
          </cell>
          <cell r="M85">
            <v>0</v>
          </cell>
          <cell r="N85">
            <v>0</v>
          </cell>
          <cell r="P85">
            <v>0</v>
          </cell>
          <cell r="Q85">
            <v>0</v>
          </cell>
          <cell r="R85">
            <v>1</v>
          </cell>
          <cell r="S85">
            <v>0</v>
          </cell>
          <cell r="T85">
            <v>1</v>
          </cell>
        </row>
        <row r="86">
          <cell r="L86" t="str">
            <v>자원배정차트(RC)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1</v>
          </cell>
          <cell r="S86">
            <v>0</v>
          </cell>
          <cell r="T86">
            <v>1</v>
          </cell>
        </row>
        <row r="87">
          <cell r="L87" t="str">
            <v>항공기관제(AC)</v>
          </cell>
          <cell r="M87">
            <v>1</v>
          </cell>
          <cell r="N87">
            <v>1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2</v>
          </cell>
        </row>
        <row r="88">
          <cell r="L88" t="str">
            <v>항공보안(FS)</v>
          </cell>
          <cell r="M88" t="str">
            <v/>
          </cell>
          <cell r="N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  <cell r="T88">
            <v>0</v>
          </cell>
        </row>
        <row r="89">
          <cell r="L89" t="str">
            <v>항공통계포털(AS)</v>
          </cell>
          <cell r="M89">
            <v>0</v>
          </cell>
          <cell r="N89">
            <v>0</v>
          </cell>
          <cell r="P89">
            <v>1</v>
          </cell>
          <cell r="Q89">
            <v>0</v>
          </cell>
          <cell r="R89">
            <v>0</v>
          </cell>
          <cell r="S89">
            <v>0</v>
          </cell>
          <cell r="T89">
            <v>1</v>
          </cell>
        </row>
      </sheetData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IS-IDT-N-0063-U" refreshedDate="46050.837842476853" createdVersion="7" refreshedVersion="7" minRefreshableVersion="3" recordCount="258" xr:uid="{1FEB1054-658C-47F6-A103-0AA9F886B35B}">
  <cacheSource type="worksheet">
    <worksheetSource name="Iteration2_2차_3자_결함TMS202601280834"/>
  </cacheSource>
  <cacheFields count="19">
    <cacheField name="시니리오ID" numFmtId="0">
      <sharedItems/>
    </cacheField>
    <cacheField name="차수" numFmtId="0">
      <sharedItems containsSemiMixedTypes="0" containsString="0" containsNumber="1" containsInteger="1" minValue="5" maxValue="5"/>
    </cacheField>
    <cacheField name="단계" numFmtId="0">
      <sharedItems containsSemiMixedTypes="0" containsString="0" containsNumber="1" containsInteger="1" minValue="3" maxValue="3"/>
    </cacheField>
    <cacheField name="업무모듈명" numFmtId="0">
      <sharedItems count="16">
        <s v="A-CDM(CM)"/>
        <s v="공통관리(AOMS-CA)"/>
        <s v="공통관리(FIMS-CA)"/>
        <s v="모바일(MES)"/>
        <s v="모바일(WES)"/>
        <s v="예측관리(PM)"/>
        <s v="운항계획(FP)"/>
        <s v="자원배정(RS)"/>
        <s v="자원배정엔진(RE)"/>
        <s v="자원배정차트(RC)"/>
        <s v="항공통계포털(AS)"/>
        <s v="SLOT관리(SLOT)"/>
        <s v="공항운영(GO)"/>
        <s v="비상계획(CP)"/>
        <s v="항공기관제(AC)"/>
        <s v="항공보안(FS)"/>
      </sharedItems>
    </cacheField>
    <cacheField name="결함ID" numFmtId="0">
      <sharedItems/>
    </cacheField>
    <cacheField name="결함내용" numFmtId="0">
      <sharedItems longText="1"/>
    </cacheField>
    <cacheField name="테스트단계" numFmtId="0">
      <sharedItems/>
    </cacheField>
    <cacheField name="PL" numFmtId="0">
      <sharedItems/>
    </cacheField>
    <cacheField name="개발자" numFmtId="0">
      <sharedItems/>
    </cacheField>
    <cacheField name="테스터" numFmtId="0">
      <sharedItems/>
    </cacheField>
    <cacheField name="기능유형" numFmtId="0">
      <sharedItems/>
    </cacheField>
    <cacheField name="결함구분" numFmtId="0">
      <sharedItems count="3">
        <s v="개선/변경"/>
        <s v="결함"/>
        <s v="신규"/>
      </sharedItems>
    </cacheField>
    <cacheField name="결함유형" numFmtId="0">
      <sharedItems count="7">
        <s v="기타"/>
        <s v="기능"/>
        <s v="문서화"/>
        <s v="UI"/>
        <s v="데이터"/>
        <s v="표준"/>
        <s v="인터페이스"/>
      </sharedItems>
    </cacheField>
    <cacheField name="결함상태" numFmtId="0">
      <sharedItems/>
    </cacheField>
    <cacheField name="담당자" numFmtId="0">
      <sharedItems/>
    </cacheField>
    <cacheField name="심각도" numFmtId="0">
      <sharedItems count="3">
        <s v="Minor"/>
        <s v="Major"/>
        <s v="Critical"/>
      </sharedItems>
    </cacheField>
    <cacheField name="조치상태" numFmtId="0">
      <sharedItems count="6">
        <s v="최종확인    "/>
        <s v="확인대기"/>
        <s v="결함등록기각"/>
        <s v="확인요청"/>
        <s v="조치요청"/>
        <s v="결함검토요청"/>
      </sharedItems>
    </cacheField>
    <cacheField name="결함등록일" numFmtId="22">
      <sharedItems containsSemiMixedTypes="0" containsNonDate="0" containsDate="1" containsString="0" minDate="2026-01-19T10:27:50" maxDate="2026-01-23T15:04:23"/>
    </cacheField>
    <cacheField name="결함수정일시" numFmtId="22">
      <sharedItems containsSemiMixedTypes="0" containsNonDate="0" containsDate="1" containsString="0" minDate="2026-01-19T11:16:07" maxDate="2026-01-27T18:01: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IS-IDT-N-0063-U" refreshedDate="46050.966721643519" createdVersion="7" refreshedVersion="7" minRefreshableVersion="3" recordCount="258" xr:uid="{C1C8A0E8-206D-432D-8CB9-7CEC62670A63}">
  <cacheSource type="worksheet">
    <worksheetSource ref="A1:T259" sheet="Sheet7"/>
  </cacheSource>
  <cacheFields count="20">
    <cacheField name="시니리오ID" numFmtId="0">
      <sharedItems/>
    </cacheField>
    <cacheField name="차수" numFmtId="0">
      <sharedItems containsSemiMixedTypes="0" containsString="0" containsNumber="1" containsInteger="1" minValue="5" maxValue="5"/>
    </cacheField>
    <cacheField name="단계" numFmtId="0">
      <sharedItems containsSemiMixedTypes="0" containsString="0" containsNumber="1" containsInteger="1" minValue="3" maxValue="3"/>
    </cacheField>
    <cacheField name="업무모듈명" numFmtId="0">
      <sharedItems count="16">
        <s v="A-CDM(CM)"/>
        <s v="공통관리(AOMS-CA)"/>
        <s v="공통관리(FIMS-CA)"/>
        <s v="모바일(MES)"/>
        <s v="모바일(WES)"/>
        <s v="예측관리(PM)"/>
        <s v="운항계획(FP)"/>
        <s v="자원배정(RS)"/>
        <s v="자원배정엔진(RE)"/>
        <s v="자원배정차트(RC)"/>
        <s v="항공통계포털(AS)"/>
        <s v="SLOT관리(SLOT)"/>
        <s v="공항운영(GO)"/>
        <s v="비상계획(CP)"/>
        <s v="항공기관제(AC)"/>
        <s v="항공보안(FS)"/>
      </sharedItems>
    </cacheField>
    <cacheField name="결함ID" numFmtId="0">
      <sharedItems/>
    </cacheField>
    <cacheField name="결함분류TAG" numFmtId="0">
      <sharedItems containsBlank="1" count="10">
        <s v="기"/>
        <s v="화"/>
        <s v="데"/>
        <s v="프"/>
        <s v="권"/>
        <s v="공"/>
        <m/>
        <s v="값"/>
        <s v="U"/>
        <s v="문"/>
      </sharedItems>
    </cacheField>
    <cacheField name="결함내용" numFmtId="0">
      <sharedItems longText="1"/>
    </cacheField>
    <cacheField name="테스트단계" numFmtId="0">
      <sharedItems/>
    </cacheField>
    <cacheField name="PL" numFmtId="0">
      <sharedItems/>
    </cacheField>
    <cacheField name="개발자" numFmtId="0">
      <sharedItems/>
    </cacheField>
    <cacheField name="테스터" numFmtId="0">
      <sharedItems/>
    </cacheField>
    <cacheField name="기능유형" numFmtId="0">
      <sharedItems/>
    </cacheField>
    <cacheField name="결함구분" numFmtId="0">
      <sharedItems/>
    </cacheField>
    <cacheField name="결함유형" numFmtId="0">
      <sharedItems/>
    </cacheField>
    <cacheField name="결함상태" numFmtId="0">
      <sharedItems/>
    </cacheField>
    <cacheField name="담당자" numFmtId="0">
      <sharedItems/>
    </cacheField>
    <cacheField name="심각도" numFmtId="0">
      <sharedItems/>
    </cacheField>
    <cacheField name="조치상태" numFmtId="0">
      <sharedItems count="6">
        <s v="최종확인    "/>
        <s v="확인대기"/>
        <s v="결함등록기각"/>
        <s v="확인요청"/>
        <s v="조치요청"/>
        <s v="결함검토요청"/>
      </sharedItems>
    </cacheField>
    <cacheField name="결함등록일" numFmtId="22">
      <sharedItems containsSemiMixedTypes="0" containsNonDate="0" containsDate="1" containsString="0" minDate="2026-01-19T10:27:50" maxDate="2026-01-23T15:04:23"/>
    </cacheField>
    <cacheField name="결함수정일시" numFmtId="22">
      <sharedItems containsSemiMixedTypes="0" containsNonDate="0" containsDate="1" containsString="0" minDate="2026-01-19T11:16:07" maxDate="2026-01-27T18:01: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s v="UT-CM30029S"/>
    <n v="5"/>
    <n v="3"/>
    <x v="0"/>
    <s v="DEF-03588"/>
    <s v="[X_1]선행 조회에 나온 결과가 있었고, 조회조건을 RESET 하고 새롭게 조회하면 선행 결과에서 선택한 GRID에 커서가 선택되어 있습니다._x000a_즉 새로 조회하면 GRID 첫 라인에 커서가 선택되어 있지 않습니다._x000a__x000a_첨부된 케이스는 처음조회 시 _x000a_분석유형명에 &quot;활&quot; 입력 후 조회 한다음_x000a_모든 조회 조건을 삭제하고 재조회 한 경우 8번라인에 커서가 위치해 있는 경우입니다._x000a_"/>
    <s v="3자테스트"/>
    <s v="이지연"/>
    <s v="김단호"/>
    <s v="장희경"/>
    <s v="Online"/>
    <x v="0"/>
    <x v="0"/>
    <s v="최종확인    "/>
    <s v=""/>
    <x v="0"/>
    <x v="0"/>
    <d v="2026-01-20T14:55:54"/>
    <d v="2026-01-22T16:24:35"/>
  </r>
  <r>
    <s v="UT-CM10301S"/>
    <n v="5"/>
    <n v="3"/>
    <x v="0"/>
    <s v="DEF-03401"/>
    <s v="[X_1]영문단어수정필요_x000a_Defination -&gt;Definition"/>
    <s v="3자테스트"/>
    <s v="이지연"/>
    <s v="김단호"/>
    <s v="장희경"/>
    <s v="Online"/>
    <x v="0"/>
    <x v="0"/>
    <s v="최종확인    "/>
    <s v=""/>
    <x v="0"/>
    <x v="0"/>
    <d v="2026-01-19T12:41:29"/>
    <d v="2026-01-23T13:04:21"/>
  </r>
  <r>
    <s v="UT-CM20030S"/>
    <n v="5"/>
    <n v="3"/>
    <x v="0"/>
    <s v="DEF-03520"/>
    <s v="[S_1]Alarm 있는 그리드 선택 후 Alarm 없는 그리드 선택하는 경우 하단  Alarm 이 계속 활성화 되어 있음 _x000a_(출발편운항정보관리 와 동일함)"/>
    <s v="3자테스트"/>
    <s v="이지연"/>
    <s v="김은정"/>
    <s v="장희경"/>
    <s v="Online"/>
    <x v="0"/>
    <x v="1"/>
    <s v="최종확인    "/>
    <s v=""/>
    <x v="0"/>
    <x v="0"/>
    <d v="2026-01-20T10:56:59"/>
    <d v="2026-01-22T16:31:02"/>
  </r>
  <r>
    <s v="UT-CM20016S"/>
    <n v="5"/>
    <n v="3"/>
    <x v="0"/>
    <s v="DEF-03531"/>
    <s v="[X_1]필터적용 관련 제안_x000a_그리드 필터 설정 시 &quot;Alert&quot; 컬럼의 필터 기준을 Alert 있음/없음 혹은 업무적으로 필터링 가능한 조건을 명시해줌이 어떨지 제안드립니다.  _x000a__x000a_참고로 출발편 운항정보관리(월)  에 적용된 grid 에는 Alert는 필터조건이 없습니다."/>
    <s v="3자테스트"/>
    <s v="이지연"/>
    <s v="김은정"/>
    <s v="장희경"/>
    <s v="Online"/>
    <x v="0"/>
    <x v="0"/>
    <s v="최종확인    "/>
    <s v=""/>
    <x v="0"/>
    <x v="0"/>
    <d v="2026-01-20T13:01:32"/>
    <d v="2026-01-22T16:05:52"/>
  </r>
  <r>
    <s v="UT-CM20016S"/>
    <n v="5"/>
    <n v="3"/>
    <x v="0"/>
    <s v="DEF-03496"/>
    <s v="[S_5]alarm 탭 활성화/비활성화_x000a_알람 있는 출발편을 클릭하였다가 없는 항목을 클릭하는 경우 여전히 Alarm 탭은 파란색으로 활성화 되어 있습니다. "/>
    <s v="3자테스트"/>
    <s v="이지연"/>
    <s v="김은정"/>
    <s v="장희경"/>
    <s v="Online"/>
    <x v="0"/>
    <x v="0"/>
    <s v="최종확인    "/>
    <s v=""/>
    <x v="0"/>
    <x v="0"/>
    <d v="2026-01-20T09:52:27"/>
    <d v="2026-01-22T16:08:35"/>
  </r>
  <r>
    <s v="UT-CM10103R"/>
    <n v="5"/>
    <n v="3"/>
    <x v="0"/>
    <s v="DEF-03766"/>
    <s v="[S_1]리포트 &quot;저장&quot; 시 리포트 포맷 확인, 조회 및 저장 시 표기 방식 확인 필요_x000a__x000a_1.리포트 &quot;저장&quot; 버튼 클릭으로 나타나는 각종 형식의 파일(PDF, EXCEL 등등)로 저장후 파일 확인을 해보면, ETC 부분이 하위 테이블에 겹쳐져 표기됩니다._x000a__x000a_2. 화면 조회 및 저장 시 _x000a_상단 우측 ETC 셀의 경우 값표기가 _x000a_0/0, 1/98 등의 형식이 아닌 0/, 1/ 로 모수가 표기되지 않습니다. _x000a_ "/>
    <s v="3자테스트"/>
    <s v="이지연"/>
    <s v="김단호"/>
    <s v="장희경"/>
    <s v="Online"/>
    <x v="0"/>
    <x v="1"/>
    <s v="확인요청"/>
    <s v="장희경"/>
    <x v="0"/>
    <x v="1"/>
    <d v="2026-01-23T13:58:04"/>
    <d v="2026-01-26T14:33:55"/>
  </r>
  <r>
    <s v="UT-CARF028S(A)"/>
    <n v="5"/>
    <n v="3"/>
    <x v="1"/>
    <s v="DEF-03472"/>
    <s v="[x_001]시나리오 6번부터 9번 화면이 달라 테스트 수행 불가_x000a_- FOIS Irregular Code Mapping List화면에 입력,수정,삭제 기능 없음 - 시나리오 화면과 다름 "/>
    <s v="3자테스트"/>
    <s v="박영수"/>
    <s v="최민지"/>
    <s v="김승무"/>
    <s v="Online"/>
    <x v="0"/>
    <x v="2"/>
    <s v="결함등록기각"/>
    <s v=""/>
    <x v="0"/>
    <x v="2"/>
    <d v="2026-01-19T16:35:02"/>
    <d v="2026-01-20T14:59:15"/>
  </r>
  <r>
    <s v="UT-CASY043S(A)"/>
    <n v="5"/>
    <n v="3"/>
    <x v="1"/>
    <s v="DEF-03391"/>
    <s v="[X_002]테스트 값이 나오지 않아 테스트 하지 못함"/>
    <s v="3자테스트"/>
    <s v="박영수"/>
    <s v="최민지"/>
    <s v="김승무"/>
    <s v="Online"/>
    <x v="0"/>
    <x v="2"/>
    <s v="결함등록기각"/>
    <s v=""/>
    <x v="0"/>
    <x v="2"/>
    <d v="2026-01-19T10:59:31"/>
    <d v="2026-01-20T09:49:39"/>
  </r>
  <r>
    <s v="UT-CARF029S(A)"/>
    <n v="5"/>
    <n v="3"/>
    <x v="1"/>
    <s v="DEF-03475"/>
    <s v="[x_001]Delay List 삭제 및 입력하는 기능 없어 테스트 불가 "/>
    <s v="3자테스트"/>
    <s v="박영수"/>
    <s v="최민지"/>
    <s v="김승무"/>
    <s v="Online"/>
    <x v="0"/>
    <x v="0"/>
    <s v="결함등록기각"/>
    <s v=""/>
    <x v="0"/>
    <x v="2"/>
    <d v="2026-01-19T16:48:18"/>
    <d v="2026-01-20T17:43:51"/>
  </r>
  <r>
    <s v="UT-CA-SP30(A)"/>
    <n v="5"/>
    <n v="3"/>
    <x v="1"/>
    <s v="DEF-03767"/>
    <s v="[S_2] SQL Error [ERRPS]: JDBC-15146:PSM compilation error"/>
    <s v="3자테스트"/>
    <s v="박영수"/>
    <s v="정연준"/>
    <s v="김승무"/>
    <s v="프로시져"/>
    <x v="0"/>
    <x v="1"/>
    <s v="확인요청"/>
    <s v="김승무"/>
    <x v="0"/>
    <x v="1"/>
    <d v="2026-01-23T14:11:13"/>
    <d v="2026-01-26T15:05:26"/>
  </r>
  <r>
    <s v="UT-CASY011S(A)"/>
    <n v="5"/>
    <n v="3"/>
    <x v="1"/>
    <s v="DEF-03385"/>
    <s v="[X_001] 관리자 로그인 하면 SMS 통합관리 메뉴가 보이지 않음"/>
    <s v="3자테스트"/>
    <s v="박영수"/>
    <s v="정연준"/>
    <s v="김승무"/>
    <s v="Online"/>
    <x v="0"/>
    <x v="0"/>
    <s v="확인요청"/>
    <s v="박영수"/>
    <x v="0"/>
    <x v="3"/>
    <d v="2026-01-19T10:40:51"/>
    <d v="2026-01-27T17:03:56"/>
  </r>
  <r>
    <s v="UT-CARF004S"/>
    <n v="5"/>
    <n v="3"/>
    <x v="2"/>
    <s v="DEF-03618"/>
    <s v="[x_001]IATA코드에서  ** 만 조회 할수 없음"/>
    <s v="3자테스트"/>
    <s v="박영수"/>
    <s v="최민지"/>
    <s v="김승무"/>
    <s v="Online"/>
    <x v="0"/>
    <x v="1"/>
    <s v="결함등록기각"/>
    <s v=""/>
    <x v="0"/>
    <x v="2"/>
    <d v="2026-01-20T16:40:39"/>
    <d v="2026-01-20T17:32:44"/>
  </r>
  <r>
    <s v="UT-CARF027S"/>
    <n v="5"/>
    <n v="3"/>
    <x v="2"/>
    <s v="DEF-03650"/>
    <s v="[S_3]신규입력시 메모리에 남아있는 값이 입력을 하지 않았는데 나타 남_x000a_      _x000a_    업무가 그렇게 정의 되었다면 기각 하십시오. "/>
    <s v="3자테스트"/>
    <s v="박영수"/>
    <s v="최민지"/>
    <s v="김승무"/>
    <s v="Online"/>
    <x v="0"/>
    <x v="1"/>
    <s v="결함등록기각"/>
    <s v=""/>
    <x v="0"/>
    <x v="2"/>
    <d v="2026-01-21T11:25:17"/>
    <d v="2026-01-26T13:23:43"/>
  </r>
  <r>
    <s v="UT-CASY049S"/>
    <n v="5"/>
    <n v="3"/>
    <x v="2"/>
    <s v="DEF-03627"/>
    <s v="[X_001] 현재일로 부터 2일전 데이타는 볼수 없음_x000a_업무정의가 그렇게 되어 있다면 기각 해 주세요. "/>
    <s v="3자테스트"/>
    <s v="박영수"/>
    <s v="최민지"/>
    <s v="김승무"/>
    <s v="Online"/>
    <x v="0"/>
    <x v="1"/>
    <s v="확인요청"/>
    <s v="김승무"/>
    <x v="0"/>
    <x v="1"/>
    <d v="2026-01-21T09:06:08"/>
    <d v="2026-01-26T13:26:19"/>
  </r>
  <r>
    <s v="UT-MESMF031S"/>
    <n v="5"/>
    <n v="3"/>
    <x v="3"/>
    <s v="DEF-03536"/>
    <s v="[X_1]화면깨짐 (와이드 모니터)"/>
    <s v="3자테스트"/>
    <s v="임지훈"/>
    <s v="홍성민"/>
    <s v="윤성훈"/>
    <s v="Online"/>
    <x v="0"/>
    <x v="3"/>
    <s v="확인요청"/>
    <s v="윤성훈"/>
    <x v="0"/>
    <x v="1"/>
    <d v="2026-01-20T13:15:15"/>
    <d v="2026-01-23T14:23:02"/>
  </r>
  <r>
    <s v="UT-MESMF013S"/>
    <n v="5"/>
    <n v="3"/>
    <x v="3"/>
    <s v="DEF-03503"/>
    <s v="[C_11]제목, 내용 입력란에 길이제한이 없음"/>
    <s v="3자테스트"/>
    <s v="임지훈"/>
    <s v="김용진"/>
    <s v="윤성훈"/>
    <s v="Online"/>
    <x v="0"/>
    <x v="1"/>
    <s v="확인요청"/>
    <s v="윤성훈"/>
    <x v="0"/>
    <x v="1"/>
    <d v="2026-01-20T10:18:16"/>
    <d v="2026-01-23T14:21:58"/>
  </r>
  <r>
    <s v="UT-MESRS022S"/>
    <n v="5"/>
    <n v="3"/>
    <x v="3"/>
    <s v="DEF-03399"/>
    <s v="[S_7]Reason 수정후 저장이 안됨"/>
    <s v="3자테스트"/>
    <s v="임지훈"/>
    <s v="이수빈"/>
    <s v="윤성훈"/>
    <s v="Online"/>
    <x v="0"/>
    <x v="1"/>
    <s v="확인요청"/>
    <s v="임지훈"/>
    <x v="1"/>
    <x v="3"/>
    <d v="2026-01-19T11:21:59"/>
    <d v="2026-01-27T10:56:00"/>
  </r>
  <r>
    <s v="UT-WESRS020M"/>
    <n v="5"/>
    <n v="3"/>
    <x v="4"/>
    <s v="DEF-03608"/>
    <s v="[X_3]데이터가 없어 테스트 불가"/>
    <s v="3자테스트"/>
    <s v="임지훈"/>
    <s v="홍성민"/>
    <s v="윤성훈"/>
    <s v="Online"/>
    <x v="0"/>
    <x v="4"/>
    <s v="결함등록기각"/>
    <s v=""/>
    <x v="0"/>
    <x v="2"/>
    <d v="2026-01-20T15:43:58"/>
    <d v="2026-01-21T07:56:03"/>
  </r>
  <r>
    <s v="UT-WESRS019S"/>
    <n v="5"/>
    <n v="3"/>
    <x v="4"/>
    <s v="DEF-03606"/>
    <s v="[X_3]데이터가 없어 테스트 불가"/>
    <s v="3자테스트"/>
    <s v="임지훈"/>
    <s v="홍성민"/>
    <s v="윤성훈"/>
    <s v="Online"/>
    <x v="0"/>
    <x v="4"/>
    <s v="결함등록기각"/>
    <s v=""/>
    <x v="0"/>
    <x v="2"/>
    <d v="2026-01-20T15:27:18"/>
    <d v="2026-01-21T07:54:58"/>
  </r>
  <r>
    <s v="UT-WESRS011S"/>
    <n v="5"/>
    <n v="3"/>
    <x v="4"/>
    <s v="DEF-03596"/>
    <s v="[X_2]데이터가 없어 테스트 불가"/>
    <s v="3자테스트"/>
    <s v="임지훈"/>
    <s v="홍성민"/>
    <s v="윤성훈"/>
    <s v="Online"/>
    <x v="0"/>
    <x v="4"/>
    <s v="조치요청"/>
    <s v="홍성민"/>
    <x v="0"/>
    <x v="4"/>
    <d v="2026-01-20T15:05:26"/>
    <d v="2026-01-22T13:47:46"/>
  </r>
  <r>
    <s v="UT-PM10201S"/>
    <n v="5"/>
    <n v="3"/>
    <x v="5"/>
    <s v="DEF-03721"/>
    <s v="[X_1] _x000a_오후 2시 -&gt;  14시로 표시되면 좋을것같습니다_x000a_(출국장 페이지 동일)"/>
    <s v="3자테스트"/>
    <s v="염희석"/>
    <s v="pmtbd1"/>
    <s v="권아윤"/>
    <s v="Online"/>
    <x v="0"/>
    <x v="3"/>
    <s v="확인요청"/>
    <s v="권아윤"/>
    <x v="0"/>
    <x v="1"/>
    <d v="2026-01-22T14:42:49"/>
    <d v="2026-01-26T14:01:49"/>
  </r>
  <r>
    <s v="UT-FPMG042M"/>
    <n v="5"/>
    <n v="3"/>
    <x v="6"/>
    <s v="DEF-03500"/>
    <s v="[C_22] Message Details 상세 정보 창이 pendinglist Next를 할 때, 갑자기 가운데로 옮겨지는 현상이 발생함. FLC가 다른 항공사로 변경될 때 발생(ADM Message 종류가 바뀔 때)"/>
    <s v="3자테스트"/>
    <s v="장경진"/>
    <s v="현영광"/>
    <s v="최중혁"/>
    <s v="Online"/>
    <x v="0"/>
    <x v="3"/>
    <s v="결함등록기각"/>
    <s v=""/>
    <x v="0"/>
    <x v="2"/>
    <d v="2026-01-20T10:05:25"/>
    <d v="2026-01-21T09:52:31"/>
  </r>
  <r>
    <s v="UT-FPFA066S"/>
    <n v="5"/>
    <n v="3"/>
    <x v="6"/>
    <s v="DEF-03387"/>
    <s v="[S_1] 초기 화면 진입 시, 검색을 하지 않았는데도 '검색된 결과가 없습니다'란 팝업이 뜸"/>
    <s v="3자테스트"/>
    <s v="장경진"/>
    <s v="현영광"/>
    <s v="최중혁"/>
    <s v="Online"/>
    <x v="0"/>
    <x v="3"/>
    <s v="결함등록기각"/>
    <s v=""/>
    <x v="0"/>
    <x v="2"/>
    <d v="2026-01-19T10:45:32"/>
    <d v="2026-01-21T18:40:33"/>
  </r>
  <r>
    <s v="UT-FP-SP152"/>
    <n v="5"/>
    <n v="3"/>
    <x v="6"/>
    <s v="DEF-03660"/>
    <s v="[S_1] 데이터의 PUSH_MSG_ID가 null값으로 조회됨"/>
    <s v="3자테스트"/>
    <s v="장경진"/>
    <s v="이인용"/>
    <s v="최중혁"/>
    <s v="프로시져"/>
    <x v="0"/>
    <x v="4"/>
    <s v="결함등록기각"/>
    <s v=""/>
    <x v="0"/>
    <x v="2"/>
    <d v="2026-01-21T13:35:12"/>
    <d v="2026-01-21T19:37:02"/>
  </r>
  <r>
    <s v="UT-FP-SP116"/>
    <n v="5"/>
    <n v="3"/>
    <x v="6"/>
    <s v="DEF-03615"/>
    <s v="[S_3] SP_ESB_ARTS3RP_FLTPLAN 호출되지 않음"/>
    <s v="3자테스트"/>
    <s v="장경진"/>
    <s v="이인용"/>
    <s v="최중혁"/>
    <s v="프로시져"/>
    <x v="0"/>
    <x v="1"/>
    <s v="결함등록기각"/>
    <s v=""/>
    <x v="1"/>
    <x v="2"/>
    <d v="2026-01-20T16:32:05"/>
    <d v="2026-01-21T17:31:35"/>
  </r>
  <r>
    <s v="UT-FP-SP113"/>
    <n v="5"/>
    <n v="3"/>
    <x v="6"/>
    <s v="DEF-03617"/>
    <s v="[S_3] FOIS_AFSDEP 가 호출되지 않음"/>
    <s v="3자테스트"/>
    <s v="장경진"/>
    <s v="이인용"/>
    <s v="최중혁"/>
    <s v="프로시져"/>
    <x v="0"/>
    <x v="1"/>
    <s v="결함등록기각"/>
    <s v=""/>
    <x v="1"/>
    <x v="2"/>
    <d v="2026-01-20T16:37:32"/>
    <d v="2026-01-21T09:59:10"/>
  </r>
  <r>
    <s v="UT-FP-SP114"/>
    <n v="5"/>
    <n v="3"/>
    <x v="6"/>
    <s v="DEF-03656"/>
    <s v="[S_2] 해당 테이블의 호출된 데이터가 없음. 확인 불가. "/>
    <s v="3자테스트"/>
    <s v="장경진"/>
    <s v="이인용"/>
    <s v="최중혁"/>
    <s v="프로시져"/>
    <x v="0"/>
    <x v="1"/>
    <s v="결함등록기각"/>
    <s v=""/>
    <x v="1"/>
    <x v="2"/>
    <d v="2026-01-21T13:20:59"/>
    <d v="2026-01-21T17:55:09"/>
  </r>
  <r>
    <s v="UT-FPMG040M"/>
    <n v="5"/>
    <n v="3"/>
    <x v="6"/>
    <s v="DEF-03497"/>
    <s v="[C_22] Message Details 상세 정보 창이 pendinglist Next를 할 때, 갑자기 가운데로 옮겨지는 현상이 발생함. FLC가 다른 항공사로 변경될 때(ADM Message 종류가 바뀔 때) 발생"/>
    <s v="3자테스트"/>
    <s v="장경진"/>
    <s v="현영광"/>
    <s v="최중혁"/>
    <s v="Online"/>
    <x v="0"/>
    <x v="3"/>
    <s v="결함등록기각"/>
    <s v=""/>
    <x v="0"/>
    <x v="2"/>
    <d v="2026-01-20T09:57:39"/>
    <d v="2026-01-21T09:55:53"/>
  </r>
  <r>
    <s v="UT-FP-SP154"/>
    <n v="5"/>
    <n v="3"/>
    <x v="6"/>
    <s v="DEF-03647"/>
    <s v="[S_7] 선언문 실행시, '실제 인출은 요구된 것보다 많은 행을 추출합니다.' 문구가 뜸"/>
    <s v="3자테스트"/>
    <s v="장경진"/>
    <s v="이인용"/>
    <s v="최중혁"/>
    <s v="프로시져"/>
    <x v="0"/>
    <x v="1"/>
    <s v="최종확인    "/>
    <s v=""/>
    <x v="0"/>
    <x v="0"/>
    <d v="2026-01-21T11:16:20"/>
    <d v="2026-01-22T15:45:09"/>
  </r>
  <r>
    <s v="UT-FP-SP153"/>
    <n v="5"/>
    <n v="3"/>
    <x v="6"/>
    <s v="DEF-03649"/>
    <s v="[S_1] '실제 인출은 요구된 것보다 많은 행을 추출합니다.' 문구가 뜸"/>
    <s v="3자테스트"/>
    <s v="장경진"/>
    <s v="이인용"/>
    <s v="최중혁"/>
    <s v="프로시져"/>
    <x v="0"/>
    <x v="1"/>
    <s v="최종확인    "/>
    <s v=""/>
    <x v="0"/>
    <x v="0"/>
    <d v="2026-01-21T11:23:42"/>
    <d v="2026-01-22T15:45:32"/>
  </r>
  <r>
    <s v="UT-FPMG042M"/>
    <n v="5"/>
    <n v="3"/>
    <x v="6"/>
    <s v="DEF-03506"/>
    <s v="[S_2]TYS 값이 readonly가 아니라, reg랑 상관없이 TYS 값을 변경하고 submit 시 서버오류가 발생"/>
    <s v="3자테스트"/>
    <s v="장경진"/>
    <s v="현영광"/>
    <s v="최중혁"/>
    <s v="Online"/>
    <x v="0"/>
    <x v="1"/>
    <s v="최종확인    "/>
    <s v=""/>
    <x v="1"/>
    <x v="0"/>
    <d v="2026-01-20T10:26:49"/>
    <d v="2026-01-22T15:51:24"/>
  </r>
  <r>
    <s v="UT-FPMG043M"/>
    <n v="5"/>
    <n v="3"/>
    <x v="6"/>
    <s v="DEF-03509"/>
    <s v="[S_2]TYS 값이 readonly가 아니라, reg랑 상관없이 TYS 값을 변경하고 submit 시 서버오류가 발생"/>
    <s v="3자테스트"/>
    <s v="장경진"/>
    <s v="현영광"/>
    <s v="최중혁"/>
    <s v="Online"/>
    <x v="0"/>
    <x v="1"/>
    <s v="최종확인    "/>
    <s v=""/>
    <x v="1"/>
    <x v="0"/>
    <d v="2026-01-20T10:35:23"/>
    <d v="2026-01-22T15:51:53"/>
  </r>
  <r>
    <s v="UT-FPFA066S"/>
    <n v="5"/>
    <n v="3"/>
    <x v="6"/>
    <s v="DEF-03390"/>
    <s v="[S_4] FLN이 insert할 때, 4자리가 아니라 5자리까지 입력이 가능함"/>
    <s v="3자테스트"/>
    <s v="장경진"/>
    <s v="현영광"/>
    <s v="최중혁"/>
    <s v="Online"/>
    <x v="0"/>
    <x v="4"/>
    <s v="확인요청"/>
    <s v="최중혁"/>
    <x v="1"/>
    <x v="1"/>
    <d v="2026-01-19T10:59:00"/>
    <d v="2026-01-26T09:24:15"/>
  </r>
  <r>
    <s v="UT-FPFA091S"/>
    <n v="5"/>
    <n v="3"/>
    <x v="6"/>
    <s v="DEF-03398"/>
    <s v="[C_18] FOIS에 없는 운항편 삭제 후에 삭제된 행이 그대로 남아있음. 기능/데이터상으론 문제없이 삭제된 것으로 보임. 다른 화면처럼 즉각적으로 화면이 업데이트가 되었으면 함"/>
    <s v="3자테스트"/>
    <s v="장경진"/>
    <s v="현영광"/>
    <s v="최중혁"/>
    <s v="Online"/>
    <x v="0"/>
    <x v="3"/>
    <s v="확인요청"/>
    <s v="최중혁"/>
    <x v="0"/>
    <x v="1"/>
    <d v="2026-01-19T11:17:18"/>
    <d v="2026-01-26T09:23:46"/>
  </r>
  <r>
    <s v="UT-FPMG052M"/>
    <n v="5"/>
    <n v="3"/>
    <x v="6"/>
    <s v="DEF-03527"/>
    <s v="[S_3] STY가 NEW이지만, 5) via 입력 불가능"/>
    <s v="3자테스트"/>
    <s v="장경진"/>
    <s v="현영광"/>
    <s v="최중혁"/>
    <s v="Online"/>
    <x v="0"/>
    <x v="1"/>
    <s v="확인요청"/>
    <s v="최중혁"/>
    <x v="2"/>
    <x v="1"/>
    <d v="2026-01-20T11:20:59"/>
    <d v="2026-01-22T13:19:26"/>
  </r>
  <r>
    <s v="UT-FPMG052M"/>
    <n v="5"/>
    <n v="3"/>
    <x v="6"/>
    <s v="DEF-03529"/>
    <s v="[S_2] STY가 RAD임에도, 5) FLN 입력 불가"/>
    <s v="3자테스트"/>
    <s v="장경진"/>
    <s v="현영광"/>
    <s v="최중혁"/>
    <s v="Online"/>
    <x v="0"/>
    <x v="1"/>
    <s v="확인요청"/>
    <s v="최중혁"/>
    <x v="2"/>
    <x v="1"/>
    <d v="2026-01-20T11:24:32"/>
    <d v="2026-01-22T13:34:43"/>
  </r>
  <r>
    <s v="UT-FPMG052M"/>
    <n v="5"/>
    <n v="3"/>
    <x v="6"/>
    <s v="DEF-03524"/>
    <s v="[S_2] 4) TYS 수정 시, REG 빈값으로 바뀌는지 확인 불가"/>
    <s v="3자테스트"/>
    <s v="장경진"/>
    <s v="현영광"/>
    <s v="최중혁"/>
    <s v="Online"/>
    <x v="0"/>
    <x v="1"/>
    <s v="확인요청"/>
    <s v="최중혁"/>
    <x v="0"/>
    <x v="1"/>
    <d v="2026-01-20T11:16:06"/>
    <d v="2026-01-22T13:35:05"/>
  </r>
  <r>
    <s v="UT-FPFA184M"/>
    <n v="5"/>
    <n v="3"/>
    <x v="6"/>
    <s v="DEF-03427"/>
    <s v="[S_2] 다른 일자 플랜도 실행이 되어야 할 때, 해당 팝업보다 '서버 오류입니다. 관리자에게 문의하세요' 팝업이 먼저 뜸. 안내 팝업보다 오류 팝업이 먼저 뜨는게 오류로 보일 것 같음 -&gt; [3자 테스트 결함으로 등록]"/>
    <s v="3자테스트"/>
    <s v="장경진"/>
    <s v="현영광"/>
    <s v="최중혁"/>
    <s v="Online"/>
    <x v="0"/>
    <x v="1"/>
    <s v="확인요청"/>
    <s v="최중혁"/>
    <x v="1"/>
    <x v="1"/>
    <d v="2026-01-19T14:05:13"/>
    <d v="2026-01-26T09:25:49"/>
  </r>
  <r>
    <s v="UT-RSPK059S"/>
    <n v="5"/>
    <n v="3"/>
    <x v="7"/>
    <s v="DEF-03685"/>
    <s v="[X-1] _x000a_데이터가 없어 테스트 불가_x000a_(테스트 결과서에서 제시한 2025-05-01, 2025-05-03)"/>
    <s v="3자테스트"/>
    <s v="유경섭"/>
    <s v="장동혁"/>
    <s v="권아윤"/>
    <s v="Online"/>
    <x v="0"/>
    <x v="4"/>
    <s v="결함검토요청"/>
    <s v="유경섭"/>
    <x v="1"/>
    <x v="5"/>
    <d v="2026-01-21T17:18:14"/>
    <d v="2026-01-21T17:18:14"/>
  </r>
  <r>
    <s v="UT-RSPK059S"/>
    <n v="5"/>
    <n v="3"/>
    <x v="7"/>
    <s v="DEF-03469"/>
    <s v="[X_1]_x000a_1920*1080, 크롬 100% 배율_x000a_D SOUTH, D NORTH에서 디폴트 사이즈가 하나도 없는것 같이 보임"/>
    <s v="3자테스트"/>
    <s v="유경섭"/>
    <s v="장동혁"/>
    <s v="권아윤"/>
    <s v="Online"/>
    <x v="0"/>
    <x v="3"/>
    <s v="결함등록기각"/>
    <s v=""/>
    <x v="0"/>
    <x v="2"/>
    <d v="2026-01-19T16:10:44"/>
    <d v="2026-01-22T13:35:39"/>
  </r>
  <r>
    <s v="UT-RSCI021S"/>
    <n v="5"/>
    <n v="3"/>
    <x v="7"/>
    <s v="DEF-03581"/>
    <s v="[C_10]_x000a_공통 날짜 형식 yyyy-mm-dd 가 아님."/>
    <s v="3자테스트"/>
    <s v="유경섭"/>
    <s v="이수연"/>
    <s v="권아윤"/>
    <s v="Online"/>
    <x v="0"/>
    <x v="5"/>
    <s v="결함등록기각"/>
    <s v=""/>
    <x v="0"/>
    <x v="2"/>
    <d v="2026-01-20T14:50:42"/>
    <d v="2026-01-20T15:10:54"/>
  </r>
  <r>
    <s v="UT-RSCI036M"/>
    <n v="5"/>
    <n v="3"/>
    <x v="7"/>
    <s v="DEF-03589"/>
    <s v="[C_10]_x000a_공통 날짜 형식 yyyy-mm-dd 가 아님"/>
    <s v="3자테스트"/>
    <s v="유경섭"/>
    <s v="이수연"/>
    <s v="권아윤"/>
    <s v="Online"/>
    <x v="0"/>
    <x v="5"/>
    <s v="결함등록기각"/>
    <s v=""/>
    <x v="0"/>
    <x v="2"/>
    <d v="2026-01-20T14:56:06"/>
    <d v="2026-01-20T15:09:44"/>
  </r>
  <r>
    <s v="UT-RSCI022S"/>
    <n v="5"/>
    <n v="3"/>
    <x v="7"/>
    <s v="DEF-03765"/>
    <s v="[S_4]_x000a_중복된 행이 있다고 해서 중복되는 행을 삭제 후 저장했을 때_x000a_중복된 데이터가 있다는 알림이 뜸_x000a_삭제 row는 제외하고 중복여부체크하는게 좋을 것 같습니다_x000a_"/>
    <s v="3자테스트"/>
    <s v="유경섭"/>
    <s v="이수연"/>
    <s v="권아윤"/>
    <s v="Online"/>
    <x v="0"/>
    <x v="1"/>
    <s v="결함등록기각"/>
    <s v=""/>
    <x v="1"/>
    <x v="2"/>
    <d v="2026-01-23T13:45:46"/>
    <d v="2026-01-26T10:50:03"/>
  </r>
  <r>
    <s v="UT-RSFI002S"/>
    <n v="5"/>
    <n v="3"/>
    <x v="7"/>
    <s v="DEF-03626"/>
    <s v="[X_1] _x000a_기본 화면 폰트 및 사이즈가 팝업 켰을때랑 다름_x000a_(아이디 찾기, 비밀번호 초기화, 비밀번호 변경 팝업 동일)"/>
    <s v="3자테스트"/>
    <s v="유경섭"/>
    <s v="이수연"/>
    <s v="권아윤"/>
    <s v="Online"/>
    <x v="0"/>
    <x v="3"/>
    <s v="결함등록기각"/>
    <s v=""/>
    <x v="0"/>
    <x v="2"/>
    <d v="2026-01-21T09:03:25"/>
    <d v="2026-01-26T17:27:17"/>
  </r>
  <r>
    <s v="UT-RSFI001S"/>
    <n v="5"/>
    <n v="3"/>
    <x v="7"/>
    <s v="DEF-03775"/>
    <s v="[X_1]_x000a_엔터로 검색이 되면 좋을것같습니다 "/>
    <s v="3자테스트"/>
    <s v="유경섭"/>
    <s v="이수연"/>
    <s v="권아윤"/>
    <s v="Online"/>
    <x v="0"/>
    <x v="3"/>
    <s v="조치요청"/>
    <s v="이수연"/>
    <x v="0"/>
    <x v="4"/>
    <d v="2026-01-23T15:04:23"/>
    <d v="2026-01-26T17:15:59"/>
  </r>
  <r>
    <s v="UT-RSCI022S"/>
    <n v="5"/>
    <n v="3"/>
    <x v="7"/>
    <s v="DEF-03550"/>
    <s v="[C_7]_x000a_값 수정 후 원복해도 왼쪽 아이콘이 사라지지 않음"/>
    <s v="3자테스트"/>
    <s v="유경섭"/>
    <s v="이수연"/>
    <s v="권아윤"/>
    <s v="Online"/>
    <x v="0"/>
    <x v="5"/>
    <s v="조치요청"/>
    <s v="이수연"/>
    <x v="0"/>
    <x v="4"/>
    <d v="2026-01-20T13:48:02"/>
    <d v="2026-01-21T11:21:38"/>
  </r>
  <r>
    <s v="UT-RSCI022S"/>
    <n v="5"/>
    <n v="3"/>
    <x v="7"/>
    <s v="DEF-03579"/>
    <s v="[X_1]_x000a_기본 사이즈에서 요일이 잘려보임 "/>
    <s v="3자테스트"/>
    <s v="유경섭"/>
    <s v="이수연"/>
    <s v="권아윤"/>
    <s v="Online"/>
    <x v="0"/>
    <x v="3"/>
    <s v="확인요청"/>
    <s v="김훈근"/>
    <x v="0"/>
    <x v="3"/>
    <d v="2026-01-20T14:46:48"/>
    <d v="2026-01-22T10:48:54"/>
  </r>
  <r>
    <s v="UT-RSCI022S"/>
    <n v="5"/>
    <n v="3"/>
    <x v="7"/>
    <s v="DEF-03756"/>
    <s v="[C_11] _x000a_입력값 제한이 필요해 보임 "/>
    <s v="3자테스트"/>
    <s v="유경섭"/>
    <s v="이수연"/>
    <s v="권아윤"/>
    <s v="Online"/>
    <x v="0"/>
    <x v="5"/>
    <s v="확인요청"/>
    <s v="김훈근"/>
    <x v="1"/>
    <x v="3"/>
    <d v="2026-01-23T11:15:23"/>
    <d v="2026-01-23T14:11:50"/>
  </r>
  <r>
    <s v="UT-REPK003S"/>
    <n v="5"/>
    <n v="3"/>
    <x v="8"/>
    <s v="DEF-03677"/>
    <s v="[C_7] 실행결과 행 선택할 때, Stand 값이 0일 경우, '검색 결과가 없습니다' 대신 갯수가 0이라는 의미의 문구를 명시적으로 보여주는게 적절할 것 같음"/>
    <s v="3자테스트"/>
    <s v="문현희"/>
    <s v="장동혁"/>
    <s v="최중혁"/>
    <s v="Online"/>
    <x v="0"/>
    <x v="3"/>
    <s v="확인요청"/>
    <s v="최중혁"/>
    <x v="0"/>
    <x v="1"/>
    <d v="2026-01-21T15:58:37"/>
    <d v="2026-01-26T10:29:51"/>
  </r>
  <r>
    <s v="UT-RCCR002L"/>
    <n v="5"/>
    <n v="3"/>
    <x v="9"/>
    <s v="DEF-03739"/>
    <s v="[C_4] 검색 결과가 없을 때도 조회 건수가 0건으로 표기하는 것이 명확할 듯 함"/>
    <s v="3자테스트"/>
    <s v="이미라"/>
    <s v="이미라"/>
    <s v="최중혁"/>
    <s v="Online"/>
    <x v="0"/>
    <x v="3"/>
    <s v="확인요청"/>
    <s v="최중혁"/>
    <x v="0"/>
    <x v="1"/>
    <d v="2026-01-22T17:14:22"/>
    <d v="2026-01-23T11:21:10"/>
  </r>
  <r>
    <s v="UT-AS13101S"/>
    <n v="5"/>
    <n v="3"/>
    <x v="10"/>
    <s v="DEF-03734"/>
    <s v="[주제별 통계], [리포트 관리], [Notice], [New Report], [개선의견] 클릭 이동 후 뒤로가기 불가"/>
    <s v="3자테스트"/>
    <s v="장영진"/>
    <s v="임소정"/>
    <s v="강도훈"/>
    <s v="Online"/>
    <x v="0"/>
    <x v="1"/>
    <s v="조치요청"/>
    <s v="김경준"/>
    <x v="0"/>
    <x v="4"/>
    <d v="2026-01-22T16:44:16"/>
    <d v="2026-01-27T09:07:13"/>
  </r>
  <r>
    <s v="UT-CM20036S"/>
    <n v="5"/>
    <n v="3"/>
    <x v="0"/>
    <s v="DEF-03473"/>
    <s v="[S_1]화면 조회 시 데이터 표기 안되어 테스트 불가_x000a_화면 상단 날짜정보 포함 정보 조회 안됩니다."/>
    <s v="3자테스트"/>
    <s v="이지연"/>
    <s v="김은정"/>
    <s v="장희경"/>
    <s v="Online"/>
    <x v="1"/>
    <x v="1"/>
    <s v="최종확인    "/>
    <s v=""/>
    <x v="1"/>
    <x v="0"/>
    <d v="2026-01-19T16:37:47"/>
    <d v="2026-01-22T16:26:46"/>
  </r>
  <r>
    <s v="UT-CM20016S"/>
    <n v="5"/>
    <n v="3"/>
    <x v="0"/>
    <s v="DEF-03487"/>
    <s v="[S_3-1]해더툴팁 표기 오류_x000a_Pb 마우스 오버 시 Actual Start Up Request Time 으로 표기됨_x000a_"/>
    <s v="3자테스트"/>
    <s v="이지연"/>
    <s v="김은정"/>
    <s v="장희경"/>
    <s v="Online"/>
    <x v="1"/>
    <x v="1"/>
    <s v="최종확인    "/>
    <s v=""/>
    <x v="0"/>
    <x v="0"/>
    <d v="2026-01-20T09:23:47"/>
    <d v="2026-01-22T16:07:25"/>
  </r>
  <r>
    <s v="UT-CM20023S"/>
    <n v="5"/>
    <n v="3"/>
    <x v="0"/>
    <s v="DEF-03470"/>
    <s v="[S_3-1]입력 데이터 미반영_x000a_현재활주로 및 ATFM 수정 및 저장하였으나  기존 데이터로 조회됨_x000a_DATE를 과거 및 오늘 날짜 기준으로 해보았으나 동일한 현상_x000a_"/>
    <s v="3자테스트"/>
    <s v="이지연"/>
    <s v="김은정"/>
    <s v="장희경"/>
    <s v="Online"/>
    <x v="1"/>
    <x v="1"/>
    <s v="최종확인    "/>
    <s v=""/>
    <x v="0"/>
    <x v="0"/>
    <d v="2026-01-19T16:29:38"/>
    <d v="2026-01-22T16:29:30"/>
  </r>
  <r>
    <s v="UT-CM10102S"/>
    <n v="5"/>
    <n v="3"/>
    <x v="0"/>
    <s v="DEF-03420"/>
    <s v="[S_6-2]그리드의 &quot;제빙처리용량&quot; 조회 불가 및 변경 반영 안됨_x000a_최초 조회 시 그리드에서 표기되지 않으며, &quot;사용불가&quot; 입력 후에도 값 변경 반영 안됩니다."/>
    <s v="3자테스트"/>
    <s v="이지연"/>
    <s v="김단호"/>
    <s v="장희경"/>
    <s v="Online"/>
    <x v="1"/>
    <x v="1"/>
    <s v="최종확인    "/>
    <s v=""/>
    <x v="0"/>
    <x v="0"/>
    <d v="2026-01-19T13:48:17"/>
    <d v="2026-01-22T16:19:43"/>
  </r>
  <r>
    <s v="UT-CM10102S"/>
    <n v="5"/>
    <n v="3"/>
    <x v="0"/>
    <s v="DEF-03414"/>
    <s v="[S_5-2]그리드 새로고침 오류_x000a_'저장되었습니다' 메시지 팝업 후 하단 그리드가 즉시 새로고침 반영이 안되고 &quot;SEARCH&quot; 버튼 클릭 시 변경된 값으로 조회됩니다."/>
    <s v="3자테스트"/>
    <s v="이지연"/>
    <s v="김단호"/>
    <s v="장희경"/>
    <s v="Online"/>
    <x v="1"/>
    <x v="1"/>
    <s v="최종확인    "/>
    <s v=""/>
    <x v="0"/>
    <x v="0"/>
    <d v="2026-01-19T13:31:30"/>
    <d v="2026-01-22T16:16:42"/>
  </r>
  <r>
    <s v="UT-CM40001S"/>
    <n v="5"/>
    <n v="3"/>
    <x v="0"/>
    <s v="DEF-03468"/>
    <s v="[S_5-5]근무자(추가주간 혹은 추가야간) 레코드 삭제 및 정보변경 오류_x000a_근무자(추가주간) 혹은 근무자(추가야간) 으로 선택한 경우 해당열 삭제 후 저장하면 반영 안되고, 주/야 구분 변경시에도 변경반영이 안됩니다._x000a_**제가 근무자(추가주간), 근무자(추가야간)의 개념을 몰라서일 수 있으니, 확인 부탁드립니다."/>
    <s v="3자테스트"/>
    <s v="이지연"/>
    <s v="김단호"/>
    <s v="장희경"/>
    <s v="Online"/>
    <x v="1"/>
    <x v="1"/>
    <s v="최종확인    "/>
    <s v=""/>
    <x v="0"/>
    <x v="0"/>
    <d v="2026-01-19T15:58:40"/>
    <d v="2026-01-23T14:02:59"/>
  </r>
  <r>
    <s v="UT-CM20034S"/>
    <n v="5"/>
    <n v="3"/>
    <x v="0"/>
    <s v="DEF-03543"/>
    <s v="[S_1]조회조건 변경시에도 화면상단 출발교통량, 터미널 주기장 운영 현황, 지연현황의 데이터 변동이 없음"/>
    <s v="3자테스트"/>
    <s v="이지연"/>
    <s v="김은정"/>
    <s v="장희경"/>
    <s v="Online"/>
    <x v="1"/>
    <x v="1"/>
    <s v="최종확인    "/>
    <s v=""/>
    <x v="0"/>
    <x v="0"/>
    <d v="2026-01-20T13:31:59"/>
    <d v="2026-01-22T16:31:46"/>
  </r>
  <r>
    <s v="UT-CM-SP81"/>
    <n v="5"/>
    <n v="3"/>
    <x v="0"/>
    <s v="DEF-03715"/>
    <s v="[S_1]화면 표기 오류_x000a_프로시져 및 데이터는 조회되나 화면 표시되는 내역이 없습니다."/>
    <s v="3자테스트"/>
    <s v="이지연"/>
    <s v="이지연"/>
    <s v="장희경"/>
    <s v="프로시져"/>
    <x v="1"/>
    <x v="1"/>
    <s v="확인요청"/>
    <s v="장희경"/>
    <x v="0"/>
    <x v="1"/>
    <d v="2026-01-22T14:08:48"/>
    <d v="2026-01-22T18:43:50"/>
  </r>
  <r>
    <s v="UT-CM10103S"/>
    <n v="5"/>
    <n v="3"/>
    <x v="0"/>
    <s v="DEF-03431"/>
    <s v="[S_1]특정일 조회 시 조회 오류 발생_x000a_2025-10-01, 2025,10-02 조회 시 첨부된 오류 발생_x000a_"/>
    <s v="3자테스트"/>
    <s v="이지연"/>
    <s v="김단호"/>
    <s v="장희경"/>
    <s v="Online"/>
    <x v="1"/>
    <x v="1"/>
    <s v="확인요청"/>
    <s v="장희경"/>
    <x v="0"/>
    <x v="1"/>
    <d v="2026-01-19T14:13:27"/>
    <d v="2026-01-26T14:09:58"/>
  </r>
  <r>
    <s v="UT-CM10103R"/>
    <n v="5"/>
    <n v="3"/>
    <x v="0"/>
    <s v="DEF-03423"/>
    <s v="[S_1]조회 시 오류 발생_x000a_기준일자 2025-10-01, 2025-10-02로 조회 시 오류 발생(첨부참조)_x000a_그외 몇개 일자 조회시 정상 조회됨"/>
    <s v="3자테스트"/>
    <s v="이지연"/>
    <s v="김단호"/>
    <s v="장희경"/>
    <s v="Online"/>
    <x v="1"/>
    <x v="4"/>
    <s v="확인요청"/>
    <s v="장희경"/>
    <x v="0"/>
    <x v="1"/>
    <d v="2026-01-19T14:01:16"/>
    <d v="2026-01-26T14:12:39"/>
  </r>
  <r>
    <s v="UT-CM10301S"/>
    <n v="5"/>
    <n v="3"/>
    <x v="0"/>
    <s v="DEF-03764"/>
    <s v="[S_8]Common Code Detail 의 Code Description 입력 시 자리수 체크 _x000a__x000a_영문 및 숫자는 입력하는 동안 최대 허용 byte 초과시 입력되지 않고 바로 alert 메시지를 나타내나(정상), 한글을 입력하는 경우 1200자까지 입력이 되고 &quot;저장&quot; 버튼 클릭 시 alert 메시지가 표출됩니다 _x000a__x000a_*공통업무 체크 지침 상 작성하는 동안 alert 메시지가 표출되는 것이 원칙이라 전달받아 해당내용 남깁니다."/>
    <s v="3자테스트"/>
    <s v="이지연"/>
    <s v="김단호"/>
    <s v="장희경"/>
    <s v="Online"/>
    <x v="1"/>
    <x v="0"/>
    <s v="확인요청"/>
    <s v="장희경"/>
    <x v="0"/>
    <x v="1"/>
    <d v="2026-01-23T13:37:07"/>
    <d v="2026-01-26T14:39:00"/>
  </r>
  <r>
    <s v="UT-SLOTQM003M"/>
    <n v="5"/>
    <n v="3"/>
    <x v="11"/>
    <s v="DEF-03573"/>
    <s v="[x_1] 화면 조회가 안되고 시스템 오류남"/>
    <s v="3자테스트"/>
    <s v="김형진"/>
    <s v="서창민"/>
    <s v="김민욱"/>
    <s v="Online"/>
    <x v="1"/>
    <x v="1"/>
    <s v="결함검토요청"/>
    <s v="김형진"/>
    <x v="0"/>
    <x v="5"/>
    <d v="2026-01-20T14:34:29"/>
    <d v="2026-01-20T14:34:29"/>
  </r>
  <r>
    <s v="UT-SLOTRM002R"/>
    <n v="5"/>
    <n v="3"/>
    <x v="11"/>
    <s v="DEF-03577"/>
    <s v="[x_1] 초기화면 로딩후 모즌 버튼이 눌러도 작동하지 않음"/>
    <s v="3자테스트"/>
    <s v="김형진"/>
    <s v="서창민"/>
    <s v="김민욱"/>
    <s v="Online"/>
    <x v="1"/>
    <x v="1"/>
    <s v="결함검토요청"/>
    <s v="김형진"/>
    <x v="0"/>
    <x v="5"/>
    <d v="2026-01-20T14:43:16"/>
    <d v="2026-01-20T14:43:16"/>
  </r>
  <r>
    <s v="UT-SLOTQM004R"/>
    <n v="5"/>
    <n v="3"/>
    <x v="11"/>
    <s v="DEF-03574"/>
    <s v="[x_1] 화면 조회가 안되고 서버 오류남"/>
    <s v="3자테스트"/>
    <s v="김형진"/>
    <s v="서창민"/>
    <s v="김민욱"/>
    <s v="Online"/>
    <x v="1"/>
    <x v="1"/>
    <s v="결함등록기각"/>
    <s v=""/>
    <x v="0"/>
    <x v="2"/>
    <d v="2026-01-20T14:37:29"/>
    <d v="2026-01-20T15:12:11"/>
  </r>
  <r>
    <s v="UT-SLOTRM003R"/>
    <n v="5"/>
    <n v="3"/>
    <x v="11"/>
    <s v="DEF-03580"/>
    <s v="[s_1] Season은 필수 항목인데 안넣어도 조회가 됨"/>
    <s v="3자테스트"/>
    <s v="김형진"/>
    <s v="서창민"/>
    <s v="김민욱"/>
    <s v="Online"/>
    <x v="1"/>
    <x v="1"/>
    <s v="확인요청"/>
    <s v="김민욱"/>
    <x v="0"/>
    <x v="1"/>
    <d v="2026-01-20T14:47:56"/>
    <d v="2026-01-20T15:16:00"/>
  </r>
  <r>
    <s v="UT-CA-SP32(A)"/>
    <n v="5"/>
    <n v="3"/>
    <x v="1"/>
    <s v="DEF-03772"/>
    <s v="[X_001] 테스트 시나리오 문서 없어 테스트 못함_x000a_--&gt; 문서 받아서 테스트 진행 정상 처리 됨 _x000a_이건 기각 해 주세요."/>
    <s v="3자테스트"/>
    <s v="박영수"/>
    <s v="정연준"/>
    <s v="김승무"/>
    <s v="프로시져"/>
    <x v="1"/>
    <x v="2"/>
    <s v="결함등록기각"/>
    <s v=""/>
    <x v="0"/>
    <x v="2"/>
    <d v="2026-01-23T14:34:36"/>
    <d v="2026-01-26T09:33:45"/>
  </r>
  <r>
    <s v="UT-CARF036S(A)"/>
    <n v="5"/>
    <n v="3"/>
    <x v="1"/>
    <s v="DEF-03521"/>
    <s v="[S_2] Airline Code에 * 값이 들어가 있는데 이 값은 조회할 수 없음"/>
    <s v="3자테스트"/>
    <s v="박영수"/>
    <s v="최민지"/>
    <s v="김승무"/>
    <s v="Online"/>
    <x v="1"/>
    <x v="1"/>
    <s v="결함등록기각"/>
    <s v=""/>
    <x v="0"/>
    <x v="2"/>
    <d v="2026-01-20T10:58:03"/>
    <d v="2026-01-21T16:31:38"/>
  </r>
  <r>
    <s v="UT-CARF033S(A)"/>
    <n v="5"/>
    <n v="3"/>
    <x v="1"/>
    <s v="DEF-03501"/>
    <s v="[S_5]일부 우측이동시 다른 cHECK-IN CLUSTER ID에도 같이 반영됨_x000a_[S_6]일부 좌측이동시 다른 cHECK-IN CLUSTER ID에 다르게 반영 됨"/>
    <s v="3자테스트"/>
    <s v="박영수"/>
    <s v="최민지"/>
    <s v="김승무"/>
    <s v="Online"/>
    <x v="1"/>
    <x v="1"/>
    <s v="결함등록기각"/>
    <s v=""/>
    <x v="0"/>
    <x v="2"/>
    <d v="2026-01-20T10:12:56"/>
    <d v="2026-01-26T13:30:44"/>
  </r>
  <r>
    <s v="UT-CARF002S(A)"/>
    <n v="5"/>
    <n v="3"/>
    <x v="1"/>
    <s v="DEF-03539"/>
    <s v="[S_2] Use y/n 검색 건수가 다름_x000a_전체 472 건 , Yse 291건 , No 115건  472 =/  (291 + 115) = 406 "/>
    <s v="3자테스트"/>
    <s v="박영수"/>
    <s v="최민지"/>
    <s v="김승무"/>
    <s v="Online"/>
    <x v="1"/>
    <x v="4"/>
    <s v="결함등록기각"/>
    <s v=""/>
    <x v="0"/>
    <x v="2"/>
    <d v="2026-01-20T13:24:19"/>
    <d v="2026-01-26T13:15:27"/>
  </r>
  <r>
    <s v="UT-CA-SP29(A)"/>
    <n v="5"/>
    <n v="3"/>
    <x v="1"/>
    <s v="DEF-03705"/>
    <s v="[S_1] ) 테이블에 INSERT 안됨_x0009_- _x000a_이 테스트 내용은 UT-SP_ESB_SMSRQSTAOMS_SND 내용을 잘못 처리 함. _x000a_ _x000a_SP_CA_SMSRQST_SND,시나리오는 테스티 시나리오와 결과서가 없음"/>
    <s v="3자테스트"/>
    <s v="박영수"/>
    <s v="정연준"/>
    <s v="김승무"/>
    <s v="프로시져"/>
    <x v="1"/>
    <x v="1"/>
    <s v="결함등록기각"/>
    <s v=""/>
    <x v="0"/>
    <x v="2"/>
    <d v="2026-01-22T11:19:48"/>
    <d v="2026-01-26T14:36:02"/>
  </r>
  <r>
    <s v="UT-CA-SP23(A)"/>
    <n v="5"/>
    <n v="3"/>
    <x v="1"/>
    <s v="DEF-03695"/>
    <s v="[s_1] TN_CA_SMS_USER(SMS사용자) 테이블에 INSERT 안됨 "/>
    <s v="3자테스트"/>
    <s v="박영수"/>
    <s v="정연준"/>
    <s v="김승무"/>
    <s v="프로시져"/>
    <x v="1"/>
    <x v="1"/>
    <s v="결함등록기각"/>
    <s v=""/>
    <x v="0"/>
    <x v="2"/>
    <d v="2026-01-22T10:38:46"/>
    <d v="2026-01-26T14:46:16"/>
  </r>
  <r>
    <s v="UT-CARF031S(A)"/>
    <n v="5"/>
    <n v="3"/>
    <x v="1"/>
    <s v="DEF-03484"/>
    <s v="[S_3]Cancel Code 값을 넣지 않고 저장시 오류 "/>
    <s v="3자테스트"/>
    <s v="박영수"/>
    <s v="최민지"/>
    <s v="김승무"/>
    <s v="Online"/>
    <x v="1"/>
    <x v="1"/>
    <s v="조치요청"/>
    <s v="최민지"/>
    <x v="0"/>
    <x v="4"/>
    <d v="2026-01-20T09:11:15"/>
    <d v="2026-01-20T09:40:03"/>
  </r>
  <r>
    <s v="UT-CARF024S(A)"/>
    <n v="5"/>
    <n v="3"/>
    <x v="1"/>
    <s v="DEF-03466"/>
    <s v="[C_3] 화면의 첫 째 필드에 커셔가 Set focus되어 있지 않음"/>
    <s v="3자테스트"/>
    <s v="박영수"/>
    <s v="최민지"/>
    <s v="김승무"/>
    <s v="Online"/>
    <x v="1"/>
    <x v="1"/>
    <s v="최종확인    "/>
    <s v=""/>
    <x v="0"/>
    <x v="0"/>
    <d v="2026-01-19T15:39:02"/>
    <d v="2026-01-23T13:42:35"/>
  </r>
  <r>
    <s v="UT-CARF009S(A)"/>
    <n v="5"/>
    <n v="3"/>
    <x v="1"/>
    <s v="DEF-03450"/>
    <s v="[C_5]오류에대한 메세지가 정확하지 않"/>
    <s v="3자테스트"/>
    <s v="박영수"/>
    <s v="최민지"/>
    <s v="김승무"/>
    <s v="Online"/>
    <x v="1"/>
    <x v="1"/>
    <s v="최종확인    "/>
    <s v=""/>
    <x v="0"/>
    <x v="0"/>
    <d v="2026-01-19T14:58:00"/>
    <d v="2026-01-23T14:41:32"/>
  </r>
  <r>
    <s v="UT-CASY052S(A)"/>
    <n v="5"/>
    <n v="3"/>
    <x v="1"/>
    <s v="DEF-03411"/>
    <s v="[C_2] Date 값은 필수입력 값으로 보이나 값을 넣지 않아도 조회가 됨_x000a_[C-3] 화면의 첫 째 필드에 커셔가 Set focus되어 있지 않음"/>
    <s v="3자테스트"/>
    <s v="박영수"/>
    <s v="최민지"/>
    <s v="김승무"/>
    <s v="Online"/>
    <x v="1"/>
    <x v="1"/>
    <s v="최종확인    "/>
    <s v=""/>
    <x v="0"/>
    <x v="0"/>
    <d v="2026-01-19T13:24:31"/>
    <d v="2026-01-23T14:43:26"/>
  </r>
  <r>
    <s v="UT-CARF039S(A)"/>
    <n v="5"/>
    <n v="3"/>
    <x v="1"/>
    <s v="DEF-03526"/>
    <s v="[[S_3]이름필드에 한글 25자 넘어가면 다음과 같은 에러가 남"/>
    <s v="3자테스트"/>
    <s v="박영수"/>
    <s v="최민지"/>
    <s v="김승무"/>
    <s v="Online"/>
    <x v="1"/>
    <x v="1"/>
    <s v="최종확인    "/>
    <s v=""/>
    <x v="0"/>
    <x v="0"/>
    <d v="2026-01-20T11:18:26"/>
    <d v="2026-01-22T16:10:47"/>
  </r>
  <r>
    <s v="UT-CARF011S(A)"/>
    <n v="5"/>
    <n v="3"/>
    <x v="1"/>
    <s v="DEF-03458"/>
    <s v="[C_3] 화면의 첫 째 필드에 커셔가 Set focus되어 있지 않음 "/>
    <s v="3자테스트"/>
    <s v="박영수"/>
    <s v="최민지"/>
    <s v="김승무"/>
    <s v="Online"/>
    <x v="1"/>
    <x v="1"/>
    <s v="최종확인    "/>
    <s v=""/>
    <x v="0"/>
    <x v="0"/>
    <d v="2026-01-19T15:25:27"/>
    <d v="2026-01-23T13:37:15"/>
  </r>
  <r>
    <s v="UT-CARF010S(A)"/>
    <n v="5"/>
    <n v="3"/>
    <x v="1"/>
    <s v="DEF-03455"/>
    <s v="[C_3] Set focus가  첫 화면에 위치하지 않음"/>
    <s v="3자테스트"/>
    <s v="박영수"/>
    <s v="최민지"/>
    <s v="김승무"/>
    <s v="Online"/>
    <x v="1"/>
    <x v="1"/>
    <s v="최종확인    "/>
    <s v=""/>
    <x v="0"/>
    <x v="0"/>
    <d v="2026-01-19T15:17:38"/>
    <d v="2026-01-23T13:46:49"/>
  </r>
  <r>
    <s v="UT-CASY053S(A)"/>
    <n v="5"/>
    <n v="3"/>
    <x v="1"/>
    <s v="DEF-03416"/>
    <s v="[c_2]필수입력 오루 _x000a_[c_3] 화면의 첫 째 필드에 커셔가 Set focus되어 있지않음_x000a_[x_001] 시나리오문서상  메세지 값과 실제 메세지 내용이 다"/>
    <s v="3자테스트"/>
    <s v="박영수"/>
    <s v="최민지"/>
    <s v="김승무"/>
    <s v="Online"/>
    <x v="1"/>
    <x v="1"/>
    <s v="확인요청"/>
    <s v="김승무"/>
    <x v="0"/>
    <x v="1"/>
    <d v="2026-01-19T13:34:25"/>
    <d v="2026-01-26T13:01:27"/>
  </r>
  <r>
    <s v="UT-CARF001S(A)"/>
    <n v="5"/>
    <n v="3"/>
    <x v="1"/>
    <s v="DEF-03533"/>
    <s v="[S_4]Min Work Time을 3분에서 4분으로 바꾸었더니 서버오류가 남_x000a_왜 에러가 났는지  알기 어려움"/>
    <s v="3자테스트"/>
    <s v="박영수"/>
    <s v="최민지"/>
    <s v="김승무"/>
    <s v="Online"/>
    <x v="1"/>
    <x v="1"/>
    <s v="확인요청"/>
    <s v="김승무"/>
    <x v="0"/>
    <x v="1"/>
    <d v="2026-01-20T13:12:17"/>
    <d v="2026-01-26T13:10:56"/>
  </r>
  <r>
    <s v="UT-CARF002S(A)"/>
    <n v="5"/>
    <n v="3"/>
    <x v="1"/>
    <s v="DEF-03546"/>
    <s v="[S_4] Average Flight Speed 입력시 5자리 넘으면 서버 오류 메세지 "/>
    <s v="3자테스트"/>
    <s v="박영수"/>
    <s v="최민지"/>
    <s v="김승무"/>
    <s v="Online"/>
    <x v="1"/>
    <x v="1"/>
    <s v="확인요청"/>
    <s v="김승무"/>
    <x v="0"/>
    <x v="1"/>
    <d v="2026-01-20T13:36:59"/>
    <d v="2026-01-26T13:31:38"/>
  </r>
  <r>
    <s v="UT-CARF003S(A)"/>
    <n v="5"/>
    <n v="3"/>
    <x v="1"/>
    <s v="DEF-03551"/>
    <s v="[S_4] Aircraft Crew Count 4자리 이상 입력 경우 오류 "/>
    <s v="3자테스트"/>
    <s v="박영수"/>
    <s v="최민지"/>
    <s v="김승무"/>
    <s v="Online"/>
    <x v="1"/>
    <x v="1"/>
    <s v="확인요청"/>
    <s v="김승무"/>
    <x v="0"/>
    <x v="1"/>
    <d v="2026-01-20T13:51:49"/>
    <d v="2026-01-26T13:00:37"/>
  </r>
  <r>
    <s v="UT-CARF032S(A)"/>
    <n v="5"/>
    <n v="3"/>
    <x v="1"/>
    <s v="DEF-03492"/>
    <s v="[s_5]이미지 Upload후 다시 조회 하면 이미지가 보이지 않음"/>
    <s v="3자테스트"/>
    <s v="박영수"/>
    <s v="최민지"/>
    <s v="김승무"/>
    <s v="Online"/>
    <x v="1"/>
    <x v="1"/>
    <s v="확인요청"/>
    <s v="김승무"/>
    <x v="0"/>
    <x v="1"/>
    <d v="2026-01-20T09:39:52"/>
    <d v="2026-01-26T13:17:15"/>
  </r>
  <r>
    <s v="UT-CASY051S(A)"/>
    <n v="5"/>
    <n v="3"/>
    <x v="1"/>
    <s v="DEF-03407"/>
    <s v="[C_7]필수값 일자를 넣지 않을때 정확한 메세지가 나오지 않음_x000a_[C_3} 화면의 첫 째 필드에 커셔가 Set focus되어 있지 않음_x000a_[X_001]테스트  시나리오에는 조회시작일자,종료일자에 데한 체크시나리오가 있는데, 테스트 화면에 날자는 단일 입력날자로 되어 있음.  테스트시나리오 수정 필요"/>
    <s v="3자테스트"/>
    <s v="박영수"/>
    <s v="최민지"/>
    <s v="김승무"/>
    <s v="Online"/>
    <x v="1"/>
    <x v="1"/>
    <s v="확인요청"/>
    <s v="김승무"/>
    <x v="0"/>
    <x v="1"/>
    <d v="2026-01-19T13:13:13"/>
    <d v="2026-01-26T13:12:59"/>
  </r>
  <r>
    <s v="UT-CARF038S(A)"/>
    <n v="5"/>
    <n v="3"/>
    <x v="1"/>
    <s v="DEF-03522"/>
    <s v="[S_3] 수정시 오류 _x000a_[C_11] 입력항목 값 입력 시 한글필드가 입력 됨"/>
    <s v="3자테스트"/>
    <s v="박영수"/>
    <s v="최민지"/>
    <s v="김승무"/>
    <s v="Online"/>
    <x v="1"/>
    <x v="1"/>
    <s v="확인요청"/>
    <s v="김승무"/>
    <x v="0"/>
    <x v="1"/>
    <d v="2026-01-20T11:06:30"/>
    <d v="2026-01-26T13:30:06"/>
  </r>
  <r>
    <s v="UT-CASY048S(A)"/>
    <n v="5"/>
    <n v="3"/>
    <x v="1"/>
    <s v="DEF-03405"/>
    <s v="[C_5] 8일 초과 할수 없다고 메세지는 나오나 데이터 값을 넣지 않으면 전체가 조회 됨_x000a__x000a_PS : 시나리오에 해당 테스트가 작성 되지 않아 메세지가 적정하게 표출되지 않는 것으로 판단 공통에러로 표기 함"/>
    <s v="3자테스트"/>
    <s v="박영수"/>
    <s v="최민지"/>
    <s v="김승무"/>
    <s v="Online"/>
    <x v="1"/>
    <x v="1"/>
    <s v="확인요청"/>
    <s v="김승무"/>
    <x v="0"/>
    <x v="1"/>
    <d v="2026-01-19T12:58:45"/>
    <d v="2026-01-26T13:01:05"/>
  </r>
  <r>
    <s v="UT-CASY047S(A)"/>
    <n v="5"/>
    <n v="3"/>
    <x v="1"/>
    <s v="DEF-03404"/>
    <s v="[S_3] 최대조회기간 8일 초과 할수 없으나 전체가 조회 됨_x000a_[X_001]테스트 시나리오의 메세지 내용과 테스트시 메세지 내용이 다름"/>
    <s v="3자테스트"/>
    <s v="박영수"/>
    <s v="최민지"/>
    <s v="김승무"/>
    <s v="Online"/>
    <x v="1"/>
    <x v="1"/>
    <s v="확인요청"/>
    <s v="김승무"/>
    <x v="0"/>
    <x v="1"/>
    <d v="2026-01-19T12:49:26"/>
    <d v="2026-01-26T09:57:05"/>
  </r>
  <r>
    <s v="UT-CA-SP33(A)"/>
    <n v="5"/>
    <n v="3"/>
    <x v="1"/>
    <s v="DEF-03720"/>
    <s v="[S_1,2,3,4,5]  JDBC-90603:Invalid operation: disconnected from the server._x000a_"/>
    <s v="3자테스트"/>
    <s v="박영수"/>
    <s v="김태훈"/>
    <s v="김승무"/>
    <s v="프로시져"/>
    <x v="1"/>
    <x v="1"/>
    <s v="확인요청"/>
    <s v="김승무"/>
    <x v="0"/>
    <x v="1"/>
    <d v="2026-01-22T14:37:05"/>
    <d v="2026-01-26T14:19:09"/>
  </r>
  <r>
    <s v="UT-CA-SP31(A)"/>
    <n v="5"/>
    <n v="3"/>
    <x v="1"/>
    <s v="DEF-03771"/>
    <s v="[S_1]SQL Error [23000]: JDBC-10007:UNIQUE constraint violation ('CAOWN'.'PK_TN_CA_USER_SESS')._x000a_[S_2] SQL Error [ERRPS]: JDBC-15146:PSM compilation error."/>
    <s v="3자테스트"/>
    <s v="박영수"/>
    <s v="정연준"/>
    <s v="김승무"/>
    <s v="프로시져"/>
    <x v="1"/>
    <x v="1"/>
    <s v="확인요청"/>
    <s v="김승무"/>
    <x v="0"/>
    <x v="1"/>
    <d v="2026-01-23T14:33:44"/>
    <d v="2026-01-26T15:02:41"/>
  </r>
  <r>
    <s v="UT-CASY046S(A)"/>
    <n v="5"/>
    <n v="3"/>
    <x v="1"/>
    <s v="DEF-03402"/>
    <s v="{S_5]메세지는 조회기간 8일을 초과 할구 없다고 나오나 DATE를 입력하지 않으면 전체일자가 모두 조회 됨"/>
    <s v="3자테스트"/>
    <s v="박영수"/>
    <s v="최민지"/>
    <s v="김승무"/>
    <s v="Online"/>
    <x v="1"/>
    <x v="1"/>
    <s v="확인요청"/>
    <s v="김승무"/>
    <x v="0"/>
    <x v="1"/>
    <d v="2026-01-19T12:42:12"/>
    <d v="2026-01-26T13:14:27"/>
  </r>
  <r>
    <s v="UT-CASY011S(A)"/>
    <n v="5"/>
    <n v="3"/>
    <x v="1"/>
    <s v="DEF-03760"/>
    <s v="[S_44] 그룹리스트 상위그룹명,상세그룹명  자리수 check _x000a_[s_63] excel Upload시 check 없이 그대로 저장됨 _x000a_[S_68] 발송요청일 값을 안넣어도 조회됨_x000a_[s_69] 응답일시 시간 체크 필요_x000a_[s_70] 요청일시(2차)는 수정이 안됨(display mode)_x000a_[s_74] 엑셀 추출권한이 없음"/>
    <s v="3자테스트"/>
    <s v="박영수"/>
    <s v="정연준"/>
    <s v="김승무"/>
    <s v="Online"/>
    <x v="1"/>
    <x v="1"/>
    <s v="확인요청"/>
    <s v="김승무"/>
    <x v="1"/>
    <x v="1"/>
    <d v="2026-01-23T13:10:03"/>
    <d v="2026-01-27T14:37:06"/>
  </r>
  <r>
    <s v="UT-CA-SP22(A)"/>
    <n v="5"/>
    <n v="3"/>
    <x v="1"/>
    <s v="DEF-03689"/>
    <s v="[s_1] TN_CA_SMS_USER(SMS사용자) 테이블에 INSERT 시 SQL Error [ERRTX]: JDBC-21008:Savepoint 'SVP1' was not found. "/>
    <s v="3자테스트"/>
    <s v="박영수"/>
    <s v="정연준"/>
    <s v="김승무"/>
    <s v="프로시져"/>
    <x v="1"/>
    <x v="1"/>
    <s v="확인요청"/>
    <s v="김승무"/>
    <x v="0"/>
    <x v="1"/>
    <d v="2026-01-22T09:52:52"/>
    <d v="2026-01-26T14:47:08"/>
  </r>
  <r>
    <s v="UT-CA-SP28(A)"/>
    <n v="5"/>
    <n v="3"/>
    <x v="1"/>
    <s v="DEF-03697"/>
    <s v="[S_1] SQL ERROR "/>
    <s v="3자테스트"/>
    <s v="박영수"/>
    <s v="김태훈"/>
    <s v="김승무"/>
    <s v="프로시져"/>
    <x v="1"/>
    <x v="1"/>
    <s v="확인요청"/>
    <s v="김승무"/>
    <x v="0"/>
    <x v="1"/>
    <d v="2026-01-22T10:48:16"/>
    <d v="2026-01-26T14:30:52"/>
  </r>
  <r>
    <s v="UT-CASY013S"/>
    <n v="5"/>
    <n v="3"/>
    <x v="2"/>
    <s v="DEF-03727"/>
    <s v="[X_001]테스트 시나리오에 결과서 없음"/>
    <s v="3자테스트"/>
    <s v="박영수"/>
    <s v="최민지"/>
    <s v="김승무"/>
    <s v="Online"/>
    <x v="1"/>
    <x v="2"/>
    <s v="결함등록기각"/>
    <s v=""/>
    <x v="0"/>
    <x v="2"/>
    <d v="2026-01-22T15:02:09"/>
    <d v="2026-01-26T09:51:31"/>
  </r>
  <r>
    <s v="UT-CASY041S"/>
    <n v="5"/>
    <n v="3"/>
    <x v="2"/>
    <s v="DEF-03575"/>
    <s v="[S_2] 전체 조회의 경우 CSDL 연계상태 와 메세지 송신현황 조회기준을 모르겠음.  시스템 id를 클릭하면 그 시스템 id에 해당하는 메세지 송신현황이 보여야 하나 반응이 없음_x000a_마스테 메세지송신 에러현황도 반을을 하지 않음_x000a__x000a_- 메세지 송신형황에서 시스템 id 에 SACP가 보이는데 , 시스템 id 팝업에는 해당 id가 없음"/>
    <s v="3자테스트"/>
    <s v="박영수"/>
    <s v="박영수"/>
    <s v="김승무"/>
    <s v="Online"/>
    <x v="1"/>
    <x v="1"/>
    <s v="결함등록기각"/>
    <s v=""/>
    <x v="0"/>
    <x v="2"/>
    <d v="2026-01-20T14:39:50"/>
    <d v="2026-01-20T17:46:11"/>
  </r>
  <r>
    <s v="UT-CAMN007M"/>
    <n v="5"/>
    <n v="3"/>
    <x v="2"/>
    <s v="DEF-03725"/>
    <s v="[X_001]테스트 시나리오에 테스트 결과서 없음"/>
    <s v="3자테스트"/>
    <s v="박영수"/>
    <s v="최민지"/>
    <s v="김승무"/>
    <s v="Online"/>
    <x v="1"/>
    <x v="2"/>
    <s v="결함등록기각"/>
    <s v=""/>
    <x v="0"/>
    <x v="2"/>
    <d v="2026-01-22T14:59:52"/>
    <d v="2026-01-26T09:51:03"/>
  </r>
  <r>
    <s v="UT-CARF032S"/>
    <n v="5"/>
    <n v="3"/>
    <x v="2"/>
    <s v="DEF-03658"/>
    <s v="[S-3].추가입력시 Airline Code, ICAO코드, Unit  System ID 가  Default로 뜸. list box의 입력 값을 변경할 수 없음 "/>
    <s v="3자테스트"/>
    <s v="박영수"/>
    <s v="최민지"/>
    <s v="김승무"/>
    <s v="Online"/>
    <x v="1"/>
    <x v="1"/>
    <s v="결함등록기각"/>
    <s v=""/>
    <x v="0"/>
    <x v="2"/>
    <d v="2026-01-21T13:29:37"/>
    <d v="2026-01-26T13:25:37"/>
  </r>
  <r>
    <s v="UT-CARF034S"/>
    <n v="5"/>
    <n v="3"/>
    <x v="2"/>
    <s v="DEF-03661"/>
    <s v="_x000a_[S_3] Countes ID 5자리 이상 값이 들어가면 시스템 오류 , 한글도 입력 됨 _x000a_==&gt; check-in Count내용이 잘못 들어감  기각처리 해 주세요. "/>
    <s v="3자테스트"/>
    <s v="박영수"/>
    <s v="최민지"/>
    <s v="김승무"/>
    <s v="Online"/>
    <x v="1"/>
    <x v="1"/>
    <s v="결함등록기각"/>
    <s v=""/>
    <x v="0"/>
    <x v="2"/>
    <d v="2026-01-21T13:44:34"/>
    <d v="2026-01-21T16:55:33"/>
  </r>
  <r>
    <s v="UT-CA-SP22"/>
    <n v="5"/>
    <n v="3"/>
    <x v="2"/>
    <s v="DEF-03688"/>
    <s v="[s_2] sql 에러 _x000a_TN_CA_SMS_USER(SMS사용자) 테이블에 UPDATE 시 "/>
    <s v="3자테스트"/>
    <s v="박영수"/>
    <s v="정연준"/>
    <s v="김승무"/>
    <s v="프로시져"/>
    <x v="1"/>
    <x v="1"/>
    <s v="결함등록기각"/>
    <s v=""/>
    <x v="0"/>
    <x v="2"/>
    <d v="2026-01-22T09:48:18"/>
    <d v="2026-01-26T14:37:23"/>
  </r>
  <r>
    <s v="UT-CA-SP40"/>
    <n v="5"/>
    <n v="3"/>
    <x v="2"/>
    <s v="DEF-03712"/>
    <s v="[x_001]테스트 결과서 없음 "/>
    <s v="3자테스트"/>
    <s v="박영수"/>
    <s v="정연준"/>
    <s v="김승무"/>
    <s v="프로시져"/>
    <x v="1"/>
    <x v="2"/>
    <s v="결함등록기각"/>
    <s v=""/>
    <x v="0"/>
    <x v="2"/>
    <d v="2026-01-22T13:41:07"/>
    <d v="2026-01-26T09:51:59"/>
  </r>
  <r>
    <s v="UT-CARF003S"/>
    <n v="5"/>
    <n v="3"/>
    <x v="2"/>
    <s v="DEF-03584"/>
    <s v="[S_4] 신규 생성시 _x000a_. Other Information 항목에 Aircraft Remark가 300byte까지 입력 가능하나, 100byte 까지만 입력됨._x000a_test 값 : Registration No - B309Q, B309u"/>
    <s v="3자테스트"/>
    <s v="박영수"/>
    <s v="최민지"/>
    <s v="윤성훈"/>
    <s v="Online"/>
    <x v="1"/>
    <x v="1"/>
    <s v="결함등록기각"/>
    <s v=""/>
    <x v="0"/>
    <x v="2"/>
    <d v="2026-01-20T14:52:38"/>
    <d v="2026-01-20T17:41:37"/>
  </r>
  <r>
    <s v="UT-CASY052S"/>
    <n v="5"/>
    <n v="3"/>
    <x v="2"/>
    <s v="DEF-03614"/>
    <s v="[S_2] date에 값을 넣지 않을때 오류_x000a_[C-3] 화면의 첫 째 필드에 커셔가 Set focus되어 있지 않음"/>
    <s v="3자테스트"/>
    <s v="박영수"/>
    <s v="최민지"/>
    <s v="김승무"/>
    <s v="Online"/>
    <x v="1"/>
    <x v="1"/>
    <s v="최종확인    "/>
    <s v=""/>
    <x v="0"/>
    <x v="0"/>
    <d v="2026-01-20T16:29:32"/>
    <d v="2026-01-22T16:13:28"/>
  </r>
  <r>
    <s v="UT-CASY044S"/>
    <n v="5"/>
    <n v="3"/>
    <x v="2"/>
    <s v="DEF-03592"/>
    <s v="[S_2] Timestamp에 값을 넣지 않으면 전체가 조회 됨"/>
    <s v="3자테스트"/>
    <s v="박영수"/>
    <s v="최민지"/>
    <s v="김승무"/>
    <s v="Online"/>
    <x v="1"/>
    <x v="1"/>
    <s v="최종확인    "/>
    <s v=""/>
    <x v="0"/>
    <x v="0"/>
    <d v="2026-01-20T14:59:32"/>
    <d v="2026-01-22T16:20:32"/>
  </r>
  <r>
    <s v="UT-CASY047S"/>
    <n v="5"/>
    <n v="3"/>
    <x v="2"/>
    <s v="DEF-03603"/>
    <s v="[S_3] DATE값을 넣지 않으면 최대조회기간 8일 초과 할수 없으나 전체가 조회 됨 "/>
    <s v="3자테스트"/>
    <s v="박영수"/>
    <s v="최민지"/>
    <s v="김승무"/>
    <s v="Online"/>
    <x v="1"/>
    <x v="1"/>
    <s v="최종확인    "/>
    <s v=""/>
    <x v="0"/>
    <x v="0"/>
    <d v="2026-01-20T15:14:27"/>
    <d v="2026-01-22T16:15:54"/>
  </r>
  <r>
    <s v="UT-CASY043S"/>
    <n v="5"/>
    <n v="3"/>
    <x v="2"/>
    <s v="DEF-03582"/>
    <s v="[S_2] 최대 조회기간이 2일을 초과 할수 없는데 Timestamp에 값을 넣지 않으면 전체 Data를 다 가져 옴 "/>
    <s v="3자테스트"/>
    <s v="박영수"/>
    <s v="최민지"/>
    <s v="김승무"/>
    <s v="Online"/>
    <x v="1"/>
    <x v="1"/>
    <s v="확인요청"/>
    <s v="김승무"/>
    <x v="0"/>
    <x v="1"/>
    <d v="2026-01-20T14:51:10"/>
    <d v="2026-01-26T13:11:17"/>
  </r>
  <r>
    <s v="UT-CASY046S"/>
    <n v="5"/>
    <n v="3"/>
    <x v="2"/>
    <s v="DEF-03597"/>
    <s v="[S_3]DATA에 값을 넣지 않으면 전체 DATA가 조회 됨"/>
    <s v="3자테스트"/>
    <s v="박영수"/>
    <s v="최민지"/>
    <s v="김승무"/>
    <s v="Online"/>
    <x v="1"/>
    <x v="1"/>
    <s v="확인요청"/>
    <s v="김승무"/>
    <x v="0"/>
    <x v="1"/>
    <d v="2026-01-20T15:06:20"/>
    <d v="2026-01-26T13:15:47"/>
  </r>
  <r>
    <s v="UT-CASY052S"/>
    <n v="5"/>
    <n v="3"/>
    <x v="2"/>
    <s v="DEF-03628"/>
    <s v="[S_2]과거일을 조회할 수 없음 "/>
    <s v="3자테스트"/>
    <s v="박영수"/>
    <s v="최민지"/>
    <s v="김승무"/>
    <s v="Online"/>
    <x v="1"/>
    <x v="1"/>
    <s v="확인요청"/>
    <s v="김승무"/>
    <x v="0"/>
    <x v="1"/>
    <d v="2026-01-21T09:25:12"/>
    <d v="2026-01-26T09:36:57"/>
  </r>
  <r>
    <s v="UT-CASY053S"/>
    <n v="5"/>
    <n v="3"/>
    <x v="2"/>
    <s v="DEF-03616"/>
    <s v="[c_2]필수입력 오류 _x000a_[c_3] 화면의 첫 째 필드에 커셔가 Set focus되어 있지않음_x000a_[x_001] 시나리오문서상  메세지 값과 실제 메세지 내용이 다름"/>
    <s v="3자테스트"/>
    <s v="박영수"/>
    <s v="최민지"/>
    <s v="김승무"/>
    <s v="Online"/>
    <x v="1"/>
    <x v="1"/>
    <s v="확인요청"/>
    <s v="김승무"/>
    <x v="0"/>
    <x v="1"/>
    <d v="2026-01-20T16:34:32"/>
    <d v="2026-01-26T13:31:03"/>
  </r>
  <r>
    <s v="UT-CARF002S"/>
    <n v="5"/>
    <n v="3"/>
    <x v="2"/>
    <s v="DEF-03601"/>
    <s v="[C_11] Aircraft Type Description 입력란이 500byte 까지 인데 500byte 이상 입력이 가능함. 단, 500byte 이상 입력 후 저장 시 오류메세지 뜸"/>
    <s v="3자테스트"/>
    <s v="박영수"/>
    <s v="최민지"/>
    <s v="윤성훈"/>
    <s v="Online"/>
    <x v="1"/>
    <x v="3"/>
    <s v="확인요청"/>
    <s v="윤성훈"/>
    <x v="0"/>
    <x v="1"/>
    <d v="2026-01-20T15:14:01"/>
    <d v="2026-01-21T16:30:29"/>
  </r>
  <r>
    <s v="UT-CARF011S"/>
    <n v="5"/>
    <n v="3"/>
    <x v="2"/>
    <s v="DEF-03633"/>
    <s v="[s_3] Runway ID 한글로 입력하면 에레 _x000a_[S_6]여러건 입력시 Use Y/N을 1건만 입력하고 다른건은 입력하지 않아도  저장됨_x000a_"/>
    <s v="3자테스트"/>
    <s v="박영수"/>
    <s v="최민지"/>
    <s v="김승무"/>
    <s v="Online"/>
    <x v="1"/>
    <x v="1"/>
    <s v="확인요청"/>
    <s v="김승무"/>
    <x v="1"/>
    <x v="1"/>
    <d v="2026-01-21T10:06:10"/>
    <d v="2026-01-26T13:26:38"/>
  </r>
  <r>
    <s v="UT-CARF026S"/>
    <n v="5"/>
    <n v="3"/>
    <x v="2"/>
    <s v="DEF-03645"/>
    <s v="[S_3]여러건 동시에 입력시 use yn 및 sort order 입력 하지 않아도 저장 됨"/>
    <s v="3자테스트"/>
    <s v="박영수"/>
    <s v="최민지"/>
    <s v="김승무"/>
    <s v="Online"/>
    <x v="1"/>
    <x v="1"/>
    <s v="확인요청"/>
    <s v="김승무"/>
    <x v="0"/>
    <x v="1"/>
    <d v="2026-01-21T11:10:19"/>
    <d v="2026-01-26T13:25:58"/>
  </r>
  <r>
    <s v="UT-CARF029S"/>
    <n v="5"/>
    <n v="3"/>
    <x v="2"/>
    <s v="DEF-03651"/>
    <s v="[S_3]여러건 입력시 필수필드 입력 하지 않아도 저장 "/>
    <s v="3자테스트"/>
    <s v="박영수"/>
    <s v="최민지"/>
    <s v="김승무"/>
    <s v="Online"/>
    <x v="1"/>
    <x v="1"/>
    <s v="확인요청"/>
    <s v="김승무"/>
    <x v="0"/>
    <x v="1"/>
    <d v="2026-01-21T12:43:47"/>
    <d v="2026-01-26T13:23:18"/>
  </r>
  <r>
    <s v="UT-CARF030S"/>
    <n v="5"/>
    <n v="3"/>
    <x v="2"/>
    <s v="DEF-03652"/>
    <s v="[S_3]여러건 입력시 필수필드 누락 되어도 처리 _x000a_"/>
    <s v="3자테스트"/>
    <s v="박영수"/>
    <s v="최민지"/>
    <s v="김승무"/>
    <s v="Online"/>
    <x v="1"/>
    <x v="1"/>
    <s v="확인요청"/>
    <s v="김승무"/>
    <x v="0"/>
    <x v="1"/>
    <d v="2026-01-21T13:04:30"/>
    <d v="2026-01-26T13:24:38"/>
  </r>
  <r>
    <s v="UT-CARF035S"/>
    <n v="5"/>
    <n v="3"/>
    <x v="2"/>
    <s v="DEF-03662"/>
    <s v="[S_3] Count ID  5자리이상 입력 하면 오류 , 한글도 입력 됨"/>
    <s v="3자테스트"/>
    <s v="박영수"/>
    <s v="최민지"/>
    <s v="김승무"/>
    <s v="Online"/>
    <x v="1"/>
    <x v="1"/>
    <s v="확인요청"/>
    <s v="김승무"/>
    <x v="0"/>
    <x v="1"/>
    <d v="2026-01-21T13:52:35"/>
    <d v="2026-01-26T13:29:21"/>
  </r>
  <r>
    <s v="UT-CA-SP38"/>
    <n v="5"/>
    <n v="3"/>
    <x v="2"/>
    <s v="DEF-03709"/>
    <s v="[S_2]  SMS수신테이블에 UPDATE 오류"/>
    <s v="3자테스트"/>
    <s v="박영수"/>
    <s v="정연준"/>
    <s v="김승무"/>
    <s v="프로시져"/>
    <x v="1"/>
    <x v="1"/>
    <s v="확인요청"/>
    <s v="김승무"/>
    <x v="0"/>
    <x v="1"/>
    <d v="2026-01-22T13:21:13"/>
    <d v="2026-01-26T15:07:15"/>
  </r>
  <r>
    <s v="UT-CA-SP39"/>
    <n v="5"/>
    <n v="3"/>
    <x v="2"/>
    <s v="DEF-03711"/>
    <s v="[s_2][s_3  'SP_ESB_SMSRPLYFIMS_RCV' 호출 시 인수의 갯수나 유형이 잘못되었습니다_x000a_"/>
    <s v="3자테스트"/>
    <s v="박영수"/>
    <s v="정연준"/>
    <s v="김승무"/>
    <s v="프로시져"/>
    <x v="1"/>
    <x v="1"/>
    <s v="확인요청"/>
    <s v="김승무"/>
    <x v="0"/>
    <x v="1"/>
    <d v="2026-01-22T13:37:50"/>
    <d v="2026-01-26T15:06:16"/>
  </r>
  <r>
    <s v="UT-CA-SP41"/>
    <n v="5"/>
    <n v="3"/>
    <x v="2"/>
    <s v="DEF-03722"/>
    <s v="[S_1]'CAOWN.SP_CA_PERS_INFO_CONFF_INSERT' 식별자가 정의되어야 합니다_x000a_[S_2] 'CAOWN.SP_CA_PERS_INFO_CONFF_INSERT' 식별자가 정의되어야 합니다"/>
    <s v="3자테스트"/>
    <s v="박영수"/>
    <s v="박영수"/>
    <s v="김승무"/>
    <s v="프로시져"/>
    <x v="1"/>
    <x v="1"/>
    <s v="확인요청"/>
    <s v="김승무"/>
    <x v="0"/>
    <x v="1"/>
    <d v="2026-01-22T14:45:00"/>
    <d v="2026-01-26T14:18:47"/>
  </r>
  <r>
    <s v="UT-CA-SP42"/>
    <n v="5"/>
    <n v="3"/>
    <x v="2"/>
    <s v="DEF-03723"/>
    <s v="[S_1]SQL ERROR "/>
    <s v="3자테스트"/>
    <s v="박영수"/>
    <s v="박영수"/>
    <s v="김승무"/>
    <s v="프로시져"/>
    <x v="1"/>
    <x v="1"/>
    <s v="확인요청"/>
    <s v="김승무"/>
    <x v="0"/>
    <x v="1"/>
    <d v="2026-01-22T14:53:37"/>
    <d v="2026-01-26T14:44:47"/>
  </r>
  <r>
    <s v="UT-CARF036S"/>
    <n v="5"/>
    <n v="3"/>
    <x v="2"/>
    <s v="DEF-03663"/>
    <s v="[S_3]여러건 처리시 필수항목 입려하지 않아도 저장 "/>
    <s v="3자테스트"/>
    <s v="박영수"/>
    <s v="최민지"/>
    <s v="김승무"/>
    <s v="Online"/>
    <x v="1"/>
    <x v="1"/>
    <s v="확인요청"/>
    <s v="김승무"/>
    <x v="0"/>
    <x v="1"/>
    <d v="2026-01-21T14:02:05"/>
    <d v="2026-01-26T13:29:02"/>
  </r>
  <r>
    <s v="UT-CARF001S"/>
    <n v="5"/>
    <n v="3"/>
    <x v="2"/>
    <s v="DEF-03669"/>
    <s v="[S_5] Aircraft Type에 Work List를 추가하거나, Detail을 변경 하면 오류가 남"/>
    <s v="3자테스트"/>
    <s v="박영수"/>
    <s v="최민지"/>
    <s v="김승무"/>
    <s v="Online"/>
    <x v="1"/>
    <x v="1"/>
    <s v="확인요청"/>
    <s v="김승무"/>
    <x v="0"/>
    <x v="1"/>
    <d v="2026-01-21T14:54:17"/>
    <d v="2026-01-26T13:28:19"/>
  </r>
  <r>
    <s v="UT-CARF031S"/>
    <n v="5"/>
    <n v="3"/>
    <x v="2"/>
    <s v="DEF-03654"/>
    <s v="[s_3] 데이터 입력시 알수없는 오류가 남"/>
    <s v="3자테스트"/>
    <s v="박영수"/>
    <s v="최민지"/>
    <s v="김승무"/>
    <s v="Online"/>
    <x v="1"/>
    <x v="1"/>
    <s v="확인요청"/>
    <s v="김승무"/>
    <x v="0"/>
    <x v="1"/>
    <d v="2026-01-21T13:14:56"/>
    <d v="2026-01-26T13:29:35"/>
  </r>
  <r>
    <s v="UT-CASY051S"/>
    <n v="5"/>
    <n v="3"/>
    <x v="2"/>
    <s v="DEF-03611"/>
    <s v="[C_7]필수값 일자를 넣지 않을때 정확한 메세지가 나오지 않음_x000a_[C_3} 화면의 첫 째 필드에 커셔가 Set focus되어 있지 않음_x000a_[X_001]테스트  시나리오에는 조회시작일자,종료일자에 데한 체크시나리오가 있는데, 테스트 화면에 날자는 단일 입력날자로 되어 있음.  테스트시나리오 수정 필요"/>
    <s v="3자테스트"/>
    <s v="박영수"/>
    <s v="최민지"/>
    <s v="김승무"/>
    <s v="Online"/>
    <x v="1"/>
    <x v="1"/>
    <s v="확인요청"/>
    <s v="김승무"/>
    <x v="0"/>
    <x v="1"/>
    <d v="2026-01-20T16:00:33"/>
    <d v="2026-01-26T13:13:32"/>
  </r>
  <r>
    <s v="UT-CASY048S"/>
    <n v="5"/>
    <n v="3"/>
    <x v="2"/>
    <s v="DEF-03609"/>
    <s v="[S_2] Date값을 넣지 않으면 최대조회기간 8일 초과 할수 없으나 전체가 조회 됨"/>
    <s v="3자테스트"/>
    <s v="박영수"/>
    <s v="최민지"/>
    <s v="김승무"/>
    <s v="Online"/>
    <x v="1"/>
    <x v="1"/>
    <s v="확인요청"/>
    <s v="김승무"/>
    <x v="0"/>
    <x v="1"/>
    <d v="2026-01-20T15:47:29"/>
    <d v="2026-01-26T13:31:20"/>
  </r>
  <r>
    <s v="UT-GO-SP8"/>
    <n v="5"/>
    <n v="3"/>
    <x v="12"/>
    <s v="DEF-03517"/>
    <s v="[S_1] DECLARE문 실행시 계속 실행되고 종료가 안됨"/>
    <s v="3자테스트"/>
    <s v="신문호"/>
    <s v="정병환"/>
    <s v="김민욱"/>
    <s v="프로시져"/>
    <x v="1"/>
    <x v="4"/>
    <s v="확인요청"/>
    <s v="김민욱"/>
    <x v="0"/>
    <x v="1"/>
    <d v="2026-01-20T10:53:50"/>
    <d v="2026-01-21T19:23:13"/>
  </r>
  <r>
    <s v="UT-GO12506R"/>
    <n v="5"/>
    <n v="3"/>
    <x v="12"/>
    <s v="DEF-03400"/>
    <s v="[S_1] 2019년도 하계성수기만 조회 가능함 확인 핗료"/>
    <s v="3자테스트"/>
    <s v="신문호"/>
    <s v="신문호"/>
    <s v="김민욱"/>
    <s v="Online"/>
    <x v="1"/>
    <x v="1"/>
    <s v="확인요청"/>
    <s v="김민욱"/>
    <x v="0"/>
    <x v="1"/>
    <d v="2026-01-19T12:36:46"/>
    <d v="2026-01-26T17:55:00"/>
  </r>
  <r>
    <s v="UT-GO11960S"/>
    <n v="5"/>
    <n v="3"/>
    <x v="12"/>
    <s v="DEF-03384"/>
    <s v="[S_4] 운항실적 기준 탭에서 엑셀 다운로드시  승객예약 기준 자료가 다운로드 됨 확인 필요"/>
    <s v="3자테스트"/>
    <s v="신문호"/>
    <s v="신문호"/>
    <s v="김민욱"/>
    <s v="Online"/>
    <x v="1"/>
    <x v="1"/>
    <s v="확인요청"/>
    <s v="김민욱"/>
    <x v="0"/>
    <x v="1"/>
    <d v="2026-01-19T10:36:47"/>
    <d v="2026-01-26T19:57:02"/>
  </r>
  <r>
    <s v="UT-GO21401S"/>
    <n v="5"/>
    <n v="3"/>
    <x v="12"/>
    <s v="DEF-03394"/>
    <s v="[S_6] 저장 버튼 클릭시 저장되지 않음"/>
    <s v="3자테스트"/>
    <s v="신문호"/>
    <s v="신문호"/>
    <s v="김민욱"/>
    <s v="Online"/>
    <x v="1"/>
    <x v="1"/>
    <s v="확인요청"/>
    <s v="김민욱"/>
    <x v="0"/>
    <x v="1"/>
    <d v="2026-01-19T11:09:17"/>
    <d v="2026-01-26T20:03:20"/>
  </r>
  <r>
    <s v="UT-GO-SP133"/>
    <n v="5"/>
    <n v="3"/>
    <x v="12"/>
    <s v="DEF-03504"/>
    <s v="[S_2-1] SQL 실행 에러"/>
    <s v="3자테스트"/>
    <s v="신문호"/>
    <s v="신문호"/>
    <s v="김민욱"/>
    <s v="프로시져"/>
    <x v="1"/>
    <x v="4"/>
    <s v="확인요청"/>
    <s v="김민욱"/>
    <x v="0"/>
    <x v="1"/>
    <d v="2026-01-20T10:18:43"/>
    <d v="2026-01-21T19:37:50"/>
  </r>
  <r>
    <s v="UT-GO12903S"/>
    <n v="5"/>
    <n v="3"/>
    <x v="12"/>
    <s v="DEF-03403"/>
    <s v="[C_2] 조회에서 주기장이 필수항목으로 푯되여 있으나 입력없이도 조회됨"/>
    <s v="3자테스트"/>
    <s v="신문호"/>
    <s v="신문호"/>
    <s v="김민욱"/>
    <s v="Online"/>
    <x v="1"/>
    <x v="1"/>
    <s v="확인요청"/>
    <s v="김민욱"/>
    <x v="0"/>
    <x v="1"/>
    <d v="2026-01-19T12:44:40"/>
    <d v="2026-01-26T20:45:44"/>
  </r>
  <r>
    <s v="UT-GO-SP9"/>
    <n v="5"/>
    <n v="3"/>
    <x v="12"/>
    <s v="DEF-03515"/>
    <s v="[S_1] DECLARE문 실행시 계속 실행되고 종료가 안됨"/>
    <s v="3자테스트"/>
    <s v="신문호"/>
    <s v="정병환"/>
    <s v="김민욱"/>
    <s v="프로시져"/>
    <x v="1"/>
    <x v="4"/>
    <s v="확인요청"/>
    <s v="김민욱"/>
    <x v="0"/>
    <x v="1"/>
    <d v="2026-01-20T10:51:50"/>
    <d v="2026-01-21T19:08:56"/>
  </r>
  <r>
    <s v="UT-MESRS023S"/>
    <n v="5"/>
    <n v="3"/>
    <x v="3"/>
    <s v="DEF-03409"/>
    <s v="[S_9]신규 생성후 저장시 저장이 안됨."/>
    <s v="3자테스트"/>
    <s v="임지훈"/>
    <s v="이수빈"/>
    <s v="윤성훈"/>
    <s v="Online"/>
    <x v="1"/>
    <x v="1"/>
    <s v="결함등록기각"/>
    <s v=""/>
    <x v="1"/>
    <x v="2"/>
    <d v="2026-01-19T13:18:11"/>
    <d v="2026-01-19T20:25:02"/>
  </r>
  <r>
    <s v="UT-MESRS031S"/>
    <n v="5"/>
    <n v="3"/>
    <x v="3"/>
    <s v="DEF-03418"/>
    <s v="[C_11]power 수치 입력에대한 제한값이 없음(1~100%)"/>
    <s v="3자테스트"/>
    <s v="임지훈"/>
    <s v="이수빈"/>
    <s v="윤성훈"/>
    <s v="Online"/>
    <x v="1"/>
    <x v="1"/>
    <s v="결함등록기각"/>
    <s v=""/>
    <x v="1"/>
    <x v="2"/>
    <d v="2026-01-19T13:41:33"/>
    <d v="2026-01-19T20:18:11"/>
  </r>
  <r>
    <s v="UT-MESMF041S"/>
    <n v="5"/>
    <n v="3"/>
    <x v="3"/>
    <s v="DEF-03508"/>
    <s v="[S_9]그룹 대상자 목록 수정 후 저장시 변경사항이 없다는 메세지창 뜸."/>
    <s v="3자테스트"/>
    <s v="임지훈"/>
    <s v="김용진"/>
    <s v="윤성훈"/>
    <s v="Online"/>
    <x v="1"/>
    <x v="1"/>
    <s v="확인요청"/>
    <s v="임지훈"/>
    <x v="1"/>
    <x v="3"/>
    <d v="2026-01-20T10:35:05"/>
    <d v="2026-01-26T14:19:40"/>
  </r>
  <r>
    <s v="UT-ES-SP166"/>
    <n v="5"/>
    <n v="3"/>
    <x v="4"/>
    <s v="DEF-03629"/>
    <s v="[S_1] sql 오류발생"/>
    <s v="3자테스트"/>
    <s v="임지훈"/>
    <s v="김용진"/>
    <s v="윤성훈"/>
    <s v="프로시져"/>
    <x v="1"/>
    <x v="1"/>
    <s v="결함검토요청"/>
    <s v="임지훈"/>
    <x v="1"/>
    <x v="5"/>
    <d v="2026-01-21T09:51:10"/>
    <d v="2026-01-21T09:51:10"/>
  </r>
  <r>
    <s v="UT-ES-SP167"/>
    <n v="5"/>
    <n v="3"/>
    <x v="4"/>
    <s v="DEF-03630"/>
    <s v="[S_1] sql 오류발생"/>
    <s v="3자테스트"/>
    <s v="임지훈"/>
    <s v="김용진"/>
    <s v="윤성훈"/>
    <s v="프로시져"/>
    <x v="1"/>
    <x v="1"/>
    <s v="결함검토요청"/>
    <s v="임지훈"/>
    <x v="1"/>
    <x v="5"/>
    <d v="2026-01-21T09:58:05"/>
    <d v="2026-01-21T09:58:05"/>
  </r>
  <r>
    <s v="UT-CP-SP13"/>
    <n v="5"/>
    <n v="3"/>
    <x v="13"/>
    <s v="DEF-03686"/>
    <s v="[S_2] SQL 오류남"/>
    <s v="3자테스트"/>
    <s v="장경진"/>
    <s v="이인용"/>
    <s v="윤성훈"/>
    <s v="프로시져"/>
    <x v="1"/>
    <x v="1"/>
    <s v="확인요청"/>
    <s v="윤성훈"/>
    <x v="1"/>
    <x v="1"/>
    <d v="2026-01-21T17:20:40"/>
    <d v="2026-01-22T15:55:09"/>
  </r>
  <r>
    <s v="UT-PM10107S"/>
    <n v="5"/>
    <n v="3"/>
    <x v="5"/>
    <s v="DEF-03489"/>
    <s v="[S_6] _x000a_화면: 검색조건에 맞는 데이터가 하나도 나오지 않음_x000a_엑셀다운로드: 전체 데이터가 나오는 듯함_x000a__x000a_(검색조건 다르게 걸어도 화면과 동일하게 엑셀 다운되지 않음)"/>
    <s v="3자테스트"/>
    <s v="염희석"/>
    <s v="pmtbd3"/>
    <s v="권아윤"/>
    <s v="Online"/>
    <x v="1"/>
    <x v="1"/>
    <s v="결함검토요청"/>
    <s v="염희석"/>
    <x v="1"/>
    <x v="5"/>
    <d v="2026-01-20T09:33:53"/>
    <d v="2026-01-20T09:35:38"/>
  </r>
  <r>
    <s v="UT-PM20157S"/>
    <n v="5"/>
    <n v="3"/>
    <x v="5"/>
    <s v="DEF-03396"/>
    <s v="[S_6] _x000a_시뮬레이션 이력이 저장되지 않음"/>
    <s v="3자테스트"/>
    <s v="염희석"/>
    <s v="노세찬"/>
    <s v="권아윤"/>
    <s v="Online"/>
    <x v="1"/>
    <x v="1"/>
    <s v="결함검토요청"/>
    <s v="염희석"/>
    <x v="1"/>
    <x v="5"/>
    <d v="2026-01-19T11:16:07"/>
    <d v="2026-01-19T11:16:07"/>
  </r>
  <r>
    <s v="UT-PM10107S"/>
    <n v="5"/>
    <n v="3"/>
    <x v="5"/>
    <s v="DEF-03488"/>
    <s v="[C_19] _x000a_행 수정 후 저장완료하였는데 왼쪽 수정 아이콘이 사라지지 않음"/>
    <s v="3자테스트"/>
    <s v="염희석"/>
    <s v="pmtbd3"/>
    <s v="권아윤"/>
    <s v="Online"/>
    <x v="1"/>
    <x v="5"/>
    <s v="결함검토요청"/>
    <s v="염희석"/>
    <x v="0"/>
    <x v="5"/>
    <d v="2026-01-20T09:27:32"/>
    <d v="2026-01-20T09:27:32"/>
  </r>
  <r>
    <s v="UT-PM20161M"/>
    <n v="5"/>
    <n v="3"/>
    <x v="5"/>
    <s v="DEF-03444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s v="Online"/>
    <x v="1"/>
    <x v="3"/>
    <s v="결함등록기각"/>
    <s v=""/>
    <x v="1"/>
    <x v="2"/>
    <d v="2026-01-19T14:47:42"/>
    <d v="2026-01-26T14:04:33"/>
  </r>
  <r>
    <s v="UT-PM20160S"/>
    <n v="5"/>
    <n v="3"/>
    <x v="5"/>
    <s v="DEF-03448"/>
    <s v="[C_5] _x000a_시뮬레이션 결과값이 정상적으로 저장되었는지의 메시지 표출이 없음"/>
    <s v="3자테스트"/>
    <s v="염희석"/>
    <s v="노세찬"/>
    <s v="권아윤"/>
    <s v="Online"/>
    <x v="1"/>
    <x v="5"/>
    <s v="결함등록기각"/>
    <s v=""/>
    <x v="1"/>
    <x v="2"/>
    <d v="2026-01-19T14:54:29"/>
    <d v="2026-01-26T14:27:39"/>
  </r>
  <r>
    <s v="UT-PM20160S"/>
    <n v="5"/>
    <n v="3"/>
    <x v="5"/>
    <s v="DEF-03447"/>
    <s v="[X_2] _x000a_테이블 초기 선택 row가 마지막 행으로 되어있음"/>
    <s v="3자테스트"/>
    <s v="염희석"/>
    <s v="노세찬"/>
    <s v="권아윤"/>
    <s v="Online"/>
    <x v="1"/>
    <x v="3"/>
    <s v="결함등록기각"/>
    <s v=""/>
    <x v="0"/>
    <x v="2"/>
    <d v="2026-01-19T14:54:00"/>
    <d v="2026-01-26T16:23:26"/>
  </r>
  <r>
    <s v="UT-PM20159S"/>
    <n v="5"/>
    <n v="3"/>
    <x v="5"/>
    <s v="DEF-03443"/>
    <s v="[X_3] _x000a_헤더명 결함 추정_x000a_동편 -&gt; 선택한 라디오 값 (출국장1/출국장2)"/>
    <s v="3자테스트"/>
    <s v="염희석"/>
    <s v="노세찬"/>
    <s v="권아윤"/>
    <s v="Online"/>
    <x v="1"/>
    <x v="3"/>
    <s v="결함등록기각"/>
    <s v=""/>
    <x v="1"/>
    <x v="2"/>
    <d v="2026-01-19T14:45:36"/>
    <d v="2026-01-26T21:00:21"/>
  </r>
  <r>
    <s v="UT-PM20159S"/>
    <n v="5"/>
    <n v="3"/>
    <x v="5"/>
    <s v="DEF-03441"/>
    <s v="[X_2] _x000a_테이블 초기 선택 row가 마지막 행으로 되어있음"/>
    <s v="3자테스트"/>
    <s v="염희석"/>
    <s v="노세찬"/>
    <s v="권아윤"/>
    <s v="Online"/>
    <x v="1"/>
    <x v="3"/>
    <s v="결함등록기각"/>
    <s v=""/>
    <x v="0"/>
    <x v="2"/>
    <d v="2026-01-19T14:42:20"/>
    <d v="2026-01-26T16:23:08"/>
  </r>
  <r>
    <s v="UT-PM20159S"/>
    <n v="5"/>
    <n v="3"/>
    <x v="5"/>
    <s v="DEF-03439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s v="Online"/>
    <x v="1"/>
    <x v="3"/>
    <s v="결함등록기각"/>
    <s v=""/>
    <x v="1"/>
    <x v="2"/>
    <d v="2026-01-19T14:37:38"/>
    <d v="2026-01-26T14:04:02"/>
  </r>
  <r>
    <s v="UT-PM20159S"/>
    <n v="5"/>
    <n v="3"/>
    <x v="5"/>
    <s v="DEF-03437"/>
    <s v="[C_5] _x000a_시뮬레이션 결과값이 정상적으로 저장되었는지의 메시지 표출이 없음"/>
    <s v="3자테스트"/>
    <s v="염희석"/>
    <s v="노세찬"/>
    <s v="권아윤"/>
    <s v="Online"/>
    <x v="1"/>
    <x v="5"/>
    <s v="결함등록기각"/>
    <s v=""/>
    <x v="0"/>
    <x v="2"/>
    <d v="2026-01-19T14:35:14"/>
    <d v="2026-01-26T14:27:21"/>
  </r>
  <r>
    <s v="UT-PM20158S"/>
    <n v="5"/>
    <n v="3"/>
    <x v="5"/>
    <s v="DEF-03408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s v="Online"/>
    <x v="1"/>
    <x v="3"/>
    <s v="결함등록기각"/>
    <s v=""/>
    <x v="1"/>
    <x v="2"/>
    <d v="2026-01-19T13:18:02"/>
    <d v="2026-01-26T14:03:46"/>
  </r>
  <r>
    <s v="UT-PM20158S"/>
    <n v="5"/>
    <n v="3"/>
    <x v="5"/>
    <s v="DEF-03417"/>
    <s v="[X_2] _x000a_테이블 초기 선택 row가 마지막 행으로 되어있음"/>
    <s v="3자테스트"/>
    <s v="염희석"/>
    <s v="노세찬"/>
    <s v="권아윤"/>
    <s v="Online"/>
    <x v="1"/>
    <x v="3"/>
    <s v="결함등록기각"/>
    <s v=""/>
    <x v="0"/>
    <x v="2"/>
    <d v="2026-01-19T13:41:00"/>
    <d v="2026-01-26T16:22:50"/>
  </r>
  <r>
    <s v="UT-PM20158S"/>
    <n v="5"/>
    <n v="3"/>
    <x v="5"/>
    <s v="DEF-03410"/>
    <s v="[S_2] _x000a_서편 선택시에도 테이블에 동편 데이터로 나옴"/>
    <s v="3자테스트"/>
    <s v="염희석"/>
    <s v="노세찬"/>
    <s v="권아윤"/>
    <s v="Online"/>
    <x v="1"/>
    <x v="1"/>
    <s v="결함등록기각"/>
    <s v=""/>
    <x v="1"/>
    <x v="2"/>
    <d v="2026-01-19T13:19:23"/>
    <d v="2026-01-26T20:59:52"/>
  </r>
  <r>
    <s v="UT-PM20157S"/>
    <n v="5"/>
    <n v="3"/>
    <x v="5"/>
    <s v="DEF-03393"/>
    <s v="[S_5] _x000a_최초 조회시 (2026-01-19 기준) 그래프 값 정상 확인_x000a_2번째 조회시 (2026-01-01 기준) 값이 이전 값 그대로 유지됨, 업데이트가 되지 않음 "/>
    <s v="3자테스트"/>
    <s v="염희석"/>
    <s v="노세찬"/>
    <s v="권아윤"/>
    <s v="Online"/>
    <x v="1"/>
    <x v="1"/>
    <s v="결함등록기각"/>
    <s v=""/>
    <x v="1"/>
    <x v="2"/>
    <d v="2026-01-19T11:04:47"/>
    <d v="2026-01-26T16:37:22"/>
  </r>
  <r>
    <s v="UT-PM20157S"/>
    <n v="5"/>
    <n v="3"/>
    <x v="5"/>
    <s v="DEF-03413"/>
    <s v="[X_2] _x000a_테이블 초기 선택 row가 마지막 행으로 되어있음"/>
    <s v="3자테스트"/>
    <s v="염희석"/>
    <s v="노세찬"/>
    <s v="권아윤"/>
    <s v="Online"/>
    <x v="1"/>
    <x v="3"/>
    <s v="결함등록기각"/>
    <s v=""/>
    <x v="0"/>
    <x v="2"/>
    <d v="2026-01-19T13:30:26"/>
    <d v="2026-01-26T16:22:28"/>
  </r>
  <r>
    <s v="UT-PM20157S"/>
    <n v="5"/>
    <n v="3"/>
    <x v="5"/>
    <s v="DEF-03389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s v="Online"/>
    <x v="1"/>
    <x v="3"/>
    <s v="결함등록기각"/>
    <s v=""/>
    <x v="1"/>
    <x v="2"/>
    <d v="2026-01-19T10:58:47"/>
    <d v="2026-01-26T14:03:28"/>
  </r>
  <r>
    <s v="UT-PM20159S"/>
    <n v="5"/>
    <n v="3"/>
    <x v="5"/>
    <s v="DEF-03440"/>
    <s v="[S_5] _x000a_최초 조회시 (2026-01-19 기준) 그래프 값 정상 확인_x000a_2번째 조회시 (2026-01-01 기준) 값이 이전 값 그대로 유지됨, 업데이트가 되지 않음 "/>
    <s v="3자테스트"/>
    <s v="염희석"/>
    <s v="노세찬"/>
    <s v="권아윤"/>
    <s v="Online"/>
    <x v="1"/>
    <x v="1"/>
    <s v="결함등록기각"/>
    <s v=""/>
    <x v="1"/>
    <x v="2"/>
    <d v="2026-01-19T14:39:52"/>
    <d v="2026-01-26T16:37:47"/>
  </r>
  <r>
    <s v="UT-PM10204S"/>
    <n v="5"/>
    <n v="3"/>
    <x v="5"/>
    <s v="DEF-03495"/>
    <s v="[S_5] _x000a_화면상 검색 데이터와 엑셀다운로드 데이터가 맞지 않음"/>
    <s v="3자테스트"/>
    <s v="염희석"/>
    <s v="pmtbd2"/>
    <s v="권아윤"/>
    <s v="Online"/>
    <x v="1"/>
    <x v="1"/>
    <s v="결함등록기각"/>
    <s v=""/>
    <x v="1"/>
    <x v="2"/>
    <d v="2026-01-20T09:52:18"/>
    <d v="2026-01-22T10:58:37"/>
  </r>
  <r>
    <s v="UT-PM10202S"/>
    <n v="5"/>
    <n v="3"/>
    <x v="5"/>
    <s v="DEF-03494"/>
    <s v="[S_5] _x000a_화면상 검색 데이터와 엑셀다운로드 데이터가 맞지 않음"/>
    <s v="3자테스트"/>
    <s v="염희석"/>
    <s v="pmtbd1"/>
    <s v="권아윤"/>
    <s v="Online"/>
    <x v="1"/>
    <x v="1"/>
    <s v="결함등록기각"/>
    <s v=""/>
    <x v="1"/>
    <x v="2"/>
    <d v="2026-01-20T09:50:22"/>
    <d v="2026-01-22T10:58:15"/>
  </r>
  <r>
    <s v="UT-PM20158S"/>
    <n v="5"/>
    <n v="3"/>
    <x v="5"/>
    <s v="DEF-03436"/>
    <s v="[C_5] _x000a_시뮬레이션 결과값이 정상적으로 저장되었는지의 메시지 표출이 없음"/>
    <s v="3자테스트"/>
    <s v="염희석"/>
    <s v="노세찬"/>
    <s v="권아윤"/>
    <s v="Online"/>
    <x v="1"/>
    <x v="5"/>
    <s v="확인요청"/>
    <s v="권아윤"/>
    <x v="0"/>
    <x v="1"/>
    <d v="2026-01-19T14:24:06"/>
    <d v="2026-01-26T14:26:51"/>
  </r>
  <r>
    <s v="UT-PM20158S"/>
    <n v="5"/>
    <n v="3"/>
    <x v="5"/>
    <s v="DEF-03434"/>
    <s v="[S_5] _x000a_최초 조회시 (2026-01-19 기준) 그래프 값 정상 확인_x000a_2번째 조회시 (2026-01-01 기준) 값이 이전 값 그대로 유지됨, 업데이트가 되지 않음 "/>
    <s v="3자테스트"/>
    <s v="염희석"/>
    <s v="노세찬"/>
    <s v="권아윤"/>
    <s v="Online"/>
    <x v="1"/>
    <x v="1"/>
    <s v="확인요청"/>
    <s v="권아윤"/>
    <x v="1"/>
    <x v="1"/>
    <d v="2026-01-19T14:23:04"/>
    <d v="2026-01-26T16:36:28"/>
  </r>
  <r>
    <s v="UT-PM20156S"/>
    <n v="5"/>
    <n v="3"/>
    <x v="5"/>
    <s v="DEF-03388"/>
    <s v="[C_5] _x000a_시뮬레이션 결과값이 정상적으로 저장되었는지의 메시지 표출이 없음"/>
    <s v="3자테스트"/>
    <s v="염희석"/>
    <s v="노세찬"/>
    <s v="권아윤"/>
    <s v="Online"/>
    <x v="1"/>
    <x v="5"/>
    <s v="확인요청"/>
    <s v="권아윤"/>
    <x v="0"/>
    <x v="1"/>
    <d v="2026-01-19T10:49:02"/>
    <d v="2026-01-26T14:25:23"/>
  </r>
  <r>
    <s v="UT-PM20156S"/>
    <n v="5"/>
    <n v="3"/>
    <x v="5"/>
    <s v="DEF-03412"/>
    <s v="[X_2] _x000a_테이블 초기 선택 row가 마지막 행으로 되어있음"/>
    <s v="3자테스트"/>
    <s v="염희석"/>
    <s v="노세찬"/>
    <s v="권아윤"/>
    <s v="Online"/>
    <x v="1"/>
    <x v="3"/>
    <s v="확인요청"/>
    <s v="권아윤"/>
    <x v="0"/>
    <x v="1"/>
    <d v="2026-01-19T13:26:21"/>
    <d v="2026-01-26T16:19:26"/>
  </r>
  <r>
    <s v="UT-PM10201S"/>
    <n v="5"/>
    <n v="3"/>
    <x v="5"/>
    <s v="DEF-03717"/>
    <s v="[C_11]_x000a_&quot;메모&quot; 입력 자리수 제한 필요_x000a_(출국장운영시간설정관리 페이지 동일)"/>
    <s v="3자테스트"/>
    <s v="염희석"/>
    <s v="pmtbd1"/>
    <s v="권아윤"/>
    <s v="Online"/>
    <x v="1"/>
    <x v="5"/>
    <s v="확인요청"/>
    <s v="권아윤"/>
    <x v="0"/>
    <x v="1"/>
    <d v="2026-01-22T14:22:03"/>
    <d v="2026-01-26T14:01:21"/>
  </r>
  <r>
    <s v="UT-PM20160S"/>
    <n v="5"/>
    <n v="3"/>
    <x v="5"/>
    <s v="DEF-03446"/>
    <s v="[S_5]_x000a_선택한 라디오와 전체 값을 비교했을때_x000a_헤더도 다르고, 숫자값도 다름"/>
    <s v="3자테스트"/>
    <s v="염희석"/>
    <s v="노세찬"/>
    <s v="권아윤"/>
    <s v="Online"/>
    <x v="1"/>
    <x v="1"/>
    <s v="확인요청"/>
    <s v="권아윤"/>
    <x v="1"/>
    <x v="1"/>
    <d v="2026-01-19T14:51:04"/>
    <d v="2026-01-26T17:34:57"/>
  </r>
  <r>
    <s v="UT-PM20156S"/>
    <n v="5"/>
    <n v="3"/>
    <x v="5"/>
    <s v="DEF-03383"/>
    <s v="[S_2] _x000a_서편 선택시에도 테이블에 동편 데이터로 나옴"/>
    <s v="3자테스트"/>
    <s v="염희석"/>
    <s v="노세찬"/>
    <s v="권아윤"/>
    <s v="Online"/>
    <x v="1"/>
    <x v="1"/>
    <s v="확인요청"/>
    <s v="권아윤"/>
    <x v="1"/>
    <x v="1"/>
    <d v="2026-01-19T10:35:56"/>
    <d v="2026-01-26T20:58:45"/>
  </r>
  <r>
    <s v="UT-PM10201S"/>
    <n v="5"/>
    <n v="3"/>
    <x v="5"/>
    <s v="DEF-03719"/>
    <s v="[S_2]_x000a_운영여부 변경후 완료버튼 누르면 서버오류 알림이 뜸 "/>
    <s v="3자테스트"/>
    <s v="염희석"/>
    <s v="pmtbd1"/>
    <s v="권아윤"/>
    <s v="Online"/>
    <x v="1"/>
    <x v="1"/>
    <s v="확인요청"/>
    <s v="권아윤"/>
    <x v="1"/>
    <x v="1"/>
    <d v="2026-01-22T14:28:20"/>
    <d v="2026-01-26T14:01:37"/>
  </r>
  <r>
    <s v="UT-PM20156S"/>
    <n v="5"/>
    <n v="3"/>
    <x v="5"/>
    <s v="DEF-03381"/>
    <s v="[X_1] _x000a_1920*1080, 크롬 100% 배율_x000a_최초 조회시 그래프 이미지 사이즈가 맞지 않음 (스크롤바도 안보임)_x000a_한번 배율 조정후에야 스크롤바 보임_x000a__x000a_(동일건들은 기각하셔도 됩니다!)"/>
    <s v="3자테스트"/>
    <s v="염희석"/>
    <s v="노세찬"/>
    <s v="권아윤"/>
    <s v="Online"/>
    <x v="1"/>
    <x v="3"/>
    <s v="확인요청"/>
    <s v="권아윤"/>
    <x v="1"/>
    <x v="1"/>
    <d v="2026-01-19T10:27:50"/>
    <d v="2026-01-26T14:02:25"/>
  </r>
  <r>
    <s v="UT-PM10106S"/>
    <n v="5"/>
    <n v="3"/>
    <x v="5"/>
    <s v="DEF-03485"/>
    <s v="[C_13] _x000a_종료일이 시작일보다 과거여도 아무 알림이 뜨지 않고 검색도 되지 않음"/>
    <s v="3자테스트"/>
    <s v="염희석"/>
    <s v="신문호"/>
    <s v="권아윤"/>
    <s v="Online"/>
    <x v="1"/>
    <x v="5"/>
    <s v="확인요청"/>
    <s v="조은지"/>
    <x v="0"/>
    <x v="3"/>
    <d v="2026-01-20T09:21:04"/>
    <d v="2026-01-26T07:28:08"/>
  </r>
  <r>
    <s v="UT-PM20157S"/>
    <n v="5"/>
    <n v="3"/>
    <x v="5"/>
    <s v="DEF-03397"/>
    <s v="[C_5] _x000a_시뮬레이션 결과값이 정상적으로 저장되었는지의 메시지 표출이 없음"/>
    <s v="3자테스트"/>
    <s v="염희석"/>
    <s v="노세찬"/>
    <s v="권아윤"/>
    <s v="Online"/>
    <x v="1"/>
    <x v="5"/>
    <s v="확인요청"/>
    <s v="염희석"/>
    <x v="1"/>
    <x v="3"/>
    <d v="2026-01-19T11:17:03"/>
    <d v="2026-01-26T14:33:23"/>
  </r>
  <r>
    <s v="UT-PM10105S"/>
    <n v="5"/>
    <n v="3"/>
    <x v="5"/>
    <s v="DEF-03486"/>
    <s v="[C_13] _x000a_종료일이 시작일보다 과거여도 아무 알림이 뜨지 않고 검색도 되지 않음"/>
    <s v="3자테스트"/>
    <s v="염희석"/>
    <s v="신문호"/>
    <s v="권아윤"/>
    <s v="Online"/>
    <x v="1"/>
    <x v="5"/>
    <s v="확인요청"/>
    <s v="조은지"/>
    <x v="0"/>
    <x v="3"/>
    <d v="2026-01-20T09:22:16"/>
    <d v="2026-01-26T07:27:50"/>
  </r>
  <r>
    <s v="UT-FP-SP108"/>
    <n v="5"/>
    <n v="3"/>
    <x v="6"/>
    <s v="DEF-03632"/>
    <s v="[S_2] 적재 확인 불가"/>
    <s v="3자테스트"/>
    <s v="장경진"/>
    <s v="이인용"/>
    <s v="최중혁"/>
    <s v="프로시져"/>
    <x v="1"/>
    <x v="1"/>
    <s v="결함등록기각"/>
    <s v=""/>
    <x v="1"/>
    <x v="2"/>
    <d v="2026-01-21T10:05:10"/>
    <d v="2026-01-22T11:13:24"/>
  </r>
  <r>
    <s v="UT-FP-SP108"/>
    <n v="5"/>
    <n v="3"/>
    <x v="6"/>
    <s v="DEF-03631"/>
    <s v="[S_1] 적재 확인 불가"/>
    <s v="3자테스트"/>
    <s v="장경진"/>
    <s v="이인용"/>
    <s v="최중혁"/>
    <s v="프로시져"/>
    <x v="1"/>
    <x v="1"/>
    <s v="결함등록기각"/>
    <s v=""/>
    <x v="1"/>
    <x v="2"/>
    <d v="2026-01-21T09:59:21"/>
    <d v="2026-01-21T19:38:33"/>
  </r>
  <r>
    <s v="UT-FP-SP109"/>
    <n v="5"/>
    <n v="3"/>
    <x v="6"/>
    <s v="DEF-03639"/>
    <s v="[S_3] 데이터 적재 확인 불가"/>
    <s v="3자테스트"/>
    <s v="장경진"/>
    <s v="이인용"/>
    <s v="최중혁"/>
    <s v="프로시져"/>
    <x v="1"/>
    <x v="1"/>
    <s v="결함등록기각"/>
    <s v=""/>
    <x v="1"/>
    <x v="2"/>
    <d v="2026-01-21T10:29:44"/>
    <d v="2026-01-22T11:26:46"/>
  </r>
  <r>
    <s v="UT-FP-SP109"/>
    <n v="5"/>
    <n v="3"/>
    <x v="6"/>
    <s v="DEF-03640"/>
    <s v="[S_4] 데이터 적재 확인 불가"/>
    <s v="3자테스트"/>
    <s v="장경진"/>
    <s v="이인용"/>
    <s v="최중혁"/>
    <s v="프로시져"/>
    <x v="1"/>
    <x v="1"/>
    <s v="결함등록기각"/>
    <s v=""/>
    <x v="1"/>
    <x v="2"/>
    <d v="2026-01-21T10:32:42"/>
    <d v="2026-01-22T13:08:40"/>
  </r>
  <r>
    <s v="UT-FP-SP111"/>
    <n v="5"/>
    <n v="3"/>
    <x v="6"/>
    <s v="DEF-03635"/>
    <s v="[S_3] 적재 확인 불가"/>
    <s v="3자테스트"/>
    <s v="장경진"/>
    <s v="이인용"/>
    <s v="최중혁"/>
    <s v="프로시져"/>
    <x v="1"/>
    <x v="1"/>
    <s v="결함등록기각"/>
    <s v=""/>
    <x v="1"/>
    <x v="2"/>
    <d v="2026-01-21T10:12:31"/>
    <d v="2026-01-22T09:57:23"/>
  </r>
  <r>
    <s v="UT-FPFA101S"/>
    <n v="5"/>
    <n v="3"/>
    <x v="6"/>
    <s v="DEF-03459"/>
    <s v="[C_12] 검색기간이 2일 이내인데 2일을 초과할 수 없습니다라고 뜸"/>
    <s v="3자테스트"/>
    <s v="장경진"/>
    <s v="현영광"/>
    <s v="최중혁"/>
    <s v="Online"/>
    <x v="1"/>
    <x v="3"/>
    <s v="결함등록기각"/>
    <s v=""/>
    <x v="1"/>
    <x v="2"/>
    <d v="2026-01-19T15:27:22"/>
    <d v="2026-01-21T18:51:45"/>
  </r>
  <r>
    <s v="UT-FPMG031M"/>
    <n v="5"/>
    <n v="3"/>
    <x v="6"/>
    <s v="DEF-03467"/>
    <s v="[S_5] 시험데이터가 조회되지 않는 관계로 다른 데이터로 테스트. error log가 존재하는 정보임에도 존재를 error log 버튼이 활성화되지 않음,"/>
    <s v="3자테스트"/>
    <s v="장경진"/>
    <s v="현영광"/>
    <s v="최중혁"/>
    <s v="Online"/>
    <x v="1"/>
    <x v="1"/>
    <s v="결함등록기각"/>
    <s v=""/>
    <x v="2"/>
    <x v="2"/>
    <d v="2026-01-19T15:40:06"/>
    <d v="2026-01-21T18:48:22"/>
  </r>
  <r>
    <s v="UT-FPMG031M"/>
    <n v="5"/>
    <n v="3"/>
    <x v="6"/>
    <s v="DEF-03464"/>
    <s v="[C_16] DATE 간격이 3일인데, 3일을 '초과'할 수 없다라는 문구가 뜸"/>
    <s v="3자테스트"/>
    <s v="장경진"/>
    <s v="현영광"/>
    <s v="최중혁"/>
    <s v="Online"/>
    <x v="1"/>
    <x v="3"/>
    <s v="결함등록기각"/>
    <s v=""/>
    <x v="0"/>
    <x v="2"/>
    <d v="2026-01-19T15:35:33"/>
    <d v="2026-01-21T18:43:46"/>
  </r>
  <r>
    <s v="UT-FPMG032M"/>
    <n v="5"/>
    <n v="3"/>
    <x v="6"/>
    <s v="DEF-03465"/>
    <s v="[S_5] 시험 데이터가 조회되지 않는 관계로 다른 데이터로 테스트. error log가 존재하는 정보임에도 존재를 error log 버튼이 활성화되지 않음"/>
    <s v="3자테스트"/>
    <s v="장경진"/>
    <s v="현영광"/>
    <s v="최중혁"/>
    <s v="Online"/>
    <x v="1"/>
    <x v="1"/>
    <s v="결함등록기각"/>
    <s v=""/>
    <x v="2"/>
    <x v="2"/>
    <d v="2026-01-19T15:38:42"/>
    <d v="2026-01-21T18:50:34"/>
  </r>
  <r>
    <s v="UT-FPMG052M"/>
    <n v="5"/>
    <n v="3"/>
    <x v="6"/>
    <s v="DEF-03523"/>
    <s v="[C_12] 적어도 하나의 운항번호(FNL)를 입력해 주십시오라고 할 때, FNL -&gt; FLN 으로 오타"/>
    <s v="3자테스트"/>
    <s v="장경진"/>
    <s v="현영광"/>
    <s v="최중혁"/>
    <s v="Online"/>
    <x v="1"/>
    <x v="3"/>
    <s v="결함등록기각"/>
    <s v=""/>
    <x v="0"/>
    <x v="2"/>
    <d v="2026-01-20T11:09:08"/>
    <d v="2026-01-21T09:41:18"/>
  </r>
  <r>
    <s v="UT-FPFA185S"/>
    <n v="5"/>
    <n v="3"/>
    <x v="6"/>
    <s v="DEF-03435"/>
    <s v="[S_8] [SELECT] 버튼 클릭하고 닫은 뒤, 다른 row를 선택하고 [SELECT] 버튼을 누르면 이전 데이터의 팝업이 계속 뜸"/>
    <s v="3자테스트"/>
    <s v="장경진"/>
    <s v="현영광"/>
    <s v="최중혁"/>
    <s v="Online"/>
    <x v="1"/>
    <x v="1"/>
    <s v="결함등록기각"/>
    <s v=""/>
    <x v="2"/>
    <x v="2"/>
    <d v="2026-01-19T14:23:56"/>
    <d v="2026-01-21T18:57:56"/>
  </r>
  <r>
    <s v="UT-FPFA185S"/>
    <n v="5"/>
    <n v="3"/>
    <x v="6"/>
    <s v="DEF-03433"/>
    <s v="[S_3] Unlink 체크박스 체크 시. 링크 운항편이 즉각적으로 출력되지 않음._x000a_체크박스를 한번 더 미체크/체크 시, 링크 운항편이 출력됨. "/>
    <s v="3자테스트"/>
    <s v="장경진"/>
    <s v="현영광"/>
    <s v="최중혁"/>
    <s v="Online"/>
    <x v="1"/>
    <x v="1"/>
    <s v="결함등록기각"/>
    <s v=""/>
    <x v="2"/>
    <x v="2"/>
    <d v="2026-01-19T14:16:43"/>
    <d v="2026-01-21T19:18:05"/>
  </r>
  <r>
    <s v="UT-FPMG055M"/>
    <n v="5"/>
    <n v="3"/>
    <x v="6"/>
    <s v="DEF-03602"/>
    <s v="[C_15] 날짜포맷에 맞지않은 형식이 들어감, submit도 가능"/>
    <s v="3자테스트"/>
    <s v="장경진"/>
    <s v="현영광"/>
    <s v="최중혁"/>
    <s v="Online"/>
    <x v="1"/>
    <x v="4"/>
    <s v="최종확인    "/>
    <s v=""/>
    <x v="2"/>
    <x v="0"/>
    <d v="2026-01-20T15:14:04"/>
    <d v="2026-01-22T15:56:17"/>
  </r>
  <r>
    <s v="UT-FPMG054M"/>
    <n v="5"/>
    <n v="3"/>
    <x v="6"/>
    <s v="DEF-03585"/>
    <s v="[C_15] 날짜가 32일도 입력이 됨 날짜 제한 체크 필요"/>
    <s v="3자테스트"/>
    <s v="장경진"/>
    <s v="현영광"/>
    <s v="최중혁"/>
    <s v="Online"/>
    <x v="1"/>
    <x v="4"/>
    <s v="최종확인    "/>
    <s v=""/>
    <x v="2"/>
    <x v="0"/>
    <d v="2026-01-20T14:52:47"/>
    <d v="2026-01-22T15:55:37"/>
  </r>
  <r>
    <s v="UT-FPMG059M"/>
    <n v="5"/>
    <n v="3"/>
    <x v="6"/>
    <s v="DEF-03605"/>
    <s v="[C_15] 날짜 포맷에 맞지 않는 형식이 저장됨"/>
    <s v="3자테스트"/>
    <s v="장경진"/>
    <s v="현영광"/>
    <s v="최중혁"/>
    <s v="Online"/>
    <x v="1"/>
    <x v="4"/>
    <s v="최종확인    "/>
    <s v=""/>
    <x v="2"/>
    <x v="0"/>
    <d v="2026-01-20T15:25:07"/>
    <d v="2026-01-22T16:06:55"/>
  </r>
  <r>
    <s v="UT-FPMG073M"/>
    <n v="5"/>
    <n v="3"/>
    <x v="6"/>
    <s v="DEF-03670"/>
    <s v="[S_3] 특정 Row를 클릭후 DELETE 버튼을 클릭해도 삭제가 완료되었습니다는 뜨지만, 리스트에서 Row는 남아있음. 총 갯수도 그대로임"/>
    <s v="3자테스트"/>
    <s v="장경진"/>
    <s v="현영광"/>
    <s v="최중혁"/>
    <s v="Online"/>
    <x v="1"/>
    <x v="1"/>
    <s v="최종확인    "/>
    <s v=""/>
    <x v="2"/>
    <x v="0"/>
    <d v="2026-01-21T15:03:25"/>
    <d v="2026-01-22T16:16:40"/>
  </r>
  <r>
    <s v="UT-FPFA101S"/>
    <n v="5"/>
    <n v="3"/>
    <x v="6"/>
    <s v="DEF-03406"/>
    <s v="[S_4] 엑셀 다운로드시, FLT가 실제 검색 결과대로 출력되지 않음. ex) 7C2606 -&gt; 1, 2 ,3 이렇게 출력됨"/>
    <s v="3자테스트"/>
    <s v="장경진"/>
    <s v="현영광"/>
    <s v="최중혁"/>
    <s v="Online"/>
    <x v="1"/>
    <x v="1"/>
    <s v="확인요청"/>
    <s v="최중혁"/>
    <x v="1"/>
    <x v="1"/>
    <d v="2026-01-19T13:10:56"/>
    <d v="2026-01-26T09:29:56"/>
  </r>
  <r>
    <s v="UT-FPFA066S"/>
    <n v="5"/>
    <n v="3"/>
    <x v="6"/>
    <s v="DEF-03692"/>
    <s v="[C_11] 엑셀 업로드 시, 유효하지 않은 값(한글, 5자리 이상)이 입력 자체는 가능함. submit 시에 서버 오류 발생"/>
    <s v="3자테스트"/>
    <s v="장경진"/>
    <s v="현영광"/>
    <s v="최중혁"/>
    <s v="Online"/>
    <x v="1"/>
    <x v="4"/>
    <s v="확인요청"/>
    <s v="최중혁"/>
    <x v="2"/>
    <x v="1"/>
    <d v="2026-01-22T10:34:46"/>
    <d v="2026-01-27T10:19:57"/>
  </r>
  <r>
    <s v="UT-RS-SP53"/>
    <n v="5"/>
    <n v="3"/>
    <x v="7"/>
    <s v="DEF-03729"/>
    <s v="[S_1] _x000a_체크인카운터 신규데이터를 인서트시 무결성제약조건 에러가 발생"/>
    <s v="3자테스트"/>
    <s v="유경섭"/>
    <s v="양우창"/>
    <s v="권아윤"/>
    <s v="프로시져"/>
    <x v="1"/>
    <x v="1"/>
    <s v="결함검토요청"/>
    <s v="유경섭"/>
    <x v="1"/>
    <x v="5"/>
    <d v="2026-01-22T15:35:11"/>
    <d v="2026-01-22T15:35:11"/>
  </r>
  <r>
    <s v="UT-RS-SP66"/>
    <n v="5"/>
    <n v="3"/>
    <x v="7"/>
    <s v="DEF-03736"/>
    <s v="[S_2] _x000a_프로시저 실행 후 데이터 반영 (SELECT ) 확인시 0건 조회됨_x000a__x000a_SP_RS_WESCKNCTSSNPRESCH_RCV_x000a_(체크인카운터 가스케쥴입력 데이터 수신)_x000a_프로시저 테스트시에도 동일하게 0건 조회됨"/>
    <s v="3자테스트"/>
    <s v="유경섭"/>
    <s v="양우창"/>
    <s v="권아윤"/>
    <s v="프로시져"/>
    <x v="1"/>
    <x v="1"/>
    <s v="결함검토요청"/>
    <s v="유경섭"/>
    <x v="1"/>
    <x v="5"/>
    <d v="2026-01-22T16:51:51"/>
    <d v="2026-01-23T10:55:53"/>
  </r>
  <r>
    <s v="UT-RS-SP68"/>
    <n v="5"/>
    <n v="3"/>
    <x v="7"/>
    <s v="DEF-03747"/>
    <s v="[S_2]_x000a_샘플데이터 생성 후 프로시저 실행시 다음 무결성제약에러가 발생 "/>
    <s v="3자테스트"/>
    <s v="유경섭"/>
    <s v="양우창"/>
    <s v="권아윤"/>
    <s v="프로시져"/>
    <x v="1"/>
    <x v="1"/>
    <s v="결함검토요청"/>
    <s v="유경섭"/>
    <x v="1"/>
    <x v="5"/>
    <d v="2026-01-23T10:12:48"/>
    <d v="2026-01-23T10:12:48"/>
  </r>
  <r>
    <s v="UT-RS-SP44"/>
    <n v="5"/>
    <n v="3"/>
    <x v="7"/>
    <s v="DEF-03769"/>
    <s v="[X_1]_x000a_시나리오는 있는데 결과서가 없어 쿼리 테스트 불가 "/>
    <s v="3자테스트"/>
    <s v="유경섭"/>
    <s v="김훈근"/>
    <s v="권아윤"/>
    <s v="프로시져"/>
    <x v="1"/>
    <x v="2"/>
    <s v="결함검토요청"/>
    <s v="유경섭"/>
    <x v="1"/>
    <x v="5"/>
    <d v="2026-01-23T14:21:32"/>
    <d v="2026-01-23T14:21:32"/>
  </r>
  <r>
    <s v="UT-RS-SP69"/>
    <n v="5"/>
    <n v="3"/>
    <x v="7"/>
    <s v="DEF-03768"/>
    <s v="[S_2]_x000a_프로시저 실행시 무결성 에러 남 "/>
    <s v="3자테스트"/>
    <s v="유경섭"/>
    <s v="양우창"/>
    <s v="권아윤"/>
    <s v="프로시져"/>
    <x v="1"/>
    <x v="1"/>
    <s v="결함검토요청"/>
    <s v="유경섭"/>
    <x v="1"/>
    <x v="5"/>
    <d v="2026-01-23T14:17:35"/>
    <d v="2026-01-23T14:17:35"/>
  </r>
  <r>
    <s v="UT-RSCI040S"/>
    <n v="5"/>
    <n v="3"/>
    <x v="7"/>
    <s v="DEF-03519"/>
    <s v="[C_10]_x000a_공통 날짜 형식 yyyy-mm-dd 가 아님"/>
    <s v="3자테스트"/>
    <s v="유경섭"/>
    <s v="이수연"/>
    <s v="권아윤"/>
    <s v="Online"/>
    <x v="1"/>
    <x v="5"/>
    <s v="결함등록기각"/>
    <s v=""/>
    <x v="0"/>
    <x v="2"/>
    <d v="2026-01-20T10:56:14"/>
    <d v="2026-01-20T15:08:52"/>
  </r>
  <r>
    <s v="UT-RSPK076S"/>
    <n v="5"/>
    <n v="3"/>
    <x v="7"/>
    <s v="DEF-03514"/>
    <s v="[C_10]_x000a_공통 날짜 형식 yyyy-mm-dd 가 아님"/>
    <s v="3자테스트"/>
    <s v="유경섭"/>
    <s v="장동혁"/>
    <s v="권아윤"/>
    <s v="Online"/>
    <x v="1"/>
    <x v="5"/>
    <s v="결함등록기각"/>
    <s v=""/>
    <x v="0"/>
    <x v="2"/>
    <d v="2026-01-20T10:47:09"/>
    <d v="2026-01-20T15:10:21"/>
  </r>
  <r>
    <s v="UT-RSCI021S"/>
    <n v="5"/>
    <n v="3"/>
    <x v="7"/>
    <s v="DEF-03599"/>
    <s v="[C_15]_x000a_MQT Active 단일선택으로 보이는데 radio button이 아님 "/>
    <s v="3자테스트"/>
    <s v="유경섭"/>
    <s v="이수연"/>
    <s v="권아윤"/>
    <s v="Online"/>
    <x v="1"/>
    <x v="5"/>
    <s v="결함등록기각"/>
    <s v=""/>
    <x v="0"/>
    <x v="2"/>
    <d v="2026-01-20T15:08:04"/>
    <d v="2026-01-21T15:42:40"/>
  </r>
  <r>
    <s v="UT-RSPK094M"/>
    <n v="5"/>
    <n v="3"/>
    <x v="7"/>
    <s v="DEF-03516"/>
    <s v="[C_10]_x000a_공통 날짜 형식 yyyy-mm-dd 가 아님"/>
    <s v="3자테스트"/>
    <s v="유경섭"/>
    <s v="장동혁"/>
    <s v="권아윤"/>
    <s v="Online"/>
    <x v="1"/>
    <x v="5"/>
    <s v="결함등록기각"/>
    <s v=""/>
    <x v="0"/>
    <x v="2"/>
    <d v="2026-01-20T10:53:12"/>
    <d v="2026-01-20T15:09:32"/>
  </r>
  <r>
    <s v="UT-RSCI022S"/>
    <n v="5"/>
    <n v="3"/>
    <x v="7"/>
    <s v="DEF-03578"/>
    <s v="[S_7]_x000a_날짜 수정이 자유롭게 되지 않음._x000a_원래 값: 2026-10-29_x000a_캘린더에서 변경하고자 하는 날짜를 선택하면 특정날짜 (2026-10-25) 이후만 선택이 됨. 2026-10-25 이전 날짜를 선택하면 2026-10-25로 강제변경됨 _x000a__x000a_(키보드로 타이핑시 정상 입력됨)"/>
    <s v="3자테스트"/>
    <s v="유경섭"/>
    <s v="이수연"/>
    <s v="권아윤"/>
    <s v="Online"/>
    <x v="1"/>
    <x v="1"/>
    <s v="결함등록기각"/>
    <s v=""/>
    <x v="1"/>
    <x v="2"/>
    <d v="2026-01-20T14:43:40"/>
    <d v="2026-01-27T18:01:57"/>
  </r>
  <r>
    <s v="UT-RSPK074S"/>
    <n v="5"/>
    <n v="3"/>
    <x v="7"/>
    <s v="DEF-03512"/>
    <s v="[C_10]_x000a_공통 날짜 형식 yyyy-mm-dd 가 아님"/>
    <s v="3자테스트"/>
    <s v="유경섭"/>
    <s v="장동혁"/>
    <s v="권아윤"/>
    <s v="Online"/>
    <x v="1"/>
    <x v="5"/>
    <s v="결함등록기각"/>
    <s v=""/>
    <x v="0"/>
    <x v="2"/>
    <d v="2026-01-20T10:46:04"/>
    <d v="2026-01-26T17:31:16"/>
  </r>
  <r>
    <s v="UT-RSPK073S"/>
    <n v="5"/>
    <n v="3"/>
    <x v="7"/>
    <s v="DEF-03510"/>
    <s v="[C_10]_x000a_공통 날짜 형식 yyyy-mm-dd 가 아님 "/>
    <s v="3자테스트"/>
    <s v="유경섭"/>
    <s v="장동혁"/>
    <s v="권아윤"/>
    <s v="Online"/>
    <x v="1"/>
    <x v="5"/>
    <s v="결함등록기각"/>
    <s v=""/>
    <x v="0"/>
    <x v="2"/>
    <d v="2026-01-20T10:40:51"/>
    <d v="2026-01-20T15:09:13"/>
  </r>
  <r>
    <s v="UT-RSFI001S"/>
    <n v="5"/>
    <n v="3"/>
    <x v="7"/>
    <s v="DEF-03774"/>
    <s v="[S_3] _x000a_시작일이 종료일보다 커도 입력/조회가 됨 _x000a_"/>
    <s v="3자테스트"/>
    <s v="유경섭"/>
    <s v="이수연"/>
    <s v="권아윤"/>
    <s v="Online"/>
    <x v="1"/>
    <x v="1"/>
    <s v="조치요청"/>
    <s v="이수연"/>
    <x v="1"/>
    <x v="4"/>
    <d v="2026-01-23T15:03:21"/>
    <d v="2026-01-26T10:48:07"/>
  </r>
  <r>
    <s v="UT-RS-SP71"/>
    <n v="5"/>
    <n v="3"/>
    <x v="7"/>
    <s v="DEF-03671"/>
    <s v="[S_2] _x000a_테스트 결과서의 기대결과값과 다르게 나옴_x000a_45-&gt; 90"/>
    <s v="3자테스트"/>
    <s v="유경섭"/>
    <s v="양우창"/>
    <s v="권아윤"/>
    <s v="프로시져"/>
    <x v="1"/>
    <x v="4"/>
    <s v="조치요청"/>
    <s v="양우창"/>
    <x v="1"/>
    <x v="4"/>
    <d v="2026-01-21T15:20:04"/>
    <d v="2026-01-21T19:04:10"/>
  </r>
  <r>
    <s v="UT-RS-SP73"/>
    <n v="5"/>
    <n v="3"/>
    <x v="7"/>
    <s v="DEF-03666"/>
    <s v="[S_1]_x000a_1번 ESB 샘플데이터 INSERT후, ESB수신 테이블 조회시_x000a_테스트 결과서는 2건인데, 총 12건이 조회됨_x000a__x000a_이후 무시하고 진행해도 결국 프로시저 _x000a_(CALL SP_RS_WESGAPADREQ_RCV()) 실행시 다음 에러가 남_x000a__x000a_SQL Error [30926] [99999]: ORA-30926: 원본 테이블의 고정 행 집합을 가져올 수 없습니다_x000a_ORA-06512: &quot;RSOWN.SP_RS_WESGAPADREQ_RCV&quot;,  155행_x000a_ORA-06512: &quot;RSOWN.SP_RS_WESGAPADREQ_RCV&quot;,  45행_x000a__x000a_https://docs.oracle.com/error-help/db/ora-30926/_x000a_"/>
    <s v="3자테스트"/>
    <s v="유경섭"/>
    <s v="양우창"/>
    <s v="권아윤"/>
    <s v="프로시져"/>
    <x v="1"/>
    <x v="4"/>
    <s v="조치요청"/>
    <s v="양우창"/>
    <x v="1"/>
    <x v="4"/>
    <d v="2026-01-21T14:32:16"/>
    <d v="2026-01-21T19:01:56"/>
  </r>
  <r>
    <s v="UT-RSCI022S"/>
    <n v="5"/>
    <n v="3"/>
    <x v="7"/>
    <s v="DEF-03558"/>
    <s v="[S_5] _x000a_엑셀 업로드 오류_x000a__x000a_1. 2025년에 다운받은 양식 그대로 업로드 함_x000a_2. 엑셀에는 2015-10-25, 2016-03-26 인 값이 _x000a_   업로드 후 2026-10-25, 2027-03-27이 됨_x000a_3. 저장하면 화면에 아무것도 보이지 않음_x000a_4. 년도를 2026년으로 변경하면 방금 업로드 했던 데이터 확인 가능_x000a_5. 동일하게 2025년으로 업로드하면 3,4번 과정이 반복되며_x000a_   중복 업로드도 가능한것으로 확인 "/>
    <s v="3자테스트"/>
    <s v="유경섭"/>
    <s v="이수연"/>
    <s v="권아윤"/>
    <s v="Online"/>
    <x v="1"/>
    <x v="1"/>
    <s v="최종확인    "/>
    <s v=""/>
    <x v="1"/>
    <x v="0"/>
    <d v="2026-01-20T14:04:59"/>
    <d v="2026-01-23T10:57:11"/>
  </r>
  <r>
    <s v="UT-RSPK075S"/>
    <n v="5"/>
    <n v="3"/>
    <x v="7"/>
    <s v="DEF-03474"/>
    <s v="[S_1] _x000a_메뉴 진입하자마자 다음 에러가 뜸"/>
    <s v="3자테스트"/>
    <s v="유경섭"/>
    <s v="장동혁"/>
    <s v="권아윤"/>
    <s v="Online"/>
    <x v="1"/>
    <x v="1"/>
    <s v="확인요청"/>
    <s v="권아윤"/>
    <x v="2"/>
    <x v="1"/>
    <d v="2026-01-19T16:45:10"/>
    <d v="2026-01-22T18:42:03"/>
  </r>
  <r>
    <s v="UT-RS-SP70"/>
    <n v="5"/>
    <n v="3"/>
    <x v="7"/>
    <s v="DEF-03750"/>
    <s v="[S_2]_x000a_샘플데이터 생성후 프로시저 실행시 다음 에러가 남_x000a_"/>
    <s v="3자테스트"/>
    <s v="유경섭"/>
    <s v="양우창"/>
    <s v="권아윤"/>
    <s v="프로시져"/>
    <x v="1"/>
    <x v="1"/>
    <s v="확인요청"/>
    <s v="김훈근"/>
    <x v="1"/>
    <x v="3"/>
    <d v="2026-01-23T10:45:40"/>
    <d v="2026-01-23T14:10:30"/>
  </r>
  <r>
    <s v="UT-RSPK055S"/>
    <n v="5"/>
    <n v="3"/>
    <x v="7"/>
    <s v="DEF-03761"/>
    <s v="[S_1]_x000a_화물 필드 재정렬시 &quot;가용&quot;이 아니라 &quot;사용&quot;에 마우스 오버시 그리드가 표출됨_x000a_ "/>
    <s v="3자테스트"/>
    <s v="유경섭"/>
    <s v="김훈근"/>
    <s v="권아윤"/>
    <s v="Online"/>
    <x v="1"/>
    <x v="1"/>
    <s v="확인요청"/>
    <s v="김훈근"/>
    <x v="1"/>
    <x v="3"/>
    <d v="2026-01-23T13:13:02"/>
    <d v="2026-01-23T14:11:11"/>
  </r>
  <r>
    <s v="UT-RSCI022S"/>
    <n v="5"/>
    <n v="3"/>
    <x v="7"/>
    <s v="DEF-03561"/>
    <s v="[S_4]_x000a_STD 시간 이상하게 입력했을때 다음 에러가 남_x000a_- 시간유효성 체크 필요_x000a__x000a_08:05로 변경하고 저장해도 동일한 제약조건 에러가 남"/>
    <s v="3자테스트"/>
    <s v="유경섭"/>
    <s v="이수연"/>
    <s v="권아윤"/>
    <s v="Online"/>
    <x v="1"/>
    <x v="1"/>
    <s v="확인요청"/>
    <s v="김훈근"/>
    <x v="1"/>
    <x v="3"/>
    <d v="2026-01-20T14:16:49"/>
    <d v="2026-01-22T10:48:19"/>
  </r>
  <r>
    <s v="UT-RSPK073S"/>
    <n v="5"/>
    <n v="3"/>
    <x v="7"/>
    <s v="DEF-03762"/>
    <s v="[S_2]_x000a_검색 결과와 맞지 않음 _x000a_(penalty = N, use = ALL)"/>
    <s v="3자테스트"/>
    <s v="유경섭"/>
    <s v="장동혁"/>
    <s v="권아윤"/>
    <s v="Online"/>
    <x v="1"/>
    <x v="1"/>
    <s v="확인요청"/>
    <s v="유경섭"/>
    <x v="1"/>
    <x v="3"/>
    <d v="2026-01-23T13:24:06"/>
    <d v="2026-01-27T08:44:36"/>
  </r>
  <r>
    <s v="UT-REPK001S"/>
    <n v="5"/>
    <n v="3"/>
    <x v="8"/>
    <s v="DEF-03758"/>
    <s v="[S_4] 배정(CREATE 버튼 클릭) 시 아래와 같은 오류 발생"/>
    <s v="3자테스트"/>
    <s v="문현희"/>
    <s v="문현희"/>
    <s v="윤성훈"/>
    <s v="Online"/>
    <x v="1"/>
    <x v="1"/>
    <s v="결함검토요청"/>
    <s v="문현희"/>
    <x v="0"/>
    <x v="5"/>
    <d v="2026-01-23T12:20:01"/>
    <d v="2026-01-23T12:20:01"/>
  </r>
  <r>
    <s v="UT-REPK005S"/>
    <n v="5"/>
    <n v="3"/>
    <x v="8"/>
    <s v="DEF-03737"/>
    <s v="[X_1] 테스트 결과서 확인불가"/>
    <s v="3자테스트"/>
    <s v="문현희"/>
    <s v="문현희"/>
    <s v="최중혁"/>
    <s v="Online"/>
    <x v="1"/>
    <x v="2"/>
    <s v="결함검토요청"/>
    <s v="문현희"/>
    <x v="1"/>
    <x v="5"/>
    <d v="2026-01-22T16:59:17"/>
    <d v="2026-01-22T16:59:17"/>
  </r>
  <r>
    <s v="UT-RECR001S"/>
    <n v="5"/>
    <n v="3"/>
    <x v="8"/>
    <s v="DEF-03675"/>
    <s v="[C_1] 조회된 리스트에서 캐러셀 정렬을 할 때, 순서대로 조회되지않음._x000a_한자리 숫자(2, 3)를 두자리 숫자(20, 30)로 인식하는 것 같음"/>
    <s v="3자테스트"/>
    <s v="문현희"/>
    <s v="장동혁"/>
    <s v="최중혁"/>
    <s v="Online"/>
    <x v="1"/>
    <x v="1"/>
    <s v="결함등록기각"/>
    <s v=""/>
    <x v="1"/>
    <x v="2"/>
    <d v="2026-01-21T15:48:54"/>
    <d v="2026-01-22T10:51:05"/>
  </r>
  <r>
    <s v="UT-REPK004S"/>
    <n v="5"/>
    <n v="3"/>
    <x v="8"/>
    <s v="DEF-03681"/>
    <s v="[C_1] 조회된 리스트에서 Stand 정렬을 할 때, 순서대로 조회되지않음._x000a_두자리 숫자(11)를 세자리 숫자(110)로 인식하는 것 같음"/>
    <s v="3자테스트"/>
    <s v="문현희"/>
    <s v="장동혁"/>
    <s v="최중혁"/>
    <s v="Online"/>
    <x v="1"/>
    <x v="1"/>
    <s v="결함등록기각"/>
    <s v=""/>
    <x v="1"/>
    <x v="2"/>
    <d v="2026-01-21T16:17:38"/>
    <d v="2026-01-22T10:50:02"/>
  </r>
  <r>
    <s v="UT-REPK003S"/>
    <n v="5"/>
    <n v="3"/>
    <x v="8"/>
    <s v="DEF-03676"/>
    <s v="[C_1] Search 버튼이 겹쳐서 가려짐"/>
    <s v="3자테스트"/>
    <s v="문현희"/>
    <s v="장동혁"/>
    <s v="최중혁"/>
    <s v="Online"/>
    <x v="1"/>
    <x v="3"/>
    <s v="최종확인    "/>
    <s v=""/>
    <x v="2"/>
    <x v="0"/>
    <d v="2026-01-21T15:53:47"/>
    <d v="2026-01-22T15:21:47"/>
  </r>
  <r>
    <s v="UT-RCCR002L"/>
    <n v="5"/>
    <n v="3"/>
    <x v="9"/>
    <s v="DEF-03738"/>
    <s v="[C_9] 아이콘이 'Alarm' 메뉴 겹쳐져 있어, 깨진 현상이 발생. MicroSoft edge 에서 테스트"/>
    <s v="3자테스트"/>
    <s v="이미라"/>
    <s v="이미라"/>
    <s v="최중혁"/>
    <s v="Online"/>
    <x v="1"/>
    <x v="3"/>
    <s v="확인요청"/>
    <s v="최중혁"/>
    <x v="2"/>
    <x v="1"/>
    <d v="2026-01-22T17:11:59"/>
    <d v="2026-01-23T13:57:15"/>
  </r>
  <r>
    <s v="UT-RCCR009M"/>
    <n v="5"/>
    <n v="3"/>
    <x v="9"/>
    <s v="DEF-03752"/>
    <s v="[S_2] Terminal 선택후 조회하면 모든 터미날 조회됨"/>
    <s v="3자테스트"/>
    <s v="이미라"/>
    <s v="이미라"/>
    <s v="신철진"/>
    <s v="Online"/>
    <x v="1"/>
    <x v="1"/>
    <s v="확인요청"/>
    <s v="신철진"/>
    <x v="0"/>
    <x v="1"/>
    <d v="2026-01-23T10:58:32"/>
    <d v="2026-01-27T10:07:24"/>
  </r>
  <r>
    <s v="UT-RCCR008L"/>
    <n v="5"/>
    <n v="3"/>
    <x v="9"/>
    <s v="DEF-03751"/>
    <s v="[S_11] Print 클릭시 출력화면이 나오지 않음"/>
    <s v="3자테스트"/>
    <s v="이미라"/>
    <s v="이미라"/>
    <s v="신철진"/>
    <s v="Online"/>
    <x v="1"/>
    <x v="1"/>
    <s v="확인요청"/>
    <s v="신철진"/>
    <x v="0"/>
    <x v="1"/>
    <d v="2026-01-23T10:48:09"/>
    <d v="2026-01-23T14:15:59"/>
  </r>
  <r>
    <s v="UT-AC01010M"/>
    <n v="5"/>
    <n v="3"/>
    <x v="14"/>
    <s v="DEF-03684"/>
    <s v="단위 테스트 문서 없음"/>
    <s v="3자테스트"/>
    <s v="조수일"/>
    <s v="안소정"/>
    <s v="강도훈"/>
    <s v="Online"/>
    <x v="1"/>
    <x v="2"/>
    <s v="결함검토요청"/>
    <s v="조수일"/>
    <x v="0"/>
    <x v="5"/>
    <d v="2026-01-21T17:12:21"/>
    <d v="2026-01-21T17:12:21"/>
  </r>
  <r>
    <s v="UT-AC-SP58"/>
    <n v="5"/>
    <n v="3"/>
    <x v="14"/>
    <s v="DEF-03569"/>
    <s v="SP_ESB_ONOFFBLOCKTIMEVDG3_RCV() ; 실행 시_x000a_SQL Error [6576] [65000]: ORA-06576: 함수 또는 프로시저 이름이 부적합합니다"/>
    <s v="3자테스트"/>
    <s v="조수일"/>
    <s v="이용혁"/>
    <s v="강도훈"/>
    <s v="프로시져"/>
    <x v="1"/>
    <x v="4"/>
    <s v="결함등록기각"/>
    <s v=""/>
    <x v="0"/>
    <x v="2"/>
    <d v="2026-01-20T14:27:32"/>
    <d v="2026-01-21T13:28:04"/>
  </r>
  <r>
    <s v="UT-AC-SP51"/>
    <n v="5"/>
    <n v="3"/>
    <x v="14"/>
    <s v="DEF-03565"/>
    <s v="CALL SP_ESB_DEICING_INFO_RCV() ; 실행 시_x000a_SQL Error [6576] [65000]: ORA-06576: 함수 또는 프로시저 이름이 부적합합니다"/>
    <s v="3자테스트"/>
    <s v="조수일"/>
    <s v="이용혁"/>
    <s v="강도훈"/>
    <s v="프로시져"/>
    <x v="1"/>
    <x v="4"/>
    <s v="결함등록기각"/>
    <s v=""/>
    <x v="0"/>
    <x v="2"/>
    <d v="2026-01-20T14:22:16"/>
    <d v="2026-01-21T13:28:58"/>
  </r>
  <r>
    <s v="UT-AC-SP53"/>
    <n v="5"/>
    <n v="3"/>
    <x v="14"/>
    <s v="DEF-03567"/>
    <s v="CALL SP_ESB_DEICINGWORKTIMEKASS_RCV() ; 실행 시_x000a_SQL Error [6576] [65000]: ORA-06576: 함수 또는 프로시저 이름이 부적합합니다"/>
    <s v="3자테스트"/>
    <s v="조수일"/>
    <s v="이용혁"/>
    <s v="강도훈"/>
    <s v="프로시져"/>
    <x v="1"/>
    <x v="4"/>
    <s v="결함등록기각"/>
    <s v=""/>
    <x v="0"/>
    <x v="2"/>
    <d v="2026-01-20T14:24:21"/>
    <d v="2026-01-21T13:27:28"/>
  </r>
  <r>
    <s v="UT-AC-SP49"/>
    <n v="5"/>
    <n v="3"/>
    <x v="14"/>
    <s v="DEF-03563"/>
    <s v="CALL SP_ESB_ASDESPOTTIME_RCV() ; 실행 시_x000a_SQL Error [6576] [65000]: ORA-06576: 함수 또는 프로시저 이름이 부적합합니다_x000a_"/>
    <s v="3자테스트"/>
    <s v="조수일"/>
    <s v="이용혁"/>
    <s v="강도훈"/>
    <s v="프로시져"/>
    <x v="1"/>
    <x v="4"/>
    <s v="결함등록기각"/>
    <s v=""/>
    <x v="0"/>
    <x v="2"/>
    <d v="2026-01-20T14:20:02"/>
    <d v="2026-01-21T13:27:53"/>
  </r>
  <r>
    <s v="UT-AC-SP48"/>
    <n v="5"/>
    <n v="3"/>
    <x v="14"/>
    <s v="DEF-03562"/>
    <s v="CALL SP_ESB_AFSRAMPASDE_RCV(); 실행 시_x000a_SQL Error [6576] [65000]: ORA-06576: 함수 또는 프로시저 이름이 부적합합니다"/>
    <s v="3자테스트"/>
    <s v="조수일"/>
    <s v="이용혁"/>
    <s v="강도훈"/>
    <s v="프로시져"/>
    <x v="1"/>
    <x v="4"/>
    <s v="결함등록기각"/>
    <s v=""/>
    <x v="0"/>
    <x v="2"/>
    <d v="2026-01-20T14:18:29"/>
    <d v="2026-01-21T13:27:12"/>
  </r>
  <r>
    <s v="UT-AC-SP24"/>
    <n v="5"/>
    <n v="3"/>
    <x v="14"/>
    <s v="DEF-03507"/>
    <s v="SQL Error [6576] [65000]: ORA-06576: 함수 또는 프로시저 이름이 부적합합니다_x000a_"/>
    <s v="3자테스트"/>
    <s v="조수일"/>
    <s v="이용혁"/>
    <s v="강도훈"/>
    <s v="프로시져"/>
    <x v="1"/>
    <x v="4"/>
    <s v="결함등록기각"/>
    <s v=""/>
    <x v="0"/>
    <x v="2"/>
    <d v="2026-01-20T10:27:30"/>
    <d v="2026-01-21T11:26:13"/>
  </r>
  <r>
    <s v="UT-AC-SP22"/>
    <n v="5"/>
    <n v="3"/>
    <x v="14"/>
    <s v="DEF-03502"/>
    <s v="SP 실행 시 함수 또는 프로시저 이름 부적합"/>
    <s v="3자테스트"/>
    <s v="조수일"/>
    <s v="이용혁"/>
    <s v="강도훈"/>
    <s v="프로시져"/>
    <x v="1"/>
    <x v="4"/>
    <s v="결함등록기각"/>
    <s v=""/>
    <x v="0"/>
    <x v="2"/>
    <d v="2026-01-20T10:15:34"/>
    <d v="2026-01-21T11:26:27"/>
  </r>
  <r>
    <s v="UT-AC-SP21"/>
    <n v="5"/>
    <n v="3"/>
    <x v="14"/>
    <s v="DEF-03499"/>
    <s v="SP실행 시 함수 또는 프로시저 이름 부적합"/>
    <s v="3자테스트"/>
    <s v="조수일"/>
    <s v="이용혁"/>
    <s v="강도훈"/>
    <s v="프로시져"/>
    <x v="1"/>
    <x v="4"/>
    <s v="결함등록기각"/>
    <s v=""/>
    <x v="0"/>
    <x v="2"/>
    <d v="2026-01-20T10:00:55"/>
    <d v="2026-01-21T11:26:51"/>
  </r>
  <r>
    <s v="UT-AC-SP29"/>
    <n v="5"/>
    <n v="3"/>
    <x v="14"/>
    <s v="DEF-03518"/>
    <s v="SP 실행 시 오류_x000a_SQL Error [6576] [65000]: ORA-06576: 함수 또는 프로시저 이름이 부적합합니다_x000a_"/>
    <s v="3자테스트"/>
    <s v="조수일"/>
    <s v="이용혁"/>
    <s v="강도훈"/>
    <s v="프로시져"/>
    <x v="1"/>
    <x v="4"/>
    <s v="결함등록기각"/>
    <s v=""/>
    <x v="0"/>
    <x v="2"/>
    <d v="2026-01-20T10:55:27"/>
    <d v="2026-01-21T11:26:39"/>
  </r>
  <r>
    <s v="UT-AC-SP54"/>
    <n v="5"/>
    <n v="3"/>
    <x v="14"/>
    <s v="DEF-03568"/>
    <s v="CALL SP_ESB_ELECSTRIPARRARTS_RCV() ; 실행 시_x000a_SQL Error [6576] [65000]: ORA-06576: 함수 또는 프로시저 이름이 부적합합니다_x000a_"/>
    <s v="3자테스트"/>
    <s v="조수일"/>
    <s v="이용혁"/>
    <s v="강도훈"/>
    <s v="프로시져"/>
    <x v="1"/>
    <x v="4"/>
    <s v="결함등록기각"/>
    <s v=""/>
    <x v="0"/>
    <x v="2"/>
    <d v="2026-01-20T14:25:29"/>
    <d v="2026-01-21T13:27:43"/>
  </r>
  <r>
    <s v="UT-AC-SP50"/>
    <n v="5"/>
    <n v="3"/>
    <x v="14"/>
    <s v="DEF-03564"/>
    <s v="CALL SP_ESB_ASDESPOTTIME4TH_RCV() ; 실행 시_x000a_SQL Error [6576] [65000]: ORA-06576: 함수 또는 프로시저 이름이 부적합합니다"/>
    <s v="3자테스트"/>
    <s v="조수일"/>
    <s v="이용혁"/>
    <s v="강도훈"/>
    <s v="프로시져"/>
    <x v="1"/>
    <x v="4"/>
    <s v="결함등록기각"/>
    <s v=""/>
    <x v="0"/>
    <x v="2"/>
    <d v="2026-01-20T14:21:01"/>
    <d v="2026-01-21T13:29:12"/>
  </r>
  <r>
    <s v="UT-AC-SP35"/>
    <n v="5"/>
    <n v="3"/>
    <x v="14"/>
    <s v="DEF-03544"/>
    <s v="SQL Error [6550] [65000]: ORA-06550: 줄 25, 열1:PLS-00201: 'SP_AC_FIMSABNTRFFDSBLTY_SND' 식별자가 정의되어야 합니다_x000a_ORA-06550: 줄 25, 열1:PL/SQL: Statement ignored"/>
    <s v="3자테스트"/>
    <s v="조수일"/>
    <s v="이용혁"/>
    <s v="강도훈"/>
    <s v="프로시져"/>
    <x v="1"/>
    <x v="4"/>
    <s v="결함등록기각"/>
    <s v=""/>
    <x v="0"/>
    <x v="2"/>
    <d v="2026-01-20T13:34:13"/>
    <d v="2026-01-21T13:30:26"/>
  </r>
  <r>
    <s v="UT-AC-SP33"/>
    <n v="5"/>
    <n v="3"/>
    <x v="14"/>
    <s v="DEF-03537"/>
    <s v="SQL Error [6550] [65000]: ORA-06550: 줄 58, 열1:PLS-00201: 'SP_AC_FIMSARCFTAPRCTRL_SND' 식별자가 정의되어야 합니다_x000a_ORA-06550: 줄 58, 열1:PL/SQL: Statement ignored"/>
    <s v="3자테스트"/>
    <s v="조수일"/>
    <s v="이용혁"/>
    <s v="강도훈"/>
    <s v="프로시져"/>
    <x v="1"/>
    <x v="4"/>
    <s v="결함등록기각"/>
    <s v=""/>
    <x v="0"/>
    <x v="2"/>
    <d v="2026-01-20T13:16:13"/>
    <d v="2026-01-21T13:30:48"/>
  </r>
  <r>
    <s v="UT-AC-SP40"/>
    <n v="5"/>
    <n v="3"/>
    <x v="14"/>
    <s v="DEF-03549"/>
    <s v="SQL Error [6550] [65000]: ORA-06550: 줄 60, 열1:PLS-00201: 'SP_AC_FIMSELECFLTINFO_SND' 식별자가 정의되어야 합니다_x000a_ORA-06550: 줄 60, 열1:PL/SQL: Statement ignored"/>
    <s v="3자테스트"/>
    <s v="조수일"/>
    <s v="이용혁"/>
    <s v="강도훈"/>
    <s v="프로시져"/>
    <x v="1"/>
    <x v="4"/>
    <s v="결함등록기각"/>
    <s v=""/>
    <x v="0"/>
    <x v="2"/>
    <d v="2026-01-20T13:47:57"/>
    <d v="2026-01-21T13:30:16"/>
  </r>
  <r>
    <s v="UT-AC-SP39"/>
    <n v="5"/>
    <n v="3"/>
    <x v="14"/>
    <s v="DEF-03548"/>
    <s v="CALL SP_AC_CM_AZRT_DELETE('2025111100000006439615', to_char(CURRENT_TIMESTAMP,'YYYYMMDDHH24MISS.FF3') );_x000a_SP 실행 시 오류_x000a_SQL Error [6576] [65000]: ORA-06576: 함수 또는 프로시저 이름이 부적합합니다"/>
    <s v="3자테스트"/>
    <s v="조수일"/>
    <s v="이용혁"/>
    <s v="강도훈"/>
    <s v="프로시져"/>
    <x v="1"/>
    <x v="4"/>
    <s v="결함등록기각"/>
    <s v=""/>
    <x v="0"/>
    <x v="2"/>
    <d v="2026-01-20T13:44:54"/>
    <d v="2026-01-21T13:29:56"/>
  </r>
  <r>
    <s v="UT-AC-SP38"/>
    <n v="5"/>
    <n v="3"/>
    <x v="14"/>
    <s v="DEF-03547"/>
    <s v="SQL Error [6550] [65000]: ORA-06550: 줄 29, 열1:PLS-00201: 'SP_AC_FIMSCTRLTASKDIARY_SND' 식별자가 정의되어야 합니다_x000a_ORA-06550: 줄 29, 열1:PL/SQL: Statement ignored"/>
    <s v="3자테스트"/>
    <s v="조수일"/>
    <s v="이용혁"/>
    <s v="강도훈"/>
    <s v="프로시져"/>
    <x v="1"/>
    <x v="4"/>
    <s v="결함등록기각"/>
    <s v=""/>
    <x v="0"/>
    <x v="2"/>
    <d v="2026-01-20T13:36:59"/>
    <d v="2026-01-21T13:30:06"/>
  </r>
  <r>
    <s v="UT-AC-SP37"/>
    <n v="5"/>
    <n v="3"/>
    <x v="14"/>
    <s v="DEF-03545"/>
    <s v="SQL Error [6550] [65000]: ORA-06550: 줄 29, 열1:PLS-00201: 'SP_AC_FIMSACCOMCD_SND' 식별자가 정의되어야 합니다_x000a_ORA-06550: 줄 29, 열1:PL/SQL: Statement ignored_x000a_"/>
    <s v="3자테스트"/>
    <s v="조수일"/>
    <s v="이용혁"/>
    <s v="강도훈"/>
    <s v="프로시져"/>
    <x v="1"/>
    <x v="4"/>
    <s v="결함등록기각"/>
    <s v=""/>
    <x v="0"/>
    <x v="2"/>
    <d v="2026-01-20T13:35:14"/>
    <d v="2026-01-21T13:30:39"/>
  </r>
  <r>
    <s v="UT-AC-SP57"/>
    <n v="5"/>
    <n v="3"/>
    <x v="14"/>
    <s v="DEF-03570"/>
    <s v="SP_ESB_ONOFFBLOCKTIMEVDG1_RCV() ; 실행 시_x000a_SQL Error [6576] [65000]: ORA-06576: 함수 또는 프로시저 이름이 부적합합니다"/>
    <s v="3자테스트"/>
    <s v="조수일"/>
    <s v="이용혁"/>
    <s v="강도훈"/>
    <s v="프로시져"/>
    <x v="1"/>
    <x v="4"/>
    <s v="결함등록기각"/>
    <s v=""/>
    <x v="0"/>
    <x v="2"/>
    <d v="2026-01-20T14:27:52"/>
    <d v="2026-01-21T13:28:15"/>
  </r>
  <r>
    <s v="UT-AC-SP56"/>
    <n v="5"/>
    <n v="3"/>
    <x v="14"/>
    <s v="DEF-03571"/>
    <s v="SP_ESB_ONOFFBLOCKTIME_RCV() ; 실행 시_x000a_SQL Error [6576] [65000]: ORA-06576: 함수 또는 프로시저 이름이 부적합합니다"/>
    <s v="3자테스트"/>
    <s v="조수일"/>
    <s v="이용혁"/>
    <s v="강도훈"/>
    <s v="프로시져"/>
    <x v="1"/>
    <x v="4"/>
    <s v="결함등록기각"/>
    <s v=""/>
    <x v="0"/>
    <x v="2"/>
    <d v="2026-01-20T14:28:21"/>
    <d v="2026-01-21T13:28:26"/>
  </r>
  <r>
    <s v="UT-AC-SP52"/>
    <n v="5"/>
    <n v="3"/>
    <x v="14"/>
    <s v="DEF-03566"/>
    <s v="CALL SP_ESB_DEICINGWORKTIMEAAPS_RCV() ; 실행 시_x000a_SQL Error [6576] [65000]: ORA-06576: 함수 또는 프로시저 이름이 부적합합니다_x000a_"/>
    <s v="3자테스트"/>
    <s v="조수일"/>
    <s v="이용혁"/>
    <s v="강도훈"/>
    <s v="프로시져"/>
    <x v="1"/>
    <x v="4"/>
    <s v="결함등록기각"/>
    <s v=""/>
    <x v="0"/>
    <x v="2"/>
    <d v="2026-01-20T14:23:31"/>
    <d v="2026-01-21T13:28:48"/>
  </r>
  <r>
    <s v="UT-AC-SP55"/>
    <n v="5"/>
    <n v="3"/>
    <x v="14"/>
    <s v="DEF-03572"/>
    <s v="SP_ESB_ELECSTRIPDEPARTS_RCV() ; 실행 시_x000a_SQL Error [6576] [65000]: ORA-06576: 함수 또는 프로시저 이름이 부적합합니다"/>
    <s v="3자테스트"/>
    <s v="조수일"/>
    <s v="이용혁"/>
    <s v="강도훈"/>
    <s v="프로시져"/>
    <x v="1"/>
    <x v="4"/>
    <s v="결함등록기각"/>
    <s v=""/>
    <x v="0"/>
    <x v="2"/>
    <d v="2026-01-20T14:29:03"/>
    <d v="2026-01-21T13:28:35"/>
  </r>
  <r>
    <s v="UT-AC50010S"/>
    <n v="5"/>
    <n v="3"/>
    <x v="14"/>
    <s v="DEF-03595"/>
    <s v="[S_38] 제빙종료시간 입력 시 입력한 값이 반영되지 않음"/>
    <s v="3자테스트"/>
    <s v="조수일"/>
    <s v="구혜지"/>
    <s v="강도훈"/>
    <s v="Online"/>
    <x v="1"/>
    <x v="1"/>
    <s v="최종확인    "/>
    <s v=""/>
    <x v="0"/>
    <x v="0"/>
    <d v="2026-01-20T15:04:35"/>
    <d v="2026-01-22T09:05:58"/>
  </r>
  <r>
    <s v="UT-AC06001S"/>
    <n v="5"/>
    <n v="3"/>
    <x v="14"/>
    <s v="DEF-03461"/>
    <s v="[S_06] order_number가 1부터 시작하지 않고 지정한 페이지당 출력할 숫자 + 1부터 시작. 프린트 결과는 정상."/>
    <s v="3자테스트"/>
    <s v="조수일"/>
    <s v="구혜지"/>
    <s v="강도훈"/>
    <s v="Online"/>
    <x v="1"/>
    <x v="6"/>
    <s v="최종확인    "/>
    <s v=""/>
    <x v="0"/>
    <x v="0"/>
    <d v="2026-01-19T15:28:47"/>
    <d v="2026-01-21T16:04:25"/>
  </r>
  <r>
    <s v="UT-AC07002S"/>
    <n v="5"/>
    <n v="3"/>
    <x v="14"/>
    <s v="DEF-03478"/>
    <s v="[S_12] 캘린더 검색 문법 오류"/>
    <s v="3자테스트"/>
    <s v="조수일"/>
    <s v="구혜지"/>
    <s v="강도훈"/>
    <s v="Online"/>
    <x v="1"/>
    <x v="1"/>
    <s v="확인요청"/>
    <s v="강도훈"/>
    <x v="1"/>
    <x v="1"/>
    <d v="2026-01-19T17:08:39"/>
    <d v="2026-01-27T09:32:59"/>
  </r>
  <r>
    <s v="UT-FSEX080S"/>
    <n v="5"/>
    <n v="3"/>
    <x v="15"/>
    <s v="DEF-03454"/>
    <s v="[S_4] 행추가 저장시 오류 발생"/>
    <s v="3자테스트"/>
    <s v="임소정"/>
    <s v="임소정"/>
    <s v="김민욱"/>
    <s v="Online"/>
    <x v="1"/>
    <x v="1"/>
    <s v="확인요청"/>
    <s v="김민욱"/>
    <x v="0"/>
    <x v="1"/>
    <d v="2026-01-19T15:14:34"/>
    <d v="2026-01-21T10:41:54"/>
  </r>
  <r>
    <s v="UT-FSEX080M"/>
    <n v="5"/>
    <n v="3"/>
    <x v="15"/>
    <s v="DEF-03452"/>
    <s v="[S_4] 저장시 저장 오류가 남"/>
    <s v="3자테스트"/>
    <s v="임소정"/>
    <s v="임소정"/>
    <s v="김민욱"/>
    <s v="Online"/>
    <x v="1"/>
    <x v="1"/>
    <s v="확인요청"/>
    <s v="김민욱"/>
    <x v="0"/>
    <x v="1"/>
    <d v="2026-01-19T15:07:44"/>
    <d v="2026-01-21T10:41:38"/>
  </r>
  <r>
    <s v="UT-AS78101S"/>
    <n v="5"/>
    <n v="3"/>
    <x v="10"/>
    <s v="DEF-03667"/>
    <s v="&quot;리포트명&quot; 입력 후 검색 시 서버 오류 ALERT"/>
    <s v="3자테스트"/>
    <s v="장영진"/>
    <s v="김경준"/>
    <s v="강도훈"/>
    <s v="Online"/>
    <x v="1"/>
    <x v="1"/>
    <s v="조치요청"/>
    <s v="김경준"/>
    <x v="0"/>
    <x v="4"/>
    <d v="2026-01-21T14:32:23"/>
    <d v="2026-01-22T16:16:57"/>
  </r>
  <r>
    <s v="UT-AS77104S"/>
    <n v="5"/>
    <n v="3"/>
    <x v="10"/>
    <s v="DEF-03665"/>
    <s v="작성 목적 미입력 후 저장 시 발생하는 ALERT 텍스트 오타"/>
    <s v="3자테스트"/>
    <s v="장영진"/>
    <s v="김경준"/>
    <s v="강도훈"/>
    <s v="Online"/>
    <x v="1"/>
    <x v="0"/>
    <s v="조치요청"/>
    <s v="김경준"/>
    <x v="0"/>
    <x v="4"/>
    <d v="2026-01-21T14:30:19"/>
    <d v="2026-01-22T16:16:46"/>
  </r>
  <r>
    <s v="UT-AS72102S"/>
    <n v="5"/>
    <n v="3"/>
    <x v="10"/>
    <s v="DEF-03673"/>
    <s v="[S_03] 첨부파일 다운로드 실패"/>
    <s v="3자테스트"/>
    <s v="장영진"/>
    <s v="김경준"/>
    <s v="강도훈"/>
    <s v="Online"/>
    <x v="1"/>
    <x v="1"/>
    <s v="조치요청"/>
    <s v="김경준"/>
    <x v="0"/>
    <x v="4"/>
    <d v="2026-01-21T15:40:19"/>
    <d v="2026-01-22T16:17:36"/>
  </r>
  <r>
    <s v="UT-AS37701S"/>
    <n v="5"/>
    <n v="3"/>
    <x v="10"/>
    <s v="DEF-03755"/>
    <s v="검색 UI 미구현"/>
    <s v="3자테스트"/>
    <s v="장영진"/>
    <s v="김경준"/>
    <s v="강도훈"/>
    <s v="Online"/>
    <x v="1"/>
    <x v="3"/>
    <s v="조치요청"/>
    <s v="김경준"/>
    <x v="0"/>
    <x v="4"/>
    <d v="2026-01-23T11:11:46"/>
    <d v="2026-01-26T09:47:49"/>
  </r>
  <r>
    <s v="UT-AS33201S"/>
    <n v="5"/>
    <n v="3"/>
    <x v="10"/>
    <s v="DEF-03706"/>
    <s v="관계형 그래프로 보기 클릭 시 페이지 로드 에러"/>
    <s v="3자테스트"/>
    <s v="장영진"/>
    <s v="김경준"/>
    <s v="강도훈"/>
    <s v="Online"/>
    <x v="1"/>
    <x v="1"/>
    <s v="조치요청"/>
    <s v="김경준"/>
    <x v="0"/>
    <x v="4"/>
    <d v="2026-01-22T13:10:29"/>
    <d v="2026-01-27T09:07:35"/>
  </r>
  <r>
    <s v="UT-AS11101S"/>
    <n v="5"/>
    <n v="3"/>
    <x v="10"/>
    <s v="DEF-03699"/>
    <s v="[S_02]비로그인 상태에서 상단 메뉴 DW 클릭 시, Alert 발생 후 DW 페이지로 이동"/>
    <s v="3자테스트"/>
    <s v="장영진"/>
    <s v="임소정"/>
    <s v="강도훈"/>
    <s v="Online"/>
    <x v="1"/>
    <x v="1"/>
    <s v="조치요청"/>
    <s v="김경준"/>
    <x v="0"/>
    <x v="4"/>
    <d v="2026-01-22T10:51:45"/>
    <d v="2026-01-22T16:17:23"/>
  </r>
  <r>
    <s v="UT-AS33302S"/>
    <n v="5"/>
    <n v="3"/>
    <x v="10"/>
    <s v="DEF-03749"/>
    <s v="검색일자 임의 설정 후 검색 시 항상 데이터 없음 출력_x000a_Default(1일 전 ~ 현재일자)일자로 검색 시 데이터 정상 출력"/>
    <s v="3자테스트"/>
    <s v="장영진"/>
    <s v="김경준"/>
    <s v="강도훈"/>
    <s v="Online"/>
    <x v="1"/>
    <x v="1"/>
    <s v="조치요청"/>
    <s v="김경준"/>
    <x v="0"/>
    <x v="4"/>
    <d v="2026-01-23T10:31:48"/>
    <d v="2026-01-26T09:47:10"/>
  </r>
  <r>
    <s v="UT-AS31901S"/>
    <n v="5"/>
    <n v="3"/>
    <x v="10"/>
    <s v="DEF-03759"/>
    <s v="검색 조건 UI 없음"/>
    <s v="3자테스트"/>
    <s v="장영진"/>
    <s v="김경준"/>
    <s v="강도훈"/>
    <s v="Online"/>
    <x v="1"/>
    <x v="3"/>
    <s v="조치요청"/>
    <s v="김경준"/>
    <x v="0"/>
    <x v="4"/>
    <d v="2026-01-23T12:47:40"/>
    <d v="2026-01-26T09:46:57"/>
  </r>
  <r>
    <s v="UT-AS31801S"/>
    <n v="5"/>
    <n v="3"/>
    <x v="10"/>
    <s v="DEF-03757"/>
    <s v="검색 UI 미구현"/>
    <s v="3자테스트"/>
    <s v="장영진"/>
    <s v="임소정"/>
    <s v="강도훈"/>
    <s v="Online"/>
    <x v="1"/>
    <x v="3"/>
    <s v="조치요청"/>
    <s v="김경준"/>
    <x v="0"/>
    <x v="4"/>
    <d v="2026-01-23T11:24:26"/>
    <d v="2026-01-26T09:46:45"/>
  </r>
  <r>
    <s v="UT-AS78102M"/>
    <n v="5"/>
    <n v="3"/>
    <x v="10"/>
    <s v="DEF-03668"/>
    <s v="실제 값과 다른 그래프"/>
    <s v="3자테스트"/>
    <s v="장영진"/>
    <s v="김경준"/>
    <s v="강도훈"/>
    <s v="Online"/>
    <x v="1"/>
    <x v="1"/>
    <s v="확인요청"/>
    <s v="강도훈"/>
    <x v="0"/>
    <x v="1"/>
    <d v="2026-01-21T14:34:12"/>
    <d v="2026-01-26T10:03:49"/>
  </r>
  <r>
    <s v="UT-AS37501S"/>
    <n v="5"/>
    <n v="3"/>
    <x v="10"/>
    <s v="DEF-03754"/>
    <s v="검색 UI 미구현"/>
    <s v="3자테스트"/>
    <s v="장영진"/>
    <s v="김경준"/>
    <s v="강도훈"/>
    <s v="Online"/>
    <x v="1"/>
    <x v="3"/>
    <s v="확인요청"/>
    <s v="김경준"/>
    <x v="0"/>
    <x v="3"/>
    <d v="2026-01-23T11:11:25"/>
    <d v="2026-01-26T09:47:37"/>
  </r>
  <r>
    <s v="UT-AS37401S"/>
    <n v="5"/>
    <n v="3"/>
    <x v="10"/>
    <s v="DEF-03753"/>
    <s v="검색 UI 미구현"/>
    <s v="3자테스트"/>
    <s v="장영진"/>
    <s v="김경준"/>
    <s v="강도훈"/>
    <s v="Online"/>
    <x v="1"/>
    <x v="3"/>
    <s v="확인요청"/>
    <s v="김경준"/>
    <x v="0"/>
    <x v="3"/>
    <d v="2026-01-23T11:11:09"/>
    <d v="2026-01-26T09:47:25"/>
  </r>
  <r>
    <s v="UT-FPFA004R"/>
    <n v="5"/>
    <n v="3"/>
    <x v="6"/>
    <s v="DEF-03744"/>
    <s v="[X_1] 테스트 결과서가 확인되지 않음(FPFA004R, FPFA014S, FPFA015S, FPFA101S, FPFA201S, FPFA211S)"/>
    <s v="3자테스트"/>
    <s v="장경진"/>
    <s v="현영광"/>
    <s v="최중혁"/>
    <s v="Online"/>
    <x v="2"/>
    <x v="2"/>
    <s v="결함등록기각"/>
    <s v=""/>
    <x v="1"/>
    <x v="2"/>
    <d v="2026-01-22T17:59:02"/>
    <d v="2026-01-26T09:23:00"/>
  </r>
  <r>
    <s v="UT-FPFC071M"/>
    <n v="5"/>
    <n v="3"/>
    <x v="6"/>
    <s v="DEF-03746"/>
    <s v="[X_1] 테스트 결과서가 확인되지 않음(FPFC071M, FPFC084M, FPFC106M)"/>
    <s v="3자테스트"/>
    <s v="장경진"/>
    <s v="현영광"/>
    <s v="최중혁"/>
    <s v="Online"/>
    <x v="2"/>
    <x v="2"/>
    <s v="결함등록기각"/>
    <s v=""/>
    <x v="1"/>
    <x v="2"/>
    <d v="2026-01-22T18:27:52"/>
    <d v="2026-01-26T09:21:07"/>
  </r>
  <r>
    <s v="UT-AC-SP43"/>
    <n v="5"/>
    <n v="3"/>
    <x v="14"/>
    <s v="DEF-03553"/>
    <s v="단위테스트결과서 없음"/>
    <s v="3자테스트"/>
    <s v="조수일"/>
    <s v="이용혁"/>
    <s v="강도훈"/>
    <s v="프로시져"/>
    <x v="2"/>
    <x v="2"/>
    <s v="결함검토요청"/>
    <s v="조수일"/>
    <x v="0"/>
    <x v="5"/>
    <d v="2026-01-20T13:53:31"/>
    <d v="2026-01-20T13:53:31"/>
  </r>
  <r>
    <s v="UT-AC01024S"/>
    <n v="5"/>
    <n v="3"/>
    <x v="14"/>
    <s v="DEF-03600"/>
    <s v="단위테스트 문서 없음"/>
    <s v="3자테스트"/>
    <s v="조수일"/>
    <s v="안소정"/>
    <s v="강도훈"/>
    <s v="Online"/>
    <x v="2"/>
    <x v="2"/>
    <s v="결함등록기각"/>
    <s v=""/>
    <x v="0"/>
    <x v="2"/>
    <d v="2026-01-20T15:11:29"/>
    <d v="2026-01-21T11:25: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s v="UT-CM30029S"/>
    <n v="5"/>
    <n v="3"/>
    <x v="0"/>
    <s v="DEF-03588"/>
    <x v="0"/>
    <s v="[X_1]선행 조회에 나온 결과가 있었고, 조회조건을 RESET 하고 새롭게 조회하면 선행 결과에서 선택한 GRID에 커서가 선택되어 있습니다._x000a_즉 새로 조회하면 GRID 첫 라인에 커서가 선택되어 있지 않습니다._x000a__x000a_첨부된 케이스는 처음조회 시 _x000a_분석유형명에 &quot;활&quot; 입력 후 조회 한다음_x000a_모든 조회 조건을 삭제하고 재조회 한 경우 8번라인에 커서가 위치해 있는 경우입니다._x000a_"/>
    <s v="3자테스트"/>
    <s v="이지연"/>
    <s v="김단호"/>
    <s v="장희경"/>
    <s v="Online"/>
    <s v="개선/변경"/>
    <s v="기타"/>
    <s v="최종확인    "/>
    <s v=""/>
    <s v="Minor"/>
    <x v="0"/>
    <d v="2026-01-20T14:55:54"/>
    <d v="2026-01-22T16:24:35"/>
  </r>
  <r>
    <s v="UT-CM10301S"/>
    <n v="5"/>
    <n v="3"/>
    <x v="0"/>
    <s v="DEF-03401"/>
    <x v="1"/>
    <s v="[X_1]영문단어수정필요_x000a_Defination -&gt;Definition"/>
    <s v="3자테스트"/>
    <s v="이지연"/>
    <s v="김단호"/>
    <s v="장희경"/>
    <s v="Online"/>
    <s v="개선/변경"/>
    <s v="기타"/>
    <s v="최종확인    "/>
    <s v=""/>
    <s v="Minor"/>
    <x v="0"/>
    <d v="2026-01-19T12:41:29"/>
    <d v="2026-01-23T13:04:21"/>
  </r>
  <r>
    <s v="UT-CM20030S"/>
    <n v="5"/>
    <n v="3"/>
    <x v="0"/>
    <s v="DEF-03520"/>
    <x v="0"/>
    <s v="[S_1]Alarm 있는 그리드 선택 후 Alarm 없는 그리드 선택하는 경우 하단  Alarm 이 계속 활성화 되어 있음 _x000a_(출발편운항정보관리 와 동일함)"/>
    <s v="3자테스트"/>
    <s v="이지연"/>
    <s v="김은정"/>
    <s v="장희경"/>
    <s v="Online"/>
    <s v="개선/변경"/>
    <s v="기능"/>
    <s v="최종확인    "/>
    <s v=""/>
    <s v="Minor"/>
    <x v="0"/>
    <d v="2026-01-20T10:56:59"/>
    <d v="2026-01-22T16:31:02"/>
  </r>
  <r>
    <s v="UT-CM20016S"/>
    <n v="5"/>
    <n v="3"/>
    <x v="0"/>
    <s v="DEF-03531"/>
    <x v="0"/>
    <s v="[X_1]필터적용 관련 제안_x000a_그리드 필터 설정 시 &quot;Alert&quot; 컬럼의 필터 기준을 Alert 있음/없음 혹은 업무적으로 필터링 가능한 조건을 명시해줌이 어떨지 제안드립니다.  _x000a__x000a_참고로 출발편 운항정보관리(월)  에 적용된 grid 에는 Alert는 필터조건이 없습니다."/>
    <s v="3자테스트"/>
    <s v="이지연"/>
    <s v="김은정"/>
    <s v="장희경"/>
    <s v="Online"/>
    <s v="개선/변경"/>
    <s v="기타"/>
    <s v="최종확인    "/>
    <s v=""/>
    <s v="Minor"/>
    <x v="0"/>
    <d v="2026-01-20T13:01:32"/>
    <d v="2026-01-22T16:05:52"/>
  </r>
  <r>
    <s v="UT-CM20016S"/>
    <n v="5"/>
    <n v="3"/>
    <x v="0"/>
    <s v="DEF-03496"/>
    <x v="0"/>
    <s v="[S_5]alarm 탭 활성화/비활성화_x000a_알람 있는 출발편을 클릭하였다가 없는 항목을 클릭하는 경우 여전히 Alarm 탭은 파란색으로 활성화 되어 있습니다. "/>
    <s v="3자테스트"/>
    <s v="이지연"/>
    <s v="김은정"/>
    <s v="장희경"/>
    <s v="Online"/>
    <s v="개선/변경"/>
    <s v="기타"/>
    <s v="최종확인    "/>
    <s v=""/>
    <s v="Minor"/>
    <x v="0"/>
    <d v="2026-01-20T09:52:27"/>
    <d v="2026-01-22T16:08:35"/>
  </r>
  <r>
    <s v="UT-CM10103R"/>
    <n v="5"/>
    <n v="3"/>
    <x v="0"/>
    <s v="DEF-03766"/>
    <x v="0"/>
    <s v="[S_1]리포트 &quot;저장&quot; 시 리포트 포맷 확인, 조회 및 저장 시 표기 방식 확인 필요_x000a__x000a_1.리포트 &quot;저장&quot; 버튼 클릭으로 나타나는 각종 형식의 파일(PDF, EXCEL 등등)로 저장후 파일 확인을 해보면, ETC 부분이 하위 테이블에 겹쳐져 표기됩니다._x000a__x000a_2. 화면 조회 및 저장 시 _x000a_상단 우측 ETC 셀의 경우 값표기가 _x000a_0/0, 1/98 등의 형식이 아닌 0/, 1/ 로 모수가 표기되지 않습니다. _x000a_ "/>
    <s v="3자테스트"/>
    <s v="이지연"/>
    <s v="김단호"/>
    <s v="장희경"/>
    <s v="Online"/>
    <s v="개선/변경"/>
    <s v="기능"/>
    <s v="확인요청"/>
    <s v="장희경"/>
    <s v="Minor"/>
    <x v="1"/>
    <d v="2026-01-23T13:58:04"/>
    <d v="2026-01-26T14:33:55"/>
  </r>
  <r>
    <s v="UT-CARF028S(A)"/>
    <n v="5"/>
    <n v="3"/>
    <x v="1"/>
    <s v="DEF-03472"/>
    <x v="0"/>
    <s v="[x_001]시나리오 6번부터 9번 화면이 달라 테스트 수행 불가_x000a_- FOIS Irregular Code Mapping List화면에 입력,수정,삭제 기능 없음 - 시나리오 화면과 다름 "/>
    <s v="3자테스트"/>
    <s v="박영수"/>
    <s v="최민지"/>
    <s v="김승무"/>
    <s v="Online"/>
    <s v="개선/변경"/>
    <s v="문서화"/>
    <s v="결함등록기각"/>
    <s v=""/>
    <s v="Minor"/>
    <x v="2"/>
    <d v="2026-01-19T16:35:02"/>
    <d v="2026-01-20T14:59:15"/>
  </r>
  <r>
    <s v="UT-CASY043S(A)"/>
    <n v="5"/>
    <n v="3"/>
    <x v="1"/>
    <s v="DEF-03391"/>
    <x v="2"/>
    <s v="[X_002]테스트 값이 나오지 않아 테스트 하지 못함"/>
    <s v="3자테스트"/>
    <s v="박영수"/>
    <s v="최민지"/>
    <s v="김승무"/>
    <s v="Online"/>
    <s v="개선/변경"/>
    <s v="문서화"/>
    <s v="결함등록기각"/>
    <s v=""/>
    <s v="Minor"/>
    <x v="2"/>
    <d v="2026-01-19T10:59:31"/>
    <d v="2026-01-20T09:49:39"/>
  </r>
  <r>
    <s v="UT-CARF029S(A)"/>
    <n v="5"/>
    <n v="3"/>
    <x v="1"/>
    <s v="DEF-03475"/>
    <x v="0"/>
    <s v="[x_001]Delay List 삭제 및 입력하는 기능 없어 테스트 불가 "/>
    <s v="3자테스트"/>
    <s v="박영수"/>
    <s v="최민지"/>
    <s v="김승무"/>
    <s v="Online"/>
    <s v="개선/변경"/>
    <s v="기타"/>
    <s v="결함등록기각"/>
    <s v=""/>
    <s v="Minor"/>
    <x v="2"/>
    <d v="2026-01-19T16:48:18"/>
    <d v="2026-01-20T17:43:51"/>
  </r>
  <r>
    <s v="UT-CA-SP30(A)"/>
    <n v="5"/>
    <n v="3"/>
    <x v="1"/>
    <s v="DEF-03767"/>
    <x v="3"/>
    <s v="[S_2] SQL Error [ERRPS]: JDBC-15146:PSM compilation error"/>
    <s v="3자테스트"/>
    <s v="박영수"/>
    <s v="정연준"/>
    <s v="김승무"/>
    <s v="프로시져"/>
    <s v="개선/변경"/>
    <s v="기능"/>
    <s v="확인요청"/>
    <s v="김승무"/>
    <s v="Minor"/>
    <x v="1"/>
    <d v="2026-01-23T14:11:13"/>
    <d v="2026-01-26T15:05:26"/>
  </r>
  <r>
    <s v="UT-CASY011S(A)"/>
    <n v="5"/>
    <n v="3"/>
    <x v="1"/>
    <s v="DEF-03385"/>
    <x v="4"/>
    <s v="[X_001] 관리자 로그인 하면 SMS 통합관리 메뉴가 보이지 않음"/>
    <s v="3자테스트"/>
    <s v="박영수"/>
    <s v="정연준"/>
    <s v="김승무"/>
    <s v="Online"/>
    <s v="개선/변경"/>
    <s v="기타"/>
    <s v="확인요청"/>
    <s v="박영수"/>
    <s v="Minor"/>
    <x v="3"/>
    <d v="2026-01-19T10:40:51"/>
    <d v="2026-01-27T17:03:56"/>
  </r>
  <r>
    <s v="UT-CARF004S"/>
    <n v="5"/>
    <n v="3"/>
    <x v="2"/>
    <s v="DEF-03618"/>
    <x v="0"/>
    <s v="[x_001]IATA코드에서  ** 만 조회 할수 없음"/>
    <s v="3자테스트"/>
    <s v="박영수"/>
    <s v="최민지"/>
    <s v="김승무"/>
    <s v="Online"/>
    <s v="개선/변경"/>
    <s v="기능"/>
    <s v="결함등록기각"/>
    <s v=""/>
    <s v="Minor"/>
    <x v="2"/>
    <d v="2026-01-20T16:40:39"/>
    <d v="2026-01-20T17:32:44"/>
  </r>
  <r>
    <s v="UT-CARF027S"/>
    <n v="5"/>
    <n v="3"/>
    <x v="2"/>
    <s v="DEF-03650"/>
    <x v="0"/>
    <s v="[S_3]신규입력시 메모리에 남아있는 값이 입력을 하지 않았는데 나타 남_x000a_      _x000a_    업무가 그렇게 정의 되었다면 기각 하십시오. "/>
    <s v="3자테스트"/>
    <s v="박영수"/>
    <s v="최민지"/>
    <s v="김승무"/>
    <s v="Online"/>
    <s v="개선/변경"/>
    <s v="기능"/>
    <s v="결함등록기각"/>
    <s v=""/>
    <s v="Minor"/>
    <x v="2"/>
    <d v="2026-01-21T11:25:17"/>
    <d v="2026-01-26T13:23:43"/>
  </r>
  <r>
    <s v="UT-CASY049S"/>
    <n v="5"/>
    <n v="3"/>
    <x v="2"/>
    <s v="DEF-03627"/>
    <x v="0"/>
    <s v="[X_001] 현재일로 부터 2일전 데이타는 볼수 없음_x000a_업무정의가 그렇게 되어 있다면 기각 해 주세요. "/>
    <s v="3자테스트"/>
    <s v="박영수"/>
    <s v="최민지"/>
    <s v="김승무"/>
    <s v="Online"/>
    <s v="개선/변경"/>
    <s v="기능"/>
    <s v="확인요청"/>
    <s v="김승무"/>
    <s v="Minor"/>
    <x v="1"/>
    <d v="2026-01-21T09:06:08"/>
    <d v="2026-01-26T13:26:19"/>
  </r>
  <r>
    <s v="UT-MESMF031S"/>
    <n v="5"/>
    <n v="3"/>
    <x v="3"/>
    <s v="DEF-03536"/>
    <x v="5"/>
    <s v="[X_1]화면깨짐 (와이드 모니터)"/>
    <s v="3자테스트"/>
    <s v="임지훈"/>
    <s v="홍성민"/>
    <s v="윤성훈"/>
    <s v="Online"/>
    <s v="개선/변경"/>
    <s v="UI"/>
    <s v="확인요청"/>
    <s v="윤성훈"/>
    <s v="Minor"/>
    <x v="1"/>
    <d v="2026-01-20T13:15:15"/>
    <d v="2026-01-23T14:23:02"/>
  </r>
  <r>
    <s v="UT-MESMF013S"/>
    <n v="5"/>
    <n v="3"/>
    <x v="3"/>
    <s v="DEF-03503"/>
    <x v="5"/>
    <s v="[C_11]제목, 내용 입력란에 길이제한이 없음"/>
    <s v="3자테스트"/>
    <s v="임지훈"/>
    <s v="김용진"/>
    <s v="윤성훈"/>
    <s v="Online"/>
    <s v="개선/변경"/>
    <s v="기능"/>
    <s v="확인요청"/>
    <s v="윤성훈"/>
    <s v="Minor"/>
    <x v="1"/>
    <d v="2026-01-20T10:18:16"/>
    <d v="2026-01-23T14:21:58"/>
  </r>
  <r>
    <s v="UT-MESRS022S"/>
    <n v="5"/>
    <n v="3"/>
    <x v="3"/>
    <s v="DEF-03399"/>
    <x v="0"/>
    <s v="[S_7]Reason 수정후 저장이 안됨"/>
    <s v="3자테스트"/>
    <s v="임지훈"/>
    <s v="이수빈"/>
    <s v="윤성훈"/>
    <s v="Online"/>
    <s v="개선/변경"/>
    <s v="기능"/>
    <s v="확인요청"/>
    <s v="임지훈"/>
    <s v="Major"/>
    <x v="3"/>
    <d v="2026-01-19T11:21:59"/>
    <d v="2026-01-27T10:56:00"/>
  </r>
  <r>
    <s v="UT-WESRS020M"/>
    <n v="5"/>
    <n v="3"/>
    <x v="4"/>
    <s v="DEF-03608"/>
    <x v="2"/>
    <s v="[X_3]데이터가 없어 테스트 불가"/>
    <s v="3자테스트"/>
    <s v="임지훈"/>
    <s v="홍성민"/>
    <s v="윤성훈"/>
    <s v="Online"/>
    <s v="개선/변경"/>
    <s v="데이터"/>
    <s v="결함등록기각"/>
    <s v=""/>
    <s v="Minor"/>
    <x v="2"/>
    <d v="2026-01-20T15:43:58"/>
    <d v="2026-01-21T07:56:03"/>
  </r>
  <r>
    <s v="UT-WESRS019S"/>
    <n v="5"/>
    <n v="3"/>
    <x v="4"/>
    <s v="DEF-03606"/>
    <x v="2"/>
    <s v="[X_3]데이터가 없어 테스트 불가"/>
    <s v="3자테스트"/>
    <s v="임지훈"/>
    <s v="홍성민"/>
    <s v="윤성훈"/>
    <s v="Online"/>
    <s v="개선/변경"/>
    <s v="데이터"/>
    <s v="결함등록기각"/>
    <s v=""/>
    <s v="Minor"/>
    <x v="2"/>
    <d v="2026-01-20T15:27:18"/>
    <d v="2026-01-21T07:54:58"/>
  </r>
  <r>
    <s v="UT-WESRS011S"/>
    <n v="5"/>
    <n v="3"/>
    <x v="4"/>
    <s v="DEF-03596"/>
    <x v="2"/>
    <s v="[X_2]데이터가 없어 테스트 불가"/>
    <s v="3자테스트"/>
    <s v="임지훈"/>
    <s v="홍성민"/>
    <s v="윤성훈"/>
    <s v="Online"/>
    <s v="개선/변경"/>
    <s v="데이터"/>
    <s v="조치요청"/>
    <s v="홍성민"/>
    <s v="Minor"/>
    <x v="4"/>
    <d v="2026-01-20T15:05:26"/>
    <d v="2026-01-22T13:47:46"/>
  </r>
  <r>
    <s v="UT-PM10201S"/>
    <n v="5"/>
    <n v="3"/>
    <x v="5"/>
    <s v="DEF-03721"/>
    <x v="0"/>
    <s v="[X_1] _x000a_오후 2시 -&gt;  14시로 표시되면 좋을것같습니다_x000a_(출국장 페이지 동일)"/>
    <s v="3자테스트"/>
    <s v="염희석"/>
    <s v="pmtbd1"/>
    <s v="권아윤"/>
    <s v="Online"/>
    <s v="개선/변경"/>
    <s v="UI"/>
    <s v="확인요청"/>
    <s v="권아윤"/>
    <s v="Minor"/>
    <x v="1"/>
    <d v="2026-01-22T14:42:49"/>
    <d v="2026-01-26T14:01:49"/>
  </r>
  <r>
    <s v="UT-FPMG042M"/>
    <n v="5"/>
    <n v="3"/>
    <x v="6"/>
    <s v="DEF-03500"/>
    <x v="5"/>
    <s v="[C_22] Message Details 상세 정보 창이 pendinglist Next를 할 때, 갑자기 가운데로 옮겨지는 현상이 발생함. FLC가 다른 항공사로 변경될 때 발생(ADM Message 종류가 바뀔 때)"/>
    <s v="3자테스트"/>
    <s v="장경진"/>
    <s v="현영광"/>
    <s v="최중혁"/>
    <s v="Online"/>
    <s v="개선/변경"/>
    <s v="UI"/>
    <s v="결함등록기각"/>
    <s v=""/>
    <s v="Minor"/>
    <x v="2"/>
    <d v="2026-01-20T10:05:25"/>
    <d v="2026-01-21T09:52:31"/>
  </r>
  <r>
    <s v="UT-FPFA066S"/>
    <n v="5"/>
    <n v="3"/>
    <x v="6"/>
    <s v="DEF-03387"/>
    <x v="0"/>
    <s v="[S_1] 초기 화면 진입 시, 검색을 하지 않았는데도 '검색된 결과가 없습니다'란 팝업이 뜸"/>
    <s v="3자테스트"/>
    <s v="장경진"/>
    <s v="현영광"/>
    <s v="최중혁"/>
    <s v="Online"/>
    <s v="개선/변경"/>
    <s v="UI"/>
    <s v="결함등록기각"/>
    <s v=""/>
    <s v="Minor"/>
    <x v="2"/>
    <d v="2026-01-19T10:45:32"/>
    <d v="2026-01-21T18:40:33"/>
  </r>
  <r>
    <s v="UT-FP-SP152"/>
    <n v="5"/>
    <n v="3"/>
    <x v="6"/>
    <s v="DEF-03660"/>
    <x v="0"/>
    <s v="[S_1] 데이터의 PUSH_MSG_ID가 null값으로 조회됨"/>
    <s v="3자테스트"/>
    <s v="장경진"/>
    <s v="이인용"/>
    <s v="최중혁"/>
    <s v="프로시져"/>
    <s v="개선/변경"/>
    <s v="데이터"/>
    <s v="결함등록기각"/>
    <s v=""/>
    <s v="Minor"/>
    <x v="2"/>
    <d v="2026-01-21T13:35:12"/>
    <d v="2026-01-21T19:37:02"/>
  </r>
  <r>
    <s v="UT-FP-SP116"/>
    <n v="5"/>
    <n v="3"/>
    <x v="6"/>
    <s v="DEF-03615"/>
    <x v="3"/>
    <s v="[S_3] SP_ESB_ARTS3RP_FLTPLAN 호출되지 않음"/>
    <s v="3자테스트"/>
    <s v="장경진"/>
    <s v="이인용"/>
    <s v="최중혁"/>
    <s v="프로시져"/>
    <s v="개선/변경"/>
    <s v="기능"/>
    <s v="결함등록기각"/>
    <s v=""/>
    <s v="Major"/>
    <x v="2"/>
    <d v="2026-01-20T16:32:05"/>
    <d v="2026-01-21T17:31:35"/>
  </r>
  <r>
    <s v="UT-FP-SP113"/>
    <n v="5"/>
    <n v="3"/>
    <x v="6"/>
    <s v="DEF-03617"/>
    <x v="3"/>
    <s v="[S_3] FOIS_AFSDEP 가 호출되지 않음"/>
    <s v="3자테스트"/>
    <s v="장경진"/>
    <s v="이인용"/>
    <s v="최중혁"/>
    <s v="프로시져"/>
    <s v="개선/변경"/>
    <s v="기능"/>
    <s v="결함등록기각"/>
    <s v=""/>
    <s v="Major"/>
    <x v="2"/>
    <d v="2026-01-20T16:37:32"/>
    <d v="2026-01-21T09:59:10"/>
  </r>
  <r>
    <s v="UT-FP-SP114"/>
    <n v="5"/>
    <n v="3"/>
    <x v="6"/>
    <s v="DEF-03656"/>
    <x v="2"/>
    <s v="[S_2] 해당 테이블의 호출된 데이터가 없음. 확인 불가. "/>
    <s v="3자테스트"/>
    <s v="장경진"/>
    <s v="이인용"/>
    <s v="최중혁"/>
    <s v="프로시져"/>
    <s v="개선/변경"/>
    <s v="기능"/>
    <s v="결함등록기각"/>
    <s v=""/>
    <s v="Major"/>
    <x v="2"/>
    <d v="2026-01-21T13:20:59"/>
    <d v="2026-01-21T17:55:09"/>
  </r>
  <r>
    <s v="UT-FPMG040M"/>
    <n v="5"/>
    <n v="3"/>
    <x v="6"/>
    <s v="DEF-03497"/>
    <x v="5"/>
    <s v="[C_22] Message Details 상세 정보 창이 pendinglist Next를 할 때, 갑자기 가운데로 옮겨지는 현상이 발생함. FLC가 다른 항공사로 변경될 때(ADM Message 종류가 바뀔 때) 발생"/>
    <s v="3자테스트"/>
    <s v="장경진"/>
    <s v="현영광"/>
    <s v="최중혁"/>
    <s v="Online"/>
    <s v="개선/변경"/>
    <s v="UI"/>
    <s v="결함등록기각"/>
    <s v=""/>
    <s v="Minor"/>
    <x v="2"/>
    <d v="2026-01-20T09:57:39"/>
    <d v="2026-01-21T09:55:53"/>
  </r>
  <r>
    <s v="UT-FP-SP154"/>
    <n v="5"/>
    <n v="3"/>
    <x v="6"/>
    <s v="DEF-03647"/>
    <x v="3"/>
    <s v="[S_7] 선언문 실행시, '실제 인출은 요구된 것보다 많은 행을 추출합니다.' 문구가 뜸"/>
    <s v="3자테스트"/>
    <s v="장경진"/>
    <s v="이인용"/>
    <s v="최중혁"/>
    <s v="프로시져"/>
    <s v="개선/변경"/>
    <s v="기능"/>
    <s v="최종확인    "/>
    <s v=""/>
    <s v="Minor"/>
    <x v="0"/>
    <d v="2026-01-21T11:16:20"/>
    <d v="2026-01-22T15:45:09"/>
  </r>
  <r>
    <s v="UT-FP-SP153"/>
    <n v="5"/>
    <n v="3"/>
    <x v="6"/>
    <s v="DEF-03649"/>
    <x v="3"/>
    <s v="[S_1] '실제 인출은 요구된 것보다 많은 행을 추출합니다.' 문구가 뜸"/>
    <s v="3자테스트"/>
    <s v="장경진"/>
    <s v="이인용"/>
    <s v="최중혁"/>
    <s v="프로시져"/>
    <s v="개선/변경"/>
    <s v="기능"/>
    <s v="최종확인    "/>
    <s v=""/>
    <s v="Minor"/>
    <x v="0"/>
    <d v="2026-01-21T11:23:42"/>
    <d v="2026-01-22T15:45:32"/>
  </r>
  <r>
    <s v="UT-FPMG042M"/>
    <n v="5"/>
    <n v="3"/>
    <x v="6"/>
    <s v="DEF-03506"/>
    <x v="0"/>
    <s v="[S_2]TYS 값이 readonly가 아니라, reg랑 상관없이 TYS 값을 변경하고 submit 시 서버오류가 발생"/>
    <s v="3자테스트"/>
    <s v="장경진"/>
    <s v="현영광"/>
    <s v="최중혁"/>
    <s v="Online"/>
    <s v="개선/변경"/>
    <s v="기능"/>
    <s v="최종확인    "/>
    <s v=""/>
    <s v="Major"/>
    <x v="0"/>
    <d v="2026-01-20T10:26:49"/>
    <d v="2026-01-22T15:51:24"/>
  </r>
  <r>
    <s v="UT-FPMG043M"/>
    <n v="5"/>
    <n v="3"/>
    <x v="6"/>
    <s v="DEF-03509"/>
    <x v="0"/>
    <s v="[S_2]TYS 값이 readonly가 아니라, reg랑 상관없이 TYS 값을 변경하고 submit 시 서버오류가 발생"/>
    <s v="3자테스트"/>
    <s v="장경진"/>
    <s v="현영광"/>
    <s v="최중혁"/>
    <s v="Online"/>
    <s v="개선/변경"/>
    <s v="기능"/>
    <s v="최종확인    "/>
    <s v=""/>
    <s v="Major"/>
    <x v="0"/>
    <d v="2026-01-20T10:35:23"/>
    <d v="2026-01-22T15:51:53"/>
  </r>
  <r>
    <s v="UT-FPFA066S"/>
    <n v="5"/>
    <n v="3"/>
    <x v="6"/>
    <s v="DEF-03390"/>
    <x v="5"/>
    <s v="[S_4] FLN이 insert할 때, 4자리가 아니라 5자리까지 입력이 가능함"/>
    <s v="3자테스트"/>
    <s v="장경진"/>
    <s v="현영광"/>
    <s v="최중혁"/>
    <s v="Online"/>
    <s v="개선/변경"/>
    <s v="데이터"/>
    <s v="확인요청"/>
    <s v="최중혁"/>
    <s v="Major"/>
    <x v="1"/>
    <d v="2026-01-19T10:59:00"/>
    <d v="2026-01-26T09:24:15"/>
  </r>
  <r>
    <s v="UT-FPFA091S"/>
    <n v="5"/>
    <n v="3"/>
    <x v="6"/>
    <s v="DEF-03398"/>
    <x v="0"/>
    <s v="[C_18] FOIS에 없는 운항편 삭제 후에 삭제된 행이 그대로 남아있음. 기능/데이터상으론 문제없이 삭제된 것으로 보임. 다른 화면처럼 즉각적으로 화면이 업데이트가 되었으면 함"/>
    <s v="3자테스트"/>
    <s v="장경진"/>
    <s v="현영광"/>
    <s v="최중혁"/>
    <s v="Online"/>
    <s v="개선/변경"/>
    <s v="UI"/>
    <s v="확인요청"/>
    <s v="최중혁"/>
    <s v="Minor"/>
    <x v="1"/>
    <d v="2026-01-19T11:17:18"/>
    <d v="2026-01-26T09:23:46"/>
  </r>
  <r>
    <s v="UT-FPMG052M"/>
    <n v="5"/>
    <n v="3"/>
    <x v="6"/>
    <s v="DEF-03527"/>
    <x v="0"/>
    <s v="[S_3] STY가 NEW이지만, 5) via 입력 불가능"/>
    <s v="3자테스트"/>
    <s v="장경진"/>
    <s v="현영광"/>
    <s v="최중혁"/>
    <s v="Online"/>
    <s v="개선/변경"/>
    <s v="기능"/>
    <s v="확인요청"/>
    <s v="최중혁"/>
    <s v="Critical"/>
    <x v="1"/>
    <d v="2026-01-20T11:20:59"/>
    <d v="2026-01-22T13:19:26"/>
  </r>
  <r>
    <s v="UT-FPMG052M"/>
    <n v="5"/>
    <n v="3"/>
    <x v="6"/>
    <s v="DEF-03529"/>
    <x v="0"/>
    <s v="[S_2] STY가 RAD임에도, 5) FLN 입력 불가"/>
    <s v="3자테스트"/>
    <s v="장경진"/>
    <s v="현영광"/>
    <s v="최중혁"/>
    <s v="Online"/>
    <s v="개선/변경"/>
    <s v="기능"/>
    <s v="확인요청"/>
    <s v="최중혁"/>
    <s v="Critical"/>
    <x v="1"/>
    <d v="2026-01-20T11:24:32"/>
    <d v="2026-01-22T13:34:43"/>
  </r>
  <r>
    <s v="UT-FPMG052M"/>
    <n v="5"/>
    <n v="3"/>
    <x v="6"/>
    <s v="DEF-03524"/>
    <x v="0"/>
    <s v="[S_2] 4) TYS 수정 시, REG 빈값으로 바뀌는지 확인 불가"/>
    <s v="3자테스트"/>
    <s v="장경진"/>
    <s v="현영광"/>
    <s v="최중혁"/>
    <s v="Online"/>
    <s v="개선/변경"/>
    <s v="기능"/>
    <s v="확인요청"/>
    <s v="최중혁"/>
    <s v="Minor"/>
    <x v="1"/>
    <d v="2026-01-20T11:16:06"/>
    <d v="2026-01-22T13:35:05"/>
  </r>
  <r>
    <s v="UT-FPFA184M"/>
    <n v="5"/>
    <n v="3"/>
    <x v="6"/>
    <s v="DEF-03427"/>
    <x v="0"/>
    <s v="[S_2] 다른 일자 플랜도 실행이 되어야 할 때, 해당 팝업보다 '서버 오류입니다. 관리자에게 문의하세요' 팝업이 먼저 뜸. 안내 팝업보다 오류 팝업이 먼저 뜨는게 오류로 보일 것 같음 -&gt; [3자 테스트 결함으로 등록]"/>
    <s v="3자테스트"/>
    <s v="장경진"/>
    <s v="현영광"/>
    <s v="최중혁"/>
    <s v="Online"/>
    <s v="개선/변경"/>
    <s v="기능"/>
    <s v="확인요청"/>
    <s v="최중혁"/>
    <s v="Major"/>
    <x v="1"/>
    <d v="2026-01-19T14:05:13"/>
    <d v="2026-01-26T09:25:49"/>
  </r>
  <r>
    <s v="UT-RSPK059S"/>
    <n v="5"/>
    <n v="3"/>
    <x v="7"/>
    <s v="DEF-03685"/>
    <x v="2"/>
    <s v="[X-1] _x000a_데이터가 없어 테스트 불가_x000a_(테스트 결과서에서 제시한 2025-05-01, 2025-05-03)"/>
    <s v="3자테스트"/>
    <s v="유경섭"/>
    <s v="장동혁"/>
    <s v="권아윤"/>
    <s v="Online"/>
    <s v="개선/변경"/>
    <s v="데이터"/>
    <s v="결함검토요청"/>
    <s v="유경섭"/>
    <s v="Major"/>
    <x v="5"/>
    <d v="2026-01-21T17:18:14"/>
    <d v="2026-01-21T17:18:14"/>
  </r>
  <r>
    <s v="UT-RSPK059S"/>
    <n v="5"/>
    <n v="3"/>
    <x v="7"/>
    <s v="DEF-03469"/>
    <x v="5"/>
    <s v="[X_1]_x000a_1920*1080, 크롬 100% 배율_x000a_D SOUTH, D NORTH에서 디폴트 사이즈가 하나도 없는것 같이 보임"/>
    <s v="3자테스트"/>
    <s v="유경섭"/>
    <s v="장동혁"/>
    <s v="권아윤"/>
    <s v="Online"/>
    <s v="개선/변경"/>
    <s v="UI"/>
    <s v="결함등록기각"/>
    <s v=""/>
    <s v="Minor"/>
    <x v="2"/>
    <d v="2026-01-19T16:10:44"/>
    <d v="2026-01-22T13:35:39"/>
  </r>
  <r>
    <s v="UT-RSCI021S"/>
    <n v="5"/>
    <n v="3"/>
    <x v="7"/>
    <s v="DEF-03581"/>
    <x v="5"/>
    <s v="[C_10]_x000a_공통 날짜 형식 yyyy-mm-dd 가 아님."/>
    <s v="3자테스트"/>
    <s v="유경섭"/>
    <s v="이수연"/>
    <s v="권아윤"/>
    <s v="Online"/>
    <s v="개선/변경"/>
    <s v="표준"/>
    <s v="결함등록기각"/>
    <s v=""/>
    <s v="Minor"/>
    <x v="2"/>
    <d v="2026-01-20T14:50:42"/>
    <d v="2026-01-20T15:10:54"/>
  </r>
  <r>
    <s v="UT-RSCI036M"/>
    <n v="5"/>
    <n v="3"/>
    <x v="7"/>
    <s v="DEF-03589"/>
    <x v="6"/>
    <s v="[C_10]_x000a_공통 날짜 형식 yyyy-mm-dd 가 아님"/>
    <s v="3자테스트"/>
    <s v="유경섭"/>
    <s v="이수연"/>
    <s v="권아윤"/>
    <s v="Online"/>
    <s v="개선/변경"/>
    <s v="표준"/>
    <s v="결함등록기각"/>
    <s v=""/>
    <s v="Minor"/>
    <x v="2"/>
    <d v="2026-01-20T14:56:06"/>
    <d v="2026-01-20T15:09:44"/>
  </r>
  <r>
    <s v="UT-RSCI022S"/>
    <n v="5"/>
    <n v="3"/>
    <x v="7"/>
    <s v="DEF-03765"/>
    <x v="6"/>
    <s v="[S_4]_x000a_중복된 행이 있다고 해서 중복되는 행을 삭제 후 저장했을 때_x000a_중복된 데이터가 있다는 알림이 뜸_x000a_삭제 row는 제외하고 중복여부체크하는게 좋을 것 같습니다_x000a_"/>
    <s v="3자테스트"/>
    <s v="유경섭"/>
    <s v="이수연"/>
    <s v="권아윤"/>
    <s v="Online"/>
    <s v="개선/변경"/>
    <s v="기능"/>
    <s v="결함등록기각"/>
    <s v=""/>
    <s v="Major"/>
    <x v="2"/>
    <d v="2026-01-23T13:45:46"/>
    <d v="2026-01-26T10:50:03"/>
  </r>
  <r>
    <s v="UT-RSFI002S"/>
    <n v="5"/>
    <n v="3"/>
    <x v="7"/>
    <s v="DEF-03626"/>
    <x v="6"/>
    <s v="[X_1] _x000a_기본 화면 폰트 및 사이즈가 팝업 켰을때랑 다름_x000a_(아이디 찾기, 비밀번호 초기화, 비밀번호 변경 팝업 동일)"/>
    <s v="3자테스트"/>
    <s v="유경섭"/>
    <s v="이수연"/>
    <s v="권아윤"/>
    <s v="Online"/>
    <s v="개선/변경"/>
    <s v="UI"/>
    <s v="결함등록기각"/>
    <s v=""/>
    <s v="Minor"/>
    <x v="2"/>
    <d v="2026-01-21T09:03:25"/>
    <d v="2026-01-26T17:27:17"/>
  </r>
  <r>
    <s v="UT-RSFI001S"/>
    <n v="5"/>
    <n v="3"/>
    <x v="7"/>
    <s v="DEF-03775"/>
    <x v="0"/>
    <s v="[X_1]_x000a_엔터로 검색이 되면 좋을것같습니다 "/>
    <s v="3자테스트"/>
    <s v="유경섭"/>
    <s v="이수연"/>
    <s v="권아윤"/>
    <s v="Online"/>
    <s v="개선/변경"/>
    <s v="UI"/>
    <s v="조치요청"/>
    <s v="이수연"/>
    <s v="Minor"/>
    <x v="4"/>
    <d v="2026-01-23T15:04:23"/>
    <d v="2026-01-26T17:15:59"/>
  </r>
  <r>
    <s v="UT-RSCI022S"/>
    <n v="5"/>
    <n v="3"/>
    <x v="7"/>
    <s v="DEF-03550"/>
    <x v="5"/>
    <s v="[C_7]_x000a_값 수정 후 원복해도 왼쪽 아이콘이 사라지지 않음"/>
    <s v="3자테스트"/>
    <s v="유경섭"/>
    <s v="이수연"/>
    <s v="권아윤"/>
    <s v="Online"/>
    <s v="개선/변경"/>
    <s v="표준"/>
    <s v="조치요청"/>
    <s v="이수연"/>
    <s v="Minor"/>
    <x v="4"/>
    <d v="2026-01-20T13:48:02"/>
    <d v="2026-01-21T11:21:38"/>
  </r>
  <r>
    <s v="UT-RSCI022S"/>
    <n v="5"/>
    <n v="3"/>
    <x v="7"/>
    <s v="DEF-03579"/>
    <x v="5"/>
    <s v="[X_1]_x000a_기본 사이즈에서 요일이 잘려보임 "/>
    <s v="3자테스트"/>
    <s v="유경섭"/>
    <s v="이수연"/>
    <s v="권아윤"/>
    <s v="Online"/>
    <s v="개선/변경"/>
    <s v="UI"/>
    <s v="확인요청"/>
    <s v="김훈근"/>
    <s v="Minor"/>
    <x v="3"/>
    <d v="2026-01-20T14:46:48"/>
    <d v="2026-01-22T10:48:54"/>
  </r>
  <r>
    <s v="UT-RSCI022S"/>
    <n v="5"/>
    <n v="3"/>
    <x v="7"/>
    <s v="DEF-03756"/>
    <x v="5"/>
    <s v="[C_11] _x000a_입력값 제한이 필요해 보임 "/>
    <s v="3자테스트"/>
    <s v="유경섭"/>
    <s v="이수연"/>
    <s v="권아윤"/>
    <s v="Online"/>
    <s v="개선/변경"/>
    <s v="표준"/>
    <s v="확인요청"/>
    <s v="김훈근"/>
    <s v="Major"/>
    <x v="3"/>
    <d v="2026-01-23T11:15:23"/>
    <d v="2026-01-23T14:11:50"/>
  </r>
  <r>
    <s v="UT-REPK003S"/>
    <n v="5"/>
    <n v="3"/>
    <x v="8"/>
    <s v="DEF-03677"/>
    <x v="5"/>
    <s v="[C_7] 실행결과 행 선택할 때, Stand 값이 0일 경우, '검색 결과가 없습니다' 대신 갯수가 0이라는 의미의 문구를 명시적으로 보여주는게 적절할 것 같음"/>
    <s v="3자테스트"/>
    <s v="문현희"/>
    <s v="장동혁"/>
    <s v="최중혁"/>
    <s v="Online"/>
    <s v="개선/변경"/>
    <s v="UI"/>
    <s v="확인요청"/>
    <s v="최중혁"/>
    <s v="Minor"/>
    <x v="1"/>
    <d v="2026-01-21T15:58:37"/>
    <d v="2026-01-26T10:29:51"/>
  </r>
  <r>
    <s v="UT-RCCR002L"/>
    <n v="5"/>
    <n v="3"/>
    <x v="9"/>
    <s v="DEF-03739"/>
    <x v="5"/>
    <s v="[C_4] 검색 결과가 없을 때도 조회 건수가 0건으로 표기하는 것이 명확할 듯 함"/>
    <s v="3자테스트"/>
    <s v="이미라"/>
    <s v="이미라"/>
    <s v="최중혁"/>
    <s v="Online"/>
    <s v="개선/변경"/>
    <s v="UI"/>
    <s v="확인요청"/>
    <s v="최중혁"/>
    <s v="Minor"/>
    <x v="1"/>
    <d v="2026-01-22T17:14:22"/>
    <d v="2026-01-23T11:21:10"/>
  </r>
  <r>
    <s v="UT-AS13101S"/>
    <n v="5"/>
    <n v="3"/>
    <x v="10"/>
    <s v="DEF-03734"/>
    <x v="0"/>
    <s v="[주제별 통계], [리포트 관리], [Notice], [New Report], [개선의견] 클릭 이동 후 뒤로가기 불가"/>
    <s v="3자테스트"/>
    <s v="장영진"/>
    <s v="임소정"/>
    <s v="강도훈"/>
    <s v="Online"/>
    <s v="개선/변경"/>
    <s v="기능"/>
    <s v="조치요청"/>
    <s v="김경준"/>
    <s v="Minor"/>
    <x v="4"/>
    <d v="2026-01-22T16:44:16"/>
    <d v="2026-01-27T09:07:13"/>
  </r>
  <r>
    <s v="UT-CM20036S"/>
    <n v="5"/>
    <n v="3"/>
    <x v="0"/>
    <s v="DEF-03473"/>
    <x v="0"/>
    <s v="[S_1]화면 조회 시 데이터 표기 안되어 테스트 불가_x000a_화면 상단 날짜정보 포함 정보 조회 안됩니다."/>
    <s v="3자테스트"/>
    <s v="이지연"/>
    <s v="김은정"/>
    <s v="장희경"/>
    <s v="Online"/>
    <s v="결함"/>
    <s v="기능"/>
    <s v="최종확인    "/>
    <s v=""/>
    <s v="Major"/>
    <x v="0"/>
    <d v="2026-01-19T16:37:47"/>
    <d v="2026-01-22T16:26:46"/>
  </r>
  <r>
    <s v="UT-CM20016S"/>
    <n v="5"/>
    <n v="3"/>
    <x v="0"/>
    <s v="DEF-03487"/>
    <x v="0"/>
    <s v="[S_3-1]해더툴팁 표기 오류_x000a_Pb 마우스 오버 시 Actual Start Up Request Time 으로 표기됨_x000a_"/>
    <s v="3자테스트"/>
    <s v="이지연"/>
    <s v="김은정"/>
    <s v="장희경"/>
    <s v="Online"/>
    <s v="결함"/>
    <s v="기능"/>
    <s v="최종확인    "/>
    <s v=""/>
    <s v="Minor"/>
    <x v="0"/>
    <d v="2026-01-20T09:23:47"/>
    <d v="2026-01-22T16:07:25"/>
  </r>
  <r>
    <s v="UT-CM20023S"/>
    <n v="5"/>
    <n v="3"/>
    <x v="0"/>
    <s v="DEF-03470"/>
    <x v="0"/>
    <s v="[S_3-1]입력 데이터 미반영_x000a_현재활주로 및 ATFM 수정 및 저장하였으나  기존 데이터로 조회됨_x000a_DATE를 과거 및 오늘 날짜 기준으로 해보았으나 동일한 현상_x000a_"/>
    <s v="3자테스트"/>
    <s v="이지연"/>
    <s v="김은정"/>
    <s v="장희경"/>
    <s v="Online"/>
    <s v="결함"/>
    <s v="기능"/>
    <s v="최종확인    "/>
    <s v=""/>
    <s v="Minor"/>
    <x v="0"/>
    <d v="2026-01-19T16:29:38"/>
    <d v="2026-01-22T16:29:30"/>
  </r>
  <r>
    <s v="UT-CM10102S"/>
    <n v="5"/>
    <n v="3"/>
    <x v="0"/>
    <s v="DEF-03420"/>
    <x v="0"/>
    <s v="[S_6-2]그리드의 &quot;제빙처리용량&quot; 조회 불가 및 변경 반영 안됨_x000a_최초 조회 시 그리드에서 표기되지 않으며, &quot;사용불가&quot; 입력 후에도 값 변경 반영 안됩니다."/>
    <s v="3자테스트"/>
    <s v="이지연"/>
    <s v="김단호"/>
    <s v="장희경"/>
    <s v="Online"/>
    <s v="결함"/>
    <s v="기능"/>
    <s v="최종확인    "/>
    <s v=""/>
    <s v="Minor"/>
    <x v="0"/>
    <d v="2026-01-19T13:48:17"/>
    <d v="2026-01-22T16:19:43"/>
  </r>
  <r>
    <s v="UT-CM10102S"/>
    <n v="5"/>
    <n v="3"/>
    <x v="0"/>
    <s v="DEF-03414"/>
    <x v="0"/>
    <s v="[S_5-2]그리드 새로고침 오류_x000a_'저장되었습니다' 메시지 팝업 후 하단 그리드가 즉시 새로고침 반영이 안되고 &quot;SEARCH&quot; 버튼 클릭 시 변경된 값으로 조회됩니다."/>
    <s v="3자테스트"/>
    <s v="이지연"/>
    <s v="김단호"/>
    <s v="장희경"/>
    <s v="Online"/>
    <s v="결함"/>
    <s v="기능"/>
    <s v="최종확인    "/>
    <s v=""/>
    <s v="Minor"/>
    <x v="0"/>
    <d v="2026-01-19T13:31:30"/>
    <d v="2026-01-22T16:16:42"/>
  </r>
  <r>
    <s v="UT-CM40001S"/>
    <n v="5"/>
    <n v="3"/>
    <x v="0"/>
    <s v="DEF-03468"/>
    <x v="0"/>
    <s v="[S_5-5]근무자(추가주간 혹은 추가야간) 레코드 삭제 및 정보변경 오류_x000a_근무자(추가주간) 혹은 근무자(추가야간) 으로 선택한 경우 해당열 삭제 후 저장하면 반영 안되고, 주/야 구분 변경시에도 변경반영이 안됩니다._x000a_**제가 근무자(추가주간), 근무자(추가야간)의 개념을 몰라서일 수 있으니, 확인 부탁드립니다."/>
    <s v="3자테스트"/>
    <s v="이지연"/>
    <s v="김단호"/>
    <s v="장희경"/>
    <s v="Online"/>
    <s v="결함"/>
    <s v="기능"/>
    <s v="최종확인    "/>
    <s v=""/>
    <s v="Minor"/>
    <x v="0"/>
    <d v="2026-01-19T15:58:40"/>
    <d v="2026-01-23T14:02:59"/>
  </r>
  <r>
    <s v="UT-CM20034S"/>
    <n v="5"/>
    <n v="3"/>
    <x v="0"/>
    <s v="DEF-03543"/>
    <x v="0"/>
    <s v="[S_1]조회조건 변경시에도 화면상단 출발교통량, 터미널 주기장 운영 현황, 지연현황의 데이터 변동이 없음"/>
    <s v="3자테스트"/>
    <s v="이지연"/>
    <s v="김은정"/>
    <s v="장희경"/>
    <s v="Online"/>
    <s v="결함"/>
    <s v="기능"/>
    <s v="최종확인    "/>
    <s v=""/>
    <s v="Minor"/>
    <x v="0"/>
    <d v="2026-01-20T13:31:59"/>
    <d v="2026-01-22T16:31:46"/>
  </r>
  <r>
    <s v="UT-CM-SP81"/>
    <n v="5"/>
    <n v="3"/>
    <x v="0"/>
    <s v="DEF-03715"/>
    <x v="0"/>
    <s v="[S_1]화면 표기 오류_x000a_프로시져 및 데이터는 조회되나 화면 표시되는 내역이 없습니다."/>
    <s v="3자테스트"/>
    <s v="이지연"/>
    <s v="이지연"/>
    <s v="장희경"/>
    <s v="프로시져"/>
    <s v="결함"/>
    <s v="기능"/>
    <s v="확인요청"/>
    <s v="장희경"/>
    <s v="Minor"/>
    <x v="1"/>
    <d v="2026-01-22T14:08:48"/>
    <d v="2026-01-22T18:43:50"/>
  </r>
  <r>
    <s v="UT-CM10103S"/>
    <n v="5"/>
    <n v="3"/>
    <x v="0"/>
    <s v="DEF-03431"/>
    <x v="0"/>
    <s v="[S_1]특정일 조회 시 조회 오류 발생_x000a_2025-10-01, 2025,10-02 조회 시 첨부된 오류 발생_x000a_"/>
    <s v="3자테스트"/>
    <s v="이지연"/>
    <s v="김단호"/>
    <s v="장희경"/>
    <s v="Online"/>
    <s v="결함"/>
    <s v="기능"/>
    <s v="확인요청"/>
    <s v="장희경"/>
    <s v="Minor"/>
    <x v="1"/>
    <d v="2026-01-19T14:13:27"/>
    <d v="2026-01-26T14:09:58"/>
  </r>
  <r>
    <s v="UT-CM10103R"/>
    <n v="5"/>
    <n v="3"/>
    <x v="0"/>
    <s v="DEF-03423"/>
    <x v="0"/>
    <s v="[S_1]조회 시 오류 발생_x000a_기준일자 2025-10-01, 2025-10-02로 조회 시 오류 발생(첨부참조)_x000a_그외 몇개 일자 조회시 정상 조회됨"/>
    <s v="3자테스트"/>
    <s v="이지연"/>
    <s v="김단호"/>
    <s v="장희경"/>
    <s v="Online"/>
    <s v="결함"/>
    <s v="데이터"/>
    <s v="확인요청"/>
    <s v="장희경"/>
    <s v="Minor"/>
    <x v="1"/>
    <d v="2026-01-19T14:01:16"/>
    <d v="2026-01-26T14:12:39"/>
  </r>
  <r>
    <s v="UT-CM10301S"/>
    <n v="5"/>
    <n v="3"/>
    <x v="0"/>
    <s v="DEF-03764"/>
    <x v="0"/>
    <s v="[S_8]Common Code Detail 의 Code Description 입력 시 자리수 체크 _x000a__x000a_영문 및 숫자는 입력하는 동안 최대 허용 byte 초과시 입력되지 않고 바로 alert 메시지를 나타내나(정상), 한글을 입력하는 경우 1200자까지 입력이 되고 &quot;저장&quot; 버튼 클릭 시 alert 메시지가 표출됩니다 _x000a__x000a_*공통업무 체크 지침 상 작성하는 동안 alert 메시지가 표출되는 것이 원칙이라 전달받아 해당내용 남깁니다."/>
    <s v="3자테스트"/>
    <s v="이지연"/>
    <s v="김단호"/>
    <s v="장희경"/>
    <s v="Online"/>
    <s v="결함"/>
    <s v="기타"/>
    <s v="확인요청"/>
    <s v="장희경"/>
    <s v="Minor"/>
    <x v="1"/>
    <d v="2026-01-23T13:37:07"/>
    <d v="2026-01-26T14:39:00"/>
  </r>
  <r>
    <s v="UT-SLOTQM003M"/>
    <n v="5"/>
    <n v="3"/>
    <x v="11"/>
    <s v="DEF-03573"/>
    <x v="0"/>
    <s v="[x_1] 화면 조회가 안되고 시스템 오류남"/>
    <s v="3자테스트"/>
    <s v="김형진"/>
    <s v="서창민"/>
    <s v="김민욱"/>
    <s v="Online"/>
    <s v="결함"/>
    <s v="기능"/>
    <s v="결함검토요청"/>
    <s v="김형진"/>
    <s v="Minor"/>
    <x v="5"/>
    <d v="2026-01-20T14:34:29"/>
    <d v="2026-01-20T14:34:29"/>
  </r>
  <r>
    <s v="UT-SLOTRM002R"/>
    <n v="5"/>
    <n v="3"/>
    <x v="11"/>
    <s v="DEF-03577"/>
    <x v="0"/>
    <s v="[x_1] 초기화면 로딩후 모즌 버튼이 눌러도 작동하지 않음"/>
    <s v="3자테스트"/>
    <s v="김형진"/>
    <s v="서창민"/>
    <s v="김민욱"/>
    <s v="Online"/>
    <s v="결함"/>
    <s v="기능"/>
    <s v="결함검토요청"/>
    <s v="김형진"/>
    <s v="Minor"/>
    <x v="5"/>
    <d v="2026-01-20T14:43:16"/>
    <d v="2026-01-20T14:43:16"/>
  </r>
  <r>
    <s v="UT-SLOTQM004R"/>
    <n v="5"/>
    <n v="3"/>
    <x v="11"/>
    <s v="DEF-03574"/>
    <x v="6"/>
    <s v="[x_1] 화면 조회가 안되고 서버 오류남"/>
    <s v="3자테스트"/>
    <s v="김형진"/>
    <s v="서창민"/>
    <s v="김민욱"/>
    <s v="Online"/>
    <s v="결함"/>
    <s v="기능"/>
    <s v="결함등록기각"/>
    <s v=""/>
    <s v="Minor"/>
    <x v="2"/>
    <d v="2026-01-20T14:37:29"/>
    <d v="2026-01-20T15:12:11"/>
  </r>
  <r>
    <s v="UT-SLOTRM003R"/>
    <n v="5"/>
    <n v="3"/>
    <x v="11"/>
    <s v="DEF-03580"/>
    <x v="0"/>
    <s v="[s_1] Season은 필수 항목인데 안넣어도 조회가 됨"/>
    <s v="3자테스트"/>
    <s v="김형진"/>
    <s v="서창민"/>
    <s v="김민욱"/>
    <s v="Online"/>
    <s v="결함"/>
    <s v="기능"/>
    <s v="확인요청"/>
    <s v="김민욱"/>
    <s v="Minor"/>
    <x v="1"/>
    <d v="2026-01-20T14:47:56"/>
    <d v="2026-01-20T15:16:00"/>
  </r>
  <r>
    <s v="UT-CA-SP32(A)"/>
    <n v="5"/>
    <n v="3"/>
    <x v="1"/>
    <s v="DEF-03772"/>
    <x v="6"/>
    <s v="[X_001] 테스트 시나리오 문서 없어 테스트 못함_x000a_--&gt; 문서 받아서 테스트 진행 정상 처리 됨 _x000a_이건 기각 해 주세요."/>
    <s v="3자테스트"/>
    <s v="박영수"/>
    <s v="정연준"/>
    <s v="김승무"/>
    <s v="프로시져"/>
    <s v="결함"/>
    <s v="문서화"/>
    <s v="결함등록기각"/>
    <s v=""/>
    <s v="Minor"/>
    <x v="2"/>
    <d v="2026-01-23T14:34:36"/>
    <d v="2026-01-26T09:33:45"/>
  </r>
  <r>
    <s v="UT-CARF036S(A)"/>
    <n v="5"/>
    <n v="3"/>
    <x v="1"/>
    <s v="DEF-03521"/>
    <x v="6"/>
    <s v="[S_2] Airline Code에 * 값이 들어가 있는데 이 값은 조회할 수 없음"/>
    <s v="3자테스트"/>
    <s v="박영수"/>
    <s v="최민지"/>
    <s v="김승무"/>
    <s v="Online"/>
    <s v="결함"/>
    <s v="기능"/>
    <s v="결함등록기각"/>
    <s v=""/>
    <s v="Minor"/>
    <x v="2"/>
    <d v="2026-01-20T10:58:03"/>
    <d v="2026-01-21T16:31:38"/>
  </r>
  <r>
    <s v="UT-CARF033S(A)"/>
    <n v="5"/>
    <n v="3"/>
    <x v="1"/>
    <s v="DEF-03501"/>
    <x v="6"/>
    <s v="[S_5]일부 우측이동시 다른 cHECK-IN CLUSTER ID에도 같이 반영됨_x000a_[S_6]일부 좌측이동시 다른 cHECK-IN CLUSTER ID에 다르게 반영 됨"/>
    <s v="3자테스트"/>
    <s v="박영수"/>
    <s v="최민지"/>
    <s v="김승무"/>
    <s v="Online"/>
    <s v="결함"/>
    <s v="기능"/>
    <s v="결함등록기각"/>
    <s v=""/>
    <s v="Minor"/>
    <x v="2"/>
    <d v="2026-01-20T10:12:56"/>
    <d v="2026-01-26T13:30:44"/>
  </r>
  <r>
    <s v="UT-CARF002S(A)"/>
    <n v="5"/>
    <n v="3"/>
    <x v="1"/>
    <s v="DEF-03539"/>
    <x v="6"/>
    <s v="[S_2] Use y/n 검색 건수가 다름_x000a_전체 472 건 , Yse 291건 , No 115건  472 =/  (291 + 115) = 406 "/>
    <s v="3자테스트"/>
    <s v="박영수"/>
    <s v="최민지"/>
    <s v="김승무"/>
    <s v="Online"/>
    <s v="결함"/>
    <s v="데이터"/>
    <s v="결함등록기각"/>
    <s v=""/>
    <s v="Minor"/>
    <x v="2"/>
    <d v="2026-01-20T13:24:19"/>
    <d v="2026-01-26T13:15:27"/>
  </r>
  <r>
    <s v="UT-CA-SP29(A)"/>
    <n v="5"/>
    <n v="3"/>
    <x v="1"/>
    <s v="DEF-03705"/>
    <x v="6"/>
    <s v="[S_1] ) 테이블에 INSERT 안됨_x0009_- _x000a_이 테스트 내용은 UT-SP_ESB_SMSRQSTAOMS_SND 내용을 잘못 처리 함. _x000a_ _x000a_SP_CA_SMSRQST_SND,시나리오는 테스티 시나리오와 결과서가 없음"/>
    <s v="3자테스트"/>
    <s v="박영수"/>
    <s v="정연준"/>
    <s v="김승무"/>
    <s v="프로시져"/>
    <s v="결함"/>
    <s v="기능"/>
    <s v="결함등록기각"/>
    <s v=""/>
    <s v="Minor"/>
    <x v="2"/>
    <d v="2026-01-22T11:19:48"/>
    <d v="2026-01-26T14:36:02"/>
  </r>
  <r>
    <s v="UT-CA-SP23(A)"/>
    <n v="5"/>
    <n v="3"/>
    <x v="1"/>
    <s v="DEF-03695"/>
    <x v="6"/>
    <s v="[s_1] TN_CA_SMS_USER(SMS사용자) 테이블에 INSERT 안됨 "/>
    <s v="3자테스트"/>
    <s v="박영수"/>
    <s v="정연준"/>
    <s v="김승무"/>
    <s v="프로시져"/>
    <s v="결함"/>
    <s v="기능"/>
    <s v="결함등록기각"/>
    <s v=""/>
    <s v="Minor"/>
    <x v="2"/>
    <d v="2026-01-22T10:38:46"/>
    <d v="2026-01-26T14:46:16"/>
  </r>
  <r>
    <s v="UT-CARF031S(A)"/>
    <n v="5"/>
    <n v="3"/>
    <x v="1"/>
    <s v="DEF-03484"/>
    <x v="0"/>
    <s v="[S_3]Cancel Code 값을 넣지 않고 저장시 오류 "/>
    <s v="3자테스트"/>
    <s v="박영수"/>
    <s v="최민지"/>
    <s v="김승무"/>
    <s v="Online"/>
    <s v="결함"/>
    <s v="기능"/>
    <s v="조치요청"/>
    <s v="최민지"/>
    <s v="Minor"/>
    <x v="4"/>
    <d v="2026-01-20T09:11:15"/>
    <d v="2026-01-20T09:40:03"/>
  </r>
  <r>
    <s v="UT-CARF024S(A)"/>
    <n v="5"/>
    <n v="3"/>
    <x v="1"/>
    <s v="DEF-03466"/>
    <x v="5"/>
    <s v="[C_3] 화면의 첫 째 필드에 커셔가 Set focus되어 있지 않음"/>
    <s v="3자테스트"/>
    <s v="박영수"/>
    <s v="최민지"/>
    <s v="김승무"/>
    <s v="Online"/>
    <s v="결함"/>
    <s v="기능"/>
    <s v="최종확인    "/>
    <s v=""/>
    <s v="Minor"/>
    <x v="0"/>
    <d v="2026-01-19T15:39:02"/>
    <d v="2026-01-23T13:42:35"/>
  </r>
  <r>
    <s v="UT-CARF009S(A)"/>
    <n v="5"/>
    <n v="3"/>
    <x v="1"/>
    <s v="DEF-03450"/>
    <x v="5"/>
    <s v="[C_5]오류에대한 메세지가 정확하지 않"/>
    <s v="3자테스트"/>
    <s v="박영수"/>
    <s v="최민지"/>
    <s v="김승무"/>
    <s v="Online"/>
    <s v="결함"/>
    <s v="기능"/>
    <s v="최종확인    "/>
    <s v=""/>
    <s v="Minor"/>
    <x v="0"/>
    <d v="2026-01-19T14:58:00"/>
    <d v="2026-01-23T14:41:32"/>
  </r>
  <r>
    <s v="UT-CASY052S(A)"/>
    <n v="5"/>
    <n v="3"/>
    <x v="1"/>
    <s v="DEF-03411"/>
    <x v="5"/>
    <s v="[C_2] Date 값은 필수입력 값으로 보이나 값을 넣지 않아도 조회가 됨_x000a_[C-3] 화면의 첫 째 필드에 커셔가 Set focus되어 있지 않음"/>
    <s v="3자테스트"/>
    <s v="박영수"/>
    <s v="최민지"/>
    <s v="김승무"/>
    <s v="Online"/>
    <s v="결함"/>
    <s v="기능"/>
    <s v="최종확인    "/>
    <s v=""/>
    <s v="Minor"/>
    <x v="0"/>
    <d v="2026-01-19T13:24:31"/>
    <d v="2026-01-23T14:43:26"/>
  </r>
  <r>
    <s v="UT-CARF039S(A)"/>
    <n v="5"/>
    <n v="3"/>
    <x v="1"/>
    <s v="DEF-03526"/>
    <x v="5"/>
    <s v="[[S_3]이름필드에 한글 25자 넘어가면 다음과 같은 에러가 남"/>
    <s v="3자테스트"/>
    <s v="박영수"/>
    <s v="최민지"/>
    <s v="김승무"/>
    <s v="Online"/>
    <s v="결함"/>
    <s v="기능"/>
    <s v="최종확인    "/>
    <s v=""/>
    <s v="Minor"/>
    <x v="0"/>
    <d v="2026-01-20T11:18:26"/>
    <d v="2026-01-22T16:10:47"/>
  </r>
  <r>
    <s v="UT-CARF011S(A)"/>
    <n v="5"/>
    <n v="3"/>
    <x v="1"/>
    <s v="DEF-03458"/>
    <x v="5"/>
    <s v="[C_3] 화면의 첫 째 필드에 커셔가 Set focus되어 있지 않음 "/>
    <s v="3자테스트"/>
    <s v="박영수"/>
    <s v="최민지"/>
    <s v="김승무"/>
    <s v="Online"/>
    <s v="결함"/>
    <s v="기능"/>
    <s v="최종확인    "/>
    <s v=""/>
    <s v="Minor"/>
    <x v="0"/>
    <d v="2026-01-19T15:25:27"/>
    <d v="2026-01-23T13:37:15"/>
  </r>
  <r>
    <s v="UT-CARF010S(A)"/>
    <n v="5"/>
    <n v="3"/>
    <x v="1"/>
    <s v="DEF-03455"/>
    <x v="5"/>
    <s v="[C_3] Set focus가  첫 화면에 위치하지 않음"/>
    <s v="3자테스트"/>
    <s v="박영수"/>
    <s v="최민지"/>
    <s v="김승무"/>
    <s v="Online"/>
    <s v="결함"/>
    <s v="기능"/>
    <s v="최종확인    "/>
    <s v=""/>
    <s v="Minor"/>
    <x v="0"/>
    <d v="2026-01-19T15:17:38"/>
    <d v="2026-01-23T13:46:49"/>
  </r>
  <r>
    <s v="UT-CASY053S(A)"/>
    <n v="5"/>
    <n v="3"/>
    <x v="1"/>
    <s v="DEF-03416"/>
    <x v="5"/>
    <s v="[c_2]필수입력 오루 _x000a_[c_3] 화면의 첫 째 필드에 커셔가 Set focus되어 있지않음_x000a_[x_001] 시나리오문서상  메세지 값과 실제 메세지 내용이 다"/>
    <s v="3자테스트"/>
    <s v="박영수"/>
    <s v="최민지"/>
    <s v="김승무"/>
    <s v="Online"/>
    <s v="결함"/>
    <s v="기능"/>
    <s v="확인요청"/>
    <s v="김승무"/>
    <s v="Minor"/>
    <x v="1"/>
    <d v="2026-01-19T13:34:25"/>
    <d v="2026-01-26T13:01:27"/>
  </r>
  <r>
    <s v="UT-CARF001S(A)"/>
    <n v="5"/>
    <n v="3"/>
    <x v="1"/>
    <s v="DEF-03533"/>
    <x v="0"/>
    <s v="[S_4]Min Work Time을 3분에서 4분으로 바꾸었더니 서버오류가 남_x000a_왜 에러가 났는지  알기 어려움"/>
    <s v="3자테스트"/>
    <s v="박영수"/>
    <s v="최민지"/>
    <s v="김승무"/>
    <s v="Online"/>
    <s v="결함"/>
    <s v="기능"/>
    <s v="확인요청"/>
    <s v="김승무"/>
    <s v="Minor"/>
    <x v="1"/>
    <d v="2026-01-20T13:12:17"/>
    <d v="2026-01-26T13:10:56"/>
  </r>
  <r>
    <s v="UT-CARF002S(A)"/>
    <n v="5"/>
    <n v="3"/>
    <x v="1"/>
    <s v="DEF-03546"/>
    <x v="0"/>
    <s v="[S_4] Average Flight Speed 입력시 5자리 넘으면 서버 오류 메세지 "/>
    <s v="3자테스트"/>
    <s v="박영수"/>
    <s v="최민지"/>
    <s v="김승무"/>
    <s v="Online"/>
    <s v="결함"/>
    <s v="기능"/>
    <s v="확인요청"/>
    <s v="김승무"/>
    <s v="Minor"/>
    <x v="1"/>
    <d v="2026-01-20T13:36:59"/>
    <d v="2026-01-26T13:31:38"/>
  </r>
  <r>
    <s v="UT-CARF003S(A)"/>
    <n v="5"/>
    <n v="3"/>
    <x v="1"/>
    <s v="DEF-03551"/>
    <x v="0"/>
    <s v="[S_4] Aircraft Crew Count 4자리 이상 입력 경우 오류 "/>
    <s v="3자테스트"/>
    <s v="박영수"/>
    <s v="최민지"/>
    <s v="김승무"/>
    <s v="Online"/>
    <s v="결함"/>
    <s v="기능"/>
    <s v="확인요청"/>
    <s v="김승무"/>
    <s v="Minor"/>
    <x v="1"/>
    <d v="2026-01-20T13:51:49"/>
    <d v="2026-01-26T13:00:37"/>
  </r>
  <r>
    <s v="UT-CARF032S(A)"/>
    <n v="5"/>
    <n v="3"/>
    <x v="1"/>
    <s v="DEF-03492"/>
    <x v="0"/>
    <s v="[s_5]이미지 Upload후 다시 조회 하면 이미지가 보이지 않음"/>
    <s v="3자테스트"/>
    <s v="박영수"/>
    <s v="최민지"/>
    <s v="김승무"/>
    <s v="Online"/>
    <s v="결함"/>
    <s v="기능"/>
    <s v="확인요청"/>
    <s v="김승무"/>
    <s v="Minor"/>
    <x v="1"/>
    <d v="2026-01-20T09:39:52"/>
    <d v="2026-01-26T13:17:15"/>
  </r>
  <r>
    <s v="UT-CASY051S(A)"/>
    <n v="5"/>
    <n v="3"/>
    <x v="1"/>
    <s v="DEF-03407"/>
    <x v="5"/>
    <s v="[C_7]필수값 일자를 넣지 않을때 정확한 메세지가 나오지 않음_x000a_[C_3} 화면의 첫 째 필드에 커셔가 Set focus되어 있지 않음_x000a_[X_001]테스트  시나리오에는 조회시작일자,종료일자에 데한 체크시나리오가 있는데, 테스트 화면에 날자는 단일 입력날자로 되어 있음.  테스트시나리오 수정 필요"/>
    <s v="3자테스트"/>
    <s v="박영수"/>
    <s v="최민지"/>
    <s v="김승무"/>
    <s v="Online"/>
    <s v="결함"/>
    <s v="기능"/>
    <s v="확인요청"/>
    <s v="김승무"/>
    <s v="Minor"/>
    <x v="1"/>
    <d v="2026-01-19T13:13:13"/>
    <d v="2026-01-26T13:12:59"/>
  </r>
  <r>
    <s v="UT-CARF038S(A)"/>
    <n v="5"/>
    <n v="3"/>
    <x v="1"/>
    <s v="DEF-03522"/>
    <x v="0"/>
    <s v="[S_3] 수정시 오류 _x000a_[C_11] 입력항목 값 입력 시 한글필드가 입력 됨"/>
    <s v="3자테스트"/>
    <s v="박영수"/>
    <s v="최민지"/>
    <s v="김승무"/>
    <s v="Online"/>
    <s v="결함"/>
    <s v="기능"/>
    <s v="확인요청"/>
    <s v="김승무"/>
    <s v="Minor"/>
    <x v="1"/>
    <d v="2026-01-20T11:06:30"/>
    <d v="2026-01-26T13:30:06"/>
  </r>
  <r>
    <s v="UT-CASY048S(A)"/>
    <n v="5"/>
    <n v="3"/>
    <x v="1"/>
    <s v="DEF-03405"/>
    <x v="5"/>
    <s v="[C_5] 8일 초과 할수 없다고 메세지는 나오나 데이터 값을 넣지 않으면 전체가 조회 됨_x000a__x000a_PS : 시나리오에 해당 테스트가 작성 되지 않아 메세지가 적정하게 표출되지 않는 것으로 판단 공통에러로 표기 함"/>
    <s v="3자테스트"/>
    <s v="박영수"/>
    <s v="최민지"/>
    <s v="김승무"/>
    <s v="Online"/>
    <s v="결함"/>
    <s v="기능"/>
    <s v="확인요청"/>
    <s v="김승무"/>
    <s v="Minor"/>
    <x v="1"/>
    <d v="2026-01-19T12:58:45"/>
    <d v="2026-01-26T13:01:05"/>
  </r>
  <r>
    <s v="UT-CASY047S(A)"/>
    <n v="5"/>
    <n v="3"/>
    <x v="1"/>
    <s v="DEF-03404"/>
    <x v="0"/>
    <s v="[S_3] 최대조회기간 8일 초과 할수 없으나 전체가 조회 됨_x000a_[X_001]테스트 시나리오의 메세지 내용과 테스트시 메세지 내용이 다름"/>
    <s v="3자테스트"/>
    <s v="박영수"/>
    <s v="최민지"/>
    <s v="김승무"/>
    <s v="Online"/>
    <s v="결함"/>
    <s v="기능"/>
    <s v="확인요청"/>
    <s v="김승무"/>
    <s v="Minor"/>
    <x v="1"/>
    <d v="2026-01-19T12:49:26"/>
    <d v="2026-01-26T09:57:05"/>
  </r>
  <r>
    <s v="UT-CA-SP33(A)"/>
    <n v="5"/>
    <n v="3"/>
    <x v="1"/>
    <s v="DEF-03720"/>
    <x v="3"/>
    <s v="[S_1,2,3,4,5]  JDBC-90603:Invalid operation: disconnected from the server._x000a_"/>
    <s v="3자테스트"/>
    <s v="박영수"/>
    <s v="김태훈"/>
    <s v="김승무"/>
    <s v="프로시져"/>
    <s v="결함"/>
    <s v="기능"/>
    <s v="확인요청"/>
    <s v="김승무"/>
    <s v="Minor"/>
    <x v="1"/>
    <d v="2026-01-22T14:37:05"/>
    <d v="2026-01-26T14:19:09"/>
  </r>
  <r>
    <s v="UT-CA-SP31(A)"/>
    <n v="5"/>
    <n v="3"/>
    <x v="1"/>
    <s v="DEF-03771"/>
    <x v="3"/>
    <s v="[S_1]SQL Error [23000]: JDBC-10007:UNIQUE constraint violation ('CAOWN'.'PK_TN_CA_USER_SESS')._x000a_[S_2] SQL Error [ERRPS]: JDBC-15146:PSM compilation error."/>
    <s v="3자테스트"/>
    <s v="박영수"/>
    <s v="정연준"/>
    <s v="김승무"/>
    <s v="프로시져"/>
    <s v="결함"/>
    <s v="기능"/>
    <s v="확인요청"/>
    <s v="김승무"/>
    <s v="Minor"/>
    <x v="1"/>
    <d v="2026-01-23T14:33:44"/>
    <d v="2026-01-26T15:02:41"/>
  </r>
  <r>
    <s v="UT-CASY046S(A)"/>
    <n v="5"/>
    <n v="3"/>
    <x v="1"/>
    <s v="DEF-03402"/>
    <x v="0"/>
    <s v="{S_5]메세지는 조회기간 8일을 초과 할구 없다고 나오나 DATE를 입력하지 않으면 전체일자가 모두 조회 됨"/>
    <s v="3자테스트"/>
    <s v="박영수"/>
    <s v="최민지"/>
    <s v="김승무"/>
    <s v="Online"/>
    <s v="결함"/>
    <s v="기능"/>
    <s v="확인요청"/>
    <s v="김승무"/>
    <s v="Minor"/>
    <x v="1"/>
    <d v="2026-01-19T12:42:12"/>
    <d v="2026-01-26T13:14:27"/>
  </r>
  <r>
    <s v="UT-CASY011S(A)"/>
    <n v="5"/>
    <n v="3"/>
    <x v="1"/>
    <s v="DEF-03760"/>
    <x v="0"/>
    <s v="[S_44] 그룹리스트 상위그룹명,상세그룹명  자리수 check _x000a_[s_63] excel Upload시 check 없이 그대로 저장됨 _x000a_[S_68] 발송요청일 값을 안넣어도 조회됨_x000a_[s_69] 응답일시 시간 체크 필요_x000a_[s_70] 요청일시(2차)는 수정이 안됨(display mode)_x000a_[s_74] 엑셀 추출권한이 없음"/>
    <s v="3자테스트"/>
    <s v="박영수"/>
    <s v="정연준"/>
    <s v="김승무"/>
    <s v="Online"/>
    <s v="결함"/>
    <s v="기능"/>
    <s v="확인요청"/>
    <s v="김승무"/>
    <s v="Major"/>
    <x v="1"/>
    <d v="2026-01-23T13:10:03"/>
    <d v="2026-01-27T14:37:06"/>
  </r>
  <r>
    <s v="UT-CA-SP22(A)"/>
    <n v="5"/>
    <n v="3"/>
    <x v="1"/>
    <s v="DEF-03689"/>
    <x v="3"/>
    <s v="[s_1] TN_CA_SMS_USER(SMS사용자) 테이블에 INSERT 시 SQL Error [ERRTX]: JDBC-21008:Savepoint 'SVP1' was not found. "/>
    <s v="3자테스트"/>
    <s v="박영수"/>
    <s v="정연준"/>
    <s v="김승무"/>
    <s v="프로시져"/>
    <s v="결함"/>
    <s v="기능"/>
    <s v="확인요청"/>
    <s v="김승무"/>
    <s v="Minor"/>
    <x v="1"/>
    <d v="2026-01-22T09:52:52"/>
    <d v="2026-01-26T14:47:08"/>
  </r>
  <r>
    <s v="UT-CA-SP28(A)"/>
    <n v="5"/>
    <n v="3"/>
    <x v="1"/>
    <s v="DEF-03697"/>
    <x v="3"/>
    <s v="[S_1] SQL ERROR "/>
    <s v="3자테스트"/>
    <s v="박영수"/>
    <s v="김태훈"/>
    <s v="김승무"/>
    <s v="프로시져"/>
    <s v="결함"/>
    <s v="기능"/>
    <s v="확인요청"/>
    <s v="김승무"/>
    <s v="Minor"/>
    <x v="1"/>
    <d v="2026-01-22T10:48:16"/>
    <d v="2026-01-26T14:30:52"/>
  </r>
  <r>
    <s v="UT-CASY013S"/>
    <n v="5"/>
    <n v="3"/>
    <x v="2"/>
    <s v="DEF-03727"/>
    <x v="6"/>
    <s v="[X_001]테스트 시나리오에 결과서 없음"/>
    <s v="3자테스트"/>
    <s v="박영수"/>
    <s v="최민지"/>
    <s v="김승무"/>
    <s v="Online"/>
    <s v="결함"/>
    <s v="문서화"/>
    <s v="결함등록기각"/>
    <s v=""/>
    <s v="Minor"/>
    <x v="2"/>
    <d v="2026-01-22T15:02:09"/>
    <d v="2026-01-26T09:51:31"/>
  </r>
  <r>
    <s v="UT-CASY041S"/>
    <n v="5"/>
    <n v="3"/>
    <x v="2"/>
    <s v="DEF-03575"/>
    <x v="6"/>
    <s v="[S_2] 전체 조회의 경우 CSDL 연계상태 와 메세지 송신현황 조회기준을 모르겠음.  시스템 id를 클릭하면 그 시스템 id에 해당하는 메세지 송신현황이 보여야 하나 반응이 없음_x000a_마스테 메세지송신 에러현황도 반을을 하지 않음_x000a__x000a_- 메세지 송신형황에서 시스템 id 에 SACP가 보이는데 , 시스템 id 팝업에는 해당 id가 없음"/>
    <s v="3자테스트"/>
    <s v="박영수"/>
    <s v="박영수"/>
    <s v="김승무"/>
    <s v="Online"/>
    <s v="결함"/>
    <s v="기능"/>
    <s v="결함등록기각"/>
    <s v=""/>
    <s v="Minor"/>
    <x v="2"/>
    <d v="2026-01-20T14:39:50"/>
    <d v="2026-01-20T17:46:11"/>
  </r>
  <r>
    <s v="UT-CAMN007M"/>
    <n v="5"/>
    <n v="3"/>
    <x v="2"/>
    <s v="DEF-03725"/>
    <x v="6"/>
    <s v="[X_001]테스트 시나리오에 테스트 결과서 없음"/>
    <s v="3자테스트"/>
    <s v="박영수"/>
    <s v="최민지"/>
    <s v="김승무"/>
    <s v="Online"/>
    <s v="결함"/>
    <s v="문서화"/>
    <s v="결함등록기각"/>
    <s v=""/>
    <s v="Minor"/>
    <x v="2"/>
    <d v="2026-01-22T14:59:52"/>
    <d v="2026-01-26T09:51:03"/>
  </r>
  <r>
    <s v="UT-CARF032S"/>
    <n v="5"/>
    <n v="3"/>
    <x v="2"/>
    <s v="DEF-03658"/>
    <x v="6"/>
    <s v="[S-3].추가입력시 Airline Code, ICAO코드, Unit  System ID 가  Default로 뜸. list box의 입력 값을 변경할 수 없음 "/>
    <s v="3자테스트"/>
    <s v="박영수"/>
    <s v="최민지"/>
    <s v="김승무"/>
    <s v="Online"/>
    <s v="결함"/>
    <s v="기능"/>
    <s v="결함등록기각"/>
    <s v=""/>
    <s v="Minor"/>
    <x v="2"/>
    <d v="2026-01-21T13:29:37"/>
    <d v="2026-01-26T13:25:37"/>
  </r>
  <r>
    <s v="UT-CARF034S"/>
    <n v="5"/>
    <n v="3"/>
    <x v="2"/>
    <s v="DEF-03661"/>
    <x v="6"/>
    <s v="_x000a_[S_3] Countes ID 5자리 이상 값이 들어가면 시스템 오류 , 한글도 입력 됨 _x000a_==&gt; check-in Count내용이 잘못 들어감  기각처리 해 주세요. "/>
    <s v="3자테스트"/>
    <s v="박영수"/>
    <s v="최민지"/>
    <s v="김승무"/>
    <s v="Online"/>
    <s v="결함"/>
    <s v="기능"/>
    <s v="결함등록기각"/>
    <s v=""/>
    <s v="Minor"/>
    <x v="2"/>
    <d v="2026-01-21T13:44:34"/>
    <d v="2026-01-21T16:55:33"/>
  </r>
  <r>
    <s v="UT-CA-SP22"/>
    <n v="5"/>
    <n v="3"/>
    <x v="2"/>
    <s v="DEF-03688"/>
    <x v="6"/>
    <s v="[s_2] sql 에러 _x000a_TN_CA_SMS_USER(SMS사용자) 테이블에 UPDATE 시 "/>
    <s v="3자테스트"/>
    <s v="박영수"/>
    <s v="정연준"/>
    <s v="김승무"/>
    <s v="프로시져"/>
    <s v="결함"/>
    <s v="기능"/>
    <s v="결함등록기각"/>
    <s v=""/>
    <s v="Minor"/>
    <x v="2"/>
    <d v="2026-01-22T09:48:18"/>
    <d v="2026-01-26T14:37:23"/>
  </r>
  <r>
    <s v="UT-CA-SP40"/>
    <n v="5"/>
    <n v="3"/>
    <x v="2"/>
    <s v="DEF-03712"/>
    <x v="6"/>
    <s v="[x_001]테스트 결과서 없음 "/>
    <s v="3자테스트"/>
    <s v="박영수"/>
    <s v="정연준"/>
    <s v="김승무"/>
    <s v="프로시져"/>
    <s v="결함"/>
    <s v="문서화"/>
    <s v="결함등록기각"/>
    <s v=""/>
    <s v="Minor"/>
    <x v="2"/>
    <d v="2026-01-22T13:41:07"/>
    <d v="2026-01-26T09:51:59"/>
  </r>
  <r>
    <s v="UT-CARF003S"/>
    <n v="5"/>
    <n v="3"/>
    <x v="2"/>
    <s v="DEF-03584"/>
    <x v="6"/>
    <s v="[S_4] 신규 생성시 _x000a_. Other Information 항목에 Aircraft Remark가 300byte까지 입력 가능하나, 100byte 까지만 입력됨._x000a_test 값 : Registration No - B309Q, B309u"/>
    <s v="3자테스트"/>
    <s v="박영수"/>
    <s v="최민지"/>
    <s v="윤성훈"/>
    <s v="Online"/>
    <s v="결함"/>
    <s v="기능"/>
    <s v="결함등록기각"/>
    <s v=""/>
    <s v="Minor"/>
    <x v="2"/>
    <d v="2026-01-20T14:52:38"/>
    <d v="2026-01-20T17:41:37"/>
  </r>
  <r>
    <s v="UT-CASY052S"/>
    <n v="5"/>
    <n v="3"/>
    <x v="2"/>
    <s v="DEF-03614"/>
    <x v="5"/>
    <s v="[S_2] date에 값을 넣지 않을때 오류_x000a_[C-3] 화면의 첫 째 필드에 커셔가 Set focus되어 있지 않음"/>
    <s v="3자테스트"/>
    <s v="박영수"/>
    <s v="최민지"/>
    <s v="김승무"/>
    <s v="Online"/>
    <s v="결함"/>
    <s v="기능"/>
    <s v="최종확인    "/>
    <s v=""/>
    <s v="Minor"/>
    <x v="0"/>
    <d v="2026-01-20T16:29:32"/>
    <d v="2026-01-22T16:13:28"/>
  </r>
  <r>
    <s v="UT-CASY044S"/>
    <n v="5"/>
    <n v="3"/>
    <x v="2"/>
    <s v="DEF-03592"/>
    <x v="0"/>
    <s v="[S_2] Timestamp에 값을 넣지 않으면 전체가 조회 됨"/>
    <s v="3자테스트"/>
    <s v="박영수"/>
    <s v="최민지"/>
    <s v="김승무"/>
    <s v="Online"/>
    <s v="결함"/>
    <s v="기능"/>
    <s v="최종확인    "/>
    <s v=""/>
    <s v="Minor"/>
    <x v="0"/>
    <d v="2026-01-20T14:59:32"/>
    <d v="2026-01-22T16:20:32"/>
  </r>
  <r>
    <s v="UT-CASY047S"/>
    <n v="5"/>
    <n v="3"/>
    <x v="2"/>
    <s v="DEF-03603"/>
    <x v="0"/>
    <s v="[S_3] DATE값을 넣지 않으면 최대조회기간 8일 초과 할수 없으나 전체가 조회 됨 "/>
    <s v="3자테스트"/>
    <s v="박영수"/>
    <s v="최민지"/>
    <s v="김승무"/>
    <s v="Online"/>
    <s v="결함"/>
    <s v="기능"/>
    <s v="최종확인    "/>
    <s v=""/>
    <s v="Minor"/>
    <x v="0"/>
    <d v="2026-01-20T15:14:27"/>
    <d v="2026-01-22T16:15:54"/>
  </r>
  <r>
    <s v="UT-CASY043S"/>
    <n v="5"/>
    <n v="3"/>
    <x v="2"/>
    <s v="DEF-03582"/>
    <x v="0"/>
    <s v="[S_2] 최대 조회기간이 2일을 초과 할수 없는데 Timestamp에 값을 넣지 않으면 전체 Data를 다 가져 옴 "/>
    <s v="3자테스트"/>
    <s v="박영수"/>
    <s v="최민지"/>
    <s v="김승무"/>
    <s v="Online"/>
    <s v="결함"/>
    <s v="기능"/>
    <s v="확인요청"/>
    <s v="김승무"/>
    <s v="Minor"/>
    <x v="1"/>
    <d v="2026-01-20T14:51:10"/>
    <d v="2026-01-26T13:11:17"/>
  </r>
  <r>
    <s v="UT-CASY046S"/>
    <n v="5"/>
    <n v="3"/>
    <x v="2"/>
    <s v="DEF-03597"/>
    <x v="0"/>
    <s v="[S_3]DATA에 값을 넣지 않으면 전체 DATA가 조회 됨"/>
    <s v="3자테스트"/>
    <s v="박영수"/>
    <s v="최민지"/>
    <s v="김승무"/>
    <s v="Online"/>
    <s v="결함"/>
    <s v="기능"/>
    <s v="확인요청"/>
    <s v="김승무"/>
    <s v="Minor"/>
    <x v="1"/>
    <d v="2026-01-20T15:06:20"/>
    <d v="2026-01-26T13:15:47"/>
  </r>
  <r>
    <s v="UT-CASY052S"/>
    <n v="5"/>
    <n v="3"/>
    <x v="2"/>
    <s v="DEF-03628"/>
    <x v="0"/>
    <s v="[S_2]과거일을 조회할 수 없음 "/>
    <s v="3자테스트"/>
    <s v="박영수"/>
    <s v="최민지"/>
    <s v="김승무"/>
    <s v="Online"/>
    <s v="결함"/>
    <s v="기능"/>
    <s v="확인요청"/>
    <s v="김승무"/>
    <s v="Minor"/>
    <x v="1"/>
    <d v="2026-01-21T09:25:12"/>
    <d v="2026-01-26T09:36:57"/>
  </r>
  <r>
    <s v="UT-CASY053S"/>
    <n v="5"/>
    <n v="3"/>
    <x v="2"/>
    <s v="DEF-03616"/>
    <x v="5"/>
    <s v="[c_2]필수입력 오류 _x000a_[c_3] 화면의 첫 째 필드에 커셔가 Set focus되어 있지않음_x000a_[x_001] 시나리오문서상  메세지 값과 실제 메세지 내용이 다름"/>
    <s v="3자테스트"/>
    <s v="박영수"/>
    <s v="최민지"/>
    <s v="김승무"/>
    <s v="Online"/>
    <s v="결함"/>
    <s v="기능"/>
    <s v="확인요청"/>
    <s v="김승무"/>
    <s v="Minor"/>
    <x v="1"/>
    <d v="2026-01-20T16:34:32"/>
    <d v="2026-01-26T13:31:03"/>
  </r>
  <r>
    <s v="UT-CARF002S"/>
    <n v="5"/>
    <n v="3"/>
    <x v="2"/>
    <s v="DEF-03601"/>
    <x v="5"/>
    <s v="[C_11] Aircraft Type Description 입력란이 500byte 까지 인데 500byte 이상 입력이 가능함. 단, 500byte 이상 입력 후 저장 시 오류메세지 뜸"/>
    <s v="3자테스트"/>
    <s v="박영수"/>
    <s v="최민지"/>
    <s v="윤성훈"/>
    <s v="Online"/>
    <s v="결함"/>
    <s v="UI"/>
    <s v="확인요청"/>
    <s v="윤성훈"/>
    <s v="Minor"/>
    <x v="1"/>
    <d v="2026-01-20T15:14:01"/>
    <d v="2026-01-21T16:30:29"/>
  </r>
  <r>
    <s v="UT-CARF011S"/>
    <n v="5"/>
    <n v="3"/>
    <x v="2"/>
    <s v="DEF-03633"/>
    <x v="0"/>
    <s v="[s_3] Runway ID 한글로 입력하면 에레 _x000a_[S_6]여러건 입력시 Use Y/N을 1건만 입력하고 다른건은 입력하지 않아도  저장됨_x000a_"/>
    <s v="3자테스트"/>
    <s v="박영수"/>
    <s v="최민지"/>
    <s v="김승무"/>
    <s v="Online"/>
    <s v="결함"/>
    <s v="기능"/>
    <s v="확인요청"/>
    <s v="김승무"/>
    <s v="Major"/>
    <x v="1"/>
    <d v="2026-01-21T10:06:10"/>
    <d v="2026-01-26T13:26:38"/>
  </r>
  <r>
    <s v="UT-CARF026S"/>
    <n v="5"/>
    <n v="3"/>
    <x v="2"/>
    <s v="DEF-03645"/>
    <x v="0"/>
    <s v="[S_3]여러건 동시에 입력시 use yn 및 sort order 입력 하지 않아도 저장 됨"/>
    <s v="3자테스트"/>
    <s v="박영수"/>
    <s v="최민지"/>
    <s v="김승무"/>
    <s v="Online"/>
    <s v="결함"/>
    <s v="기능"/>
    <s v="확인요청"/>
    <s v="김승무"/>
    <s v="Minor"/>
    <x v="1"/>
    <d v="2026-01-21T11:10:19"/>
    <d v="2026-01-26T13:25:58"/>
  </r>
  <r>
    <s v="UT-CARF029S"/>
    <n v="5"/>
    <n v="3"/>
    <x v="2"/>
    <s v="DEF-03651"/>
    <x v="0"/>
    <s v="[S_3]여러건 입력시 필수필드 입력 하지 않아도 저장 "/>
    <s v="3자테스트"/>
    <s v="박영수"/>
    <s v="최민지"/>
    <s v="김승무"/>
    <s v="Online"/>
    <s v="결함"/>
    <s v="기능"/>
    <s v="확인요청"/>
    <s v="김승무"/>
    <s v="Minor"/>
    <x v="1"/>
    <d v="2026-01-21T12:43:47"/>
    <d v="2026-01-26T13:23:18"/>
  </r>
  <r>
    <s v="UT-CARF030S"/>
    <n v="5"/>
    <n v="3"/>
    <x v="2"/>
    <s v="DEF-03652"/>
    <x v="0"/>
    <s v="[S_3]여러건 입력시 필수필드 누락 되어도 처리 _x000a_"/>
    <s v="3자테스트"/>
    <s v="박영수"/>
    <s v="최민지"/>
    <s v="김승무"/>
    <s v="Online"/>
    <s v="결함"/>
    <s v="기능"/>
    <s v="확인요청"/>
    <s v="김승무"/>
    <s v="Minor"/>
    <x v="1"/>
    <d v="2026-01-21T13:04:30"/>
    <d v="2026-01-26T13:24:38"/>
  </r>
  <r>
    <s v="UT-CARF035S"/>
    <n v="5"/>
    <n v="3"/>
    <x v="2"/>
    <s v="DEF-03662"/>
    <x v="0"/>
    <s v="[S_3] Count ID  5자리이상 입력 하면 오류 , 한글도 입력 됨"/>
    <s v="3자테스트"/>
    <s v="박영수"/>
    <s v="최민지"/>
    <s v="김승무"/>
    <s v="Online"/>
    <s v="결함"/>
    <s v="기능"/>
    <s v="확인요청"/>
    <s v="김승무"/>
    <s v="Minor"/>
    <x v="1"/>
    <d v="2026-01-21T13:52:35"/>
    <d v="2026-01-26T13:29:21"/>
  </r>
  <r>
    <s v="UT-CA-SP38"/>
    <n v="5"/>
    <n v="3"/>
    <x v="2"/>
    <s v="DEF-03709"/>
    <x v="0"/>
    <s v="[S_2]  SMS수신테이블에 UPDATE 오류"/>
    <s v="3자테스트"/>
    <s v="박영수"/>
    <s v="정연준"/>
    <s v="김승무"/>
    <s v="프로시져"/>
    <s v="결함"/>
    <s v="기능"/>
    <s v="확인요청"/>
    <s v="김승무"/>
    <s v="Minor"/>
    <x v="1"/>
    <d v="2026-01-22T13:21:13"/>
    <d v="2026-01-26T15:07:15"/>
  </r>
  <r>
    <s v="UT-CA-SP39"/>
    <n v="5"/>
    <n v="3"/>
    <x v="2"/>
    <s v="DEF-03711"/>
    <x v="3"/>
    <s v="[s_2][s_3  'SP_ESB_SMSRPLYFIMS_RCV' 호출 시 인수의 갯수나 유형이 잘못되었습니다_x000a_"/>
    <s v="3자테스트"/>
    <s v="박영수"/>
    <s v="정연준"/>
    <s v="김승무"/>
    <s v="프로시져"/>
    <s v="결함"/>
    <s v="기능"/>
    <s v="확인요청"/>
    <s v="김승무"/>
    <s v="Minor"/>
    <x v="1"/>
    <d v="2026-01-22T13:37:50"/>
    <d v="2026-01-26T15:06:16"/>
  </r>
  <r>
    <s v="UT-CA-SP41"/>
    <n v="5"/>
    <n v="3"/>
    <x v="2"/>
    <s v="DEF-03722"/>
    <x v="3"/>
    <s v="[S_1]'CAOWN.SP_CA_PERS_INFO_CONFF_INSERT' 식별자가 정의되어야 합니다_x000a_[S_2] 'CAOWN.SP_CA_PERS_INFO_CONFF_INSERT' 식별자가 정의되어야 합니다"/>
    <s v="3자테스트"/>
    <s v="박영수"/>
    <s v="박영수"/>
    <s v="김승무"/>
    <s v="프로시져"/>
    <s v="결함"/>
    <s v="기능"/>
    <s v="확인요청"/>
    <s v="김승무"/>
    <s v="Minor"/>
    <x v="1"/>
    <d v="2026-01-22T14:45:00"/>
    <d v="2026-01-26T14:18:47"/>
  </r>
  <r>
    <s v="UT-CA-SP42"/>
    <n v="5"/>
    <n v="3"/>
    <x v="2"/>
    <s v="DEF-03723"/>
    <x v="3"/>
    <s v="[S_1]SQL ERROR "/>
    <s v="3자테스트"/>
    <s v="박영수"/>
    <s v="박영수"/>
    <s v="김승무"/>
    <s v="프로시져"/>
    <s v="결함"/>
    <s v="기능"/>
    <s v="확인요청"/>
    <s v="김승무"/>
    <s v="Minor"/>
    <x v="1"/>
    <d v="2026-01-22T14:53:37"/>
    <d v="2026-01-26T14:44:47"/>
  </r>
  <r>
    <s v="UT-CARF036S"/>
    <n v="5"/>
    <n v="3"/>
    <x v="2"/>
    <s v="DEF-03663"/>
    <x v="0"/>
    <s v="[S_3]여러건 처리시 필수항목 입려하지 않아도 저장 "/>
    <s v="3자테스트"/>
    <s v="박영수"/>
    <s v="최민지"/>
    <s v="김승무"/>
    <s v="Online"/>
    <s v="결함"/>
    <s v="기능"/>
    <s v="확인요청"/>
    <s v="김승무"/>
    <s v="Minor"/>
    <x v="1"/>
    <d v="2026-01-21T14:02:05"/>
    <d v="2026-01-26T13:29:02"/>
  </r>
  <r>
    <s v="UT-CARF001S"/>
    <n v="5"/>
    <n v="3"/>
    <x v="2"/>
    <s v="DEF-03669"/>
    <x v="0"/>
    <s v="[S_5] Aircraft Type에 Work List를 추가하거나, Detail을 변경 하면 오류가 남"/>
    <s v="3자테스트"/>
    <s v="박영수"/>
    <s v="최민지"/>
    <s v="김승무"/>
    <s v="Online"/>
    <s v="결함"/>
    <s v="기능"/>
    <s v="확인요청"/>
    <s v="김승무"/>
    <s v="Minor"/>
    <x v="1"/>
    <d v="2026-01-21T14:54:17"/>
    <d v="2026-01-26T13:28:19"/>
  </r>
  <r>
    <s v="UT-CARF031S"/>
    <n v="5"/>
    <n v="3"/>
    <x v="2"/>
    <s v="DEF-03654"/>
    <x v="0"/>
    <s v="[s_3] 데이터 입력시 알수없는 오류가 남"/>
    <s v="3자테스트"/>
    <s v="박영수"/>
    <s v="최민지"/>
    <s v="김승무"/>
    <s v="Online"/>
    <s v="결함"/>
    <s v="기능"/>
    <s v="확인요청"/>
    <s v="김승무"/>
    <s v="Minor"/>
    <x v="1"/>
    <d v="2026-01-21T13:14:56"/>
    <d v="2026-01-26T13:29:35"/>
  </r>
  <r>
    <s v="UT-CASY051S"/>
    <n v="5"/>
    <n v="3"/>
    <x v="2"/>
    <s v="DEF-03611"/>
    <x v="5"/>
    <s v="[C_7]필수값 일자를 넣지 않을때 정확한 메세지가 나오지 않음_x000a_[C_3} 화면의 첫 째 필드에 커셔가 Set focus되어 있지 않음_x000a_[X_001]테스트  시나리오에는 조회시작일자,종료일자에 데한 체크시나리오가 있는데, 테스트 화면에 날자는 단일 입력날자로 되어 있음.  테스트시나리오 수정 필요"/>
    <s v="3자테스트"/>
    <s v="박영수"/>
    <s v="최민지"/>
    <s v="김승무"/>
    <s v="Online"/>
    <s v="결함"/>
    <s v="기능"/>
    <s v="확인요청"/>
    <s v="김승무"/>
    <s v="Minor"/>
    <x v="1"/>
    <d v="2026-01-20T16:00:33"/>
    <d v="2026-01-26T13:13:32"/>
  </r>
  <r>
    <s v="UT-CASY048S"/>
    <n v="5"/>
    <n v="3"/>
    <x v="2"/>
    <s v="DEF-03609"/>
    <x v="0"/>
    <s v="[S_2] Date값을 넣지 않으면 최대조회기간 8일 초과 할수 없으나 전체가 조회 됨"/>
    <s v="3자테스트"/>
    <s v="박영수"/>
    <s v="최민지"/>
    <s v="김승무"/>
    <s v="Online"/>
    <s v="결함"/>
    <s v="기능"/>
    <s v="확인요청"/>
    <s v="김승무"/>
    <s v="Minor"/>
    <x v="1"/>
    <d v="2026-01-20T15:47:29"/>
    <d v="2026-01-26T13:31:20"/>
  </r>
  <r>
    <s v="UT-GO-SP8"/>
    <n v="5"/>
    <n v="3"/>
    <x v="12"/>
    <s v="DEF-03517"/>
    <x v="3"/>
    <s v="[S_1] DECLARE문 실행시 계속 실행되고 종료가 안됨"/>
    <s v="3자테스트"/>
    <s v="신문호"/>
    <s v="정병환"/>
    <s v="김민욱"/>
    <s v="프로시져"/>
    <s v="결함"/>
    <s v="데이터"/>
    <s v="확인요청"/>
    <s v="김민욱"/>
    <s v="Minor"/>
    <x v="1"/>
    <d v="2026-01-20T10:53:50"/>
    <d v="2026-01-21T19:23:13"/>
  </r>
  <r>
    <s v="UT-GO12506R"/>
    <n v="5"/>
    <n v="3"/>
    <x v="12"/>
    <s v="DEF-03400"/>
    <x v="0"/>
    <s v="[S_1] 2019년도 하계성수기만 조회 가능함 확인 핗료"/>
    <s v="3자테스트"/>
    <s v="신문호"/>
    <s v="신문호"/>
    <s v="김민욱"/>
    <s v="Online"/>
    <s v="결함"/>
    <s v="기능"/>
    <s v="확인요청"/>
    <s v="김민욱"/>
    <s v="Minor"/>
    <x v="1"/>
    <d v="2026-01-19T12:36:46"/>
    <d v="2026-01-26T17:55:00"/>
  </r>
  <r>
    <s v="UT-GO11960S"/>
    <n v="5"/>
    <n v="3"/>
    <x v="12"/>
    <s v="DEF-03384"/>
    <x v="0"/>
    <s v="[S_4] 운항실적 기준 탭에서 엑셀 다운로드시  승객예약 기준 자료가 다운로드 됨 확인 필요"/>
    <s v="3자테스트"/>
    <s v="신문호"/>
    <s v="신문호"/>
    <s v="김민욱"/>
    <s v="Online"/>
    <s v="결함"/>
    <s v="기능"/>
    <s v="확인요청"/>
    <s v="김민욱"/>
    <s v="Minor"/>
    <x v="1"/>
    <d v="2026-01-19T10:36:47"/>
    <d v="2026-01-26T19:57:02"/>
  </r>
  <r>
    <s v="UT-GO21401S"/>
    <n v="5"/>
    <n v="3"/>
    <x v="12"/>
    <s v="DEF-03394"/>
    <x v="0"/>
    <s v="[S_6] 저장 버튼 클릭시 저장되지 않음"/>
    <s v="3자테스트"/>
    <s v="신문호"/>
    <s v="신문호"/>
    <s v="김민욱"/>
    <s v="Online"/>
    <s v="결함"/>
    <s v="기능"/>
    <s v="확인요청"/>
    <s v="김민욱"/>
    <s v="Minor"/>
    <x v="1"/>
    <d v="2026-01-19T11:09:17"/>
    <d v="2026-01-26T20:03:20"/>
  </r>
  <r>
    <s v="UT-GO-SP133"/>
    <n v="5"/>
    <n v="3"/>
    <x v="12"/>
    <s v="DEF-03504"/>
    <x v="0"/>
    <s v="[S_2-1] SQL 실행 에러"/>
    <s v="3자테스트"/>
    <s v="신문호"/>
    <s v="신문호"/>
    <s v="김민욱"/>
    <s v="프로시져"/>
    <s v="결함"/>
    <s v="데이터"/>
    <s v="확인요청"/>
    <s v="김민욱"/>
    <s v="Minor"/>
    <x v="1"/>
    <d v="2026-01-20T10:18:43"/>
    <d v="2026-01-21T19:37:50"/>
  </r>
  <r>
    <s v="UT-GO12903S"/>
    <n v="5"/>
    <n v="3"/>
    <x v="12"/>
    <s v="DEF-03403"/>
    <x v="5"/>
    <s v="[C_2] 조회에서 주기장이 필수항목으로 푯되여 있으나 입력없이도 조회됨"/>
    <s v="3자테스트"/>
    <s v="신문호"/>
    <s v="신문호"/>
    <s v="김민욱"/>
    <s v="Online"/>
    <s v="결함"/>
    <s v="기능"/>
    <s v="확인요청"/>
    <s v="김민욱"/>
    <s v="Minor"/>
    <x v="1"/>
    <d v="2026-01-19T12:44:40"/>
    <d v="2026-01-26T20:45:44"/>
  </r>
  <r>
    <s v="UT-GO-SP9"/>
    <n v="5"/>
    <n v="3"/>
    <x v="12"/>
    <s v="DEF-03515"/>
    <x v="0"/>
    <s v="[S_1] DECLARE문 실행시 계속 실행되고 종료가 안됨"/>
    <s v="3자테스트"/>
    <s v="신문호"/>
    <s v="정병환"/>
    <s v="김민욱"/>
    <s v="프로시져"/>
    <s v="결함"/>
    <s v="데이터"/>
    <s v="확인요청"/>
    <s v="김민욱"/>
    <s v="Minor"/>
    <x v="1"/>
    <d v="2026-01-20T10:51:50"/>
    <d v="2026-01-21T19:08:56"/>
  </r>
  <r>
    <s v="UT-MESRS023S"/>
    <n v="5"/>
    <n v="3"/>
    <x v="3"/>
    <s v="DEF-03409"/>
    <x v="6"/>
    <s v="[S_9]신규 생성후 저장시 저장이 안됨."/>
    <s v="3자테스트"/>
    <s v="임지훈"/>
    <s v="이수빈"/>
    <s v="윤성훈"/>
    <s v="Online"/>
    <s v="결함"/>
    <s v="기능"/>
    <s v="결함등록기각"/>
    <s v=""/>
    <s v="Major"/>
    <x v="2"/>
    <d v="2026-01-19T13:18:11"/>
    <d v="2026-01-19T20:25:02"/>
  </r>
  <r>
    <s v="UT-MESRS031S"/>
    <n v="5"/>
    <n v="3"/>
    <x v="3"/>
    <s v="DEF-03418"/>
    <x v="6"/>
    <s v="[C_11]power 수치 입력에대한 제한값이 없음(1~100%)"/>
    <s v="3자테스트"/>
    <s v="임지훈"/>
    <s v="이수빈"/>
    <s v="윤성훈"/>
    <s v="Online"/>
    <s v="결함"/>
    <s v="기능"/>
    <s v="결함등록기각"/>
    <s v=""/>
    <s v="Major"/>
    <x v="2"/>
    <d v="2026-01-19T13:41:33"/>
    <d v="2026-01-19T20:18:11"/>
  </r>
  <r>
    <s v="UT-MESMF041S"/>
    <n v="5"/>
    <n v="3"/>
    <x v="3"/>
    <s v="DEF-03508"/>
    <x v="0"/>
    <s v="[S_9]그룹 대상자 목록 수정 후 저장시 변경사항이 없다는 메세지창 뜸."/>
    <s v="3자테스트"/>
    <s v="임지훈"/>
    <s v="김용진"/>
    <s v="윤성훈"/>
    <s v="Online"/>
    <s v="결함"/>
    <s v="기능"/>
    <s v="확인요청"/>
    <s v="임지훈"/>
    <s v="Major"/>
    <x v="3"/>
    <d v="2026-01-20T10:35:05"/>
    <d v="2026-01-26T14:19:40"/>
  </r>
  <r>
    <s v="UT-ES-SP166"/>
    <n v="5"/>
    <n v="3"/>
    <x v="4"/>
    <s v="DEF-03629"/>
    <x v="0"/>
    <s v="[S_1] sql 오류발생"/>
    <s v="3자테스트"/>
    <s v="임지훈"/>
    <s v="김용진"/>
    <s v="윤성훈"/>
    <s v="프로시져"/>
    <s v="결함"/>
    <s v="기능"/>
    <s v="결함검토요청"/>
    <s v="임지훈"/>
    <s v="Major"/>
    <x v="5"/>
    <d v="2026-01-21T09:51:10"/>
    <d v="2026-01-21T09:51:10"/>
  </r>
  <r>
    <s v="UT-ES-SP167"/>
    <n v="5"/>
    <n v="3"/>
    <x v="4"/>
    <s v="DEF-03630"/>
    <x v="0"/>
    <s v="[S_1] sql 오류발생"/>
    <s v="3자테스트"/>
    <s v="임지훈"/>
    <s v="김용진"/>
    <s v="윤성훈"/>
    <s v="프로시져"/>
    <s v="결함"/>
    <s v="기능"/>
    <s v="결함검토요청"/>
    <s v="임지훈"/>
    <s v="Major"/>
    <x v="5"/>
    <d v="2026-01-21T09:58:05"/>
    <d v="2026-01-21T09:58:05"/>
  </r>
  <r>
    <s v="UT-CP-SP13"/>
    <n v="5"/>
    <n v="3"/>
    <x v="13"/>
    <s v="DEF-03686"/>
    <x v="0"/>
    <s v="[S_2] SQL 오류남"/>
    <s v="3자테스트"/>
    <s v="장경진"/>
    <s v="이인용"/>
    <s v="윤성훈"/>
    <s v="프로시져"/>
    <s v="결함"/>
    <s v="기능"/>
    <s v="확인요청"/>
    <s v="윤성훈"/>
    <s v="Major"/>
    <x v="1"/>
    <d v="2026-01-21T17:20:40"/>
    <d v="2026-01-22T15:55:09"/>
  </r>
  <r>
    <s v="UT-PM10107S"/>
    <n v="5"/>
    <n v="3"/>
    <x v="5"/>
    <s v="DEF-03489"/>
    <x v="0"/>
    <s v="[S_6] _x000a_화면: 검색조건에 맞는 데이터가 하나도 나오지 않음_x000a_엑셀다운로드: 전체 데이터가 나오는 듯함_x000a__x000a_(검색조건 다르게 걸어도 화면과 동일하게 엑셀 다운되지 않음)"/>
    <s v="3자테스트"/>
    <s v="염희석"/>
    <s v="pmtbd3"/>
    <s v="권아윤"/>
    <s v="Online"/>
    <s v="결함"/>
    <s v="기능"/>
    <s v="결함검토요청"/>
    <s v="염희석"/>
    <s v="Major"/>
    <x v="5"/>
    <d v="2026-01-20T09:33:53"/>
    <d v="2026-01-20T09:35:38"/>
  </r>
  <r>
    <s v="UT-PM20157S"/>
    <n v="5"/>
    <n v="3"/>
    <x v="5"/>
    <s v="DEF-03396"/>
    <x v="0"/>
    <s v="[S_6] _x000a_시뮬레이션 이력이 저장되지 않음"/>
    <s v="3자테스트"/>
    <s v="염희석"/>
    <s v="노세찬"/>
    <s v="권아윤"/>
    <s v="Online"/>
    <s v="결함"/>
    <s v="기능"/>
    <s v="결함검토요청"/>
    <s v="염희석"/>
    <s v="Major"/>
    <x v="5"/>
    <d v="2026-01-19T11:16:07"/>
    <d v="2026-01-19T11:16:07"/>
  </r>
  <r>
    <s v="UT-PM10107S"/>
    <n v="5"/>
    <n v="3"/>
    <x v="5"/>
    <s v="DEF-03488"/>
    <x v="5"/>
    <s v="[C_19] _x000a_행 수정 후 저장완료하였는데 왼쪽 수정 아이콘이 사라지지 않음"/>
    <s v="3자테스트"/>
    <s v="염희석"/>
    <s v="pmtbd3"/>
    <s v="권아윤"/>
    <s v="Online"/>
    <s v="결함"/>
    <s v="표준"/>
    <s v="결함검토요청"/>
    <s v="염희석"/>
    <s v="Minor"/>
    <x v="5"/>
    <d v="2026-01-20T09:27:32"/>
    <d v="2026-01-20T09:27:32"/>
  </r>
  <r>
    <s v="UT-PM20161M"/>
    <n v="5"/>
    <n v="3"/>
    <x v="5"/>
    <s v="DEF-03444"/>
    <x v="6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s v="Online"/>
    <s v="결함"/>
    <s v="UI"/>
    <s v="결함등록기각"/>
    <s v=""/>
    <s v="Major"/>
    <x v="2"/>
    <d v="2026-01-19T14:47:42"/>
    <d v="2026-01-26T14:04:33"/>
  </r>
  <r>
    <s v="UT-PM20160S"/>
    <n v="5"/>
    <n v="3"/>
    <x v="5"/>
    <s v="DEF-03448"/>
    <x v="6"/>
    <s v="[C_5] _x000a_시뮬레이션 결과값이 정상적으로 저장되었는지의 메시지 표출이 없음"/>
    <s v="3자테스트"/>
    <s v="염희석"/>
    <s v="노세찬"/>
    <s v="권아윤"/>
    <s v="Online"/>
    <s v="결함"/>
    <s v="표준"/>
    <s v="결함등록기각"/>
    <s v=""/>
    <s v="Major"/>
    <x v="2"/>
    <d v="2026-01-19T14:54:29"/>
    <d v="2026-01-26T14:27:39"/>
  </r>
  <r>
    <s v="UT-PM20160S"/>
    <n v="5"/>
    <n v="3"/>
    <x v="5"/>
    <s v="DEF-03447"/>
    <x v="6"/>
    <s v="[X_2] _x000a_테이블 초기 선택 row가 마지막 행으로 되어있음"/>
    <s v="3자테스트"/>
    <s v="염희석"/>
    <s v="노세찬"/>
    <s v="권아윤"/>
    <s v="Online"/>
    <s v="결함"/>
    <s v="UI"/>
    <s v="결함등록기각"/>
    <s v=""/>
    <s v="Minor"/>
    <x v="2"/>
    <d v="2026-01-19T14:54:00"/>
    <d v="2026-01-26T16:23:26"/>
  </r>
  <r>
    <s v="UT-PM20159S"/>
    <n v="5"/>
    <n v="3"/>
    <x v="5"/>
    <s v="DEF-03443"/>
    <x v="6"/>
    <s v="[X_3] _x000a_헤더명 결함 추정_x000a_동편 -&gt; 선택한 라디오 값 (출국장1/출국장2)"/>
    <s v="3자테스트"/>
    <s v="염희석"/>
    <s v="노세찬"/>
    <s v="권아윤"/>
    <s v="Online"/>
    <s v="결함"/>
    <s v="UI"/>
    <s v="결함등록기각"/>
    <s v=""/>
    <s v="Major"/>
    <x v="2"/>
    <d v="2026-01-19T14:45:36"/>
    <d v="2026-01-26T21:00:21"/>
  </r>
  <r>
    <s v="UT-PM20159S"/>
    <n v="5"/>
    <n v="3"/>
    <x v="5"/>
    <s v="DEF-03441"/>
    <x v="6"/>
    <s v="[X_2] _x000a_테이블 초기 선택 row가 마지막 행으로 되어있음"/>
    <s v="3자테스트"/>
    <s v="염희석"/>
    <s v="노세찬"/>
    <s v="권아윤"/>
    <s v="Online"/>
    <s v="결함"/>
    <s v="UI"/>
    <s v="결함등록기각"/>
    <s v=""/>
    <s v="Minor"/>
    <x v="2"/>
    <d v="2026-01-19T14:42:20"/>
    <d v="2026-01-26T16:23:08"/>
  </r>
  <r>
    <s v="UT-PM20159S"/>
    <n v="5"/>
    <n v="3"/>
    <x v="5"/>
    <s v="DEF-03439"/>
    <x v="6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s v="Online"/>
    <s v="결함"/>
    <s v="UI"/>
    <s v="결함등록기각"/>
    <s v=""/>
    <s v="Major"/>
    <x v="2"/>
    <d v="2026-01-19T14:37:38"/>
    <d v="2026-01-26T14:04:02"/>
  </r>
  <r>
    <s v="UT-PM20159S"/>
    <n v="5"/>
    <n v="3"/>
    <x v="5"/>
    <s v="DEF-03437"/>
    <x v="6"/>
    <s v="[C_5] _x000a_시뮬레이션 결과값이 정상적으로 저장되었는지의 메시지 표출이 없음"/>
    <s v="3자테스트"/>
    <s v="염희석"/>
    <s v="노세찬"/>
    <s v="권아윤"/>
    <s v="Online"/>
    <s v="결함"/>
    <s v="표준"/>
    <s v="결함등록기각"/>
    <s v=""/>
    <s v="Minor"/>
    <x v="2"/>
    <d v="2026-01-19T14:35:14"/>
    <d v="2026-01-26T14:27:21"/>
  </r>
  <r>
    <s v="UT-PM20158S"/>
    <n v="5"/>
    <n v="3"/>
    <x v="5"/>
    <s v="DEF-03408"/>
    <x v="6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s v="Online"/>
    <s v="결함"/>
    <s v="UI"/>
    <s v="결함등록기각"/>
    <s v=""/>
    <s v="Major"/>
    <x v="2"/>
    <d v="2026-01-19T13:18:02"/>
    <d v="2026-01-26T14:03:46"/>
  </r>
  <r>
    <s v="UT-PM20158S"/>
    <n v="5"/>
    <n v="3"/>
    <x v="5"/>
    <s v="DEF-03417"/>
    <x v="6"/>
    <s v="[X_2] _x000a_테이블 초기 선택 row가 마지막 행으로 되어있음"/>
    <s v="3자테스트"/>
    <s v="염희석"/>
    <s v="노세찬"/>
    <s v="권아윤"/>
    <s v="Online"/>
    <s v="결함"/>
    <s v="UI"/>
    <s v="결함등록기각"/>
    <s v=""/>
    <s v="Minor"/>
    <x v="2"/>
    <d v="2026-01-19T13:41:00"/>
    <d v="2026-01-26T16:22:50"/>
  </r>
  <r>
    <s v="UT-PM20158S"/>
    <n v="5"/>
    <n v="3"/>
    <x v="5"/>
    <s v="DEF-03410"/>
    <x v="6"/>
    <s v="[S_2] _x000a_서편 선택시에도 테이블에 동편 데이터로 나옴"/>
    <s v="3자테스트"/>
    <s v="염희석"/>
    <s v="노세찬"/>
    <s v="권아윤"/>
    <s v="Online"/>
    <s v="결함"/>
    <s v="기능"/>
    <s v="결함등록기각"/>
    <s v=""/>
    <s v="Major"/>
    <x v="2"/>
    <d v="2026-01-19T13:19:23"/>
    <d v="2026-01-26T20:59:52"/>
  </r>
  <r>
    <s v="UT-PM20157S"/>
    <n v="5"/>
    <n v="3"/>
    <x v="5"/>
    <s v="DEF-03393"/>
    <x v="6"/>
    <s v="[S_5] _x000a_최초 조회시 (2026-01-19 기준) 그래프 값 정상 확인_x000a_2번째 조회시 (2026-01-01 기준) 값이 이전 값 그대로 유지됨, 업데이트가 되지 않음 "/>
    <s v="3자테스트"/>
    <s v="염희석"/>
    <s v="노세찬"/>
    <s v="권아윤"/>
    <s v="Online"/>
    <s v="결함"/>
    <s v="기능"/>
    <s v="결함등록기각"/>
    <s v=""/>
    <s v="Major"/>
    <x v="2"/>
    <d v="2026-01-19T11:04:47"/>
    <d v="2026-01-26T16:37:22"/>
  </r>
  <r>
    <s v="UT-PM20157S"/>
    <n v="5"/>
    <n v="3"/>
    <x v="5"/>
    <s v="DEF-03413"/>
    <x v="6"/>
    <s v="[X_2] _x000a_테이블 초기 선택 row가 마지막 행으로 되어있음"/>
    <s v="3자테스트"/>
    <s v="염희석"/>
    <s v="노세찬"/>
    <s v="권아윤"/>
    <s v="Online"/>
    <s v="결함"/>
    <s v="UI"/>
    <s v="결함등록기각"/>
    <s v=""/>
    <s v="Minor"/>
    <x v="2"/>
    <d v="2026-01-19T13:30:26"/>
    <d v="2026-01-26T16:22:28"/>
  </r>
  <r>
    <s v="UT-PM20157S"/>
    <n v="5"/>
    <n v="3"/>
    <x v="5"/>
    <s v="DEF-03389"/>
    <x v="6"/>
    <s v="[X_1] _x000a_1920*1080, 크롬 100% 배율_x000a_최초 조회시 그래프 이미지 사이즈가 맞지 않음 (스크롤바도 안보임)_x000a_한번 배율 조정후에야 스크롤바 보임"/>
    <s v="3자테스트"/>
    <s v="염희석"/>
    <s v="노세찬"/>
    <s v="권아윤"/>
    <s v="Online"/>
    <s v="결함"/>
    <s v="UI"/>
    <s v="결함등록기각"/>
    <s v=""/>
    <s v="Major"/>
    <x v="2"/>
    <d v="2026-01-19T10:58:47"/>
    <d v="2026-01-26T14:03:28"/>
  </r>
  <r>
    <s v="UT-PM20159S"/>
    <n v="5"/>
    <n v="3"/>
    <x v="5"/>
    <s v="DEF-03440"/>
    <x v="6"/>
    <s v="[S_5] _x000a_최초 조회시 (2026-01-19 기준) 그래프 값 정상 확인_x000a_2번째 조회시 (2026-01-01 기준) 값이 이전 값 그대로 유지됨, 업데이트가 되지 않음 "/>
    <s v="3자테스트"/>
    <s v="염희석"/>
    <s v="노세찬"/>
    <s v="권아윤"/>
    <s v="Online"/>
    <s v="결함"/>
    <s v="기능"/>
    <s v="결함등록기각"/>
    <s v=""/>
    <s v="Major"/>
    <x v="2"/>
    <d v="2026-01-19T14:39:52"/>
    <d v="2026-01-26T16:37:47"/>
  </r>
  <r>
    <s v="UT-PM10204S"/>
    <n v="5"/>
    <n v="3"/>
    <x v="5"/>
    <s v="DEF-03495"/>
    <x v="6"/>
    <s v="[S_5] _x000a_화면상 검색 데이터와 엑셀다운로드 데이터가 맞지 않음"/>
    <s v="3자테스트"/>
    <s v="염희석"/>
    <s v="pmtbd2"/>
    <s v="권아윤"/>
    <s v="Online"/>
    <s v="결함"/>
    <s v="기능"/>
    <s v="결함등록기각"/>
    <s v=""/>
    <s v="Major"/>
    <x v="2"/>
    <d v="2026-01-20T09:52:18"/>
    <d v="2026-01-22T10:58:37"/>
  </r>
  <r>
    <s v="UT-PM10202S"/>
    <n v="5"/>
    <n v="3"/>
    <x v="5"/>
    <s v="DEF-03494"/>
    <x v="6"/>
    <s v="[S_5] _x000a_화면상 검색 데이터와 엑셀다운로드 데이터가 맞지 않음"/>
    <s v="3자테스트"/>
    <s v="염희석"/>
    <s v="pmtbd1"/>
    <s v="권아윤"/>
    <s v="Online"/>
    <s v="결함"/>
    <s v="기능"/>
    <s v="결함등록기각"/>
    <s v=""/>
    <s v="Major"/>
    <x v="2"/>
    <d v="2026-01-20T09:50:22"/>
    <d v="2026-01-22T10:58:15"/>
  </r>
  <r>
    <s v="UT-PM20158S"/>
    <n v="5"/>
    <n v="3"/>
    <x v="5"/>
    <s v="DEF-03436"/>
    <x v="5"/>
    <s v="[C_5] _x000a_시뮬레이션 결과값이 정상적으로 저장되었는지의 메시지 표출이 없음"/>
    <s v="3자테스트"/>
    <s v="염희석"/>
    <s v="노세찬"/>
    <s v="권아윤"/>
    <s v="Online"/>
    <s v="결함"/>
    <s v="표준"/>
    <s v="확인요청"/>
    <s v="권아윤"/>
    <s v="Minor"/>
    <x v="1"/>
    <d v="2026-01-19T14:24:06"/>
    <d v="2026-01-26T14:26:51"/>
  </r>
  <r>
    <s v="UT-PM20158S"/>
    <n v="5"/>
    <n v="3"/>
    <x v="5"/>
    <s v="DEF-03434"/>
    <x v="7"/>
    <s v="[S_5] _x000a_최초 조회시 (2026-01-19 기준) 그래프 값 정상 확인_x000a_2번째 조회시 (2026-01-01 기준) 값이 이전 값 그대로 유지됨, 업데이트가 되지 않음 "/>
    <s v="3자테스트"/>
    <s v="염희석"/>
    <s v="노세찬"/>
    <s v="권아윤"/>
    <s v="Online"/>
    <s v="결함"/>
    <s v="기능"/>
    <s v="확인요청"/>
    <s v="권아윤"/>
    <s v="Major"/>
    <x v="1"/>
    <d v="2026-01-19T14:23:04"/>
    <d v="2026-01-26T16:36:28"/>
  </r>
  <r>
    <s v="UT-PM20156S"/>
    <n v="5"/>
    <n v="3"/>
    <x v="5"/>
    <s v="DEF-03388"/>
    <x v="5"/>
    <s v="[C_5] _x000a_시뮬레이션 결과값이 정상적으로 저장되었는지의 메시지 표출이 없음"/>
    <s v="3자테스트"/>
    <s v="염희석"/>
    <s v="노세찬"/>
    <s v="권아윤"/>
    <s v="Online"/>
    <s v="결함"/>
    <s v="표준"/>
    <s v="확인요청"/>
    <s v="권아윤"/>
    <s v="Minor"/>
    <x v="1"/>
    <d v="2026-01-19T10:49:02"/>
    <d v="2026-01-26T14:25:23"/>
  </r>
  <r>
    <s v="UT-PM20156S"/>
    <n v="5"/>
    <n v="3"/>
    <x v="5"/>
    <s v="DEF-03412"/>
    <x v="8"/>
    <s v="[X_2] _x000a_테이블 초기 선택 row가 마지막 행으로 되어있음"/>
    <s v="3자테스트"/>
    <s v="염희석"/>
    <s v="노세찬"/>
    <s v="권아윤"/>
    <s v="Online"/>
    <s v="결함"/>
    <s v="UI"/>
    <s v="확인요청"/>
    <s v="권아윤"/>
    <s v="Minor"/>
    <x v="1"/>
    <d v="2026-01-19T13:26:21"/>
    <d v="2026-01-26T16:19:26"/>
  </r>
  <r>
    <s v="UT-PM10201S"/>
    <n v="5"/>
    <n v="3"/>
    <x v="5"/>
    <s v="DEF-03717"/>
    <x v="5"/>
    <s v="[C_11]_x000a_&quot;메모&quot; 입력 자리수 제한 필요_x000a_(출국장운영시간설정관리 페이지 동일)"/>
    <s v="3자테스트"/>
    <s v="염희석"/>
    <s v="pmtbd1"/>
    <s v="권아윤"/>
    <s v="Online"/>
    <s v="결함"/>
    <s v="표준"/>
    <s v="확인요청"/>
    <s v="권아윤"/>
    <s v="Minor"/>
    <x v="1"/>
    <d v="2026-01-22T14:22:03"/>
    <d v="2026-01-26T14:01:21"/>
  </r>
  <r>
    <s v="UT-PM20160S"/>
    <n v="5"/>
    <n v="3"/>
    <x v="5"/>
    <s v="DEF-03446"/>
    <x v="7"/>
    <s v="[S_5]_x000a_선택한 라디오와 전체 값을 비교했을때_x000a_헤더도 다르고, 숫자값도 다름"/>
    <s v="3자테스트"/>
    <s v="염희석"/>
    <s v="노세찬"/>
    <s v="권아윤"/>
    <s v="Online"/>
    <s v="결함"/>
    <s v="기능"/>
    <s v="확인요청"/>
    <s v="권아윤"/>
    <s v="Major"/>
    <x v="1"/>
    <d v="2026-01-19T14:51:04"/>
    <d v="2026-01-26T17:34:57"/>
  </r>
  <r>
    <s v="UT-PM20156S"/>
    <n v="5"/>
    <n v="3"/>
    <x v="5"/>
    <s v="DEF-03383"/>
    <x v="0"/>
    <s v="[S_2] _x000a_서편 선택시에도 테이블에 동편 데이터로 나옴"/>
    <s v="3자테스트"/>
    <s v="염희석"/>
    <s v="노세찬"/>
    <s v="권아윤"/>
    <s v="Online"/>
    <s v="결함"/>
    <s v="기능"/>
    <s v="확인요청"/>
    <s v="권아윤"/>
    <s v="Major"/>
    <x v="1"/>
    <d v="2026-01-19T10:35:56"/>
    <d v="2026-01-26T20:58:45"/>
  </r>
  <r>
    <s v="UT-PM10201S"/>
    <n v="5"/>
    <n v="3"/>
    <x v="5"/>
    <s v="DEF-03719"/>
    <x v="0"/>
    <s v="[S_2]_x000a_운영여부 변경후 완료버튼 누르면 서버오류 알림이 뜸 "/>
    <s v="3자테스트"/>
    <s v="염희석"/>
    <s v="pmtbd1"/>
    <s v="권아윤"/>
    <s v="Online"/>
    <s v="결함"/>
    <s v="기능"/>
    <s v="확인요청"/>
    <s v="권아윤"/>
    <s v="Major"/>
    <x v="1"/>
    <d v="2026-01-22T14:28:20"/>
    <d v="2026-01-26T14:01:37"/>
  </r>
  <r>
    <s v="UT-PM20156S"/>
    <n v="5"/>
    <n v="3"/>
    <x v="5"/>
    <s v="DEF-03381"/>
    <x v="8"/>
    <s v="[X_1] _x000a_1920*1080, 크롬 100% 배율_x000a_최초 조회시 그래프 이미지 사이즈가 맞지 않음 (스크롤바도 안보임)_x000a_한번 배율 조정후에야 스크롤바 보임_x000a__x000a_(동일건들은 기각하셔도 됩니다!)"/>
    <s v="3자테스트"/>
    <s v="염희석"/>
    <s v="노세찬"/>
    <s v="권아윤"/>
    <s v="Online"/>
    <s v="결함"/>
    <s v="UI"/>
    <s v="확인요청"/>
    <s v="권아윤"/>
    <s v="Major"/>
    <x v="1"/>
    <d v="2026-01-19T10:27:50"/>
    <d v="2026-01-26T14:02:25"/>
  </r>
  <r>
    <s v="UT-PM10106S"/>
    <n v="5"/>
    <n v="3"/>
    <x v="5"/>
    <s v="DEF-03485"/>
    <x v="5"/>
    <s v="[C_13] _x000a_종료일이 시작일보다 과거여도 아무 알림이 뜨지 않고 검색도 되지 않음"/>
    <s v="3자테스트"/>
    <s v="염희석"/>
    <s v="신문호"/>
    <s v="권아윤"/>
    <s v="Online"/>
    <s v="결함"/>
    <s v="표준"/>
    <s v="확인요청"/>
    <s v="조은지"/>
    <s v="Minor"/>
    <x v="3"/>
    <d v="2026-01-20T09:21:04"/>
    <d v="2026-01-26T07:28:08"/>
  </r>
  <r>
    <s v="UT-PM20157S"/>
    <n v="5"/>
    <n v="3"/>
    <x v="5"/>
    <s v="DEF-03397"/>
    <x v="5"/>
    <s v="[C_5] _x000a_시뮬레이션 결과값이 정상적으로 저장되었는지의 메시지 표출이 없음"/>
    <s v="3자테스트"/>
    <s v="염희석"/>
    <s v="노세찬"/>
    <s v="권아윤"/>
    <s v="Online"/>
    <s v="결함"/>
    <s v="표준"/>
    <s v="확인요청"/>
    <s v="염희석"/>
    <s v="Major"/>
    <x v="3"/>
    <d v="2026-01-19T11:17:03"/>
    <d v="2026-01-26T14:33:23"/>
  </r>
  <r>
    <s v="UT-PM10105S"/>
    <n v="5"/>
    <n v="3"/>
    <x v="5"/>
    <s v="DEF-03486"/>
    <x v="5"/>
    <s v="[C_13] _x000a_종료일이 시작일보다 과거여도 아무 알림이 뜨지 않고 검색도 되지 않음"/>
    <s v="3자테스트"/>
    <s v="염희석"/>
    <s v="신문호"/>
    <s v="권아윤"/>
    <s v="Online"/>
    <s v="결함"/>
    <s v="표준"/>
    <s v="확인요청"/>
    <s v="조은지"/>
    <s v="Minor"/>
    <x v="3"/>
    <d v="2026-01-20T09:22:16"/>
    <d v="2026-01-26T07:27:50"/>
  </r>
  <r>
    <s v="UT-FP-SP108"/>
    <n v="5"/>
    <n v="3"/>
    <x v="6"/>
    <s v="DEF-03632"/>
    <x v="6"/>
    <s v="[S_2] 적재 확인 불가"/>
    <s v="3자테스트"/>
    <s v="장경진"/>
    <s v="이인용"/>
    <s v="최중혁"/>
    <s v="프로시져"/>
    <s v="결함"/>
    <s v="기능"/>
    <s v="결함등록기각"/>
    <s v=""/>
    <s v="Major"/>
    <x v="2"/>
    <d v="2026-01-21T10:05:10"/>
    <d v="2026-01-22T11:13:24"/>
  </r>
  <r>
    <s v="UT-FP-SP108"/>
    <n v="5"/>
    <n v="3"/>
    <x v="6"/>
    <s v="DEF-03631"/>
    <x v="6"/>
    <s v="[S_1] 적재 확인 불가"/>
    <s v="3자테스트"/>
    <s v="장경진"/>
    <s v="이인용"/>
    <s v="최중혁"/>
    <s v="프로시져"/>
    <s v="결함"/>
    <s v="기능"/>
    <s v="결함등록기각"/>
    <s v=""/>
    <s v="Major"/>
    <x v="2"/>
    <d v="2026-01-21T09:59:21"/>
    <d v="2026-01-21T19:38:33"/>
  </r>
  <r>
    <s v="UT-FP-SP109"/>
    <n v="5"/>
    <n v="3"/>
    <x v="6"/>
    <s v="DEF-03639"/>
    <x v="6"/>
    <s v="[S_3] 데이터 적재 확인 불가"/>
    <s v="3자테스트"/>
    <s v="장경진"/>
    <s v="이인용"/>
    <s v="최중혁"/>
    <s v="프로시져"/>
    <s v="결함"/>
    <s v="기능"/>
    <s v="결함등록기각"/>
    <s v=""/>
    <s v="Major"/>
    <x v="2"/>
    <d v="2026-01-21T10:29:44"/>
    <d v="2026-01-22T11:26:46"/>
  </r>
  <r>
    <s v="UT-FP-SP109"/>
    <n v="5"/>
    <n v="3"/>
    <x v="6"/>
    <s v="DEF-03640"/>
    <x v="6"/>
    <s v="[S_4] 데이터 적재 확인 불가"/>
    <s v="3자테스트"/>
    <s v="장경진"/>
    <s v="이인용"/>
    <s v="최중혁"/>
    <s v="프로시져"/>
    <s v="결함"/>
    <s v="기능"/>
    <s v="결함등록기각"/>
    <s v=""/>
    <s v="Major"/>
    <x v="2"/>
    <d v="2026-01-21T10:32:42"/>
    <d v="2026-01-22T13:08:40"/>
  </r>
  <r>
    <s v="UT-FP-SP111"/>
    <n v="5"/>
    <n v="3"/>
    <x v="6"/>
    <s v="DEF-03635"/>
    <x v="6"/>
    <s v="[S_3] 적재 확인 불가"/>
    <s v="3자테스트"/>
    <s v="장경진"/>
    <s v="이인용"/>
    <s v="최중혁"/>
    <s v="프로시져"/>
    <s v="결함"/>
    <s v="기능"/>
    <s v="결함등록기각"/>
    <s v=""/>
    <s v="Major"/>
    <x v="2"/>
    <d v="2026-01-21T10:12:31"/>
    <d v="2026-01-22T09:57:23"/>
  </r>
  <r>
    <s v="UT-FPFA101S"/>
    <n v="5"/>
    <n v="3"/>
    <x v="6"/>
    <s v="DEF-03459"/>
    <x v="6"/>
    <s v="[C_12] 검색기간이 2일 이내인데 2일을 초과할 수 없습니다라고 뜸"/>
    <s v="3자테스트"/>
    <s v="장경진"/>
    <s v="현영광"/>
    <s v="최중혁"/>
    <s v="Online"/>
    <s v="결함"/>
    <s v="UI"/>
    <s v="결함등록기각"/>
    <s v=""/>
    <s v="Major"/>
    <x v="2"/>
    <d v="2026-01-19T15:27:22"/>
    <d v="2026-01-21T18:51:45"/>
  </r>
  <r>
    <s v="UT-FPMG031M"/>
    <n v="5"/>
    <n v="3"/>
    <x v="6"/>
    <s v="DEF-03467"/>
    <x v="6"/>
    <s v="[S_5] 시험데이터가 조회되지 않는 관계로 다른 데이터로 테스트. error log가 존재하는 정보임에도 존재를 error log 버튼이 활성화되지 않음,"/>
    <s v="3자테스트"/>
    <s v="장경진"/>
    <s v="현영광"/>
    <s v="최중혁"/>
    <s v="Online"/>
    <s v="결함"/>
    <s v="기능"/>
    <s v="결함등록기각"/>
    <s v=""/>
    <s v="Critical"/>
    <x v="2"/>
    <d v="2026-01-19T15:40:06"/>
    <d v="2026-01-21T18:48:22"/>
  </r>
  <r>
    <s v="UT-FPMG031M"/>
    <n v="5"/>
    <n v="3"/>
    <x v="6"/>
    <s v="DEF-03464"/>
    <x v="6"/>
    <s v="[C_16] DATE 간격이 3일인데, 3일을 '초과'할 수 없다라는 문구가 뜸"/>
    <s v="3자테스트"/>
    <s v="장경진"/>
    <s v="현영광"/>
    <s v="최중혁"/>
    <s v="Online"/>
    <s v="결함"/>
    <s v="UI"/>
    <s v="결함등록기각"/>
    <s v=""/>
    <s v="Minor"/>
    <x v="2"/>
    <d v="2026-01-19T15:35:33"/>
    <d v="2026-01-21T18:43:46"/>
  </r>
  <r>
    <s v="UT-FPMG032M"/>
    <n v="5"/>
    <n v="3"/>
    <x v="6"/>
    <s v="DEF-03465"/>
    <x v="6"/>
    <s v="[S_5] 시험 데이터가 조회되지 않는 관계로 다른 데이터로 테스트. error log가 존재하는 정보임에도 존재를 error log 버튼이 활성화되지 않음"/>
    <s v="3자테스트"/>
    <s v="장경진"/>
    <s v="현영광"/>
    <s v="최중혁"/>
    <s v="Online"/>
    <s v="결함"/>
    <s v="기능"/>
    <s v="결함등록기각"/>
    <s v=""/>
    <s v="Critical"/>
    <x v="2"/>
    <d v="2026-01-19T15:38:42"/>
    <d v="2026-01-21T18:50:34"/>
  </r>
  <r>
    <s v="UT-FPMG052M"/>
    <n v="5"/>
    <n v="3"/>
    <x v="6"/>
    <s v="DEF-03523"/>
    <x v="6"/>
    <s v="[C_12] 적어도 하나의 운항번호(FNL)를 입력해 주십시오라고 할 때, FNL -&gt; FLN 으로 오타"/>
    <s v="3자테스트"/>
    <s v="장경진"/>
    <s v="현영광"/>
    <s v="최중혁"/>
    <s v="Online"/>
    <s v="결함"/>
    <s v="UI"/>
    <s v="결함등록기각"/>
    <s v=""/>
    <s v="Minor"/>
    <x v="2"/>
    <d v="2026-01-20T11:09:08"/>
    <d v="2026-01-21T09:41:18"/>
  </r>
  <r>
    <s v="UT-FPFA185S"/>
    <n v="5"/>
    <n v="3"/>
    <x v="6"/>
    <s v="DEF-03435"/>
    <x v="6"/>
    <s v="[S_8] [SELECT] 버튼 클릭하고 닫은 뒤, 다른 row를 선택하고 [SELECT] 버튼을 누르면 이전 데이터의 팝업이 계속 뜸"/>
    <s v="3자테스트"/>
    <s v="장경진"/>
    <s v="현영광"/>
    <s v="최중혁"/>
    <s v="Online"/>
    <s v="결함"/>
    <s v="기능"/>
    <s v="결함등록기각"/>
    <s v=""/>
    <s v="Critical"/>
    <x v="2"/>
    <d v="2026-01-19T14:23:56"/>
    <d v="2026-01-21T18:57:56"/>
  </r>
  <r>
    <s v="UT-FPFA185S"/>
    <n v="5"/>
    <n v="3"/>
    <x v="6"/>
    <s v="DEF-03433"/>
    <x v="6"/>
    <s v="[S_3] Unlink 체크박스 체크 시. 링크 운항편이 즉각적으로 출력되지 않음._x000a_체크박스를 한번 더 미체크/체크 시, 링크 운항편이 출력됨. "/>
    <s v="3자테스트"/>
    <s v="장경진"/>
    <s v="현영광"/>
    <s v="최중혁"/>
    <s v="Online"/>
    <s v="결함"/>
    <s v="기능"/>
    <s v="결함등록기각"/>
    <s v=""/>
    <s v="Critical"/>
    <x v="2"/>
    <d v="2026-01-19T14:16:43"/>
    <d v="2026-01-21T19:18:05"/>
  </r>
  <r>
    <s v="UT-FPMG055M"/>
    <n v="5"/>
    <n v="3"/>
    <x v="6"/>
    <s v="DEF-03602"/>
    <x v="5"/>
    <s v="[C_15] 날짜포맷에 맞지않은 형식이 들어감, submit도 가능"/>
    <s v="3자테스트"/>
    <s v="장경진"/>
    <s v="현영광"/>
    <s v="최중혁"/>
    <s v="Online"/>
    <s v="결함"/>
    <s v="데이터"/>
    <s v="최종확인    "/>
    <s v=""/>
    <s v="Critical"/>
    <x v="0"/>
    <d v="2026-01-20T15:14:04"/>
    <d v="2026-01-22T15:56:17"/>
  </r>
  <r>
    <s v="UT-FPMG054M"/>
    <n v="5"/>
    <n v="3"/>
    <x v="6"/>
    <s v="DEF-03585"/>
    <x v="5"/>
    <s v="[C_15] 날짜가 32일도 입력이 됨 날짜 제한 체크 필요"/>
    <s v="3자테스트"/>
    <s v="장경진"/>
    <s v="현영광"/>
    <s v="최중혁"/>
    <s v="Online"/>
    <s v="결함"/>
    <s v="데이터"/>
    <s v="최종확인    "/>
    <s v=""/>
    <s v="Critical"/>
    <x v="0"/>
    <d v="2026-01-20T14:52:47"/>
    <d v="2026-01-22T15:55:37"/>
  </r>
  <r>
    <s v="UT-FPMG059M"/>
    <n v="5"/>
    <n v="3"/>
    <x v="6"/>
    <s v="DEF-03605"/>
    <x v="5"/>
    <s v="[C_15] 날짜 포맷에 맞지 않는 형식이 저장됨"/>
    <s v="3자테스트"/>
    <s v="장경진"/>
    <s v="현영광"/>
    <s v="최중혁"/>
    <s v="Online"/>
    <s v="결함"/>
    <s v="데이터"/>
    <s v="최종확인    "/>
    <s v=""/>
    <s v="Critical"/>
    <x v="0"/>
    <d v="2026-01-20T15:25:07"/>
    <d v="2026-01-22T16:06:55"/>
  </r>
  <r>
    <s v="UT-FPMG073M"/>
    <n v="5"/>
    <n v="3"/>
    <x v="6"/>
    <s v="DEF-03670"/>
    <x v="0"/>
    <s v="[S_3] 특정 Row를 클릭후 DELETE 버튼을 클릭해도 삭제가 완료되었습니다는 뜨지만, 리스트에서 Row는 남아있음. 총 갯수도 그대로임"/>
    <s v="3자테스트"/>
    <s v="장경진"/>
    <s v="현영광"/>
    <s v="최중혁"/>
    <s v="Online"/>
    <s v="결함"/>
    <s v="기능"/>
    <s v="최종확인    "/>
    <s v=""/>
    <s v="Critical"/>
    <x v="0"/>
    <d v="2026-01-21T15:03:25"/>
    <d v="2026-01-22T16:16:40"/>
  </r>
  <r>
    <s v="UT-FPFA101S"/>
    <n v="5"/>
    <n v="3"/>
    <x v="6"/>
    <s v="DEF-03406"/>
    <x v="7"/>
    <s v="[S_4] 엑셀 다운로드시, FLT가 실제 검색 결과대로 출력되지 않음. ex) 7C2606 -&gt; 1, 2 ,3 이렇게 출력됨"/>
    <s v="3자테스트"/>
    <s v="장경진"/>
    <s v="현영광"/>
    <s v="최중혁"/>
    <s v="Online"/>
    <s v="결함"/>
    <s v="기능"/>
    <s v="확인요청"/>
    <s v="최중혁"/>
    <s v="Major"/>
    <x v="1"/>
    <d v="2026-01-19T13:10:56"/>
    <d v="2026-01-26T09:29:56"/>
  </r>
  <r>
    <s v="UT-FPFA066S"/>
    <n v="5"/>
    <n v="3"/>
    <x v="6"/>
    <s v="DEF-03692"/>
    <x v="5"/>
    <s v="[C_11] 엑셀 업로드 시, 유효하지 않은 값(한글, 5자리 이상)이 입력 자체는 가능함. submit 시에 서버 오류 발생"/>
    <s v="3자테스트"/>
    <s v="장경진"/>
    <s v="현영광"/>
    <s v="최중혁"/>
    <s v="Online"/>
    <s v="결함"/>
    <s v="데이터"/>
    <s v="확인요청"/>
    <s v="최중혁"/>
    <s v="Critical"/>
    <x v="1"/>
    <d v="2026-01-22T10:34:46"/>
    <d v="2026-01-27T10:19:57"/>
  </r>
  <r>
    <s v="UT-RS-SP53"/>
    <n v="5"/>
    <n v="3"/>
    <x v="7"/>
    <s v="DEF-03729"/>
    <x v="0"/>
    <s v="[S_1] _x000a_체크인카운터 신규데이터를 인서트시 무결성제약조건 에러가 발생"/>
    <s v="3자테스트"/>
    <s v="유경섭"/>
    <s v="양우창"/>
    <s v="권아윤"/>
    <s v="프로시져"/>
    <s v="결함"/>
    <s v="기능"/>
    <s v="결함검토요청"/>
    <s v="유경섭"/>
    <s v="Major"/>
    <x v="5"/>
    <d v="2026-01-22T15:35:11"/>
    <d v="2026-01-22T15:35:11"/>
  </r>
  <r>
    <s v="UT-RS-SP66"/>
    <n v="5"/>
    <n v="3"/>
    <x v="7"/>
    <s v="DEF-03736"/>
    <x v="0"/>
    <s v="[S_2] _x000a_프로시저 실행 후 데이터 반영 (SELECT ) 확인시 0건 조회됨_x000a__x000a_SP_RS_WESCKNCTSSNPRESCH_RCV_x000a_(체크인카운터 가스케쥴입력 데이터 수신)_x000a_프로시저 테스트시에도 동일하게 0건 조회됨"/>
    <s v="3자테스트"/>
    <s v="유경섭"/>
    <s v="양우창"/>
    <s v="권아윤"/>
    <s v="프로시져"/>
    <s v="결함"/>
    <s v="기능"/>
    <s v="결함검토요청"/>
    <s v="유경섭"/>
    <s v="Major"/>
    <x v="5"/>
    <d v="2026-01-22T16:51:51"/>
    <d v="2026-01-23T10:55:53"/>
  </r>
  <r>
    <s v="UT-RS-SP68"/>
    <n v="5"/>
    <n v="3"/>
    <x v="7"/>
    <s v="DEF-03747"/>
    <x v="3"/>
    <s v="[S_2]_x000a_샘플데이터 생성 후 프로시저 실행시 다음 무결성제약에러가 발생 "/>
    <s v="3자테스트"/>
    <s v="유경섭"/>
    <s v="양우창"/>
    <s v="권아윤"/>
    <s v="프로시져"/>
    <s v="결함"/>
    <s v="기능"/>
    <s v="결함검토요청"/>
    <s v="유경섭"/>
    <s v="Major"/>
    <x v="5"/>
    <d v="2026-01-23T10:12:48"/>
    <d v="2026-01-23T10:12:48"/>
  </r>
  <r>
    <s v="UT-RS-SP44"/>
    <n v="5"/>
    <n v="3"/>
    <x v="7"/>
    <s v="DEF-03769"/>
    <x v="9"/>
    <s v="[X_1]_x000a_시나리오는 있는데 결과서가 없어 쿼리 테스트 불가 "/>
    <s v="3자테스트"/>
    <s v="유경섭"/>
    <s v="김훈근"/>
    <s v="권아윤"/>
    <s v="프로시져"/>
    <s v="결함"/>
    <s v="문서화"/>
    <s v="결함검토요청"/>
    <s v="유경섭"/>
    <s v="Major"/>
    <x v="5"/>
    <d v="2026-01-23T14:21:32"/>
    <d v="2026-01-23T14:21:32"/>
  </r>
  <r>
    <s v="UT-RS-SP69"/>
    <n v="5"/>
    <n v="3"/>
    <x v="7"/>
    <s v="DEF-03768"/>
    <x v="3"/>
    <s v="[S_2]_x000a_프로시저 실행시 무결성 에러 남 "/>
    <s v="3자테스트"/>
    <s v="유경섭"/>
    <s v="양우창"/>
    <s v="권아윤"/>
    <s v="프로시져"/>
    <s v="결함"/>
    <s v="기능"/>
    <s v="결함검토요청"/>
    <s v="유경섭"/>
    <s v="Major"/>
    <x v="5"/>
    <d v="2026-01-23T14:17:35"/>
    <d v="2026-01-23T14:17:35"/>
  </r>
  <r>
    <s v="UT-RSCI040S"/>
    <n v="5"/>
    <n v="3"/>
    <x v="7"/>
    <s v="DEF-03519"/>
    <x v="6"/>
    <s v="[C_10]_x000a_공통 날짜 형식 yyyy-mm-dd 가 아님"/>
    <s v="3자테스트"/>
    <s v="유경섭"/>
    <s v="이수연"/>
    <s v="권아윤"/>
    <s v="Online"/>
    <s v="결함"/>
    <s v="표준"/>
    <s v="결함등록기각"/>
    <s v=""/>
    <s v="Minor"/>
    <x v="2"/>
    <d v="2026-01-20T10:56:14"/>
    <d v="2026-01-20T15:08:52"/>
  </r>
  <r>
    <s v="UT-RSPK076S"/>
    <n v="5"/>
    <n v="3"/>
    <x v="7"/>
    <s v="DEF-03514"/>
    <x v="6"/>
    <s v="[C_10]_x000a_공통 날짜 형식 yyyy-mm-dd 가 아님"/>
    <s v="3자테스트"/>
    <s v="유경섭"/>
    <s v="장동혁"/>
    <s v="권아윤"/>
    <s v="Online"/>
    <s v="결함"/>
    <s v="표준"/>
    <s v="결함등록기각"/>
    <s v=""/>
    <s v="Minor"/>
    <x v="2"/>
    <d v="2026-01-20T10:47:09"/>
    <d v="2026-01-20T15:10:21"/>
  </r>
  <r>
    <s v="UT-RSCI021S"/>
    <n v="5"/>
    <n v="3"/>
    <x v="7"/>
    <s v="DEF-03599"/>
    <x v="6"/>
    <s v="[C_15]_x000a_MQT Active 단일선택으로 보이는데 radio button이 아님 "/>
    <s v="3자테스트"/>
    <s v="유경섭"/>
    <s v="이수연"/>
    <s v="권아윤"/>
    <s v="Online"/>
    <s v="결함"/>
    <s v="표준"/>
    <s v="결함등록기각"/>
    <s v=""/>
    <s v="Minor"/>
    <x v="2"/>
    <d v="2026-01-20T15:08:04"/>
    <d v="2026-01-21T15:42:40"/>
  </r>
  <r>
    <s v="UT-RSPK094M"/>
    <n v="5"/>
    <n v="3"/>
    <x v="7"/>
    <s v="DEF-03516"/>
    <x v="6"/>
    <s v="[C_10]_x000a_공통 날짜 형식 yyyy-mm-dd 가 아님"/>
    <s v="3자테스트"/>
    <s v="유경섭"/>
    <s v="장동혁"/>
    <s v="권아윤"/>
    <s v="Online"/>
    <s v="결함"/>
    <s v="표준"/>
    <s v="결함등록기각"/>
    <s v=""/>
    <s v="Minor"/>
    <x v="2"/>
    <d v="2026-01-20T10:53:12"/>
    <d v="2026-01-20T15:09:32"/>
  </r>
  <r>
    <s v="UT-RSCI022S"/>
    <n v="5"/>
    <n v="3"/>
    <x v="7"/>
    <s v="DEF-03578"/>
    <x v="6"/>
    <s v="[S_7]_x000a_날짜 수정이 자유롭게 되지 않음._x000a_원래 값: 2026-10-29_x000a_캘린더에서 변경하고자 하는 날짜를 선택하면 특정날짜 (2026-10-25) 이후만 선택이 됨. 2026-10-25 이전 날짜를 선택하면 2026-10-25로 강제변경됨 _x000a__x000a_(키보드로 타이핑시 정상 입력됨)"/>
    <s v="3자테스트"/>
    <s v="유경섭"/>
    <s v="이수연"/>
    <s v="권아윤"/>
    <s v="Online"/>
    <s v="결함"/>
    <s v="기능"/>
    <s v="결함등록기각"/>
    <s v=""/>
    <s v="Major"/>
    <x v="2"/>
    <d v="2026-01-20T14:43:40"/>
    <d v="2026-01-27T18:01:57"/>
  </r>
  <r>
    <s v="UT-RSPK074S"/>
    <n v="5"/>
    <n v="3"/>
    <x v="7"/>
    <s v="DEF-03512"/>
    <x v="6"/>
    <s v="[C_10]_x000a_공통 날짜 형식 yyyy-mm-dd 가 아님"/>
    <s v="3자테스트"/>
    <s v="유경섭"/>
    <s v="장동혁"/>
    <s v="권아윤"/>
    <s v="Online"/>
    <s v="결함"/>
    <s v="표준"/>
    <s v="결함등록기각"/>
    <s v=""/>
    <s v="Minor"/>
    <x v="2"/>
    <d v="2026-01-20T10:46:04"/>
    <d v="2026-01-26T17:31:16"/>
  </r>
  <r>
    <s v="UT-RSPK073S"/>
    <n v="5"/>
    <n v="3"/>
    <x v="7"/>
    <s v="DEF-03510"/>
    <x v="6"/>
    <s v="[C_10]_x000a_공통 날짜 형식 yyyy-mm-dd 가 아님 "/>
    <s v="3자테스트"/>
    <s v="유경섭"/>
    <s v="장동혁"/>
    <s v="권아윤"/>
    <s v="Online"/>
    <s v="결함"/>
    <s v="표준"/>
    <s v="결함등록기각"/>
    <s v=""/>
    <s v="Minor"/>
    <x v="2"/>
    <d v="2026-01-20T10:40:51"/>
    <d v="2026-01-20T15:09:13"/>
  </r>
  <r>
    <s v="UT-RSFI001S"/>
    <n v="5"/>
    <n v="3"/>
    <x v="7"/>
    <s v="DEF-03774"/>
    <x v="5"/>
    <s v="[S_3] _x000a_시작일이 종료일보다 커도 입력/조회가 됨 _x000a_"/>
    <s v="3자테스트"/>
    <s v="유경섭"/>
    <s v="이수연"/>
    <s v="권아윤"/>
    <s v="Online"/>
    <s v="결함"/>
    <s v="기능"/>
    <s v="조치요청"/>
    <s v="이수연"/>
    <s v="Major"/>
    <x v="4"/>
    <d v="2026-01-23T15:03:21"/>
    <d v="2026-01-26T10:48:07"/>
  </r>
  <r>
    <s v="UT-RS-SP71"/>
    <n v="5"/>
    <n v="3"/>
    <x v="7"/>
    <s v="DEF-03671"/>
    <x v="7"/>
    <s v="[S_2] _x000a_테스트 결과서의 기대결과값과 다르게 나옴_x000a_45-&gt; 90"/>
    <s v="3자테스트"/>
    <s v="유경섭"/>
    <s v="양우창"/>
    <s v="권아윤"/>
    <s v="프로시져"/>
    <s v="결함"/>
    <s v="데이터"/>
    <s v="조치요청"/>
    <s v="양우창"/>
    <s v="Major"/>
    <x v="4"/>
    <d v="2026-01-21T15:20:04"/>
    <d v="2026-01-21T19:04:10"/>
  </r>
  <r>
    <s v="UT-RS-SP73"/>
    <n v="5"/>
    <n v="3"/>
    <x v="7"/>
    <s v="DEF-03666"/>
    <x v="3"/>
    <s v="[S_1]_x000a_1번 ESB 샘플데이터 INSERT후, ESB수신 테이블 조회시_x000a_테스트 결과서는 2건인데, 총 12건이 조회됨_x000a__x000a_이후 무시하고 진행해도 결국 프로시저 _x000a_(CALL SP_RS_WESGAPADREQ_RCV()) 실행시 다음 에러가 남_x000a__x000a_SQL Error [30926] [99999]: ORA-30926: 원본 테이블의 고정 행 집합을 가져올 수 없습니다_x000a_ORA-06512: &quot;RSOWN.SP_RS_WESGAPADREQ_RCV&quot;,  155행_x000a_ORA-06512: &quot;RSOWN.SP_RS_WESGAPADREQ_RCV&quot;,  45행_x000a__x000a_https://docs.oracle.com/error-help/db/ora-30926/_x000a_"/>
    <s v="3자테스트"/>
    <s v="유경섭"/>
    <s v="양우창"/>
    <s v="권아윤"/>
    <s v="프로시져"/>
    <s v="결함"/>
    <s v="데이터"/>
    <s v="조치요청"/>
    <s v="양우창"/>
    <s v="Major"/>
    <x v="4"/>
    <d v="2026-01-21T14:32:16"/>
    <d v="2026-01-21T19:01:56"/>
  </r>
  <r>
    <s v="UT-RSCI022S"/>
    <n v="5"/>
    <n v="3"/>
    <x v="7"/>
    <s v="DEF-03558"/>
    <x v="0"/>
    <s v="[S_5] _x000a_엑셀 업로드 오류_x000a__x000a_1. 2025년에 다운받은 양식 그대로 업로드 함_x000a_2. 엑셀에는 2015-10-25, 2016-03-26 인 값이 _x000a_   업로드 후 2026-10-25, 2027-03-27이 됨_x000a_3. 저장하면 화면에 아무것도 보이지 않음_x000a_4. 년도를 2026년으로 변경하면 방금 업로드 했던 데이터 확인 가능_x000a_5. 동일하게 2025년으로 업로드하면 3,4번 과정이 반복되며_x000a_   중복 업로드도 가능한것으로 확인 "/>
    <s v="3자테스트"/>
    <s v="유경섭"/>
    <s v="이수연"/>
    <s v="권아윤"/>
    <s v="Online"/>
    <s v="결함"/>
    <s v="기능"/>
    <s v="최종확인    "/>
    <s v=""/>
    <s v="Major"/>
    <x v="0"/>
    <d v="2026-01-20T14:04:59"/>
    <d v="2026-01-23T10:57:11"/>
  </r>
  <r>
    <s v="UT-RSPK075S"/>
    <n v="5"/>
    <n v="3"/>
    <x v="7"/>
    <s v="DEF-03474"/>
    <x v="0"/>
    <s v="[S_1] _x000a_메뉴 진입하자마자 다음 에러가 뜸"/>
    <s v="3자테스트"/>
    <s v="유경섭"/>
    <s v="장동혁"/>
    <s v="권아윤"/>
    <s v="Online"/>
    <s v="결함"/>
    <s v="기능"/>
    <s v="확인요청"/>
    <s v="권아윤"/>
    <s v="Critical"/>
    <x v="1"/>
    <d v="2026-01-19T16:45:10"/>
    <d v="2026-01-22T18:42:03"/>
  </r>
  <r>
    <s v="UT-RS-SP70"/>
    <n v="5"/>
    <n v="3"/>
    <x v="7"/>
    <s v="DEF-03750"/>
    <x v="0"/>
    <s v="[S_2]_x000a_샘플데이터 생성후 프로시저 실행시 다음 에러가 남_x000a_"/>
    <s v="3자테스트"/>
    <s v="유경섭"/>
    <s v="양우창"/>
    <s v="권아윤"/>
    <s v="프로시져"/>
    <s v="결함"/>
    <s v="기능"/>
    <s v="확인요청"/>
    <s v="김훈근"/>
    <s v="Major"/>
    <x v="3"/>
    <d v="2026-01-23T10:45:40"/>
    <d v="2026-01-23T14:10:30"/>
  </r>
  <r>
    <s v="UT-RSPK055S"/>
    <n v="5"/>
    <n v="3"/>
    <x v="7"/>
    <s v="DEF-03761"/>
    <x v="0"/>
    <s v="[S_1]_x000a_화물 필드 재정렬시 &quot;가용&quot;이 아니라 &quot;사용&quot;에 마우스 오버시 그리드가 표출됨_x000a_ "/>
    <s v="3자테스트"/>
    <s v="유경섭"/>
    <s v="김훈근"/>
    <s v="권아윤"/>
    <s v="Online"/>
    <s v="결함"/>
    <s v="기능"/>
    <s v="확인요청"/>
    <s v="김훈근"/>
    <s v="Major"/>
    <x v="3"/>
    <d v="2026-01-23T13:13:02"/>
    <d v="2026-01-23T14:11:11"/>
  </r>
  <r>
    <s v="UT-RSCI022S"/>
    <n v="5"/>
    <n v="3"/>
    <x v="7"/>
    <s v="DEF-03561"/>
    <x v="0"/>
    <s v="[S_4]_x000a_STD 시간 이상하게 입력했을때 다음 에러가 남_x000a_- 시간유효성 체크 필요_x000a__x000a_08:05로 변경하고 저장해도 동일한 제약조건 에러가 남"/>
    <s v="3자테스트"/>
    <s v="유경섭"/>
    <s v="이수연"/>
    <s v="권아윤"/>
    <s v="Online"/>
    <s v="결함"/>
    <s v="기능"/>
    <s v="확인요청"/>
    <s v="김훈근"/>
    <s v="Major"/>
    <x v="3"/>
    <d v="2026-01-20T14:16:49"/>
    <d v="2026-01-22T10:48:19"/>
  </r>
  <r>
    <s v="UT-RSPK073S"/>
    <n v="5"/>
    <n v="3"/>
    <x v="7"/>
    <s v="DEF-03762"/>
    <x v="7"/>
    <s v="[S_2]_x000a_검색 결과와 맞지 않음 _x000a_(penalty = N, use = ALL)"/>
    <s v="3자테스트"/>
    <s v="유경섭"/>
    <s v="장동혁"/>
    <s v="권아윤"/>
    <s v="Online"/>
    <s v="결함"/>
    <s v="기능"/>
    <s v="확인요청"/>
    <s v="유경섭"/>
    <s v="Major"/>
    <x v="3"/>
    <d v="2026-01-23T13:24:06"/>
    <d v="2026-01-27T08:44:36"/>
  </r>
  <r>
    <s v="UT-REPK001S"/>
    <n v="5"/>
    <n v="3"/>
    <x v="8"/>
    <s v="DEF-03758"/>
    <x v="0"/>
    <s v="[S_4] 배정(CREATE 버튼 클릭) 시 아래와 같은 오류 발생"/>
    <s v="3자테스트"/>
    <s v="문현희"/>
    <s v="문현희"/>
    <s v="윤성훈"/>
    <s v="Online"/>
    <s v="결함"/>
    <s v="기능"/>
    <s v="결함검토요청"/>
    <s v="문현희"/>
    <s v="Minor"/>
    <x v="5"/>
    <d v="2026-01-23T12:20:01"/>
    <d v="2026-01-23T12:20:01"/>
  </r>
  <r>
    <s v="UT-REPK005S"/>
    <n v="5"/>
    <n v="3"/>
    <x v="8"/>
    <s v="DEF-03737"/>
    <x v="9"/>
    <s v="[X_1] 테스트 결과서 확인불가"/>
    <s v="3자테스트"/>
    <s v="문현희"/>
    <s v="문현희"/>
    <s v="최중혁"/>
    <s v="Online"/>
    <s v="결함"/>
    <s v="문서화"/>
    <s v="결함검토요청"/>
    <s v="문현희"/>
    <s v="Major"/>
    <x v="5"/>
    <d v="2026-01-22T16:59:17"/>
    <d v="2026-01-22T16:59:17"/>
  </r>
  <r>
    <s v="UT-RECR001S"/>
    <n v="5"/>
    <n v="3"/>
    <x v="8"/>
    <s v="DEF-03675"/>
    <x v="0"/>
    <s v="[C_1] 조회된 리스트에서 캐러셀 정렬을 할 때, 순서대로 조회되지않음._x000a_한자리 숫자(2, 3)를 두자리 숫자(20, 30)로 인식하는 것 같음"/>
    <s v="3자테스트"/>
    <s v="문현희"/>
    <s v="장동혁"/>
    <s v="최중혁"/>
    <s v="Online"/>
    <s v="결함"/>
    <s v="기능"/>
    <s v="결함등록기각"/>
    <s v=""/>
    <s v="Major"/>
    <x v="2"/>
    <d v="2026-01-21T15:48:54"/>
    <d v="2026-01-22T10:51:05"/>
  </r>
  <r>
    <s v="UT-REPK004S"/>
    <n v="5"/>
    <n v="3"/>
    <x v="8"/>
    <s v="DEF-03681"/>
    <x v="0"/>
    <s v="[C_1] 조회된 리스트에서 Stand 정렬을 할 때, 순서대로 조회되지않음._x000a_두자리 숫자(11)를 세자리 숫자(110)로 인식하는 것 같음"/>
    <s v="3자테스트"/>
    <s v="문현희"/>
    <s v="장동혁"/>
    <s v="최중혁"/>
    <s v="Online"/>
    <s v="결함"/>
    <s v="기능"/>
    <s v="결함등록기각"/>
    <s v=""/>
    <s v="Major"/>
    <x v="2"/>
    <d v="2026-01-21T16:17:38"/>
    <d v="2026-01-22T10:50:02"/>
  </r>
  <r>
    <s v="UT-REPK003S"/>
    <n v="5"/>
    <n v="3"/>
    <x v="8"/>
    <s v="DEF-03676"/>
    <x v="5"/>
    <s v="[C_1] Search 버튼이 겹쳐서 가려짐"/>
    <s v="3자테스트"/>
    <s v="문현희"/>
    <s v="장동혁"/>
    <s v="최중혁"/>
    <s v="Online"/>
    <s v="결함"/>
    <s v="UI"/>
    <s v="최종확인    "/>
    <s v=""/>
    <s v="Critical"/>
    <x v="0"/>
    <d v="2026-01-21T15:53:47"/>
    <d v="2026-01-22T15:21:47"/>
  </r>
  <r>
    <s v="UT-RCCR002L"/>
    <n v="5"/>
    <n v="3"/>
    <x v="9"/>
    <s v="DEF-03738"/>
    <x v="5"/>
    <s v="[C_9] 아이콘이 'Alarm' 메뉴 겹쳐져 있어, 깨진 현상이 발생. MicroSoft edge 에서 테스트"/>
    <s v="3자테스트"/>
    <s v="이미라"/>
    <s v="이미라"/>
    <s v="최중혁"/>
    <s v="Online"/>
    <s v="결함"/>
    <s v="UI"/>
    <s v="확인요청"/>
    <s v="최중혁"/>
    <s v="Critical"/>
    <x v="1"/>
    <d v="2026-01-22T17:11:59"/>
    <d v="2026-01-23T13:57:15"/>
  </r>
  <r>
    <s v="UT-RCCR009M"/>
    <n v="5"/>
    <n v="3"/>
    <x v="9"/>
    <s v="DEF-03752"/>
    <x v="0"/>
    <s v="[S_2] Terminal 선택후 조회하면 모든 터미날 조회됨"/>
    <s v="3자테스트"/>
    <s v="이미라"/>
    <s v="이미라"/>
    <s v="신철진"/>
    <s v="Online"/>
    <s v="결함"/>
    <s v="기능"/>
    <s v="확인요청"/>
    <s v="신철진"/>
    <s v="Minor"/>
    <x v="1"/>
    <d v="2026-01-23T10:58:32"/>
    <d v="2026-01-27T10:07:24"/>
  </r>
  <r>
    <s v="UT-RCCR008L"/>
    <n v="5"/>
    <n v="3"/>
    <x v="9"/>
    <s v="DEF-03751"/>
    <x v="0"/>
    <s v="[S_11] Print 클릭시 출력화면이 나오지 않음"/>
    <s v="3자테스트"/>
    <s v="이미라"/>
    <s v="이미라"/>
    <s v="신철진"/>
    <s v="Online"/>
    <s v="결함"/>
    <s v="기능"/>
    <s v="확인요청"/>
    <s v="신철진"/>
    <s v="Minor"/>
    <x v="1"/>
    <d v="2026-01-23T10:48:09"/>
    <d v="2026-01-23T14:15:59"/>
  </r>
  <r>
    <s v="UT-AC01010M"/>
    <n v="5"/>
    <n v="3"/>
    <x v="14"/>
    <s v="DEF-03684"/>
    <x v="9"/>
    <s v="단위 테스트 문서 없음"/>
    <s v="3자테스트"/>
    <s v="조수일"/>
    <s v="안소정"/>
    <s v="강도훈"/>
    <s v="Online"/>
    <s v="결함"/>
    <s v="문서화"/>
    <s v="결함검토요청"/>
    <s v="조수일"/>
    <s v="Minor"/>
    <x v="5"/>
    <d v="2026-01-21T17:12:21"/>
    <d v="2026-01-21T17:12:21"/>
  </r>
  <r>
    <s v="UT-AC-SP58"/>
    <n v="5"/>
    <n v="3"/>
    <x v="14"/>
    <s v="DEF-03569"/>
    <x v="3"/>
    <s v="SP_ESB_ONOFFBLOCKTIMEVDG3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x v="2"/>
    <d v="2026-01-20T14:27:32"/>
    <d v="2026-01-21T13:28:04"/>
  </r>
  <r>
    <s v="UT-AC-SP51"/>
    <n v="5"/>
    <n v="3"/>
    <x v="14"/>
    <s v="DEF-03565"/>
    <x v="3"/>
    <s v="CALL SP_ESB_DEICING_INFO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x v="2"/>
    <d v="2026-01-20T14:22:16"/>
    <d v="2026-01-21T13:28:58"/>
  </r>
  <r>
    <s v="UT-AC-SP53"/>
    <n v="5"/>
    <n v="3"/>
    <x v="14"/>
    <s v="DEF-03567"/>
    <x v="3"/>
    <s v="CALL SP_ESB_DEICINGWORKTIMEKASS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x v="2"/>
    <d v="2026-01-20T14:24:21"/>
    <d v="2026-01-21T13:27:28"/>
  </r>
  <r>
    <s v="UT-AC-SP49"/>
    <n v="5"/>
    <n v="3"/>
    <x v="14"/>
    <s v="DEF-03563"/>
    <x v="3"/>
    <s v="CALL SP_ESB_ASDESPOTTIME_RCV() ; 실행 시_x000a_SQL Error [6576] [65000]: ORA-06576: 함수 또는 프로시저 이름이 부적합합니다_x000a_"/>
    <s v="3자테스트"/>
    <s v="조수일"/>
    <s v="이용혁"/>
    <s v="강도훈"/>
    <s v="프로시져"/>
    <s v="결함"/>
    <s v="데이터"/>
    <s v="결함등록기각"/>
    <s v=""/>
    <s v="Minor"/>
    <x v="2"/>
    <d v="2026-01-20T14:20:02"/>
    <d v="2026-01-21T13:27:53"/>
  </r>
  <r>
    <s v="UT-AC-SP48"/>
    <n v="5"/>
    <n v="3"/>
    <x v="14"/>
    <s v="DEF-03562"/>
    <x v="3"/>
    <s v="CALL SP_ESB_AFSRAMPASDE_RCV()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x v="2"/>
    <d v="2026-01-20T14:18:29"/>
    <d v="2026-01-21T13:27:12"/>
  </r>
  <r>
    <s v="UT-AC-SP24"/>
    <n v="5"/>
    <n v="3"/>
    <x v="14"/>
    <s v="DEF-03507"/>
    <x v="3"/>
    <s v="SQL Error [6576] [65000]: ORA-06576: 함수 또는 프로시저 이름이 부적합합니다_x000a_"/>
    <s v="3자테스트"/>
    <s v="조수일"/>
    <s v="이용혁"/>
    <s v="강도훈"/>
    <s v="프로시져"/>
    <s v="결함"/>
    <s v="데이터"/>
    <s v="결함등록기각"/>
    <s v=""/>
    <s v="Minor"/>
    <x v="2"/>
    <d v="2026-01-20T10:27:30"/>
    <d v="2026-01-21T11:26:13"/>
  </r>
  <r>
    <s v="UT-AC-SP22"/>
    <n v="5"/>
    <n v="3"/>
    <x v="14"/>
    <s v="DEF-03502"/>
    <x v="3"/>
    <s v="SP 실행 시 함수 또는 프로시저 이름 부적합"/>
    <s v="3자테스트"/>
    <s v="조수일"/>
    <s v="이용혁"/>
    <s v="강도훈"/>
    <s v="프로시져"/>
    <s v="결함"/>
    <s v="데이터"/>
    <s v="결함등록기각"/>
    <s v=""/>
    <s v="Minor"/>
    <x v="2"/>
    <d v="2026-01-20T10:15:34"/>
    <d v="2026-01-21T11:26:27"/>
  </r>
  <r>
    <s v="UT-AC-SP21"/>
    <n v="5"/>
    <n v="3"/>
    <x v="14"/>
    <s v="DEF-03499"/>
    <x v="3"/>
    <s v="SP실행 시 함수 또는 프로시저 이름 부적합"/>
    <s v="3자테스트"/>
    <s v="조수일"/>
    <s v="이용혁"/>
    <s v="강도훈"/>
    <s v="프로시져"/>
    <s v="결함"/>
    <s v="데이터"/>
    <s v="결함등록기각"/>
    <s v=""/>
    <s v="Minor"/>
    <x v="2"/>
    <d v="2026-01-20T10:00:55"/>
    <d v="2026-01-21T11:26:51"/>
  </r>
  <r>
    <s v="UT-AC-SP29"/>
    <n v="5"/>
    <n v="3"/>
    <x v="14"/>
    <s v="DEF-03518"/>
    <x v="3"/>
    <s v="SP 실행 시 오류_x000a_SQL Error [6576] [65000]: ORA-06576: 함수 또는 프로시저 이름이 부적합합니다_x000a_"/>
    <s v="3자테스트"/>
    <s v="조수일"/>
    <s v="이용혁"/>
    <s v="강도훈"/>
    <s v="프로시져"/>
    <s v="결함"/>
    <s v="데이터"/>
    <s v="결함등록기각"/>
    <s v=""/>
    <s v="Minor"/>
    <x v="2"/>
    <d v="2026-01-20T10:55:27"/>
    <d v="2026-01-21T11:26:39"/>
  </r>
  <r>
    <s v="UT-AC-SP54"/>
    <n v="5"/>
    <n v="3"/>
    <x v="14"/>
    <s v="DEF-03568"/>
    <x v="3"/>
    <s v="CALL SP_ESB_ELECSTRIPARRARTS_RCV() ; 실행 시_x000a_SQL Error [6576] [65000]: ORA-06576: 함수 또는 프로시저 이름이 부적합합니다_x000a_"/>
    <s v="3자테스트"/>
    <s v="조수일"/>
    <s v="이용혁"/>
    <s v="강도훈"/>
    <s v="프로시져"/>
    <s v="결함"/>
    <s v="데이터"/>
    <s v="결함등록기각"/>
    <s v=""/>
    <s v="Minor"/>
    <x v="2"/>
    <d v="2026-01-20T14:25:29"/>
    <d v="2026-01-21T13:27:43"/>
  </r>
  <r>
    <s v="UT-AC-SP50"/>
    <n v="5"/>
    <n v="3"/>
    <x v="14"/>
    <s v="DEF-03564"/>
    <x v="3"/>
    <s v="CALL SP_ESB_ASDESPOTTIME4TH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x v="2"/>
    <d v="2026-01-20T14:21:01"/>
    <d v="2026-01-21T13:29:12"/>
  </r>
  <r>
    <s v="UT-AC-SP35"/>
    <n v="5"/>
    <n v="3"/>
    <x v="14"/>
    <s v="DEF-03544"/>
    <x v="3"/>
    <s v="SQL Error [6550] [65000]: ORA-06550: 줄 25, 열1:PLS-00201: 'SP_AC_FIMSABNTRFFDSBLTY_SND' 식별자가 정의되어야 합니다_x000a_ORA-06550: 줄 25, 열1:PL/SQL: Statement ignored"/>
    <s v="3자테스트"/>
    <s v="조수일"/>
    <s v="이용혁"/>
    <s v="강도훈"/>
    <s v="프로시져"/>
    <s v="결함"/>
    <s v="데이터"/>
    <s v="결함등록기각"/>
    <s v=""/>
    <s v="Minor"/>
    <x v="2"/>
    <d v="2026-01-20T13:34:13"/>
    <d v="2026-01-21T13:30:26"/>
  </r>
  <r>
    <s v="UT-AC-SP33"/>
    <n v="5"/>
    <n v="3"/>
    <x v="14"/>
    <s v="DEF-03537"/>
    <x v="3"/>
    <s v="SQL Error [6550] [65000]: ORA-06550: 줄 58, 열1:PLS-00201: 'SP_AC_FIMSARCFTAPRCTRL_SND' 식별자가 정의되어야 합니다_x000a_ORA-06550: 줄 58, 열1:PL/SQL: Statement ignored"/>
    <s v="3자테스트"/>
    <s v="조수일"/>
    <s v="이용혁"/>
    <s v="강도훈"/>
    <s v="프로시져"/>
    <s v="결함"/>
    <s v="데이터"/>
    <s v="결함등록기각"/>
    <s v=""/>
    <s v="Minor"/>
    <x v="2"/>
    <d v="2026-01-20T13:16:13"/>
    <d v="2026-01-21T13:30:48"/>
  </r>
  <r>
    <s v="UT-AC-SP40"/>
    <n v="5"/>
    <n v="3"/>
    <x v="14"/>
    <s v="DEF-03549"/>
    <x v="3"/>
    <s v="SQL Error [6550] [65000]: ORA-06550: 줄 60, 열1:PLS-00201: 'SP_AC_FIMSELECFLTINFO_SND' 식별자가 정의되어야 합니다_x000a_ORA-06550: 줄 60, 열1:PL/SQL: Statement ignored"/>
    <s v="3자테스트"/>
    <s v="조수일"/>
    <s v="이용혁"/>
    <s v="강도훈"/>
    <s v="프로시져"/>
    <s v="결함"/>
    <s v="데이터"/>
    <s v="결함등록기각"/>
    <s v=""/>
    <s v="Minor"/>
    <x v="2"/>
    <d v="2026-01-20T13:47:57"/>
    <d v="2026-01-21T13:30:16"/>
  </r>
  <r>
    <s v="UT-AC-SP39"/>
    <n v="5"/>
    <n v="3"/>
    <x v="14"/>
    <s v="DEF-03548"/>
    <x v="3"/>
    <s v="CALL SP_AC_CM_AZRT_DELETE('2025111100000006439615', to_char(CURRENT_TIMESTAMP,'YYYYMMDDHH24MISS.FF3') );_x000a_SP 실행 시 오류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x v="2"/>
    <d v="2026-01-20T13:44:54"/>
    <d v="2026-01-21T13:29:56"/>
  </r>
  <r>
    <s v="UT-AC-SP38"/>
    <n v="5"/>
    <n v="3"/>
    <x v="14"/>
    <s v="DEF-03547"/>
    <x v="3"/>
    <s v="SQL Error [6550] [65000]: ORA-06550: 줄 29, 열1:PLS-00201: 'SP_AC_FIMSCTRLTASKDIARY_SND' 식별자가 정의되어야 합니다_x000a_ORA-06550: 줄 29, 열1:PL/SQL: Statement ignored"/>
    <s v="3자테스트"/>
    <s v="조수일"/>
    <s v="이용혁"/>
    <s v="강도훈"/>
    <s v="프로시져"/>
    <s v="결함"/>
    <s v="데이터"/>
    <s v="결함등록기각"/>
    <s v=""/>
    <s v="Minor"/>
    <x v="2"/>
    <d v="2026-01-20T13:36:59"/>
    <d v="2026-01-21T13:30:06"/>
  </r>
  <r>
    <s v="UT-AC-SP37"/>
    <n v="5"/>
    <n v="3"/>
    <x v="14"/>
    <s v="DEF-03545"/>
    <x v="3"/>
    <s v="SQL Error [6550] [65000]: ORA-06550: 줄 29, 열1:PLS-00201: 'SP_AC_FIMSACCOMCD_SND' 식별자가 정의되어야 합니다_x000a_ORA-06550: 줄 29, 열1:PL/SQL: Statement ignored_x000a_"/>
    <s v="3자테스트"/>
    <s v="조수일"/>
    <s v="이용혁"/>
    <s v="강도훈"/>
    <s v="프로시져"/>
    <s v="결함"/>
    <s v="데이터"/>
    <s v="결함등록기각"/>
    <s v=""/>
    <s v="Minor"/>
    <x v="2"/>
    <d v="2026-01-20T13:35:14"/>
    <d v="2026-01-21T13:30:39"/>
  </r>
  <r>
    <s v="UT-AC-SP57"/>
    <n v="5"/>
    <n v="3"/>
    <x v="14"/>
    <s v="DEF-03570"/>
    <x v="3"/>
    <s v="SP_ESB_ONOFFBLOCKTIMEVDG1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x v="2"/>
    <d v="2026-01-20T14:27:52"/>
    <d v="2026-01-21T13:28:15"/>
  </r>
  <r>
    <s v="UT-AC-SP56"/>
    <n v="5"/>
    <n v="3"/>
    <x v="14"/>
    <s v="DEF-03571"/>
    <x v="3"/>
    <s v="SP_ESB_ONOFFBLOCKTIME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x v="2"/>
    <d v="2026-01-20T14:28:21"/>
    <d v="2026-01-21T13:28:26"/>
  </r>
  <r>
    <s v="UT-AC-SP52"/>
    <n v="5"/>
    <n v="3"/>
    <x v="14"/>
    <s v="DEF-03566"/>
    <x v="3"/>
    <s v="CALL SP_ESB_DEICINGWORKTIMEAAPS_RCV() ; 실행 시_x000a_SQL Error [6576] [65000]: ORA-06576: 함수 또는 프로시저 이름이 부적합합니다_x000a_"/>
    <s v="3자테스트"/>
    <s v="조수일"/>
    <s v="이용혁"/>
    <s v="강도훈"/>
    <s v="프로시져"/>
    <s v="결함"/>
    <s v="데이터"/>
    <s v="결함등록기각"/>
    <s v=""/>
    <s v="Minor"/>
    <x v="2"/>
    <d v="2026-01-20T14:23:31"/>
    <d v="2026-01-21T13:28:48"/>
  </r>
  <r>
    <s v="UT-AC-SP55"/>
    <n v="5"/>
    <n v="3"/>
    <x v="14"/>
    <s v="DEF-03572"/>
    <x v="3"/>
    <s v="SP_ESB_ELECSTRIPDEPARTS_RCV() ; 실행 시_x000a_SQL Error [6576] [65000]: ORA-06576: 함수 또는 프로시저 이름이 부적합합니다"/>
    <s v="3자테스트"/>
    <s v="조수일"/>
    <s v="이용혁"/>
    <s v="강도훈"/>
    <s v="프로시져"/>
    <s v="결함"/>
    <s v="데이터"/>
    <s v="결함등록기각"/>
    <s v=""/>
    <s v="Minor"/>
    <x v="2"/>
    <d v="2026-01-20T14:29:03"/>
    <d v="2026-01-21T13:28:35"/>
  </r>
  <r>
    <s v="UT-AC50010S"/>
    <n v="5"/>
    <n v="3"/>
    <x v="14"/>
    <s v="DEF-03595"/>
    <x v="0"/>
    <s v="[S_38] 제빙종료시간 입력 시 입력한 값이 반영되지 않음"/>
    <s v="3자테스트"/>
    <s v="조수일"/>
    <s v="구혜지"/>
    <s v="강도훈"/>
    <s v="Online"/>
    <s v="결함"/>
    <s v="기능"/>
    <s v="최종확인    "/>
    <s v=""/>
    <s v="Minor"/>
    <x v="0"/>
    <d v="2026-01-20T15:04:35"/>
    <d v="2026-01-22T09:05:58"/>
  </r>
  <r>
    <s v="UT-AC06001S"/>
    <n v="5"/>
    <n v="3"/>
    <x v="14"/>
    <s v="DEF-03461"/>
    <x v="0"/>
    <s v="[S_06] order_number가 1부터 시작하지 않고 지정한 페이지당 출력할 숫자 + 1부터 시작. 프린트 결과는 정상."/>
    <s v="3자테스트"/>
    <s v="조수일"/>
    <s v="구혜지"/>
    <s v="강도훈"/>
    <s v="Online"/>
    <s v="결함"/>
    <s v="인터페이스"/>
    <s v="최종확인    "/>
    <s v=""/>
    <s v="Minor"/>
    <x v="0"/>
    <d v="2026-01-19T15:28:47"/>
    <d v="2026-01-21T16:04:25"/>
  </r>
  <r>
    <s v="UT-AC07002S"/>
    <n v="5"/>
    <n v="3"/>
    <x v="14"/>
    <s v="DEF-03478"/>
    <x v="5"/>
    <s v="[S_12] 캘린더 검색 문법 오류"/>
    <s v="3자테스트"/>
    <s v="조수일"/>
    <s v="구혜지"/>
    <s v="강도훈"/>
    <s v="Online"/>
    <s v="결함"/>
    <s v="기능"/>
    <s v="확인요청"/>
    <s v="강도훈"/>
    <s v="Major"/>
    <x v="1"/>
    <d v="2026-01-19T17:08:39"/>
    <d v="2026-01-27T09:32:59"/>
  </r>
  <r>
    <s v="UT-FSEX080S"/>
    <n v="5"/>
    <n v="3"/>
    <x v="15"/>
    <s v="DEF-03454"/>
    <x v="0"/>
    <s v="[S_4] 행추가 저장시 오류 발생"/>
    <s v="3자테스트"/>
    <s v="임소정"/>
    <s v="임소정"/>
    <s v="김민욱"/>
    <s v="Online"/>
    <s v="결함"/>
    <s v="기능"/>
    <s v="확인요청"/>
    <s v="김민욱"/>
    <s v="Minor"/>
    <x v="1"/>
    <d v="2026-01-19T15:14:34"/>
    <d v="2026-01-21T10:41:54"/>
  </r>
  <r>
    <s v="UT-FSEX080M"/>
    <n v="5"/>
    <n v="3"/>
    <x v="15"/>
    <s v="DEF-03452"/>
    <x v="0"/>
    <s v="[S_4] 저장시 저장 오류가 남"/>
    <s v="3자테스트"/>
    <s v="임소정"/>
    <s v="임소정"/>
    <s v="김민욱"/>
    <s v="Online"/>
    <s v="결함"/>
    <s v="기능"/>
    <s v="확인요청"/>
    <s v="김민욱"/>
    <s v="Minor"/>
    <x v="1"/>
    <d v="2026-01-19T15:07:44"/>
    <d v="2026-01-21T10:41:38"/>
  </r>
  <r>
    <s v="UT-AS78101S"/>
    <n v="5"/>
    <n v="3"/>
    <x v="10"/>
    <s v="DEF-03667"/>
    <x v="0"/>
    <s v="&quot;리포트명&quot; 입력 후 검색 시 서버 오류 ALERT"/>
    <s v="3자테스트"/>
    <s v="장영진"/>
    <s v="김경준"/>
    <s v="강도훈"/>
    <s v="Online"/>
    <s v="결함"/>
    <s v="기능"/>
    <s v="조치요청"/>
    <s v="김경준"/>
    <s v="Minor"/>
    <x v="4"/>
    <d v="2026-01-21T14:32:23"/>
    <d v="2026-01-22T16:16:57"/>
  </r>
  <r>
    <s v="UT-AS77104S"/>
    <n v="5"/>
    <n v="3"/>
    <x v="10"/>
    <s v="DEF-03665"/>
    <x v="5"/>
    <s v="작성 목적 미입력 후 저장 시 발생하는 ALERT 텍스트 오타"/>
    <s v="3자테스트"/>
    <s v="장영진"/>
    <s v="김경준"/>
    <s v="강도훈"/>
    <s v="Online"/>
    <s v="결함"/>
    <s v="기타"/>
    <s v="조치요청"/>
    <s v="김경준"/>
    <s v="Minor"/>
    <x v="4"/>
    <d v="2026-01-21T14:30:19"/>
    <d v="2026-01-22T16:16:46"/>
  </r>
  <r>
    <s v="UT-AS72102S"/>
    <n v="5"/>
    <n v="3"/>
    <x v="10"/>
    <s v="DEF-03673"/>
    <x v="0"/>
    <s v="[S_03] 첨부파일 다운로드 실패"/>
    <s v="3자테스트"/>
    <s v="장영진"/>
    <s v="김경준"/>
    <s v="강도훈"/>
    <s v="Online"/>
    <s v="결함"/>
    <s v="기능"/>
    <s v="조치요청"/>
    <s v="김경준"/>
    <s v="Minor"/>
    <x v="4"/>
    <d v="2026-01-21T15:40:19"/>
    <d v="2026-01-22T16:17:36"/>
  </r>
  <r>
    <s v="UT-AS37701S"/>
    <n v="5"/>
    <n v="3"/>
    <x v="10"/>
    <s v="DEF-03755"/>
    <x v="8"/>
    <s v="검색 UI 미구현"/>
    <s v="3자테스트"/>
    <s v="장영진"/>
    <s v="김경준"/>
    <s v="강도훈"/>
    <s v="Online"/>
    <s v="결함"/>
    <s v="UI"/>
    <s v="조치요청"/>
    <s v="김경준"/>
    <s v="Minor"/>
    <x v="4"/>
    <d v="2026-01-23T11:11:46"/>
    <d v="2026-01-26T09:47:49"/>
  </r>
  <r>
    <s v="UT-AS33201S"/>
    <n v="5"/>
    <n v="3"/>
    <x v="10"/>
    <s v="DEF-03706"/>
    <x v="0"/>
    <s v="관계형 그래프로 보기 클릭 시 페이지 로드 에러"/>
    <s v="3자테스트"/>
    <s v="장영진"/>
    <s v="김경준"/>
    <s v="강도훈"/>
    <s v="Online"/>
    <s v="결함"/>
    <s v="기능"/>
    <s v="조치요청"/>
    <s v="김경준"/>
    <s v="Minor"/>
    <x v="4"/>
    <d v="2026-01-22T13:10:29"/>
    <d v="2026-01-27T09:07:35"/>
  </r>
  <r>
    <s v="UT-AS11101S"/>
    <n v="5"/>
    <n v="3"/>
    <x v="10"/>
    <s v="DEF-03699"/>
    <x v="0"/>
    <s v="[S_02]비로그인 상태에서 상단 메뉴 DW 클릭 시, Alert 발생 후 DW 페이지로 이동"/>
    <s v="3자테스트"/>
    <s v="장영진"/>
    <s v="임소정"/>
    <s v="강도훈"/>
    <s v="Online"/>
    <s v="결함"/>
    <s v="기능"/>
    <s v="조치요청"/>
    <s v="김경준"/>
    <s v="Minor"/>
    <x v="4"/>
    <d v="2026-01-22T10:51:45"/>
    <d v="2026-01-22T16:17:23"/>
  </r>
  <r>
    <s v="UT-AS33302S"/>
    <n v="5"/>
    <n v="3"/>
    <x v="10"/>
    <s v="DEF-03749"/>
    <x v="5"/>
    <s v="검색일자 임의 설정 후 검색 시 항상 데이터 없음 출력_x000a_Default(1일 전 ~ 현재일자)일자로 검색 시 데이터 정상 출력"/>
    <s v="3자테스트"/>
    <s v="장영진"/>
    <s v="김경준"/>
    <s v="강도훈"/>
    <s v="Online"/>
    <s v="결함"/>
    <s v="기능"/>
    <s v="조치요청"/>
    <s v="김경준"/>
    <s v="Minor"/>
    <x v="4"/>
    <d v="2026-01-23T10:31:48"/>
    <d v="2026-01-26T09:47:10"/>
  </r>
  <r>
    <s v="UT-AS31901S"/>
    <n v="5"/>
    <n v="3"/>
    <x v="10"/>
    <s v="DEF-03759"/>
    <x v="8"/>
    <s v="검색 조건 UI 없음"/>
    <s v="3자테스트"/>
    <s v="장영진"/>
    <s v="김경준"/>
    <s v="강도훈"/>
    <s v="Online"/>
    <s v="결함"/>
    <s v="UI"/>
    <s v="조치요청"/>
    <s v="김경준"/>
    <s v="Minor"/>
    <x v="4"/>
    <d v="2026-01-23T12:47:40"/>
    <d v="2026-01-26T09:46:57"/>
  </r>
  <r>
    <s v="UT-AS31801S"/>
    <n v="5"/>
    <n v="3"/>
    <x v="10"/>
    <s v="DEF-03757"/>
    <x v="8"/>
    <s v="검색 UI 미구현"/>
    <s v="3자테스트"/>
    <s v="장영진"/>
    <s v="임소정"/>
    <s v="강도훈"/>
    <s v="Online"/>
    <s v="결함"/>
    <s v="UI"/>
    <s v="조치요청"/>
    <s v="김경준"/>
    <s v="Minor"/>
    <x v="4"/>
    <d v="2026-01-23T11:24:26"/>
    <d v="2026-01-26T09:46:45"/>
  </r>
  <r>
    <s v="UT-AS78102M"/>
    <n v="5"/>
    <n v="3"/>
    <x v="10"/>
    <s v="DEF-03668"/>
    <x v="7"/>
    <s v="실제 값과 다른 그래프"/>
    <s v="3자테스트"/>
    <s v="장영진"/>
    <s v="김경준"/>
    <s v="강도훈"/>
    <s v="Online"/>
    <s v="결함"/>
    <s v="기능"/>
    <s v="확인요청"/>
    <s v="강도훈"/>
    <s v="Minor"/>
    <x v="1"/>
    <d v="2026-01-21T14:34:12"/>
    <d v="2026-01-26T10:03:49"/>
  </r>
  <r>
    <s v="UT-AS37501S"/>
    <n v="5"/>
    <n v="3"/>
    <x v="10"/>
    <s v="DEF-03754"/>
    <x v="8"/>
    <s v="검색 UI 미구현"/>
    <s v="3자테스트"/>
    <s v="장영진"/>
    <s v="김경준"/>
    <s v="강도훈"/>
    <s v="Online"/>
    <s v="결함"/>
    <s v="UI"/>
    <s v="확인요청"/>
    <s v="김경준"/>
    <s v="Minor"/>
    <x v="3"/>
    <d v="2026-01-23T11:11:25"/>
    <d v="2026-01-26T09:47:37"/>
  </r>
  <r>
    <s v="UT-AS37401S"/>
    <n v="5"/>
    <n v="3"/>
    <x v="10"/>
    <s v="DEF-03753"/>
    <x v="8"/>
    <s v="검색 UI 미구현"/>
    <s v="3자테스트"/>
    <s v="장영진"/>
    <s v="김경준"/>
    <s v="강도훈"/>
    <s v="Online"/>
    <s v="결함"/>
    <s v="UI"/>
    <s v="확인요청"/>
    <s v="김경준"/>
    <s v="Minor"/>
    <x v="3"/>
    <d v="2026-01-23T11:11:09"/>
    <d v="2026-01-26T09:47:25"/>
  </r>
  <r>
    <s v="UT-FPFA004R"/>
    <n v="5"/>
    <n v="3"/>
    <x v="6"/>
    <s v="DEF-03744"/>
    <x v="9"/>
    <s v="[X_1] 테스트 결과서가 확인되지 않음(FPFA004R, FPFA014S, FPFA015S, FPFA101S, FPFA201S, FPFA211S)"/>
    <s v="3자테스트"/>
    <s v="장경진"/>
    <s v="현영광"/>
    <s v="최중혁"/>
    <s v="Online"/>
    <s v="신규"/>
    <s v="문서화"/>
    <s v="결함등록기각"/>
    <s v=""/>
    <s v="Major"/>
    <x v="2"/>
    <d v="2026-01-22T17:59:02"/>
    <d v="2026-01-26T09:23:00"/>
  </r>
  <r>
    <s v="UT-FPFC071M"/>
    <n v="5"/>
    <n v="3"/>
    <x v="6"/>
    <s v="DEF-03746"/>
    <x v="9"/>
    <s v="[X_1] 테스트 결과서가 확인되지 않음(FPFC071M, FPFC084M, FPFC106M)"/>
    <s v="3자테스트"/>
    <s v="장경진"/>
    <s v="현영광"/>
    <s v="최중혁"/>
    <s v="Online"/>
    <s v="신규"/>
    <s v="문서화"/>
    <s v="결함등록기각"/>
    <s v=""/>
    <s v="Major"/>
    <x v="2"/>
    <d v="2026-01-22T18:27:52"/>
    <d v="2026-01-26T09:21:07"/>
  </r>
  <r>
    <s v="UT-AC-SP43"/>
    <n v="5"/>
    <n v="3"/>
    <x v="14"/>
    <s v="DEF-03553"/>
    <x v="9"/>
    <s v="단위테스트결과서 없음"/>
    <s v="3자테스트"/>
    <s v="조수일"/>
    <s v="이용혁"/>
    <s v="강도훈"/>
    <s v="프로시져"/>
    <s v="신규"/>
    <s v="문서화"/>
    <s v="결함검토요청"/>
    <s v="조수일"/>
    <s v="Minor"/>
    <x v="5"/>
    <d v="2026-01-20T13:53:31"/>
    <d v="2026-01-20T13:53:31"/>
  </r>
  <r>
    <s v="UT-AC01024S"/>
    <n v="5"/>
    <n v="3"/>
    <x v="14"/>
    <s v="DEF-03600"/>
    <x v="9"/>
    <s v="단위테스트 문서 없음"/>
    <s v="3자테스트"/>
    <s v="조수일"/>
    <s v="안소정"/>
    <s v="강도훈"/>
    <s v="Online"/>
    <s v="신규"/>
    <s v="문서화"/>
    <s v="결함등록기각"/>
    <s v=""/>
    <s v="Minor"/>
    <x v="2"/>
    <d v="2026-01-20T15:11:29"/>
    <d v="2026-01-21T11:25: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5CCBF-7EB9-4876-AB2C-D09C13DB4D65}" name="피벗 테이블2" cacheId="17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chartFormat="24">
  <location ref="A28:E30" firstHeaderRow="1" firstDataRow="2" firstDataCol="1" rowPageCount="1" colPageCount="1"/>
  <pivotFields count="19">
    <pivotField showAll="0"/>
    <pivotField showAll="0"/>
    <pivotField showAll="0"/>
    <pivotField showAll="0">
      <items count="17">
        <item x="0"/>
        <item x="11"/>
        <item x="1"/>
        <item x="2"/>
        <item x="12"/>
        <item x="3"/>
        <item x="4"/>
        <item x="13"/>
        <item x="5"/>
        <item x="6"/>
        <item x="7"/>
        <item x="8"/>
        <item x="9"/>
        <item x="14"/>
        <item x="15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8">
        <item x="3"/>
        <item x="1"/>
        <item x="0"/>
        <item x="4"/>
        <item x="2"/>
        <item x="6"/>
        <item x="5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axis="axisPage" multipleItemSelectionAllowed="1" showAll="0">
      <items count="7">
        <item x="5"/>
        <item h="1" x="2"/>
        <item x="4"/>
        <item x="0"/>
        <item x="1"/>
        <item x="3"/>
        <item t="default"/>
      </items>
    </pivotField>
    <pivotField numFmtId="22" showAll="0"/>
    <pivotField numFmtId="22" showAll="0"/>
  </pivotFields>
  <rowItems count="1">
    <i/>
  </rowItems>
  <colFields count="1">
    <field x="15"/>
  </colFields>
  <colItems count="4">
    <i>
      <x/>
    </i>
    <i>
      <x v="1"/>
    </i>
    <i>
      <x v="2"/>
    </i>
    <i t="grand">
      <x/>
    </i>
  </colItems>
  <pageFields count="1">
    <pageField fld="16" hier="-1"/>
  </pageFields>
  <dataFields count="1">
    <dataField name="개수 : 결함ID" fld="4" subtotal="count" baseField="0" baseItem="0"/>
  </dataFields>
  <chartFormats count="5"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D43AC-9179-4270-9F3D-80E310044A27}" name="피벗 테이블1" cacheId="17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chartFormat="9">
  <location ref="A3:B11" firstHeaderRow="1" firstDataRow="1" firstDataCol="1" rowPageCount="1" colPageCount="1"/>
  <pivotFields count="19">
    <pivotField showAll="0"/>
    <pivotField showAll="0"/>
    <pivotField showAll="0"/>
    <pivotField showAll="0">
      <items count="17">
        <item x="0"/>
        <item x="11"/>
        <item x="1"/>
        <item x="2"/>
        <item x="12"/>
        <item x="3"/>
        <item x="4"/>
        <item x="13"/>
        <item x="5"/>
        <item x="6"/>
        <item x="7"/>
        <item x="8"/>
        <item x="9"/>
        <item x="14"/>
        <item x="15"/>
        <item x="1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0"/>
        <item x="4"/>
        <item x="2"/>
        <item x="6"/>
        <item x="5"/>
        <item t="default"/>
      </items>
    </pivotField>
    <pivotField showAll="0"/>
    <pivotField showAll="0"/>
    <pivotField showAll="0"/>
    <pivotField axis="axisPage" multipleItemSelectionAllowed="1" showAll="0">
      <items count="7">
        <item x="5"/>
        <item h="1" x="2"/>
        <item x="4"/>
        <item x="0"/>
        <item x="1"/>
        <item x="3"/>
        <item t="default"/>
      </items>
    </pivotField>
    <pivotField numFmtId="22" showAll="0"/>
    <pivotField numFmtId="22"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6" hier="-1"/>
  </pageFields>
  <dataFields count="1">
    <dataField name="개수 : 결함ID" fld="4" subtotal="count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1A91D-4D09-46BB-BD84-ED209517C8A7}" name="피벗 테이블7" cacheId="17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C20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EC761-0D13-474D-86AC-00968DFE106D}" name="피벗 테이블8" cacheId="17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C20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22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6CCC4-AE31-4CFA-AAF1-E4E50D2BF6AD}" name="피벗 테이블9" cacheId="32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K21" firstHeaderRow="1" firstDataRow="2" firstDataCol="1" rowPageCount="1" colPageCount="1"/>
  <pivotFields count="20">
    <pivotField showAll="0"/>
    <pivotField showAll="0"/>
    <pivotField showAll="0"/>
    <pivotField axis="axisRow" showAll="0">
      <items count="17">
        <item x="0"/>
        <item x="11"/>
        <item x="1"/>
        <item x="2"/>
        <item x="12"/>
        <item x="3"/>
        <item x="4"/>
        <item x="13"/>
        <item x="5"/>
        <item x="6"/>
        <item x="7"/>
        <item x="8"/>
        <item x="9"/>
        <item x="14"/>
        <item x="15"/>
        <item x="10"/>
        <item t="default"/>
      </items>
    </pivotField>
    <pivotField dataField="1" showAll="0"/>
    <pivotField axis="axisCol" showAll="0">
      <items count="11">
        <item x="0"/>
        <item x="1"/>
        <item x="8"/>
        <item x="5"/>
        <item x="4"/>
        <item x="2"/>
        <item x="9"/>
        <item x="3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x="5"/>
        <item h="1" x="2"/>
        <item x="4"/>
        <item x="0"/>
        <item x="1"/>
        <item x="3"/>
        <item t="default"/>
      </items>
    </pivotField>
    <pivotField numFmtId="22" showAll="0"/>
    <pivotField numFmtId="22" showAll="0"/>
  </pivotFields>
  <rowFields count="1">
    <field x="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5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 t="grand">
      <x/>
    </i>
  </colItems>
  <pageFields count="1">
    <pageField fld="17" hier="-1"/>
  </pageFields>
  <dataFields count="1">
    <dataField name="개수 : 결함I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663D3C5-5225-4A49-A2BC-79686FE1E5FA}" autoFormatId="16" applyNumberFormats="0" applyBorderFormats="0" applyFontFormats="0" applyPatternFormats="0" applyAlignmentFormats="0" applyWidthHeightFormats="0">
  <queryTableRefresh nextId="22">
    <queryTableFields count="20">
      <queryTableField id="1" name="시니리오ID" tableColumnId="1"/>
      <queryTableField id="2" name="차수" tableColumnId="2"/>
      <queryTableField id="3" name="단계" tableColumnId="3"/>
      <queryTableField id="4" name="업무모듈명" tableColumnId="4"/>
      <queryTableField id="5" name="결함ID" tableColumnId="5"/>
      <queryTableField id="20" dataBound="0" tableColumnId="20"/>
      <queryTableField id="6" name="결함내용" tableColumnId="6"/>
      <queryTableField id="7" name="테스트단계" tableColumnId="7"/>
      <queryTableField id="8" name="PL" tableColumnId="8"/>
      <queryTableField id="9" name="개발자" tableColumnId="9"/>
      <queryTableField id="10" name="테스터" tableColumnId="10"/>
      <queryTableField id="11" name="기능유형" tableColumnId="11"/>
      <queryTableField id="12" name="결함구분" tableColumnId="12"/>
      <queryTableField id="13" name="결함유형" tableColumnId="13"/>
      <queryTableField id="14" name="결함상태" tableColumnId="14"/>
      <queryTableField id="15" name="담당자" tableColumnId="15"/>
      <queryTableField id="16" name="심각도" tableColumnId="16"/>
      <queryTableField id="17" name="조치상태" tableColumnId="17"/>
      <queryTableField id="18" name="결함등록일" tableColumnId="18"/>
      <queryTableField id="19" name="결함수정일시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06804-58B3-489F-9453-C0F8FA03F9C3}" name="Iteration2_2차_3자_결함TMS202601280834" displayName="Iteration2_2차_3자_결함TMS202601280834" ref="A1:T259" tableType="queryTable" totalsRowShown="0">
  <tableColumns count="20">
    <tableColumn id="1" xr3:uid="{C985B940-28A2-4904-8DAE-23BA776E9ED7}" uniqueName="1" name="시니리오ID" queryTableFieldId="1" dataDxfId="16"/>
    <tableColumn id="2" xr3:uid="{13966BB6-4AB7-44EA-9A3D-E574C946317A}" uniqueName="2" name="차수" queryTableFieldId="2"/>
    <tableColumn id="3" xr3:uid="{382FF4F8-4849-496E-8B4D-2F386473026F}" uniqueName="3" name="단계" queryTableFieldId="3"/>
    <tableColumn id="4" xr3:uid="{4EC4281F-AA8B-4DCA-980C-D66FCDB17553}" uniqueName="4" name="업무모듈명" queryTableFieldId="4" dataDxfId="15"/>
    <tableColumn id="5" xr3:uid="{E5017554-801A-498C-B247-3DD576A0F0F5}" uniqueName="5" name="결함ID" queryTableFieldId="5" dataDxfId="14"/>
    <tableColumn id="20" xr3:uid="{226A98B0-F1AC-4CD9-B4A4-BF0DC3085B26}" uniqueName="20" name="결함분류TAG" queryTableFieldId="20"/>
    <tableColumn id="6" xr3:uid="{1BBA289B-D7F2-424D-A7E6-1ED3BAFDD2DA}" uniqueName="6" name="결함내용" queryTableFieldId="6" dataDxfId="13"/>
    <tableColumn id="7" xr3:uid="{50B9CDEE-55DB-4779-8A5E-E96C8F79B2B4}" uniqueName="7" name="테스트단계" queryTableFieldId="7" dataDxfId="12"/>
    <tableColumn id="8" xr3:uid="{5286CD90-1B9E-4F5F-8BF7-4980E2AC24F3}" uniqueName="8" name="PL" queryTableFieldId="8" dataDxfId="11"/>
    <tableColumn id="9" xr3:uid="{DE9E0BD9-33D5-438D-9D5D-9D0262541F62}" uniqueName="9" name="개발자" queryTableFieldId="9" dataDxfId="10"/>
    <tableColumn id="10" xr3:uid="{FB344568-206D-48B3-A160-148CFC29DF65}" uniqueName="10" name="테스터" queryTableFieldId="10" dataDxfId="9"/>
    <tableColumn id="11" xr3:uid="{972DAF03-0099-457F-B66C-33C6F7BCF138}" uniqueName="11" name="기능유형" queryTableFieldId="11" dataDxfId="8"/>
    <tableColumn id="12" xr3:uid="{CA2A33ED-00DF-42BC-9B9C-DFC529B382B7}" uniqueName="12" name="결함구분" queryTableFieldId="12" dataDxfId="7"/>
    <tableColumn id="13" xr3:uid="{6CCD5F07-7FB7-401E-9F27-97D36E8A2246}" uniqueName="13" name="결함유형" queryTableFieldId="13" dataDxfId="6"/>
    <tableColumn id="14" xr3:uid="{42B24162-CD32-4CE3-819C-CDD90E7873DD}" uniqueName="14" name="결함상태" queryTableFieldId="14" dataDxfId="5"/>
    <tableColumn id="15" xr3:uid="{3609C0D1-54E5-4754-B5DC-0FDFCBDB4943}" uniqueName="15" name="담당자" queryTableFieldId="15" dataDxfId="4"/>
    <tableColumn id="16" xr3:uid="{D06E7EE4-A52A-42C4-964D-BE4762C688B0}" uniqueName="16" name="심각도" queryTableFieldId="16" dataDxfId="3"/>
    <tableColumn id="17" xr3:uid="{BAC0940A-36E4-4537-9760-3AC2CB7CA6F6}" uniqueName="17" name="조치상태" queryTableFieldId="17" dataDxfId="2"/>
    <tableColumn id="18" xr3:uid="{E3AE4A7E-9736-4018-B1DB-DCA7825B92CC}" uniqueName="18" name="결함등록일" queryTableFieldId="18" dataDxfId="1"/>
    <tableColumn id="19" xr3:uid="{AE6CA9C4-9802-4325-BF15-5979DAABF962}" uniqueName="19" name="결함수정일시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F1EC-5D4C-4DD4-8352-D5DDB3681D11}">
  <dimension ref="A1:K36"/>
  <sheetViews>
    <sheetView topLeftCell="A16" workbookViewId="0">
      <selection activeCell="K26" sqref="K26"/>
    </sheetView>
  </sheetViews>
  <sheetFormatPr defaultRowHeight="16.5" x14ac:dyDescent="0.3"/>
  <cols>
    <col min="1" max="1" width="11.875" bestFit="1" customWidth="1"/>
    <col min="2" max="2" width="13.25" bestFit="1" customWidth="1"/>
    <col min="3" max="4" width="5.5" bestFit="1" customWidth="1"/>
    <col min="5" max="6" width="7.375" bestFit="1" customWidth="1"/>
    <col min="7" max="7" width="11.25" bestFit="1" customWidth="1"/>
    <col min="8" max="8" width="5.5" bestFit="1" customWidth="1"/>
    <col min="9" max="9" width="7.375" bestFit="1" customWidth="1"/>
    <col min="10" max="10" width="25.375" bestFit="1" customWidth="1"/>
    <col min="11" max="11" width="21.25" bestFit="1" customWidth="1"/>
    <col min="12" max="12" width="5.5" bestFit="1" customWidth="1"/>
    <col min="13" max="13" width="24" bestFit="1" customWidth="1"/>
    <col min="14" max="14" width="15.875" bestFit="1" customWidth="1"/>
    <col min="15" max="15" width="7.375" bestFit="1" customWidth="1"/>
    <col min="16" max="16" width="18.625" bestFit="1" customWidth="1"/>
    <col min="17" max="17" width="14.75" bestFit="1" customWidth="1"/>
    <col min="18" max="18" width="5.5" bestFit="1" customWidth="1"/>
    <col min="19" max="19" width="17.5" bestFit="1" customWidth="1"/>
    <col min="20" max="20" width="14.875" bestFit="1" customWidth="1"/>
    <col min="21" max="21" width="7.375" bestFit="1" customWidth="1"/>
    <col min="22" max="22" width="17.625" bestFit="1" customWidth="1"/>
    <col min="23" max="23" width="15.25" bestFit="1" customWidth="1"/>
    <col min="24" max="24" width="18" bestFit="1" customWidth="1"/>
    <col min="25" max="25" width="15.875" bestFit="1" customWidth="1"/>
    <col min="26" max="27" width="5.5" bestFit="1" customWidth="1"/>
    <col min="28" max="28" width="18.625" bestFit="1" customWidth="1"/>
    <col min="29" max="29" width="15" bestFit="1" customWidth="1"/>
    <col min="30" max="30" width="5.5" bestFit="1" customWidth="1"/>
    <col min="31" max="31" width="7.375" bestFit="1" customWidth="1"/>
    <col min="32" max="32" width="17.75" bestFit="1" customWidth="1"/>
    <col min="33" max="33" width="15.125" bestFit="1" customWidth="1"/>
    <col min="34" max="34" width="5.5" bestFit="1" customWidth="1"/>
    <col min="35" max="36" width="7.375" bestFit="1" customWidth="1"/>
    <col min="37" max="37" width="5.5" bestFit="1" customWidth="1"/>
    <col min="38" max="38" width="17.875" bestFit="1" customWidth="1"/>
    <col min="39" max="39" width="19.25" bestFit="1" customWidth="1"/>
    <col min="40" max="40" width="5.5" bestFit="1" customWidth="1"/>
    <col min="41" max="41" width="7.375" bestFit="1" customWidth="1"/>
    <col min="42" max="42" width="22" bestFit="1" customWidth="1"/>
    <col min="43" max="43" width="19.625" bestFit="1" customWidth="1"/>
    <col min="44" max="44" width="5.5" bestFit="1" customWidth="1"/>
    <col min="45" max="45" width="22.25" bestFit="1" customWidth="1"/>
    <col min="46" max="46" width="17.625" bestFit="1" customWidth="1"/>
    <col min="47" max="47" width="7.375" bestFit="1" customWidth="1"/>
    <col min="48" max="48" width="11.25" bestFit="1" customWidth="1"/>
    <col min="49" max="49" width="20.375" bestFit="1" customWidth="1"/>
    <col min="50" max="50" width="14.875" bestFit="1" customWidth="1"/>
    <col min="51" max="51" width="17.625" bestFit="1" customWidth="1"/>
    <col min="52" max="52" width="19.5" bestFit="1" customWidth="1"/>
    <col min="53" max="54" width="5.5" bestFit="1" customWidth="1"/>
    <col min="55" max="55" width="22.125" bestFit="1" customWidth="1"/>
    <col min="56" max="56" width="7.375" bestFit="1" customWidth="1"/>
  </cols>
  <sheetData>
    <row r="1" spans="1:9" x14ac:dyDescent="0.3">
      <c r="A1" s="15" t="s">
        <v>16</v>
      </c>
      <c r="B1" t="s">
        <v>784</v>
      </c>
    </row>
    <row r="2" spans="1:9" x14ac:dyDescent="0.3">
      <c r="I2">
        <v>161</v>
      </c>
    </row>
    <row r="3" spans="1:9" x14ac:dyDescent="0.3">
      <c r="A3" s="15" t="s">
        <v>780</v>
      </c>
      <c r="B3" t="s">
        <v>783</v>
      </c>
      <c r="G3" s="16" t="s">
        <v>88</v>
      </c>
      <c r="H3" s="18">
        <v>17</v>
      </c>
      <c r="I3" s="20">
        <f>H3/$I$2</f>
        <v>0.10559006211180125</v>
      </c>
    </row>
    <row r="4" spans="1:9" x14ac:dyDescent="0.3">
      <c r="A4" s="16" t="s">
        <v>88</v>
      </c>
      <c r="B4" s="18">
        <v>17</v>
      </c>
      <c r="G4" s="16" t="s">
        <v>39</v>
      </c>
      <c r="H4" s="18">
        <v>110</v>
      </c>
      <c r="I4" s="20">
        <f t="shared" ref="I4:I9" si="0">H4/$I$2</f>
        <v>0.68322981366459623</v>
      </c>
    </row>
    <row r="5" spans="1:9" x14ac:dyDescent="0.3">
      <c r="A5" s="16" t="s">
        <v>39</v>
      </c>
      <c r="B5" s="18">
        <v>110</v>
      </c>
      <c r="G5" s="16" t="s">
        <v>28</v>
      </c>
      <c r="H5" s="18">
        <v>7</v>
      </c>
      <c r="I5" s="20">
        <f t="shared" si="0"/>
        <v>4.3478260869565216E-2</v>
      </c>
    </row>
    <row r="6" spans="1:9" x14ac:dyDescent="0.3">
      <c r="A6" s="16" t="s">
        <v>28</v>
      </c>
      <c r="B6" s="18">
        <v>7</v>
      </c>
      <c r="G6" s="16" t="s">
        <v>102</v>
      </c>
      <c r="H6" s="18">
        <v>13</v>
      </c>
      <c r="I6" s="20">
        <f t="shared" si="0"/>
        <v>8.0745341614906832E-2</v>
      </c>
    </row>
    <row r="7" spans="1:9" x14ac:dyDescent="0.3">
      <c r="A7" s="16" t="s">
        <v>102</v>
      </c>
      <c r="B7" s="18">
        <v>13</v>
      </c>
      <c r="G7" s="16" t="s">
        <v>56</v>
      </c>
      <c r="H7" s="18">
        <v>21</v>
      </c>
      <c r="I7" s="20">
        <f t="shared" si="0"/>
        <v>0.13043478260869565</v>
      </c>
    </row>
    <row r="8" spans="1:9" x14ac:dyDescent="0.3">
      <c r="A8" s="16" t="s">
        <v>56</v>
      </c>
      <c r="B8" s="18">
        <v>4</v>
      </c>
      <c r="G8" s="16" t="s">
        <v>724</v>
      </c>
      <c r="H8" s="18">
        <v>1</v>
      </c>
      <c r="I8" s="20">
        <f t="shared" si="0"/>
        <v>6.2111801242236021E-3</v>
      </c>
    </row>
    <row r="9" spans="1:9" x14ac:dyDescent="0.3">
      <c r="A9" s="16" t="s">
        <v>724</v>
      </c>
      <c r="B9" s="18">
        <v>1</v>
      </c>
      <c r="G9" s="16" t="s">
        <v>177</v>
      </c>
      <c r="H9" s="18">
        <v>9</v>
      </c>
      <c r="I9" s="20">
        <f t="shared" si="0"/>
        <v>5.5900621118012424E-2</v>
      </c>
    </row>
    <row r="10" spans="1:9" x14ac:dyDescent="0.3">
      <c r="A10" s="16" t="s">
        <v>177</v>
      </c>
      <c r="B10" s="18">
        <v>9</v>
      </c>
    </row>
    <row r="11" spans="1:9" x14ac:dyDescent="0.3">
      <c r="A11" s="16" t="s">
        <v>781</v>
      </c>
      <c r="B11" s="18">
        <v>161</v>
      </c>
    </row>
    <row r="26" spans="1:11" x14ac:dyDescent="0.3">
      <c r="A26" s="15" t="s">
        <v>16</v>
      </c>
      <c r="B26" t="s">
        <v>784</v>
      </c>
      <c r="K26" s="21" t="s">
        <v>806</v>
      </c>
    </row>
    <row r="27" spans="1:11" x14ac:dyDescent="0.3">
      <c r="K27" s="21" t="s">
        <v>807</v>
      </c>
    </row>
    <row r="28" spans="1:11" x14ac:dyDescent="0.3">
      <c r="B28" s="15" t="s">
        <v>782</v>
      </c>
      <c r="K28" s="21" t="s">
        <v>808</v>
      </c>
    </row>
    <row r="29" spans="1:11" x14ac:dyDescent="0.3">
      <c r="B29" t="s">
        <v>156</v>
      </c>
      <c r="C29" t="s">
        <v>97</v>
      </c>
      <c r="D29" t="s">
        <v>31</v>
      </c>
      <c r="E29" t="s">
        <v>781</v>
      </c>
      <c r="K29" s="21" t="s">
        <v>809</v>
      </c>
    </row>
    <row r="30" spans="1:11" x14ac:dyDescent="0.3">
      <c r="A30" t="s">
        <v>783</v>
      </c>
      <c r="B30" s="18">
        <v>10</v>
      </c>
      <c r="C30" s="18">
        <v>38</v>
      </c>
      <c r="D30" s="18">
        <v>113</v>
      </c>
      <c r="E30" s="18">
        <v>161</v>
      </c>
      <c r="K30" s="21" t="s">
        <v>39</v>
      </c>
    </row>
    <row r="31" spans="1:11" x14ac:dyDescent="0.3">
      <c r="K31" s="21" t="s">
        <v>810</v>
      </c>
    </row>
    <row r="32" spans="1:11" x14ac:dyDescent="0.3">
      <c r="K32" s="21" t="s">
        <v>811</v>
      </c>
    </row>
    <row r="33" spans="11:11" x14ac:dyDescent="0.3">
      <c r="K33" s="21" t="s">
        <v>812</v>
      </c>
    </row>
    <row r="34" spans="11:11" x14ac:dyDescent="0.3">
      <c r="K34" s="21" t="s">
        <v>813</v>
      </c>
    </row>
    <row r="35" spans="11:11" x14ac:dyDescent="0.3">
      <c r="K35" s="21" t="s">
        <v>814</v>
      </c>
    </row>
    <row r="36" spans="11:11" x14ac:dyDescent="0.3">
      <c r="K36" s="21" t="s">
        <v>815</v>
      </c>
    </row>
  </sheetData>
  <phoneticPr fontId="3" type="noConversion"/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EBDD-FD29-4D61-9230-C9E3E6CC79AA}">
  <dimension ref="A3:C20"/>
  <sheetViews>
    <sheetView workbookViewId="0">
      <selection activeCell="C11" sqref="C11"/>
    </sheetView>
  </sheetViews>
  <sheetFormatPr defaultRowHeight="16.5" x14ac:dyDescent="0.3"/>
  <sheetData>
    <row r="3" spans="1:3" x14ac:dyDescent="0.3">
      <c r="A3" s="6"/>
      <c r="B3" s="7"/>
      <c r="C3" s="8"/>
    </row>
    <row r="4" spans="1:3" x14ac:dyDescent="0.3">
      <c r="A4" s="9"/>
      <c r="B4" s="10"/>
      <c r="C4" s="11"/>
    </row>
    <row r="5" spans="1:3" x14ac:dyDescent="0.3">
      <c r="A5" s="9"/>
      <c r="B5" s="10"/>
      <c r="C5" s="11"/>
    </row>
    <row r="6" spans="1:3" x14ac:dyDescent="0.3">
      <c r="A6" s="9"/>
      <c r="B6" s="10"/>
      <c r="C6" s="11"/>
    </row>
    <row r="7" spans="1:3" x14ac:dyDescent="0.3">
      <c r="A7" s="9"/>
      <c r="B7" s="10"/>
      <c r="C7" s="11"/>
    </row>
    <row r="8" spans="1:3" x14ac:dyDescent="0.3">
      <c r="A8" s="9"/>
      <c r="B8" s="10"/>
      <c r="C8" s="11"/>
    </row>
    <row r="9" spans="1:3" x14ac:dyDescent="0.3">
      <c r="A9" s="9"/>
      <c r="B9" s="10"/>
      <c r="C9" s="11"/>
    </row>
    <row r="10" spans="1:3" x14ac:dyDescent="0.3">
      <c r="A10" s="9"/>
      <c r="B10" s="10"/>
      <c r="C10" s="11"/>
    </row>
    <row r="11" spans="1:3" x14ac:dyDescent="0.3">
      <c r="A11" s="9"/>
      <c r="B11" s="10"/>
      <c r="C11" s="11"/>
    </row>
    <row r="12" spans="1:3" x14ac:dyDescent="0.3">
      <c r="A12" s="9"/>
      <c r="B12" s="10"/>
      <c r="C12" s="11"/>
    </row>
    <row r="13" spans="1:3" x14ac:dyDescent="0.3">
      <c r="A13" s="9"/>
      <c r="B13" s="10"/>
      <c r="C13" s="11"/>
    </row>
    <row r="14" spans="1:3" x14ac:dyDescent="0.3">
      <c r="A14" s="9"/>
      <c r="B14" s="10"/>
      <c r="C14" s="11"/>
    </row>
    <row r="15" spans="1:3" x14ac:dyDescent="0.3">
      <c r="A15" s="9"/>
      <c r="B15" s="10"/>
      <c r="C15" s="11"/>
    </row>
    <row r="16" spans="1:3" x14ac:dyDescent="0.3">
      <c r="A16" s="9"/>
      <c r="B16" s="10"/>
      <c r="C16" s="11"/>
    </row>
    <row r="17" spans="1:3" x14ac:dyDescent="0.3">
      <c r="A17" s="9"/>
      <c r="B17" s="10"/>
      <c r="C17" s="11"/>
    </row>
    <row r="18" spans="1:3" x14ac:dyDescent="0.3">
      <c r="A18" s="9"/>
      <c r="B18" s="10"/>
      <c r="C18" s="11"/>
    </row>
    <row r="19" spans="1:3" x14ac:dyDescent="0.3">
      <c r="A19" s="9"/>
      <c r="B19" s="10"/>
      <c r="C19" s="11"/>
    </row>
    <row r="20" spans="1:3" x14ac:dyDescent="0.3">
      <c r="A20" s="12"/>
      <c r="B20" s="13"/>
      <c r="C20" s="1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D1816-097E-49D3-B022-889CD00944DC}">
  <dimension ref="A3:C20"/>
  <sheetViews>
    <sheetView workbookViewId="0">
      <selection activeCell="A3" sqref="A3"/>
    </sheetView>
  </sheetViews>
  <sheetFormatPr defaultRowHeight="16.5" x14ac:dyDescent="0.3"/>
  <sheetData>
    <row r="3" spans="1:3" x14ac:dyDescent="0.3">
      <c r="A3" s="6"/>
      <c r="B3" s="7"/>
      <c r="C3" s="8"/>
    </row>
    <row r="4" spans="1:3" x14ac:dyDescent="0.3">
      <c r="A4" s="9"/>
      <c r="B4" s="10"/>
      <c r="C4" s="11"/>
    </row>
    <row r="5" spans="1:3" x14ac:dyDescent="0.3">
      <c r="A5" s="9"/>
      <c r="B5" s="10"/>
      <c r="C5" s="11"/>
    </row>
    <row r="6" spans="1:3" x14ac:dyDescent="0.3">
      <c r="A6" s="9"/>
      <c r="B6" s="10"/>
      <c r="C6" s="11"/>
    </row>
    <row r="7" spans="1:3" x14ac:dyDescent="0.3">
      <c r="A7" s="9"/>
      <c r="B7" s="10"/>
      <c r="C7" s="11"/>
    </row>
    <row r="8" spans="1:3" x14ac:dyDescent="0.3">
      <c r="A8" s="9"/>
      <c r="B8" s="10"/>
      <c r="C8" s="11"/>
    </row>
    <row r="9" spans="1:3" x14ac:dyDescent="0.3">
      <c r="A9" s="9"/>
      <c r="B9" s="10"/>
      <c r="C9" s="11"/>
    </row>
    <row r="10" spans="1:3" x14ac:dyDescent="0.3">
      <c r="A10" s="9"/>
      <c r="B10" s="10"/>
      <c r="C10" s="11"/>
    </row>
    <row r="11" spans="1:3" x14ac:dyDescent="0.3">
      <c r="A11" s="9"/>
      <c r="B11" s="10"/>
      <c r="C11" s="11"/>
    </row>
    <row r="12" spans="1:3" x14ac:dyDescent="0.3">
      <c r="A12" s="9"/>
      <c r="B12" s="10"/>
      <c r="C12" s="11"/>
    </row>
    <row r="13" spans="1:3" x14ac:dyDescent="0.3">
      <c r="A13" s="9"/>
      <c r="B13" s="10"/>
      <c r="C13" s="11"/>
    </row>
    <row r="14" spans="1:3" x14ac:dyDescent="0.3">
      <c r="A14" s="9"/>
      <c r="B14" s="10"/>
      <c r="C14" s="11"/>
    </row>
    <row r="15" spans="1:3" x14ac:dyDescent="0.3">
      <c r="A15" s="9"/>
      <c r="B15" s="10"/>
      <c r="C15" s="11"/>
    </row>
    <row r="16" spans="1:3" x14ac:dyDescent="0.3">
      <c r="A16" s="9"/>
      <c r="B16" s="10"/>
      <c r="C16" s="11"/>
    </row>
    <row r="17" spans="1:3" x14ac:dyDescent="0.3">
      <c r="A17" s="9"/>
      <c r="B17" s="10"/>
      <c r="C17" s="11"/>
    </row>
    <row r="18" spans="1:3" x14ac:dyDescent="0.3">
      <c r="A18" s="9"/>
      <c r="B18" s="10"/>
      <c r="C18" s="11"/>
    </row>
    <row r="19" spans="1:3" x14ac:dyDescent="0.3">
      <c r="A19" s="9"/>
      <c r="B19" s="10"/>
      <c r="C19" s="11"/>
    </row>
    <row r="20" spans="1:3" x14ac:dyDescent="0.3">
      <c r="A20" s="12"/>
      <c r="B20" s="13"/>
      <c r="C20" s="14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4EE6-E03C-4BCB-A3A0-6E516700A92E}">
  <dimension ref="A1:T259"/>
  <sheetViews>
    <sheetView workbookViewId="0">
      <selection sqref="A1:XFD1"/>
    </sheetView>
  </sheetViews>
  <sheetFormatPr defaultRowHeight="16.5" x14ac:dyDescent="0.3"/>
  <cols>
    <col min="1" max="1" width="17.75" bestFit="1" customWidth="1"/>
    <col min="2" max="3" width="7.5" bestFit="1" customWidth="1"/>
    <col min="4" max="4" width="20" bestFit="1" customWidth="1"/>
    <col min="5" max="5" width="10.5" bestFit="1" customWidth="1"/>
    <col min="6" max="7" width="9.875" customWidth="1"/>
    <col min="8" max="8" width="110.125" customWidth="1"/>
    <col min="9" max="9" width="7.125" bestFit="1" customWidth="1"/>
    <col min="10" max="11" width="9.375" bestFit="1" customWidth="1"/>
    <col min="12" max="14" width="11.25" bestFit="1" customWidth="1"/>
    <col min="15" max="15" width="13" bestFit="1" customWidth="1"/>
    <col min="16" max="17" width="9.375" bestFit="1" customWidth="1"/>
    <col min="18" max="18" width="13" bestFit="1" customWidth="1"/>
    <col min="19" max="20" width="16.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832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409.5" x14ac:dyDescent="0.3">
      <c r="A2" t="s">
        <v>19</v>
      </c>
      <c r="B2">
        <v>5</v>
      </c>
      <c r="C2">
        <v>3</v>
      </c>
      <c r="D2" t="s">
        <v>20</v>
      </c>
      <c r="E2" t="s">
        <v>21</v>
      </c>
      <c r="F2" t="s">
        <v>817</v>
      </c>
      <c r="G2" s="19" t="s">
        <v>790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29</v>
      </c>
      <c r="S2" s="1">
        <v>46042.622152777774</v>
      </c>
      <c r="T2" s="1">
        <v>46044.683738425927</v>
      </c>
    </row>
    <row r="3" spans="1:20" x14ac:dyDescent="0.3">
      <c r="A3" t="s">
        <v>32</v>
      </c>
      <c r="B3">
        <v>5</v>
      </c>
      <c r="C3">
        <v>3</v>
      </c>
      <c r="D3" t="s">
        <v>20</v>
      </c>
      <c r="E3" t="s">
        <v>33</v>
      </c>
      <c r="F3" t="s">
        <v>819</v>
      </c>
      <c r="G3" t="s">
        <v>34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29</v>
      </c>
      <c r="S3" s="1">
        <v>46041.528807870367</v>
      </c>
      <c r="T3" s="1">
        <v>46045.544687499998</v>
      </c>
    </row>
    <row r="4" spans="1:20" x14ac:dyDescent="0.3">
      <c r="A4" t="s">
        <v>35</v>
      </c>
      <c r="B4">
        <v>5</v>
      </c>
      <c r="C4">
        <v>3</v>
      </c>
      <c r="D4" t="s">
        <v>20</v>
      </c>
      <c r="E4" t="s">
        <v>36</v>
      </c>
      <c r="F4" t="s">
        <v>817</v>
      </c>
      <c r="G4" t="s">
        <v>37</v>
      </c>
      <c r="H4" t="s">
        <v>22</v>
      </c>
      <c r="I4" t="s">
        <v>23</v>
      </c>
      <c r="J4" t="s">
        <v>38</v>
      </c>
      <c r="K4" t="s">
        <v>25</v>
      </c>
      <c r="L4" t="s">
        <v>26</v>
      </c>
      <c r="M4" t="s">
        <v>27</v>
      </c>
      <c r="N4" t="s">
        <v>39</v>
      </c>
      <c r="O4" t="s">
        <v>29</v>
      </c>
      <c r="P4" t="s">
        <v>30</v>
      </c>
      <c r="Q4" t="s">
        <v>31</v>
      </c>
      <c r="R4" t="s">
        <v>29</v>
      </c>
      <c r="S4" s="1">
        <v>46042.456238425926</v>
      </c>
      <c r="T4" s="1">
        <v>46044.688217592593</v>
      </c>
    </row>
    <row r="5" spans="1:20" x14ac:dyDescent="0.3">
      <c r="A5" t="s">
        <v>40</v>
      </c>
      <c r="B5">
        <v>5</v>
      </c>
      <c r="C5">
        <v>3</v>
      </c>
      <c r="D5" t="s">
        <v>20</v>
      </c>
      <c r="E5" t="s">
        <v>41</v>
      </c>
      <c r="F5" t="s">
        <v>817</v>
      </c>
      <c r="G5" t="s">
        <v>42</v>
      </c>
      <c r="H5" t="s">
        <v>22</v>
      </c>
      <c r="I5" t="s">
        <v>23</v>
      </c>
      <c r="J5" t="s">
        <v>38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29</v>
      </c>
      <c r="S5" s="1">
        <v>46042.542731481481</v>
      </c>
      <c r="T5" s="1">
        <v>46044.670740740738</v>
      </c>
    </row>
    <row r="6" spans="1:20" ht="247.5" x14ac:dyDescent="0.3">
      <c r="A6" t="s">
        <v>40</v>
      </c>
      <c r="B6">
        <v>5</v>
      </c>
      <c r="C6">
        <v>3</v>
      </c>
      <c r="D6" t="s">
        <v>20</v>
      </c>
      <c r="E6" t="s">
        <v>43</v>
      </c>
      <c r="F6" t="s">
        <v>817</v>
      </c>
      <c r="G6" s="19" t="s">
        <v>804</v>
      </c>
      <c r="H6" t="s">
        <v>22</v>
      </c>
      <c r="I6" t="s">
        <v>23</v>
      </c>
      <c r="J6" t="s">
        <v>38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29</v>
      </c>
      <c r="S6" s="1">
        <v>46042.411423611113</v>
      </c>
      <c r="T6" s="1">
        <v>46044.672627314816</v>
      </c>
    </row>
    <row r="7" spans="1:20" x14ac:dyDescent="0.3">
      <c r="A7" t="s">
        <v>44</v>
      </c>
      <c r="B7">
        <v>5</v>
      </c>
      <c r="C7">
        <v>3</v>
      </c>
      <c r="D7" t="s">
        <v>20</v>
      </c>
      <c r="E7" t="s">
        <v>45</v>
      </c>
      <c r="F7" t="s">
        <v>817</v>
      </c>
      <c r="G7" t="s">
        <v>46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39</v>
      </c>
      <c r="O7" t="s">
        <v>47</v>
      </c>
      <c r="P7" t="s">
        <v>25</v>
      </c>
      <c r="Q7" t="s">
        <v>31</v>
      </c>
      <c r="R7" t="s">
        <v>48</v>
      </c>
      <c r="S7" s="1">
        <v>46045.581990740742</v>
      </c>
      <c r="T7" s="1">
        <v>46048.606886574074</v>
      </c>
    </row>
    <row r="8" spans="1:20" x14ac:dyDescent="0.3">
      <c r="A8" t="s">
        <v>49</v>
      </c>
      <c r="B8">
        <v>5</v>
      </c>
      <c r="C8">
        <v>3</v>
      </c>
      <c r="D8" t="s">
        <v>50</v>
      </c>
      <c r="E8" t="s">
        <v>51</v>
      </c>
      <c r="F8" t="s">
        <v>817</v>
      </c>
      <c r="G8" t="s">
        <v>52</v>
      </c>
      <c r="H8" t="s">
        <v>22</v>
      </c>
      <c r="I8" t="s">
        <v>53</v>
      </c>
      <c r="J8" t="s">
        <v>54</v>
      </c>
      <c r="K8" t="s">
        <v>55</v>
      </c>
      <c r="L8" t="s">
        <v>26</v>
      </c>
      <c r="M8" t="s">
        <v>27</v>
      </c>
      <c r="N8" t="s">
        <v>56</v>
      </c>
      <c r="O8" t="s">
        <v>57</v>
      </c>
      <c r="P8" t="s">
        <v>30</v>
      </c>
      <c r="Q8" t="s">
        <v>31</v>
      </c>
      <c r="R8" t="s">
        <v>57</v>
      </c>
      <c r="S8" s="1">
        <v>46041.690995370373</v>
      </c>
      <c r="T8" s="1">
        <v>46042.624479166669</v>
      </c>
    </row>
    <row r="9" spans="1:20" x14ac:dyDescent="0.3">
      <c r="A9" t="s">
        <v>58</v>
      </c>
      <c r="B9">
        <v>5</v>
      </c>
      <c r="C9">
        <v>3</v>
      </c>
      <c r="D9" t="s">
        <v>50</v>
      </c>
      <c r="E9" t="s">
        <v>59</v>
      </c>
      <c r="F9" t="s">
        <v>829</v>
      </c>
      <c r="G9" t="s">
        <v>60</v>
      </c>
      <c r="H9" t="s">
        <v>22</v>
      </c>
      <c r="I9" t="s">
        <v>53</v>
      </c>
      <c r="J9" t="s">
        <v>54</v>
      </c>
      <c r="K9" t="s">
        <v>55</v>
      </c>
      <c r="L9" t="s">
        <v>26</v>
      </c>
      <c r="M9" t="s">
        <v>27</v>
      </c>
      <c r="N9" t="s">
        <v>56</v>
      </c>
      <c r="O9" t="s">
        <v>57</v>
      </c>
      <c r="P9" t="s">
        <v>30</v>
      </c>
      <c r="Q9" t="s">
        <v>31</v>
      </c>
      <c r="R9" t="s">
        <v>57</v>
      </c>
      <c r="S9" s="1">
        <v>46041.457997685182</v>
      </c>
      <c r="T9" s="1">
        <v>46042.409479166665</v>
      </c>
    </row>
    <row r="10" spans="1:20" x14ac:dyDescent="0.3">
      <c r="A10" t="s">
        <v>61</v>
      </c>
      <c r="B10">
        <v>5</v>
      </c>
      <c r="C10">
        <v>3</v>
      </c>
      <c r="D10" t="s">
        <v>50</v>
      </c>
      <c r="E10" t="s">
        <v>62</v>
      </c>
      <c r="F10" t="s">
        <v>817</v>
      </c>
      <c r="G10" t="s">
        <v>63</v>
      </c>
      <c r="H10" t="s">
        <v>22</v>
      </c>
      <c r="I10" t="s">
        <v>53</v>
      </c>
      <c r="J10" t="s">
        <v>54</v>
      </c>
      <c r="K10" t="s">
        <v>55</v>
      </c>
      <c r="L10" t="s">
        <v>26</v>
      </c>
      <c r="M10" t="s">
        <v>27</v>
      </c>
      <c r="N10" t="s">
        <v>28</v>
      </c>
      <c r="O10" t="s">
        <v>57</v>
      </c>
      <c r="P10" t="s">
        <v>30</v>
      </c>
      <c r="Q10" t="s">
        <v>31</v>
      </c>
      <c r="R10" t="s">
        <v>57</v>
      </c>
      <c r="S10" s="1">
        <v>46041.700208333335</v>
      </c>
      <c r="T10" s="1">
        <v>46042.73878472222</v>
      </c>
    </row>
    <row r="11" spans="1:20" x14ac:dyDescent="0.3">
      <c r="A11" t="s">
        <v>64</v>
      </c>
      <c r="B11">
        <v>5</v>
      </c>
      <c r="C11">
        <v>3</v>
      </c>
      <c r="D11" t="s">
        <v>50</v>
      </c>
      <c r="E11" t="s">
        <v>65</v>
      </c>
      <c r="F11" t="s">
        <v>825</v>
      </c>
      <c r="G11" t="s">
        <v>66</v>
      </c>
      <c r="H11" t="s">
        <v>22</v>
      </c>
      <c r="I11" t="s">
        <v>53</v>
      </c>
      <c r="J11" t="s">
        <v>67</v>
      </c>
      <c r="K11" t="s">
        <v>55</v>
      </c>
      <c r="L11" t="s">
        <v>68</v>
      </c>
      <c r="M11" t="s">
        <v>27</v>
      </c>
      <c r="N11" t="s">
        <v>39</v>
      </c>
      <c r="O11" t="s">
        <v>47</v>
      </c>
      <c r="P11" t="s">
        <v>55</v>
      </c>
      <c r="Q11" t="s">
        <v>31</v>
      </c>
      <c r="R11" t="s">
        <v>48</v>
      </c>
      <c r="S11" s="1">
        <v>46045.591122685182</v>
      </c>
      <c r="T11" s="1">
        <v>46048.62877314815</v>
      </c>
    </row>
    <row r="12" spans="1:20" x14ac:dyDescent="0.3">
      <c r="A12" t="s">
        <v>69</v>
      </c>
      <c r="B12">
        <v>5</v>
      </c>
      <c r="C12">
        <v>3</v>
      </c>
      <c r="D12" t="s">
        <v>50</v>
      </c>
      <c r="E12" t="s">
        <v>70</v>
      </c>
      <c r="F12" t="s">
        <v>831</v>
      </c>
      <c r="G12" t="s">
        <v>71</v>
      </c>
      <c r="H12" t="s">
        <v>22</v>
      </c>
      <c r="I12" t="s">
        <v>53</v>
      </c>
      <c r="J12" t="s">
        <v>67</v>
      </c>
      <c r="K12" t="s">
        <v>55</v>
      </c>
      <c r="L12" t="s">
        <v>26</v>
      </c>
      <c r="M12" t="s">
        <v>27</v>
      </c>
      <c r="N12" t="s">
        <v>28</v>
      </c>
      <c r="O12" t="s">
        <v>47</v>
      </c>
      <c r="P12" t="s">
        <v>53</v>
      </c>
      <c r="Q12" t="s">
        <v>31</v>
      </c>
      <c r="R12" t="s">
        <v>47</v>
      </c>
      <c r="S12" s="1">
        <v>46041.445034722223</v>
      </c>
      <c r="T12" s="1">
        <v>46049.711064814815</v>
      </c>
    </row>
    <row r="13" spans="1:20" x14ac:dyDescent="0.3">
      <c r="A13" t="s">
        <v>72</v>
      </c>
      <c r="B13">
        <v>5</v>
      </c>
      <c r="C13">
        <v>3</v>
      </c>
      <c r="D13" t="s">
        <v>73</v>
      </c>
      <c r="E13" t="s">
        <v>74</v>
      </c>
      <c r="F13" t="s">
        <v>817</v>
      </c>
      <c r="G13" t="s">
        <v>75</v>
      </c>
      <c r="H13" t="s">
        <v>22</v>
      </c>
      <c r="I13" t="s">
        <v>53</v>
      </c>
      <c r="J13" t="s">
        <v>54</v>
      </c>
      <c r="K13" t="s">
        <v>55</v>
      </c>
      <c r="L13" t="s">
        <v>26</v>
      </c>
      <c r="M13" t="s">
        <v>27</v>
      </c>
      <c r="N13" t="s">
        <v>39</v>
      </c>
      <c r="O13" t="s">
        <v>57</v>
      </c>
      <c r="P13" t="s">
        <v>30</v>
      </c>
      <c r="Q13" t="s">
        <v>31</v>
      </c>
      <c r="R13" t="s">
        <v>57</v>
      </c>
      <c r="S13" s="1">
        <v>46042.694895833331</v>
      </c>
      <c r="T13" s="1">
        <v>46042.731064814812</v>
      </c>
    </row>
    <row r="14" spans="1:20" ht="231" x14ac:dyDescent="0.3">
      <c r="A14" t="s">
        <v>76</v>
      </c>
      <c r="B14">
        <v>5</v>
      </c>
      <c r="C14">
        <v>3</v>
      </c>
      <c r="D14" t="s">
        <v>73</v>
      </c>
      <c r="E14" t="s">
        <v>77</v>
      </c>
      <c r="F14" t="s">
        <v>817</v>
      </c>
      <c r="G14" s="19" t="s">
        <v>785</v>
      </c>
      <c r="H14" t="s">
        <v>22</v>
      </c>
      <c r="I14" t="s">
        <v>53</v>
      </c>
      <c r="J14" t="s">
        <v>54</v>
      </c>
      <c r="K14" t="s">
        <v>55</v>
      </c>
      <c r="L14" t="s">
        <v>26</v>
      </c>
      <c r="M14" t="s">
        <v>27</v>
      </c>
      <c r="N14" t="s">
        <v>39</v>
      </c>
      <c r="O14" t="s">
        <v>57</v>
      </c>
      <c r="P14" t="s">
        <v>30</v>
      </c>
      <c r="Q14" t="s">
        <v>31</v>
      </c>
      <c r="R14" t="s">
        <v>57</v>
      </c>
      <c r="S14" s="1">
        <v>46043.475891203707</v>
      </c>
      <c r="T14" s="1">
        <v>46048.558136574073</v>
      </c>
    </row>
    <row r="15" spans="1:20" x14ac:dyDescent="0.3">
      <c r="A15" t="s">
        <v>78</v>
      </c>
      <c r="B15">
        <v>5</v>
      </c>
      <c r="C15">
        <v>3</v>
      </c>
      <c r="D15" t="s">
        <v>73</v>
      </c>
      <c r="E15" t="s">
        <v>79</v>
      </c>
      <c r="F15" t="s">
        <v>817</v>
      </c>
      <c r="G15" t="s">
        <v>80</v>
      </c>
      <c r="H15" t="s">
        <v>22</v>
      </c>
      <c r="I15" t="s">
        <v>53</v>
      </c>
      <c r="J15" t="s">
        <v>54</v>
      </c>
      <c r="K15" t="s">
        <v>55</v>
      </c>
      <c r="L15" t="s">
        <v>26</v>
      </c>
      <c r="M15" t="s">
        <v>27</v>
      </c>
      <c r="N15" t="s">
        <v>39</v>
      </c>
      <c r="O15" t="s">
        <v>47</v>
      </c>
      <c r="P15" t="s">
        <v>55</v>
      </c>
      <c r="Q15" t="s">
        <v>31</v>
      </c>
      <c r="R15" t="s">
        <v>48</v>
      </c>
      <c r="S15" s="1">
        <v>46043.379259259258</v>
      </c>
      <c r="T15" s="1">
        <v>46048.559942129628</v>
      </c>
    </row>
    <row r="16" spans="1:20" x14ac:dyDescent="0.3">
      <c r="A16" t="s">
        <v>81</v>
      </c>
      <c r="B16">
        <v>5</v>
      </c>
      <c r="C16">
        <v>3</v>
      </c>
      <c r="D16" t="s">
        <v>82</v>
      </c>
      <c r="E16" t="s">
        <v>83</v>
      </c>
      <c r="F16" t="s">
        <v>827</v>
      </c>
      <c r="G16" t="s">
        <v>84</v>
      </c>
      <c r="H16" t="s">
        <v>22</v>
      </c>
      <c r="I16" t="s">
        <v>85</v>
      </c>
      <c r="J16" t="s">
        <v>86</v>
      </c>
      <c r="K16" t="s">
        <v>87</v>
      </c>
      <c r="L16" t="s">
        <v>26</v>
      </c>
      <c r="M16" t="s">
        <v>27</v>
      </c>
      <c r="N16" t="s">
        <v>88</v>
      </c>
      <c r="O16" t="s">
        <v>47</v>
      </c>
      <c r="P16" t="s">
        <v>87</v>
      </c>
      <c r="Q16" t="s">
        <v>31</v>
      </c>
      <c r="R16" t="s">
        <v>48</v>
      </c>
      <c r="S16" s="1">
        <v>46042.552256944444</v>
      </c>
      <c r="T16" s="1">
        <v>46045.599328703705</v>
      </c>
    </row>
    <row r="17" spans="1:20" x14ac:dyDescent="0.3">
      <c r="A17" t="s">
        <v>89</v>
      </c>
      <c r="B17">
        <v>5</v>
      </c>
      <c r="C17">
        <v>3</v>
      </c>
      <c r="D17" t="s">
        <v>82</v>
      </c>
      <c r="E17" t="s">
        <v>90</v>
      </c>
      <c r="F17" t="s">
        <v>827</v>
      </c>
      <c r="G17" t="s">
        <v>91</v>
      </c>
      <c r="H17" t="s">
        <v>22</v>
      </c>
      <c r="I17" t="s">
        <v>85</v>
      </c>
      <c r="J17" t="s">
        <v>92</v>
      </c>
      <c r="K17" t="s">
        <v>87</v>
      </c>
      <c r="L17" t="s">
        <v>26</v>
      </c>
      <c r="M17" t="s">
        <v>27</v>
      </c>
      <c r="N17" t="s">
        <v>39</v>
      </c>
      <c r="O17" t="s">
        <v>47</v>
      </c>
      <c r="P17" t="s">
        <v>87</v>
      </c>
      <c r="Q17" t="s">
        <v>31</v>
      </c>
      <c r="R17" t="s">
        <v>48</v>
      </c>
      <c r="S17" s="1">
        <v>46042.429351851853</v>
      </c>
      <c r="T17" s="1">
        <v>46045.598587962966</v>
      </c>
    </row>
    <row r="18" spans="1:20" x14ac:dyDescent="0.3">
      <c r="A18" t="s">
        <v>93</v>
      </c>
      <c r="B18">
        <v>5</v>
      </c>
      <c r="C18">
        <v>3</v>
      </c>
      <c r="D18" t="s">
        <v>82</v>
      </c>
      <c r="E18" t="s">
        <v>94</v>
      </c>
      <c r="F18" t="s">
        <v>817</v>
      </c>
      <c r="G18" t="s">
        <v>95</v>
      </c>
      <c r="H18" t="s">
        <v>22</v>
      </c>
      <c r="I18" t="s">
        <v>85</v>
      </c>
      <c r="J18" t="s">
        <v>96</v>
      </c>
      <c r="K18" t="s">
        <v>87</v>
      </c>
      <c r="L18" t="s">
        <v>26</v>
      </c>
      <c r="M18" t="s">
        <v>27</v>
      </c>
      <c r="N18" t="s">
        <v>39</v>
      </c>
      <c r="O18" t="s">
        <v>47</v>
      </c>
      <c r="P18" t="s">
        <v>85</v>
      </c>
      <c r="Q18" t="s">
        <v>97</v>
      </c>
      <c r="R18" t="s">
        <v>47</v>
      </c>
      <c r="S18" s="1">
        <v>46041.473599537036</v>
      </c>
      <c r="T18" s="1">
        <v>46049.455555555556</v>
      </c>
    </row>
    <row r="19" spans="1:20" x14ac:dyDescent="0.3">
      <c r="A19" t="s">
        <v>98</v>
      </c>
      <c r="B19">
        <v>5</v>
      </c>
      <c r="C19">
        <v>3</v>
      </c>
      <c r="D19" t="s">
        <v>99</v>
      </c>
      <c r="E19" t="s">
        <v>100</v>
      </c>
      <c r="F19" t="s">
        <v>829</v>
      </c>
      <c r="G19" t="s">
        <v>101</v>
      </c>
      <c r="H19" t="s">
        <v>22</v>
      </c>
      <c r="I19" t="s">
        <v>85</v>
      </c>
      <c r="J19" t="s">
        <v>86</v>
      </c>
      <c r="K19" t="s">
        <v>87</v>
      </c>
      <c r="L19" t="s">
        <v>26</v>
      </c>
      <c r="M19" t="s">
        <v>27</v>
      </c>
      <c r="N19" t="s">
        <v>102</v>
      </c>
      <c r="O19" t="s">
        <v>57</v>
      </c>
      <c r="P19" t="s">
        <v>30</v>
      </c>
      <c r="Q19" t="s">
        <v>31</v>
      </c>
      <c r="R19" t="s">
        <v>57</v>
      </c>
      <c r="S19" s="1">
        <v>46042.655532407407</v>
      </c>
      <c r="T19" s="1">
        <v>46043.330590277779</v>
      </c>
    </row>
    <row r="20" spans="1:20" x14ac:dyDescent="0.3">
      <c r="A20" t="s">
        <v>103</v>
      </c>
      <c r="B20">
        <v>5</v>
      </c>
      <c r="C20">
        <v>3</v>
      </c>
      <c r="D20" t="s">
        <v>99</v>
      </c>
      <c r="E20" t="s">
        <v>104</v>
      </c>
      <c r="F20" t="s">
        <v>829</v>
      </c>
      <c r="G20" t="s">
        <v>101</v>
      </c>
      <c r="H20" t="s">
        <v>22</v>
      </c>
      <c r="I20" t="s">
        <v>85</v>
      </c>
      <c r="J20" t="s">
        <v>86</v>
      </c>
      <c r="K20" t="s">
        <v>87</v>
      </c>
      <c r="L20" t="s">
        <v>26</v>
      </c>
      <c r="M20" t="s">
        <v>27</v>
      </c>
      <c r="N20" t="s">
        <v>102</v>
      </c>
      <c r="O20" t="s">
        <v>57</v>
      </c>
      <c r="P20" t="s">
        <v>30</v>
      </c>
      <c r="Q20" t="s">
        <v>31</v>
      </c>
      <c r="R20" t="s">
        <v>57</v>
      </c>
      <c r="S20" s="1">
        <v>46042.643958333334</v>
      </c>
      <c r="T20" s="1">
        <v>46043.329837962963</v>
      </c>
    </row>
    <row r="21" spans="1:20" x14ac:dyDescent="0.3">
      <c r="A21" t="s">
        <v>105</v>
      </c>
      <c r="B21">
        <v>5</v>
      </c>
      <c r="C21">
        <v>3</v>
      </c>
      <c r="D21" t="s">
        <v>99</v>
      </c>
      <c r="E21" t="s">
        <v>106</v>
      </c>
      <c r="F21" t="s">
        <v>829</v>
      </c>
      <c r="G21" t="s">
        <v>107</v>
      </c>
      <c r="H21" t="s">
        <v>22</v>
      </c>
      <c r="I21" t="s">
        <v>85</v>
      </c>
      <c r="J21" t="s">
        <v>86</v>
      </c>
      <c r="K21" t="s">
        <v>87</v>
      </c>
      <c r="L21" t="s">
        <v>26</v>
      </c>
      <c r="M21" t="s">
        <v>27</v>
      </c>
      <c r="N21" t="s">
        <v>102</v>
      </c>
      <c r="O21" t="s">
        <v>108</v>
      </c>
      <c r="P21" t="s">
        <v>86</v>
      </c>
      <c r="Q21" t="s">
        <v>31</v>
      </c>
      <c r="R21" t="s">
        <v>108</v>
      </c>
      <c r="S21" s="1">
        <v>46042.62877314815</v>
      </c>
      <c r="T21" s="1">
        <v>46044.574837962966</v>
      </c>
    </row>
    <row r="22" spans="1:20" ht="132" x14ac:dyDescent="0.3">
      <c r="A22" t="s">
        <v>109</v>
      </c>
      <c r="B22">
        <v>5</v>
      </c>
      <c r="C22">
        <v>3</v>
      </c>
      <c r="D22" t="s">
        <v>110</v>
      </c>
      <c r="E22" t="s">
        <v>111</v>
      </c>
      <c r="F22" t="s">
        <v>817</v>
      </c>
      <c r="G22" s="19" t="s">
        <v>798</v>
      </c>
      <c r="H22" t="s">
        <v>22</v>
      </c>
      <c r="I22" t="s">
        <v>112</v>
      </c>
      <c r="J22" t="s">
        <v>113</v>
      </c>
      <c r="K22" t="s">
        <v>114</v>
      </c>
      <c r="L22" t="s">
        <v>26</v>
      </c>
      <c r="M22" t="s">
        <v>27</v>
      </c>
      <c r="N22" t="s">
        <v>88</v>
      </c>
      <c r="O22" t="s">
        <v>47</v>
      </c>
      <c r="P22" t="s">
        <v>114</v>
      </c>
      <c r="Q22" t="s">
        <v>31</v>
      </c>
      <c r="R22" t="s">
        <v>48</v>
      </c>
      <c r="S22" s="1">
        <v>46044.613067129627</v>
      </c>
      <c r="T22" s="1">
        <v>46048.584594907406</v>
      </c>
    </row>
    <row r="23" spans="1:20" x14ac:dyDescent="0.3">
      <c r="A23" t="s">
        <v>115</v>
      </c>
      <c r="B23">
        <v>5</v>
      </c>
      <c r="C23">
        <v>3</v>
      </c>
      <c r="D23" t="s">
        <v>116</v>
      </c>
      <c r="E23" t="s">
        <v>117</v>
      </c>
      <c r="F23" t="s">
        <v>827</v>
      </c>
      <c r="G23" t="s">
        <v>118</v>
      </c>
      <c r="H23" t="s">
        <v>22</v>
      </c>
      <c r="I23" t="s">
        <v>119</v>
      </c>
      <c r="J23" t="s">
        <v>120</v>
      </c>
      <c r="K23" t="s">
        <v>121</v>
      </c>
      <c r="L23" t="s">
        <v>26</v>
      </c>
      <c r="M23" t="s">
        <v>27</v>
      </c>
      <c r="N23" t="s">
        <v>88</v>
      </c>
      <c r="O23" t="s">
        <v>57</v>
      </c>
      <c r="P23" t="s">
        <v>30</v>
      </c>
      <c r="Q23" t="s">
        <v>31</v>
      </c>
      <c r="R23" t="s">
        <v>57</v>
      </c>
      <c r="S23" s="1">
        <v>46042.420428240737</v>
      </c>
      <c r="T23" s="1">
        <v>46043.411469907405</v>
      </c>
    </row>
    <row r="24" spans="1:20" x14ac:dyDescent="0.3">
      <c r="A24" t="s">
        <v>122</v>
      </c>
      <c r="B24">
        <v>5</v>
      </c>
      <c r="C24">
        <v>3</v>
      </c>
      <c r="D24" t="s">
        <v>116</v>
      </c>
      <c r="E24" t="s">
        <v>123</v>
      </c>
      <c r="F24" t="s">
        <v>817</v>
      </c>
      <c r="G24" t="s">
        <v>789</v>
      </c>
      <c r="H24" t="s">
        <v>22</v>
      </c>
      <c r="I24" t="s">
        <v>119</v>
      </c>
      <c r="J24" t="s">
        <v>120</v>
      </c>
      <c r="K24" t="s">
        <v>121</v>
      </c>
      <c r="L24" t="s">
        <v>26</v>
      </c>
      <c r="M24" t="s">
        <v>27</v>
      </c>
      <c r="N24" t="s">
        <v>88</v>
      </c>
      <c r="O24" t="s">
        <v>57</v>
      </c>
      <c r="P24" t="s">
        <v>30</v>
      </c>
      <c r="Q24" t="s">
        <v>31</v>
      </c>
      <c r="R24" t="s">
        <v>57</v>
      </c>
      <c r="S24" s="1">
        <v>46041.448287037034</v>
      </c>
      <c r="T24" s="1">
        <v>46043.77815972222</v>
      </c>
    </row>
    <row r="25" spans="1:20" x14ac:dyDescent="0.3">
      <c r="A25" t="s">
        <v>124</v>
      </c>
      <c r="B25">
        <v>5</v>
      </c>
      <c r="C25">
        <v>3</v>
      </c>
      <c r="D25" t="s">
        <v>116</v>
      </c>
      <c r="E25" t="s">
        <v>125</v>
      </c>
      <c r="F25" t="s">
        <v>817</v>
      </c>
      <c r="G25" t="s">
        <v>126</v>
      </c>
      <c r="H25" t="s">
        <v>22</v>
      </c>
      <c r="I25" t="s">
        <v>119</v>
      </c>
      <c r="J25" t="s">
        <v>127</v>
      </c>
      <c r="K25" t="s">
        <v>121</v>
      </c>
      <c r="L25" t="s">
        <v>68</v>
      </c>
      <c r="M25" t="s">
        <v>27</v>
      </c>
      <c r="N25" t="s">
        <v>102</v>
      </c>
      <c r="O25" t="s">
        <v>57</v>
      </c>
      <c r="P25" t="s">
        <v>30</v>
      </c>
      <c r="Q25" t="s">
        <v>31</v>
      </c>
      <c r="R25" t="s">
        <v>57</v>
      </c>
      <c r="S25" s="1">
        <v>46043.566111111111</v>
      </c>
      <c r="T25" s="1">
        <v>46043.817384259259</v>
      </c>
    </row>
    <row r="26" spans="1:20" x14ac:dyDescent="0.3">
      <c r="A26" t="s">
        <v>128</v>
      </c>
      <c r="B26">
        <v>5</v>
      </c>
      <c r="C26">
        <v>3</v>
      </c>
      <c r="D26" t="s">
        <v>116</v>
      </c>
      <c r="E26" t="s">
        <v>129</v>
      </c>
      <c r="F26" t="s">
        <v>825</v>
      </c>
      <c r="G26" t="s">
        <v>786</v>
      </c>
      <c r="H26" t="s">
        <v>22</v>
      </c>
      <c r="I26" t="s">
        <v>119</v>
      </c>
      <c r="J26" t="s">
        <v>127</v>
      </c>
      <c r="K26" t="s">
        <v>121</v>
      </c>
      <c r="L26" t="s">
        <v>68</v>
      </c>
      <c r="M26" t="s">
        <v>27</v>
      </c>
      <c r="N26" t="s">
        <v>39</v>
      </c>
      <c r="O26" t="s">
        <v>57</v>
      </c>
      <c r="P26" t="s">
        <v>30</v>
      </c>
      <c r="Q26" t="s">
        <v>97</v>
      </c>
      <c r="R26" t="s">
        <v>57</v>
      </c>
      <c r="S26" s="1">
        <v>46042.688946759263</v>
      </c>
      <c r="T26" s="1">
        <v>46043.730266203704</v>
      </c>
    </row>
    <row r="27" spans="1:20" x14ac:dyDescent="0.3">
      <c r="A27" t="s">
        <v>130</v>
      </c>
      <c r="B27">
        <v>5</v>
      </c>
      <c r="C27">
        <v>3</v>
      </c>
      <c r="D27" t="s">
        <v>116</v>
      </c>
      <c r="E27" t="s">
        <v>131</v>
      </c>
      <c r="F27" t="s">
        <v>825</v>
      </c>
      <c r="G27" t="s">
        <v>132</v>
      </c>
      <c r="H27" t="s">
        <v>22</v>
      </c>
      <c r="I27" t="s">
        <v>119</v>
      </c>
      <c r="J27" t="s">
        <v>127</v>
      </c>
      <c r="K27" t="s">
        <v>121</v>
      </c>
      <c r="L27" t="s">
        <v>68</v>
      </c>
      <c r="M27" t="s">
        <v>27</v>
      </c>
      <c r="N27" t="s">
        <v>39</v>
      </c>
      <c r="O27" t="s">
        <v>57</v>
      </c>
      <c r="P27" t="s">
        <v>30</v>
      </c>
      <c r="Q27" t="s">
        <v>97</v>
      </c>
      <c r="R27" t="s">
        <v>57</v>
      </c>
      <c r="S27" s="1">
        <v>46042.692731481482</v>
      </c>
      <c r="T27" s="1">
        <v>46043.416087962964</v>
      </c>
    </row>
    <row r="28" spans="1:20" x14ac:dyDescent="0.3">
      <c r="A28" t="s">
        <v>133</v>
      </c>
      <c r="B28">
        <v>5</v>
      </c>
      <c r="C28">
        <v>3</v>
      </c>
      <c r="D28" t="s">
        <v>116</v>
      </c>
      <c r="E28" t="s">
        <v>134</v>
      </c>
      <c r="F28" t="s">
        <v>829</v>
      </c>
      <c r="G28" t="s">
        <v>135</v>
      </c>
      <c r="H28" t="s">
        <v>22</v>
      </c>
      <c r="I28" t="s">
        <v>119</v>
      </c>
      <c r="J28" t="s">
        <v>127</v>
      </c>
      <c r="K28" t="s">
        <v>121</v>
      </c>
      <c r="L28" t="s">
        <v>68</v>
      </c>
      <c r="M28" t="s">
        <v>27</v>
      </c>
      <c r="N28" t="s">
        <v>39</v>
      </c>
      <c r="O28" t="s">
        <v>57</v>
      </c>
      <c r="P28" t="s">
        <v>30</v>
      </c>
      <c r="Q28" t="s">
        <v>97</v>
      </c>
      <c r="R28" t="s">
        <v>57</v>
      </c>
      <c r="S28" s="1">
        <v>46043.556238425925</v>
      </c>
      <c r="T28" s="1">
        <v>46043.746631944443</v>
      </c>
    </row>
    <row r="29" spans="1:20" x14ac:dyDescent="0.3">
      <c r="A29" t="s">
        <v>136</v>
      </c>
      <c r="B29">
        <v>5</v>
      </c>
      <c r="C29">
        <v>3</v>
      </c>
      <c r="D29" t="s">
        <v>116</v>
      </c>
      <c r="E29" t="s">
        <v>137</v>
      </c>
      <c r="F29" t="s">
        <v>827</v>
      </c>
      <c r="G29" t="s">
        <v>138</v>
      </c>
      <c r="H29" t="s">
        <v>22</v>
      </c>
      <c r="I29" t="s">
        <v>119</v>
      </c>
      <c r="J29" t="s">
        <v>120</v>
      </c>
      <c r="K29" t="s">
        <v>121</v>
      </c>
      <c r="L29" t="s">
        <v>26</v>
      </c>
      <c r="M29" t="s">
        <v>27</v>
      </c>
      <c r="N29" t="s">
        <v>88</v>
      </c>
      <c r="O29" t="s">
        <v>57</v>
      </c>
      <c r="P29" t="s">
        <v>30</v>
      </c>
      <c r="Q29" t="s">
        <v>31</v>
      </c>
      <c r="R29" t="s">
        <v>57</v>
      </c>
      <c r="S29" s="1">
        <v>46042.415034722224</v>
      </c>
      <c r="T29" s="1">
        <v>46043.413807870369</v>
      </c>
    </row>
    <row r="30" spans="1:20" x14ac:dyDescent="0.3">
      <c r="A30" t="s">
        <v>139</v>
      </c>
      <c r="B30">
        <v>5</v>
      </c>
      <c r="C30">
        <v>3</v>
      </c>
      <c r="D30" t="s">
        <v>116</v>
      </c>
      <c r="E30" t="s">
        <v>140</v>
      </c>
      <c r="F30" t="s">
        <v>825</v>
      </c>
      <c r="G30" t="s">
        <v>141</v>
      </c>
      <c r="H30" t="s">
        <v>22</v>
      </c>
      <c r="I30" t="s">
        <v>119</v>
      </c>
      <c r="J30" t="s">
        <v>127</v>
      </c>
      <c r="K30" t="s">
        <v>121</v>
      </c>
      <c r="L30" t="s">
        <v>68</v>
      </c>
      <c r="M30" t="s">
        <v>27</v>
      </c>
      <c r="N30" t="s">
        <v>39</v>
      </c>
      <c r="O30" t="s">
        <v>29</v>
      </c>
      <c r="P30" t="s">
        <v>30</v>
      </c>
      <c r="Q30" t="s">
        <v>31</v>
      </c>
      <c r="R30" t="s">
        <v>29</v>
      </c>
      <c r="S30" s="1">
        <v>46043.469675925924</v>
      </c>
      <c r="T30" s="1">
        <v>46044.656354166669</v>
      </c>
    </row>
    <row r="31" spans="1:20" x14ac:dyDescent="0.3">
      <c r="A31" t="s">
        <v>142</v>
      </c>
      <c r="B31">
        <v>5</v>
      </c>
      <c r="C31">
        <v>3</v>
      </c>
      <c r="D31" t="s">
        <v>116</v>
      </c>
      <c r="E31" t="s">
        <v>143</v>
      </c>
      <c r="F31" t="s">
        <v>825</v>
      </c>
      <c r="G31" t="s">
        <v>144</v>
      </c>
      <c r="H31" t="s">
        <v>22</v>
      </c>
      <c r="I31" t="s">
        <v>119</v>
      </c>
      <c r="J31" t="s">
        <v>127</v>
      </c>
      <c r="K31" t="s">
        <v>121</v>
      </c>
      <c r="L31" t="s">
        <v>68</v>
      </c>
      <c r="M31" t="s">
        <v>27</v>
      </c>
      <c r="N31" t="s">
        <v>39</v>
      </c>
      <c r="O31" t="s">
        <v>29</v>
      </c>
      <c r="P31" t="s">
        <v>30</v>
      </c>
      <c r="Q31" t="s">
        <v>31</v>
      </c>
      <c r="R31" t="s">
        <v>29</v>
      </c>
      <c r="S31" s="1">
        <v>46043.474791666667</v>
      </c>
      <c r="T31" s="1">
        <v>46044.65662037037</v>
      </c>
    </row>
    <row r="32" spans="1:20" x14ac:dyDescent="0.3">
      <c r="A32" t="s">
        <v>115</v>
      </c>
      <c r="B32">
        <v>5</v>
      </c>
      <c r="C32">
        <v>3</v>
      </c>
      <c r="D32" t="s">
        <v>116</v>
      </c>
      <c r="E32" t="s">
        <v>145</v>
      </c>
      <c r="F32" t="s">
        <v>817</v>
      </c>
      <c r="G32" t="s">
        <v>796</v>
      </c>
      <c r="H32" t="s">
        <v>22</v>
      </c>
      <c r="I32" t="s">
        <v>119</v>
      </c>
      <c r="J32" t="s">
        <v>120</v>
      </c>
      <c r="K32" t="s">
        <v>121</v>
      </c>
      <c r="L32" t="s">
        <v>26</v>
      </c>
      <c r="M32" t="s">
        <v>27</v>
      </c>
      <c r="N32" t="s">
        <v>39</v>
      </c>
      <c r="O32" t="s">
        <v>29</v>
      </c>
      <c r="P32" t="s">
        <v>30</v>
      </c>
      <c r="Q32" t="s">
        <v>97</v>
      </c>
      <c r="R32" t="s">
        <v>29</v>
      </c>
      <c r="S32" s="1">
        <v>46042.435289351852</v>
      </c>
      <c r="T32" s="1">
        <v>46044.660694444443</v>
      </c>
    </row>
    <row r="33" spans="1:20" x14ac:dyDescent="0.3">
      <c r="A33" t="s">
        <v>147</v>
      </c>
      <c r="B33">
        <v>5</v>
      </c>
      <c r="C33">
        <v>3</v>
      </c>
      <c r="D33" t="s">
        <v>116</v>
      </c>
      <c r="E33" t="s">
        <v>148</v>
      </c>
      <c r="F33" t="s">
        <v>817</v>
      </c>
      <c r="G33" t="s">
        <v>146</v>
      </c>
      <c r="H33" t="s">
        <v>22</v>
      </c>
      <c r="I33" t="s">
        <v>119</v>
      </c>
      <c r="J33" t="s">
        <v>120</v>
      </c>
      <c r="K33" t="s">
        <v>121</v>
      </c>
      <c r="L33" t="s">
        <v>26</v>
      </c>
      <c r="M33" t="s">
        <v>27</v>
      </c>
      <c r="N33" t="s">
        <v>39</v>
      </c>
      <c r="O33" t="s">
        <v>29</v>
      </c>
      <c r="P33" t="s">
        <v>30</v>
      </c>
      <c r="Q33" t="s">
        <v>97</v>
      </c>
      <c r="R33" t="s">
        <v>29</v>
      </c>
      <c r="S33" s="1">
        <v>46042.441238425927</v>
      </c>
      <c r="T33" s="1">
        <v>46044.661030092589</v>
      </c>
    </row>
    <row r="34" spans="1:20" x14ac:dyDescent="0.3">
      <c r="A34" t="s">
        <v>122</v>
      </c>
      <c r="B34">
        <v>5</v>
      </c>
      <c r="C34">
        <v>3</v>
      </c>
      <c r="D34" t="s">
        <v>116</v>
      </c>
      <c r="E34" t="s">
        <v>149</v>
      </c>
      <c r="F34" t="s">
        <v>827</v>
      </c>
      <c r="G34" t="s">
        <v>150</v>
      </c>
      <c r="H34" t="s">
        <v>22</v>
      </c>
      <c r="I34" t="s">
        <v>119</v>
      </c>
      <c r="J34" t="s">
        <v>120</v>
      </c>
      <c r="K34" t="s">
        <v>121</v>
      </c>
      <c r="L34" t="s">
        <v>26</v>
      </c>
      <c r="M34" t="s">
        <v>27</v>
      </c>
      <c r="N34" t="s">
        <v>102</v>
      </c>
      <c r="O34" t="s">
        <v>47</v>
      </c>
      <c r="P34" t="s">
        <v>121</v>
      </c>
      <c r="Q34" t="s">
        <v>97</v>
      </c>
      <c r="R34" t="s">
        <v>48</v>
      </c>
      <c r="S34" s="1">
        <v>46041.457638888889</v>
      </c>
      <c r="T34" s="1">
        <v>46048.391840277778</v>
      </c>
    </row>
    <row r="35" spans="1:20" x14ac:dyDescent="0.3">
      <c r="A35" t="s">
        <v>151</v>
      </c>
      <c r="B35">
        <v>5</v>
      </c>
      <c r="C35">
        <v>3</v>
      </c>
      <c r="D35" t="s">
        <v>116</v>
      </c>
      <c r="E35" t="s">
        <v>152</v>
      </c>
      <c r="F35" t="s">
        <v>817</v>
      </c>
      <c r="G35" t="s">
        <v>153</v>
      </c>
      <c r="H35" t="s">
        <v>22</v>
      </c>
      <c r="I35" t="s">
        <v>119</v>
      </c>
      <c r="J35" t="s">
        <v>120</v>
      </c>
      <c r="K35" t="s">
        <v>121</v>
      </c>
      <c r="L35" t="s">
        <v>26</v>
      </c>
      <c r="M35" t="s">
        <v>27</v>
      </c>
      <c r="N35" t="s">
        <v>88</v>
      </c>
      <c r="O35" t="s">
        <v>47</v>
      </c>
      <c r="P35" t="s">
        <v>121</v>
      </c>
      <c r="Q35" t="s">
        <v>31</v>
      </c>
      <c r="R35" t="s">
        <v>48</v>
      </c>
      <c r="S35" s="1">
        <v>46041.470347222225</v>
      </c>
      <c r="T35" s="1">
        <v>46048.391504629632</v>
      </c>
    </row>
    <row r="36" spans="1:20" x14ac:dyDescent="0.3">
      <c r="A36" t="s">
        <v>154</v>
      </c>
      <c r="B36">
        <v>5</v>
      </c>
      <c r="C36">
        <v>3</v>
      </c>
      <c r="D36" t="s">
        <v>116</v>
      </c>
      <c r="E36" t="s">
        <v>155</v>
      </c>
      <c r="F36" t="s">
        <v>817</v>
      </c>
      <c r="G36" t="s">
        <v>794</v>
      </c>
      <c r="H36" t="s">
        <v>22</v>
      </c>
      <c r="I36" t="s">
        <v>119</v>
      </c>
      <c r="J36" t="s">
        <v>120</v>
      </c>
      <c r="K36" t="s">
        <v>121</v>
      </c>
      <c r="L36" t="s">
        <v>26</v>
      </c>
      <c r="M36" t="s">
        <v>27</v>
      </c>
      <c r="N36" t="s">
        <v>39</v>
      </c>
      <c r="O36" t="s">
        <v>47</v>
      </c>
      <c r="P36" t="s">
        <v>121</v>
      </c>
      <c r="Q36" t="s">
        <v>156</v>
      </c>
      <c r="R36" t="s">
        <v>48</v>
      </c>
      <c r="S36" s="1">
        <v>46042.472905092596</v>
      </c>
      <c r="T36" s="1">
        <v>46044.555162037039</v>
      </c>
    </row>
    <row r="37" spans="1:20" x14ac:dyDescent="0.3">
      <c r="A37" t="s">
        <v>154</v>
      </c>
      <c r="B37">
        <v>5</v>
      </c>
      <c r="C37">
        <v>3</v>
      </c>
      <c r="D37" t="s">
        <v>116</v>
      </c>
      <c r="E37" t="s">
        <v>157</v>
      </c>
      <c r="F37" t="s">
        <v>817</v>
      </c>
      <c r="G37" t="s">
        <v>158</v>
      </c>
      <c r="H37" t="s">
        <v>22</v>
      </c>
      <c r="I37" t="s">
        <v>119</v>
      </c>
      <c r="J37" t="s">
        <v>120</v>
      </c>
      <c r="K37" t="s">
        <v>121</v>
      </c>
      <c r="L37" t="s">
        <v>26</v>
      </c>
      <c r="M37" t="s">
        <v>27</v>
      </c>
      <c r="N37" t="s">
        <v>39</v>
      </c>
      <c r="O37" t="s">
        <v>47</v>
      </c>
      <c r="P37" t="s">
        <v>121</v>
      </c>
      <c r="Q37" t="s">
        <v>156</v>
      </c>
      <c r="R37" t="s">
        <v>48</v>
      </c>
      <c r="S37" s="1">
        <v>46042.475370370368</v>
      </c>
      <c r="T37" s="1">
        <v>46044.565775462965</v>
      </c>
    </row>
    <row r="38" spans="1:20" x14ac:dyDescent="0.3">
      <c r="A38" t="s">
        <v>154</v>
      </c>
      <c r="B38">
        <v>5</v>
      </c>
      <c r="C38">
        <v>3</v>
      </c>
      <c r="D38" t="s">
        <v>116</v>
      </c>
      <c r="E38" t="s">
        <v>159</v>
      </c>
      <c r="F38" t="s">
        <v>817</v>
      </c>
      <c r="G38" t="s">
        <v>160</v>
      </c>
      <c r="H38" t="s">
        <v>22</v>
      </c>
      <c r="I38" t="s">
        <v>119</v>
      </c>
      <c r="J38" t="s">
        <v>120</v>
      </c>
      <c r="K38" t="s">
        <v>121</v>
      </c>
      <c r="L38" t="s">
        <v>26</v>
      </c>
      <c r="M38" t="s">
        <v>27</v>
      </c>
      <c r="N38" t="s">
        <v>39</v>
      </c>
      <c r="O38" t="s">
        <v>47</v>
      </c>
      <c r="P38" t="s">
        <v>121</v>
      </c>
      <c r="Q38" t="s">
        <v>31</v>
      </c>
      <c r="R38" t="s">
        <v>48</v>
      </c>
      <c r="S38" s="1">
        <v>46042.469513888886</v>
      </c>
      <c r="T38" s="1">
        <v>46044.566030092596</v>
      </c>
    </row>
    <row r="39" spans="1:20" x14ac:dyDescent="0.3">
      <c r="A39" t="s">
        <v>161</v>
      </c>
      <c r="B39">
        <v>5</v>
      </c>
      <c r="C39">
        <v>3</v>
      </c>
      <c r="D39" t="s">
        <v>116</v>
      </c>
      <c r="E39" t="s">
        <v>162</v>
      </c>
      <c r="F39" t="s">
        <v>817</v>
      </c>
      <c r="G39" t="s">
        <v>163</v>
      </c>
      <c r="H39" t="s">
        <v>22</v>
      </c>
      <c r="I39" t="s">
        <v>119</v>
      </c>
      <c r="J39" t="s">
        <v>120</v>
      </c>
      <c r="K39" t="s">
        <v>121</v>
      </c>
      <c r="L39" t="s">
        <v>26</v>
      </c>
      <c r="M39" t="s">
        <v>27</v>
      </c>
      <c r="N39" t="s">
        <v>39</v>
      </c>
      <c r="O39" t="s">
        <v>47</v>
      </c>
      <c r="P39" t="s">
        <v>121</v>
      </c>
      <c r="Q39" t="s">
        <v>97</v>
      </c>
      <c r="R39" t="s">
        <v>48</v>
      </c>
      <c r="S39" s="1">
        <v>46041.586956018517</v>
      </c>
      <c r="T39" s="1">
        <v>46048.392928240741</v>
      </c>
    </row>
    <row r="40" spans="1:20" x14ac:dyDescent="0.3">
      <c r="A40" t="s">
        <v>164</v>
      </c>
      <c r="B40">
        <v>5</v>
      </c>
      <c r="C40">
        <v>3</v>
      </c>
      <c r="D40" t="s">
        <v>165</v>
      </c>
      <c r="E40" t="s">
        <v>166</v>
      </c>
      <c r="F40" t="s">
        <v>829</v>
      </c>
      <c r="G40" t="s">
        <v>167</v>
      </c>
      <c r="H40" t="s">
        <v>22</v>
      </c>
      <c r="I40" t="s">
        <v>168</v>
      </c>
      <c r="J40" t="s">
        <v>169</v>
      </c>
      <c r="K40" t="s">
        <v>114</v>
      </c>
      <c r="L40" t="s">
        <v>26</v>
      </c>
      <c r="M40" t="s">
        <v>27</v>
      </c>
      <c r="N40" t="s">
        <v>102</v>
      </c>
      <c r="O40" t="s">
        <v>170</v>
      </c>
      <c r="P40" t="s">
        <v>168</v>
      </c>
      <c r="Q40" t="s">
        <v>97</v>
      </c>
      <c r="R40" t="s">
        <v>170</v>
      </c>
      <c r="S40" s="1">
        <v>46043.720995370371</v>
      </c>
      <c r="T40" s="1">
        <v>46043.720995370371</v>
      </c>
    </row>
    <row r="41" spans="1:20" x14ac:dyDescent="0.3">
      <c r="A41" t="s">
        <v>164</v>
      </c>
      <c r="B41">
        <v>5</v>
      </c>
      <c r="C41">
        <v>3</v>
      </c>
      <c r="D41" t="s">
        <v>165</v>
      </c>
      <c r="E41" t="s">
        <v>171</v>
      </c>
      <c r="F41" t="s">
        <v>827</v>
      </c>
      <c r="G41" t="s">
        <v>172</v>
      </c>
      <c r="H41" t="s">
        <v>22</v>
      </c>
      <c r="I41" t="s">
        <v>168</v>
      </c>
      <c r="J41" t="s">
        <v>169</v>
      </c>
      <c r="K41" t="s">
        <v>114</v>
      </c>
      <c r="L41" t="s">
        <v>26</v>
      </c>
      <c r="M41" t="s">
        <v>27</v>
      </c>
      <c r="N41" t="s">
        <v>88</v>
      </c>
      <c r="O41" t="s">
        <v>57</v>
      </c>
      <c r="P41" t="s">
        <v>30</v>
      </c>
      <c r="Q41" t="s">
        <v>31</v>
      </c>
      <c r="R41" t="s">
        <v>57</v>
      </c>
      <c r="S41" s="1">
        <v>46041.674120370371</v>
      </c>
      <c r="T41" s="1">
        <v>46044.566423611112</v>
      </c>
    </row>
    <row r="42" spans="1:20" x14ac:dyDescent="0.3">
      <c r="A42" t="s">
        <v>173</v>
      </c>
      <c r="B42">
        <v>5</v>
      </c>
      <c r="C42">
        <v>3</v>
      </c>
      <c r="D42" t="s">
        <v>165</v>
      </c>
      <c r="E42" t="s">
        <v>174</v>
      </c>
      <c r="F42" t="s">
        <v>827</v>
      </c>
      <c r="G42" t="s">
        <v>175</v>
      </c>
      <c r="H42" t="s">
        <v>22</v>
      </c>
      <c r="I42" t="s">
        <v>168</v>
      </c>
      <c r="J42" t="s">
        <v>176</v>
      </c>
      <c r="K42" t="s">
        <v>114</v>
      </c>
      <c r="L42" t="s">
        <v>26</v>
      </c>
      <c r="M42" t="s">
        <v>27</v>
      </c>
      <c r="N42" t="s">
        <v>177</v>
      </c>
      <c r="O42" t="s">
        <v>57</v>
      </c>
      <c r="P42" t="s">
        <v>30</v>
      </c>
      <c r="Q42" t="s">
        <v>31</v>
      </c>
      <c r="R42" t="s">
        <v>57</v>
      </c>
      <c r="S42" s="1">
        <v>46042.618541666663</v>
      </c>
      <c r="T42" s="1">
        <v>46042.632569444446</v>
      </c>
    </row>
    <row r="43" spans="1:20" x14ac:dyDescent="0.3">
      <c r="A43" t="s">
        <v>178</v>
      </c>
      <c r="B43">
        <v>5</v>
      </c>
      <c r="C43">
        <v>3</v>
      </c>
      <c r="D43" t="s">
        <v>165</v>
      </c>
      <c r="E43" t="s">
        <v>179</v>
      </c>
      <c r="G43" t="s">
        <v>180</v>
      </c>
      <c r="H43" t="s">
        <v>22</v>
      </c>
      <c r="I43" t="s">
        <v>168</v>
      </c>
      <c r="J43" t="s">
        <v>176</v>
      </c>
      <c r="K43" t="s">
        <v>114</v>
      </c>
      <c r="L43" t="s">
        <v>26</v>
      </c>
      <c r="M43" t="s">
        <v>27</v>
      </c>
      <c r="N43" t="s">
        <v>177</v>
      </c>
      <c r="O43" t="s">
        <v>57</v>
      </c>
      <c r="P43" t="s">
        <v>30</v>
      </c>
      <c r="Q43" t="s">
        <v>31</v>
      </c>
      <c r="R43" t="s">
        <v>57</v>
      </c>
      <c r="S43" s="1">
        <v>46042.622291666667</v>
      </c>
      <c r="T43" s="1">
        <v>46042.63175925926</v>
      </c>
    </row>
    <row r="44" spans="1:20" x14ac:dyDescent="0.3">
      <c r="A44" t="s">
        <v>181</v>
      </c>
      <c r="B44">
        <v>5</v>
      </c>
      <c r="C44">
        <v>3</v>
      </c>
      <c r="D44" t="s">
        <v>165</v>
      </c>
      <c r="E44" t="s">
        <v>182</v>
      </c>
      <c r="G44" t="s">
        <v>183</v>
      </c>
      <c r="H44" t="s">
        <v>22</v>
      </c>
      <c r="I44" t="s">
        <v>168</v>
      </c>
      <c r="J44" t="s">
        <v>176</v>
      </c>
      <c r="K44" t="s">
        <v>114</v>
      </c>
      <c r="L44" t="s">
        <v>26</v>
      </c>
      <c r="M44" t="s">
        <v>27</v>
      </c>
      <c r="N44" t="s">
        <v>39</v>
      </c>
      <c r="O44" t="s">
        <v>57</v>
      </c>
      <c r="P44" t="s">
        <v>30</v>
      </c>
      <c r="Q44" t="s">
        <v>97</v>
      </c>
      <c r="R44" t="s">
        <v>57</v>
      </c>
      <c r="S44" s="1">
        <v>46045.573449074072</v>
      </c>
      <c r="T44" s="1">
        <v>46048.451423611114</v>
      </c>
    </row>
    <row r="45" spans="1:20" x14ac:dyDescent="0.3">
      <c r="A45" t="s">
        <v>184</v>
      </c>
      <c r="B45">
        <v>5</v>
      </c>
      <c r="C45">
        <v>3</v>
      </c>
      <c r="D45" t="s">
        <v>165</v>
      </c>
      <c r="E45" t="s">
        <v>185</v>
      </c>
      <c r="G45" t="s">
        <v>186</v>
      </c>
      <c r="H45" t="s">
        <v>22</v>
      </c>
      <c r="I45" t="s">
        <v>168</v>
      </c>
      <c r="J45" t="s">
        <v>176</v>
      </c>
      <c r="K45" t="s">
        <v>114</v>
      </c>
      <c r="L45" t="s">
        <v>26</v>
      </c>
      <c r="M45" t="s">
        <v>27</v>
      </c>
      <c r="N45" t="s">
        <v>88</v>
      </c>
      <c r="O45" t="s">
        <v>57</v>
      </c>
      <c r="P45" t="s">
        <v>30</v>
      </c>
      <c r="Q45" t="s">
        <v>31</v>
      </c>
      <c r="R45" t="s">
        <v>57</v>
      </c>
      <c r="S45" s="1">
        <v>46043.377372685187</v>
      </c>
      <c r="T45" s="1">
        <v>46048.727280092593</v>
      </c>
    </row>
    <row r="46" spans="1:20" x14ac:dyDescent="0.3">
      <c r="A46" t="s">
        <v>187</v>
      </c>
      <c r="B46">
        <v>5</v>
      </c>
      <c r="C46">
        <v>3</v>
      </c>
      <c r="D46" t="s">
        <v>165</v>
      </c>
      <c r="E46" t="s">
        <v>188</v>
      </c>
      <c r="F46" t="s">
        <v>817</v>
      </c>
      <c r="G46" t="s">
        <v>189</v>
      </c>
      <c r="H46" t="s">
        <v>22</v>
      </c>
      <c r="I46" t="s">
        <v>168</v>
      </c>
      <c r="J46" t="s">
        <v>176</v>
      </c>
      <c r="K46" t="s">
        <v>114</v>
      </c>
      <c r="L46" t="s">
        <v>26</v>
      </c>
      <c r="M46" t="s">
        <v>27</v>
      </c>
      <c r="N46" t="s">
        <v>88</v>
      </c>
      <c r="O46" t="s">
        <v>108</v>
      </c>
      <c r="P46" t="s">
        <v>176</v>
      </c>
      <c r="Q46" t="s">
        <v>31</v>
      </c>
      <c r="R46" t="s">
        <v>108</v>
      </c>
      <c r="S46" s="1">
        <v>46045.62804398148</v>
      </c>
      <c r="T46" s="1">
        <v>46048.71943287037</v>
      </c>
    </row>
    <row r="47" spans="1:20" x14ac:dyDescent="0.3">
      <c r="A47" t="s">
        <v>181</v>
      </c>
      <c r="B47">
        <v>5</v>
      </c>
      <c r="C47">
        <v>3</v>
      </c>
      <c r="D47" t="s">
        <v>165</v>
      </c>
      <c r="E47" t="s">
        <v>190</v>
      </c>
      <c r="F47" t="s">
        <v>827</v>
      </c>
      <c r="G47" t="s">
        <v>191</v>
      </c>
      <c r="H47" t="s">
        <v>22</v>
      </c>
      <c r="I47" t="s">
        <v>168</v>
      </c>
      <c r="J47" t="s">
        <v>176</v>
      </c>
      <c r="K47" t="s">
        <v>114</v>
      </c>
      <c r="L47" t="s">
        <v>26</v>
      </c>
      <c r="M47" t="s">
        <v>27</v>
      </c>
      <c r="N47" t="s">
        <v>177</v>
      </c>
      <c r="O47" t="s">
        <v>108</v>
      </c>
      <c r="P47" t="s">
        <v>176</v>
      </c>
      <c r="Q47" t="s">
        <v>31</v>
      </c>
      <c r="R47" t="s">
        <v>108</v>
      </c>
      <c r="S47" s="1">
        <v>46042.575023148151</v>
      </c>
      <c r="T47" s="1">
        <v>46043.473356481481</v>
      </c>
    </row>
    <row r="48" spans="1:20" x14ac:dyDescent="0.3">
      <c r="A48" t="s">
        <v>181</v>
      </c>
      <c r="B48">
        <v>5</v>
      </c>
      <c r="C48">
        <v>3</v>
      </c>
      <c r="D48" t="s">
        <v>165</v>
      </c>
      <c r="E48" t="s">
        <v>192</v>
      </c>
      <c r="F48" t="s">
        <v>827</v>
      </c>
      <c r="G48" t="s">
        <v>193</v>
      </c>
      <c r="H48" t="s">
        <v>22</v>
      </c>
      <c r="I48" t="s">
        <v>168</v>
      </c>
      <c r="J48" t="s">
        <v>176</v>
      </c>
      <c r="K48" t="s">
        <v>114</v>
      </c>
      <c r="L48" t="s">
        <v>26</v>
      </c>
      <c r="M48" t="s">
        <v>27</v>
      </c>
      <c r="N48" t="s">
        <v>88</v>
      </c>
      <c r="O48" t="s">
        <v>47</v>
      </c>
      <c r="P48" t="s">
        <v>194</v>
      </c>
      <c r="Q48" t="s">
        <v>31</v>
      </c>
      <c r="R48" t="s">
        <v>47</v>
      </c>
      <c r="S48" s="1">
        <v>46042.615833333337</v>
      </c>
      <c r="T48" s="1">
        <v>46044.450624999998</v>
      </c>
    </row>
    <row r="49" spans="1:20" x14ac:dyDescent="0.3">
      <c r="A49" t="s">
        <v>181</v>
      </c>
      <c r="B49">
        <v>5</v>
      </c>
      <c r="C49">
        <v>3</v>
      </c>
      <c r="D49" t="s">
        <v>165</v>
      </c>
      <c r="E49" t="s">
        <v>195</v>
      </c>
      <c r="F49" t="s">
        <v>827</v>
      </c>
      <c r="G49" t="s">
        <v>196</v>
      </c>
      <c r="H49" t="s">
        <v>22</v>
      </c>
      <c r="I49" t="s">
        <v>168</v>
      </c>
      <c r="J49" t="s">
        <v>176</v>
      </c>
      <c r="K49" t="s">
        <v>114</v>
      </c>
      <c r="L49" t="s">
        <v>26</v>
      </c>
      <c r="M49" t="s">
        <v>27</v>
      </c>
      <c r="N49" t="s">
        <v>177</v>
      </c>
      <c r="O49" t="s">
        <v>47</v>
      </c>
      <c r="P49" t="s">
        <v>194</v>
      </c>
      <c r="Q49" t="s">
        <v>97</v>
      </c>
      <c r="R49" t="s">
        <v>47</v>
      </c>
      <c r="S49" s="1">
        <v>46045.4690162037</v>
      </c>
      <c r="T49" s="1">
        <v>46045.591550925928</v>
      </c>
    </row>
    <row r="50" spans="1:20" x14ac:dyDescent="0.3">
      <c r="A50" t="s">
        <v>197</v>
      </c>
      <c r="B50">
        <v>5</v>
      </c>
      <c r="C50">
        <v>3</v>
      </c>
      <c r="D50" t="s">
        <v>198</v>
      </c>
      <c r="E50" t="s">
        <v>199</v>
      </c>
      <c r="F50" t="s">
        <v>827</v>
      </c>
      <c r="G50" t="s">
        <v>200</v>
      </c>
      <c r="H50" t="s">
        <v>22</v>
      </c>
      <c r="I50" t="s">
        <v>201</v>
      </c>
      <c r="J50" t="s">
        <v>169</v>
      </c>
      <c r="K50" t="s">
        <v>121</v>
      </c>
      <c r="L50" t="s">
        <v>26</v>
      </c>
      <c r="M50" t="s">
        <v>27</v>
      </c>
      <c r="N50" t="s">
        <v>88</v>
      </c>
      <c r="O50" t="s">
        <v>47</v>
      </c>
      <c r="P50" t="s">
        <v>121</v>
      </c>
      <c r="Q50" t="s">
        <v>31</v>
      </c>
      <c r="R50" t="s">
        <v>48</v>
      </c>
      <c r="S50" s="1">
        <v>46043.665706018517</v>
      </c>
      <c r="T50" s="1">
        <v>46048.437395833331</v>
      </c>
    </row>
    <row r="51" spans="1:20" x14ac:dyDescent="0.3">
      <c r="A51" t="s">
        <v>202</v>
      </c>
      <c r="B51">
        <v>5</v>
      </c>
      <c r="C51">
        <v>3</v>
      </c>
      <c r="D51" t="s">
        <v>203</v>
      </c>
      <c r="E51" t="s">
        <v>204</v>
      </c>
      <c r="F51" t="s">
        <v>827</v>
      </c>
      <c r="G51" t="s">
        <v>205</v>
      </c>
      <c r="H51" t="s">
        <v>22</v>
      </c>
      <c r="I51" t="s">
        <v>206</v>
      </c>
      <c r="J51" t="s">
        <v>206</v>
      </c>
      <c r="K51" t="s">
        <v>121</v>
      </c>
      <c r="L51" t="s">
        <v>26</v>
      </c>
      <c r="M51" t="s">
        <v>27</v>
      </c>
      <c r="N51" t="s">
        <v>88</v>
      </c>
      <c r="O51" t="s">
        <v>47</v>
      </c>
      <c r="P51" t="s">
        <v>121</v>
      </c>
      <c r="Q51" t="s">
        <v>31</v>
      </c>
      <c r="R51" t="s">
        <v>48</v>
      </c>
      <c r="S51" s="1">
        <v>46044.718310185184</v>
      </c>
      <c r="T51" s="1">
        <v>46045.473032407404</v>
      </c>
    </row>
    <row r="52" spans="1:20" x14ac:dyDescent="0.3">
      <c r="A52" t="s">
        <v>207</v>
      </c>
      <c r="B52">
        <v>5</v>
      </c>
      <c r="C52">
        <v>3</v>
      </c>
      <c r="D52" t="s">
        <v>208</v>
      </c>
      <c r="E52" t="s">
        <v>209</v>
      </c>
      <c r="F52" t="s">
        <v>817</v>
      </c>
      <c r="G52" t="s">
        <v>210</v>
      </c>
      <c r="H52" t="s">
        <v>22</v>
      </c>
      <c r="I52" t="s">
        <v>211</v>
      </c>
      <c r="J52" t="s">
        <v>212</v>
      </c>
      <c r="K52" t="s">
        <v>213</v>
      </c>
      <c r="L52" t="s">
        <v>26</v>
      </c>
      <c r="M52" t="s">
        <v>27</v>
      </c>
      <c r="N52" t="s">
        <v>39</v>
      </c>
      <c r="O52" t="s">
        <v>108</v>
      </c>
      <c r="P52" t="s">
        <v>214</v>
      </c>
      <c r="Q52" t="s">
        <v>31</v>
      </c>
      <c r="R52" t="s">
        <v>108</v>
      </c>
      <c r="S52" s="1">
        <v>46044.69740740741</v>
      </c>
      <c r="T52" s="1">
        <v>46049.380011574074</v>
      </c>
    </row>
    <row r="53" spans="1:20" x14ac:dyDescent="0.3">
      <c r="A53" t="s">
        <v>215</v>
      </c>
      <c r="B53">
        <v>5</v>
      </c>
      <c r="C53">
        <v>3</v>
      </c>
      <c r="D53" t="s">
        <v>20</v>
      </c>
      <c r="E53" t="s">
        <v>216</v>
      </c>
      <c r="F53" t="s">
        <v>817</v>
      </c>
      <c r="G53" t="s">
        <v>217</v>
      </c>
      <c r="H53" t="s">
        <v>22</v>
      </c>
      <c r="I53" t="s">
        <v>23</v>
      </c>
      <c r="J53" t="s">
        <v>38</v>
      </c>
      <c r="K53" t="s">
        <v>25</v>
      </c>
      <c r="L53" t="s">
        <v>26</v>
      </c>
      <c r="M53" t="s">
        <v>218</v>
      </c>
      <c r="N53" t="s">
        <v>39</v>
      </c>
      <c r="O53" t="s">
        <v>29</v>
      </c>
      <c r="P53" t="s">
        <v>30</v>
      </c>
      <c r="Q53" t="s">
        <v>97</v>
      </c>
      <c r="R53" t="s">
        <v>29</v>
      </c>
      <c r="S53" s="1">
        <v>46041.69290509259</v>
      </c>
      <c r="T53" s="1">
        <v>46044.685254629629</v>
      </c>
    </row>
    <row r="54" spans="1:20" x14ac:dyDescent="0.3">
      <c r="A54" t="s">
        <v>40</v>
      </c>
      <c r="B54">
        <v>5</v>
      </c>
      <c r="C54">
        <v>3</v>
      </c>
      <c r="D54" t="s">
        <v>20</v>
      </c>
      <c r="E54" t="s">
        <v>219</v>
      </c>
      <c r="F54" t="s">
        <v>817</v>
      </c>
      <c r="G54" t="s">
        <v>220</v>
      </c>
      <c r="H54" t="s">
        <v>22</v>
      </c>
      <c r="I54" t="s">
        <v>23</v>
      </c>
      <c r="J54" t="s">
        <v>38</v>
      </c>
      <c r="K54" t="s">
        <v>25</v>
      </c>
      <c r="L54" t="s">
        <v>26</v>
      </c>
      <c r="M54" t="s">
        <v>218</v>
      </c>
      <c r="N54" t="s">
        <v>39</v>
      </c>
      <c r="O54" t="s">
        <v>29</v>
      </c>
      <c r="P54" t="s">
        <v>30</v>
      </c>
      <c r="Q54" t="s">
        <v>31</v>
      </c>
      <c r="R54" t="s">
        <v>29</v>
      </c>
      <c r="S54" s="1">
        <v>46042.391516203701</v>
      </c>
      <c r="T54" s="1">
        <v>46044.671817129631</v>
      </c>
    </row>
    <row r="55" spans="1:20" x14ac:dyDescent="0.3">
      <c r="A55" t="s">
        <v>221</v>
      </c>
      <c r="B55">
        <v>5</v>
      </c>
      <c r="C55">
        <v>3</v>
      </c>
      <c r="D55" t="s">
        <v>20</v>
      </c>
      <c r="E55" t="s">
        <v>222</v>
      </c>
      <c r="F55" t="s">
        <v>817</v>
      </c>
      <c r="G55" t="s">
        <v>223</v>
      </c>
      <c r="H55" t="s">
        <v>22</v>
      </c>
      <c r="I55" t="s">
        <v>23</v>
      </c>
      <c r="J55" t="s">
        <v>38</v>
      </c>
      <c r="K55" t="s">
        <v>25</v>
      </c>
      <c r="L55" t="s">
        <v>26</v>
      </c>
      <c r="M55" t="s">
        <v>218</v>
      </c>
      <c r="N55" t="s">
        <v>39</v>
      </c>
      <c r="O55" t="s">
        <v>29</v>
      </c>
      <c r="P55" t="s">
        <v>30</v>
      </c>
      <c r="Q55" t="s">
        <v>31</v>
      </c>
      <c r="R55" t="s">
        <v>29</v>
      </c>
      <c r="S55" s="1">
        <v>46041.687245370369</v>
      </c>
      <c r="T55" s="1">
        <v>46044.687152777777</v>
      </c>
    </row>
    <row r="56" spans="1:20" x14ac:dyDescent="0.3">
      <c r="A56" t="s">
        <v>224</v>
      </c>
      <c r="B56">
        <v>5</v>
      </c>
      <c r="C56">
        <v>3</v>
      </c>
      <c r="D56" t="s">
        <v>20</v>
      </c>
      <c r="E56" t="s">
        <v>225</v>
      </c>
      <c r="F56" t="s">
        <v>817</v>
      </c>
      <c r="G56" t="s">
        <v>226</v>
      </c>
      <c r="H56" t="s">
        <v>22</v>
      </c>
      <c r="I56" t="s">
        <v>23</v>
      </c>
      <c r="J56" t="s">
        <v>24</v>
      </c>
      <c r="K56" t="s">
        <v>25</v>
      </c>
      <c r="L56" t="s">
        <v>26</v>
      </c>
      <c r="M56" t="s">
        <v>218</v>
      </c>
      <c r="N56" t="s">
        <v>39</v>
      </c>
      <c r="O56" t="s">
        <v>29</v>
      </c>
      <c r="P56" t="s">
        <v>30</v>
      </c>
      <c r="Q56" t="s">
        <v>31</v>
      </c>
      <c r="R56" t="s">
        <v>29</v>
      </c>
      <c r="S56" s="1">
        <v>46041.575196759259</v>
      </c>
      <c r="T56" s="1">
        <v>46044.680358796293</v>
      </c>
    </row>
    <row r="57" spans="1:20" x14ac:dyDescent="0.3">
      <c r="A57" t="s">
        <v>224</v>
      </c>
      <c r="B57">
        <v>5</v>
      </c>
      <c r="C57">
        <v>3</v>
      </c>
      <c r="D57" t="s">
        <v>20</v>
      </c>
      <c r="E57" t="s">
        <v>227</v>
      </c>
      <c r="F57" t="s">
        <v>817</v>
      </c>
      <c r="G57" t="s">
        <v>228</v>
      </c>
      <c r="H57" t="s">
        <v>22</v>
      </c>
      <c r="I57" t="s">
        <v>23</v>
      </c>
      <c r="J57" t="s">
        <v>24</v>
      </c>
      <c r="K57" t="s">
        <v>25</v>
      </c>
      <c r="L57" t="s">
        <v>26</v>
      </c>
      <c r="M57" t="s">
        <v>218</v>
      </c>
      <c r="N57" t="s">
        <v>39</v>
      </c>
      <c r="O57" t="s">
        <v>29</v>
      </c>
      <c r="P57" t="s">
        <v>30</v>
      </c>
      <c r="Q57" t="s">
        <v>31</v>
      </c>
      <c r="R57" t="s">
        <v>29</v>
      </c>
      <c r="S57" s="1">
        <v>46041.56354166667</v>
      </c>
      <c r="T57" s="1">
        <v>46044.678263888891</v>
      </c>
    </row>
    <row r="58" spans="1:20" x14ac:dyDescent="0.3">
      <c r="A58" t="s">
        <v>229</v>
      </c>
      <c r="B58">
        <v>5</v>
      </c>
      <c r="C58">
        <v>3</v>
      </c>
      <c r="D58" t="s">
        <v>20</v>
      </c>
      <c r="E58" t="s">
        <v>230</v>
      </c>
      <c r="F58" t="s">
        <v>817</v>
      </c>
      <c r="G58" t="s">
        <v>231</v>
      </c>
      <c r="H58" t="s">
        <v>22</v>
      </c>
      <c r="I58" t="s">
        <v>23</v>
      </c>
      <c r="J58" t="s">
        <v>24</v>
      </c>
      <c r="K58" t="s">
        <v>25</v>
      </c>
      <c r="L58" t="s">
        <v>26</v>
      </c>
      <c r="M58" t="s">
        <v>218</v>
      </c>
      <c r="N58" t="s">
        <v>39</v>
      </c>
      <c r="O58" t="s">
        <v>29</v>
      </c>
      <c r="P58" t="s">
        <v>30</v>
      </c>
      <c r="Q58" t="s">
        <v>31</v>
      </c>
      <c r="R58" t="s">
        <v>29</v>
      </c>
      <c r="S58" s="1">
        <v>46041.66574074074</v>
      </c>
      <c r="T58" s="1">
        <v>46045.585405092592</v>
      </c>
    </row>
    <row r="59" spans="1:20" x14ac:dyDescent="0.3">
      <c r="A59" t="s">
        <v>232</v>
      </c>
      <c r="B59">
        <v>5</v>
      </c>
      <c r="C59">
        <v>3</v>
      </c>
      <c r="D59" t="s">
        <v>20</v>
      </c>
      <c r="E59" t="s">
        <v>233</v>
      </c>
      <c r="F59" t="s">
        <v>817</v>
      </c>
      <c r="G59" t="s">
        <v>234</v>
      </c>
      <c r="H59" t="s">
        <v>22</v>
      </c>
      <c r="I59" t="s">
        <v>23</v>
      </c>
      <c r="J59" t="s">
        <v>38</v>
      </c>
      <c r="K59" t="s">
        <v>25</v>
      </c>
      <c r="L59" t="s">
        <v>26</v>
      </c>
      <c r="M59" t="s">
        <v>218</v>
      </c>
      <c r="N59" t="s">
        <v>39</v>
      </c>
      <c r="O59" t="s">
        <v>29</v>
      </c>
      <c r="P59" t="s">
        <v>30</v>
      </c>
      <c r="Q59" t="s">
        <v>31</v>
      </c>
      <c r="R59" t="s">
        <v>29</v>
      </c>
      <c r="S59" s="1">
        <v>46042.563877314817</v>
      </c>
      <c r="T59" s="1">
        <v>46044.688726851855</v>
      </c>
    </row>
    <row r="60" spans="1:20" x14ac:dyDescent="0.3">
      <c r="A60" t="s">
        <v>235</v>
      </c>
      <c r="B60">
        <v>5</v>
      </c>
      <c r="C60">
        <v>3</v>
      </c>
      <c r="D60" t="s">
        <v>20</v>
      </c>
      <c r="E60" t="s">
        <v>236</v>
      </c>
      <c r="F60" t="s">
        <v>817</v>
      </c>
      <c r="G60" t="s">
        <v>237</v>
      </c>
      <c r="H60" t="s">
        <v>22</v>
      </c>
      <c r="I60" t="s">
        <v>23</v>
      </c>
      <c r="J60" t="s">
        <v>23</v>
      </c>
      <c r="K60" t="s">
        <v>25</v>
      </c>
      <c r="L60" t="s">
        <v>68</v>
      </c>
      <c r="M60" t="s">
        <v>218</v>
      </c>
      <c r="N60" t="s">
        <v>39</v>
      </c>
      <c r="O60" t="s">
        <v>47</v>
      </c>
      <c r="P60" t="s">
        <v>25</v>
      </c>
      <c r="Q60" t="s">
        <v>31</v>
      </c>
      <c r="R60" t="s">
        <v>48</v>
      </c>
      <c r="S60" s="1">
        <v>46044.589444444442</v>
      </c>
      <c r="T60" s="1">
        <v>46044.780439814815</v>
      </c>
    </row>
    <row r="61" spans="1:20" x14ac:dyDescent="0.3">
      <c r="A61" t="s">
        <v>238</v>
      </c>
      <c r="B61">
        <v>5</v>
      </c>
      <c r="C61">
        <v>3</v>
      </c>
      <c r="D61" t="s">
        <v>20</v>
      </c>
      <c r="E61" t="s">
        <v>239</v>
      </c>
      <c r="F61" t="s">
        <v>817</v>
      </c>
      <c r="G61" t="s">
        <v>240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 t="s">
        <v>218</v>
      </c>
      <c r="N61" t="s">
        <v>39</v>
      </c>
      <c r="O61" t="s">
        <v>47</v>
      </c>
      <c r="P61" t="s">
        <v>25</v>
      </c>
      <c r="Q61" t="s">
        <v>31</v>
      </c>
      <c r="R61" t="s">
        <v>48</v>
      </c>
      <c r="S61" s="1">
        <v>46041.592673611114</v>
      </c>
      <c r="T61" s="1">
        <v>46048.590254629627</v>
      </c>
    </row>
    <row r="62" spans="1:20" ht="231" x14ac:dyDescent="0.3">
      <c r="A62" t="s">
        <v>44</v>
      </c>
      <c r="B62">
        <v>5</v>
      </c>
      <c r="C62">
        <v>3</v>
      </c>
      <c r="D62" t="s">
        <v>20</v>
      </c>
      <c r="E62" t="s">
        <v>241</v>
      </c>
      <c r="F62" t="s">
        <v>817</v>
      </c>
      <c r="G62" s="19" t="s">
        <v>802</v>
      </c>
      <c r="H62" t="s">
        <v>22</v>
      </c>
      <c r="I62" t="s">
        <v>23</v>
      </c>
      <c r="J62" t="s">
        <v>24</v>
      </c>
      <c r="K62" t="s">
        <v>25</v>
      </c>
      <c r="L62" t="s">
        <v>26</v>
      </c>
      <c r="M62" t="s">
        <v>218</v>
      </c>
      <c r="N62" t="s">
        <v>102</v>
      </c>
      <c r="O62" t="s">
        <v>47</v>
      </c>
      <c r="P62" t="s">
        <v>25</v>
      </c>
      <c r="Q62" t="s">
        <v>31</v>
      </c>
      <c r="R62" t="s">
        <v>48</v>
      </c>
      <c r="S62" s="1">
        <v>46041.58421296296</v>
      </c>
      <c r="T62" s="1">
        <v>46048.592118055552</v>
      </c>
    </row>
    <row r="63" spans="1:20" ht="409.5" x14ac:dyDescent="0.3">
      <c r="A63" t="s">
        <v>32</v>
      </c>
      <c r="B63">
        <v>5</v>
      </c>
      <c r="C63">
        <v>3</v>
      </c>
      <c r="D63" t="s">
        <v>20</v>
      </c>
      <c r="E63" t="s">
        <v>242</v>
      </c>
      <c r="F63" t="s">
        <v>817</v>
      </c>
      <c r="G63" s="19" t="s">
        <v>803</v>
      </c>
      <c r="H63" t="s">
        <v>22</v>
      </c>
      <c r="I63" t="s">
        <v>23</v>
      </c>
      <c r="J63" t="s">
        <v>24</v>
      </c>
      <c r="K63" t="s">
        <v>25</v>
      </c>
      <c r="L63" t="s">
        <v>26</v>
      </c>
      <c r="M63" t="s">
        <v>218</v>
      </c>
      <c r="N63" t="s">
        <v>28</v>
      </c>
      <c r="O63" t="s">
        <v>47</v>
      </c>
      <c r="P63" t="s">
        <v>25</v>
      </c>
      <c r="Q63" t="s">
        <v>31</v>
      </c>
      <c r="R63" t="s">
        <v>48</v>
      </c>
      <c r="S63" s="1">
        <v>46045.567442129628</v>
      </c>
      <c r="T63" s="1">
        <v>46048.61041666667</v>
      </c>
    </row>
    <row r="64" spans="1:20" x14ac:dyDescent="0.3">
      <c r="A64" t="s">
        <v>243</v>
      </c>
      <c r="B64">
        <v>5</v>
      </c>
      <c r="C64">
        <v>3</v>
      </c>
      <c r="D64" t="s">
        <v>244</v>
      </c>
      <c r="E64" t="s">
        <v>245</v>
      </c>
      <c r="F64" t="s">
        <v>817</v>
      </c>
      <c r="G64" t="s">
        <v>246</v>
      </c>
      <c r="H64" t="s">
        <v>22</v>
      </c>
      <c r="I64" t="s">
        <v>247</v>
      </c>
      <c r="J64" t="s">
        <v>248</v>
      </c>
      <c r="K64" t="s">
        <v>249</v>
      </c>
      <c r="L64" t="s">
        <v>26</v>
      </c>
      <c r="M64" t="s">
        <v>218</v>
      </c>
      <c r="N64" t="s">
        <v>39</v>
      </c>
      <c r="O64" t="s">
        <v>170</v>
      </c>
      <c r="P64" t="s">
        <v>247</v>
      </c>
      <c r="Q64" t="s">
        <v>31</v>
      </c>
      <c r="R64" t="s">
        <v>170</v>
      </c>
      <c r="S64" s="1">
        <v>46042.60728009259</v>
      </c>
      <c r="T64" s="1">
        <v>46042.60728009259</v>
      </c>
    </row>
    <row r="65" spans="1:20" x14ac:dyDescent="0.3">
      <c r="A65" t="s">
        <v>250</v>
      </c>
      <c r="B65">
        <v>5</v>
      </c>
      <c r="C65">
        <v>3</v>
      </c>
      <c r="D65" t="s">
        <v>244</v>
      </c>
      <c r="E65" t="s">
        <v>251</v>
      </c>
      <c r="F65" t="s">
        <v>817</v>
      </c>
      <c r="G65" t="s">
        <v>252</v>
      </c>
      <c r="H65" t="s">
        <v>22</v>
      </c>
      <c r="I65" t="s">
        <v>247</v>
      </c>
      <c r="J65" t="s">
        <v>248</v>
      </c>
      <c r="K65" t="s">
        <v>249</v>
      </c>
      <c r="L65" t="s">
        <v>26</v>
      </c>
      <c r="M65" t="s">
        <v>218</v>
      </c>
      <c r="N65" t="s">
        <v>39</v>
      </c>
      <c r="O65" t="s">
        <v>170</v>
      </c>
      <c r="P65" t="s">
        <v>247</v>
      </c>
      <c r="Q65" t="s">
        <v>31</v>
      </c>
      <c r="R65" t="s">
        <v>170</v>
      </c>
      <c r="S65" s="1">
        <v>46042.613379629627</v>
      </c>
      <c r="T65" s="1">
        <v>46042.613379629627</v>
      </c>
    </row>
    <row r="66" spans="1:20" x14ac:dyDescent="0.3">
      <c r="A66" t="s">
        <v>253</v>
      </c>
      <c r="B66">
        <v>5</v>
      </c>
      <c r="C66">
        <v>3</v>
      </c>
      <c r="D66" t="s">
        <v>244</v>
      </c>
      <c r="E66" t="s">
        <v>254</v>
      </c>
      <c r="G66" t="s">
        <v>255</v>
      </c>
      <c r="H66" t="s">
        <v>22</v>
      </c>
      <c r="I66" t="s">
        <v>247</v>
      </c>
      <c r="J66" t="s">
        <v>248</v>
      </c>
      <c r="K66" t="s">
        <v>249</v>
      </c>
      <c r="L66" t="s">
        <v>26</v>
      </c>
      <c r="M66" t="s">
        <v>218</v>
      </c>
      <c r="N66" t="s">
        <v>39</v>
      </c>
      <c r="O66" t="s">
        <v>57</v>
      </c>
      <c r="P66" t="s">
        <v>30</v>
      </c>
      <c r="Q66" t="s">
        <v>31</v>
      </c>
      <c r="R66" t="s">
        <v>57</v>
      </c>
      <c r="S66" s="1">
        <v>46042.609363425923</v>
      </c>
      <c r="T66" s="1">
        <v>46042.633460648147</v>
      </c>
    </row>
    <row r="67" spans="1:20" x14ac:dyDescent="0.3">
      <c r="A67" t="s">
        <v>256</v>
      </c>
      <c r="B67">
        <v>5</v>
      </c>
      <c r="C67">
        <v>3</v>
      </c>
      <c r="D67" t="s">
        <v>244</v>
      </c>
      <c r="E67" t="s">
        <v>257</v>
      </c>
      <c r="F67" t="s">
        <v>817</v>
      </c>
      <c r="G67" t="s">
        <v>258</v>
      </c>
      <c r="H67" t="s">
        <v>22</v>
      </c>
      <c r="I67" t="s">
        <v>247</v>
      </c>
      <c r="J67" t="s">
        <v>248</v>
      </c>
      <c r="K67" t="s">
        <v>249</v>
      </c>
      <c r="L67" t="s">
        <v>26</v>
      </c>
      <c r="M67" t="s">
        <v>218</v>
      </c>
      <c r="N67" t="s">
        <v>39</v>
      </c>
      <c r="O67" t="s">
        <v>47</v>
      </c>
      <c r="P67" t="s">
        <v>249</v>
      </c>
      <c r="Q67" t="s">
        <v>31</v>
      </c>
      <c r="R67" t="s">
        <v>48</v>
      </c>
      <c r="S67" s="1">
        <v>46042.616620370369</v>
      </c>
      <c r="T67" s="1">
        <v>46042.636111111111</v>
      </c>
    </row>
    <row r="68" spans="1:20" x14ac:dyDescent="0.3">
      <c r="A68" t="s">
        <v>259</v>
      </c>
      <c r="B68">
        <v>5</v>
      </c>
      <c r="C68">
        <v>3</v>
      </c>
      <c r="D68" t="s">
        <v>50</v>
      </c>
      <c r="E68" t="s">
        <v>260</v>
      </c>
      <c r="G68" t="s">
        <v>261</v>
      </c>
      <c r="H68" t="s">
        <v>22</v>
      </c>
      <c r="I68" t="s">
        <v>53</v>
      </c>
      <c r="J68" t="s">
        <v>67</v>
      </c>
      <c r="K68" t="s">
        <v>55</v>
      </c>
      <c r="L68" t="s">
        <v>68</v>
      </c>
      <c r="M68" t="s">
        <v>218</v>
      </c>
      <c r="N68" t="s">
        <v>56</v>
      </c>
      <c r="O68" t="s">
        <v>57</v>
      </c>
      <c r="P68" t="s">
        <v>30</v>
      </c>
      <c r="Q68" t="s">
        <v>31</v>
      </c>
      <c r="R68" t="s">
        <v>57</v>
      </c>
      <c r="S68" s="1">
        <v>46045.607361111113</v>
      </c>
      <c r="T68" s="1">
        <v>46048.3984375</v>
      </c>
    </row>
    <row r="69" spans="1:20" x14ac:dyDescent="0.3">
      <c r="A69" t="s">
        <v>262</v>
      </c>
      <c r="B69">
        <v>5</v>
      </c>
      <c r="C69">
        <v>3</v>
      </c>
      <c r="D69" t="s">
        <v>50</v>
      </c>
      <c r="E69" t="s">
        <v>263</v>
      </c>
      <c r="G69" t="s">
        <v>264</v>
      </c>
      <c r="H69" t="s">
        <v>22</v>
      </c>
      <c r="I69" t="s">
        <v>53</v>
      </c>
      <c r="J69" t="s">
        <v>54</v>
      </c>
      <c r="K69" t="s">
        <v>55</v>
      </c>
      <c r="L69" t="s">
        <v>26</v>
      </c>
      <c r="M69" t="s">
        <v>218</v>
      </c>
      <c r="N69" t="s">
        <v>39</v>
      </c>
      <c r="O69" t="s">
        <v>57</v>
      </c>
      <c r="P69" t="s">
        <v>30</v>
      </c>
      <c r="Q69" t="s">
        <v>31</v>
      </c>
      <c r="R69" t="s">
        <v>57</v>
      </c>
      <c r="S69" s="1">
        <v>46042.456979166665</v>
      </c>
      <c r="T69" s="1">
        <v>46043.688634259262</v>
      </c>
    </row>
    <row r="70" spans="1:20" x14ac:dyDescent="0.3">
      <c r="A70" t="s">
        <v>265</v>
      </c>
      <c r="B70">
        <v>5</v>
      </c>
      <c r="C70">
        <v>3</v>
      </c>
      <c r="D70" t="s">
        <v>50</v>
      </c>
      <c r="E70" t="s">
        <v>266</v>
      </c>
      <c r="G70" t="s">
        <v>267</v>
      </c>
      <c r="H70" t="s">
        <v>22</v>
      </c>
      <c r="I70" t="s">
        <v>53</v>
      </c>
      <c r="J70" t="s">
        <v>54</v>
      </c>
      <c r="K70" t="s">
        <v>55</v>
      </c>
      <c r="L70" t="s">
        <v>26</v>
      </c>
      <c r="M70" t="s">
        <v>218</v>
      </c>
      <c r="N70" t="s">
        <v>39</v>
      </c>
      <c r="O70" t="s">
        <v>57</v>
      </c>
      <c r="P70" t="s">
        <v>30</v>
      </c>
      <c r="Q70" t="s">
        <v>31</v>
      </c>
      <c r="R70" t="s">
        <v>57</v>
      </c>
      <c r="S70" s="1">
        <v>46042.42564814815</v>
      </c>
      <c r="T70" s="1">
        <v>46048.563009259262</v>
      </c>
    </row>
    <row r="71" spans="1:20" x14ac:dyDescent="0.3">
      <c r="A71" t="s">
        <v>268</v>
      </c>
      <c r="B71">
        <v>5</v>
      </c>
      <c r="C71">
        <v>3</v>
      </c>
      <c r="D71" t="s">
        <v>50</v>
      </c>
      <c r="E71" t="s">
        <v>269</v>
      </c>
      <c r="G71" t="s">
        <v>270</v>
      </c>
      <c r="H71" t="s">
        <v>22</v>
      </c>
      <c r="I71" t="s">
        <v>53</v>
      </c>
      <c r="J71" t="s">
        <v>54</v>
      </c>
      <c r="K71" t="s">
        <v>55</v>
      </c>
      <c r="L71" t="s">
        <v>26</v>
      </c>
      <c r="M71" t="s">
        <v>218</v>
      </c>
      <c r="N71" t="s">
        <v>102</v>
      </c>
      <c r="O71" t="s">
        <v>57</v>
      </c>
      <c r="P71" t="s">
        <v>30</v>
      </c>
      <c r="Q71" t="s">
        <v>31</v>
      </c>
      <c r="R71" t="s">
        <v>57</v>
      </c>
      <c r="S71" s="1">
        <v>46042.558553240742</v>
      </c>
      <c r="T71" s="1">
        <v>46048.552395833336</v>
      </c>
    </row>
    <row r="72" spans="1:20" ht="330" x14ac:dyDescent="0.3">
      <c r="A72" t="s">
        <v>271</v>
      </c>
      <c r="B72">
        <v>5</v>
      </c>
      <c r="C72">
        <v>3</v>
      </c>
      <c r="D72" t="s">
        <v>50</v>
      </c>
      <c r="E72" t="s">
        <v>788</v>
      </c>
      <c r="G72" s="19" t="s">
        <v>787</v>
      </c>
      <c r="H72" t="s">
        <v>22</v>
      </c>
      <c r="I72" t="s">
        <v>53</v>
      </c>
      <c r="J72" t="s">
        <v>67</v>
      </c>
      <c r="K72" t="s">
        <v>55</v>
      </c>
      <c r="L72" t="s">
        <v>68</v>
      </c>
      <c r="M72" t="s">
        <v>218</v>
      </c>
      <c r="N72" t="s">
        <v>39</v>
      </c>
      <c r="O72" t="s">
        <v>57</v>
      </c>
      <c r="P72" t="s">
        <v>30</v>
      </c>
      <c r="Q72" t="s">
        <v>31</v>
      </c>
      <c r="R72" t="s">
        <v>57</v>
      </c>
      <c r="S72" s="1">
        <v>46044.472083333334</v>
      </c>
      <c r="T72" s="1">
        <v>46048.608356481483</v>
      </c>
    </row>
    <row r="73" spans="1:20" x14ac:dyDescent="0.3">
      <c r="A73" t="s">
        <v>272</v>
      </c>
      <c r="B73">
        <v>5</v>
      </c>
      <c r="C73">
        <v>3</v>
      </c>
      <c r="D73" t="s">
        <v>50</v>
      </c>
      <c r="E73" t="s">
        <v>273</v>
      </c>
      <c r="G73" t="s">
        <v>274</v>
      </c>
      <c r="H73" t="s">
        <v>22</v>
      </c>
      <c r="I73" t="s">
        <v>53</v>
      </c>
      <c r="J73" t="s">
        <v>67</v>
      </c>
      <c r="K73" t="s">
        <v>55</v>
      </c>
      <c r="L73" t="s">
        <v>68</v>
      </c>
      <c r="M73" t="s">
        <v>218</v>
      </c>
      <c r="N73" t="s">
        <v>39</v>
      </c>
      <c r="O73" t="s">
        <v>57</v>
      </c>
      <c r="P73" t="s">
        <v>30</v>
      </c>
      <c r="Q73" t="s">
        <v>31</v>
      </c>
      <c r="R73" t="s">
        <v>57</v>
      </c>
      <c r="S73" s="1">
        <v>46044.44358796296</v>
      </c>
      <c r="T73" s="1">
        <v>46048.61546296296</v>
      </c>
    </row>
    <row r="74" spans="1:20" x14ac:dyDescent="0.3">
      <c r="A74" t="s">
        <v>275</v>
      </c>
      <c r="B74">
        <v>5</v>
      </c>
      <c r="C74">
        <v>3</v>
      </c>
      <c r="D74" t="s">
        <v>50</v>
      </c>
      <c r="E74" t="s">
        <v>276</v>
      </c>
      <c r="F74" t="s">
        <v>817</v>
      </c>
      <c r="G74" t="s">
        <v>277</v>
      </c>
      <c r="H74" t="s">
        <v>22</v>
      </c>
      <c r="I74" t="s">
        <v>53</v>
      </c>
      <c r="J74" t="s">
        <v>54</v>
      </c>
      <c r="K74" t="s">
        <v>55</v>
      </c>
      <c r="L74" t="s">
        <v>26</v>
      </c>
      <c r="M74" t="s">
        <v>218</v>
      </c>
      <c r="N74" t="s">
        <v>39</v>
      </c>
      <c r="O74" t="s">
        <v>108</v>
      </c>
      <c r="P74" t="s">
        <v>54</v>
      </c>
      <c r="Q74" t="s">
        <v>31</v>
      </c>
      <c r="R74" t="s">
        <v>108</v>
      </c>
      <c r="S74" s="1">
        <v>46042.3828125</v>
      </c>
      <c r="T74" s="1">
        <v>46042.402812499997</v>
      </c>
    </row>
    <row r="75" spans="1:20" x14ac:dyDescent="0.3">
      <c r="A75" t="s">
        <v>278</v>
      </c>
      <c r="B75">
        <v>5</v>
      </c>
      <c r="C75">
        <v>3</v>
      </c>
      <c r="D75" t="s">
        <v>50</v>
      </c>
      <c r="E75" t="s">
        <v>279</v>
      </c>
      <c r="F75" t="s">
        <v>827</v>
      </c>
      <c r="G75" t="s">
        <v>280</v>
      </c>
      <c r="H75" t="s">
        <v>22</v>
      </c>
      <c r="I75" t="s">
        <v>53</v>
      </c>
      <c r="J75" t="s">
        <v>54</v>
      </c>
      <c r="K75" t="s">
        <v>55</v>
      </c>
      <c r="L75" t="s">
        <v>26</v>
      </c>
      <c r="M75" t="s">
        <v>218</v>
      </c>
      <c r="N75" t="s">
        <v>39</v>
      </c>
      <c r="O75" t="s">
        <v>29</v>
      </c>
      <c r="P75" t="s">
        <v>30</v>
      </c>
      <c r="Q75" t="s">
        <v>31</v>
      </c>
      <c r="R75" t="s">
        <v>29</v>
      </c>
      <c r="S75" s="1">
        <v>46041.652106481481</v>
      </c>
      <c r="T75" s="1">
        <v>46045.571238425924</v>
      </c>
    </row>
    <row r="76" spans="1:20" x14ac:dyDescent="0.3">
      <c r="A76" t="s">
        <v>281</v>
      </c>
      <c r="B76">
        <v>5</v>
      </c>
      <c r="C76">
        <v>3</v>
      </c>
      <c r="D76" t="s">
        <v>50</v>
      </c>
      <c r="E76" t="s">
        <v>282</v>
      </c>
      <c r="F76" t="s">
        <v>827</v>
      </c>
      <c r="G76" t="s">
        <v>283</v>
      </c>
      <c r="H76" t="s">
        <v>22</v>
      </c>
      <c r="I76" t="s">
        <v>53</v>
      </c>
      <c r="J76" t="s">
        <v>54</v>
      </c>
      <c r="K76" t="s">
        <v>55</v>
      </c>
      <c r="L76" t="s">
        <v>26</v>
      </c>
      <c r="M76" t="s">
        <v>218</v>
      </c>
      <c r="N76" t="s">
        <v>39</v>
      </c>
      <c r="O76" t="s">
        <v>29</v>
      </c>
      <c r="P76" t="s">
        <v>30</v>
      </c>
      <c r="Q76" t="s">
        <v>31</v>
      </c>
      <c r="R76" t="s">
        <v>29</v>
      </c>
      <c r="S76" s="1">
        <v>46041.623611111114</v>
      </c>
      <c r="T76" s="1">
        <v>46045.612175925926</v>
      </c>
    </row>
    <row r="77" spans="1:20" x14ac:dyDescent="0.3">
      <c r="A77" t="s">
        <v>284</v>
      </c>
      <c r="B77">
        <v>5</v>
      </c>
      <c r="C77">
        <v>3</v>
      </c>
      <c r="D77" t="s">
        <v>50</v>
      </c>
      <c r="E77" t="s">
        <v>285</v>
      </c>
      <c r="F77" t="s">
        <v>827</v>
      </c>
      <c r="G77" t="s">
        <v>286</v>
      </c>
      <c r="H77" t="s">
        <v>22</v>
      </c>
      <c r="I77" t="s">
        <v>53</v>
      </c>
      <c r="J77" t="s">
        <v>54</v>
      </c>
      <c r="K77" t="s">
        <v>55</v>
      </c>
      <c r="L77" t="s">
        <v>26</v>
      </c>
      <c r="M77" t="s">
        <v>218</v>
      </c>
      <c r="N77" t="s">
        <v>39</v>
      </c>
      <c r="O77" t="s">
        <v>29</v>
      </c>
      <c r="P77" t="s">
        <v>30</v>
      </c>
      <c r="Q77" t="s">
        <v>31</v>
      </c>
      <c r="R77" t="s">
        <v>29</v>
      </c>
      <c r="S77" s="1">
        <v>46041.558692129627</v>
      </c>
      <c r="T77" s="1">
        <v>46045.613495370373</v>
      </c>
    </row>
    <row r="78" spans="1:20" x14ac:dyDescent="0.3">
      <c r="A78" t="s">
        <v>287</v>
      </c>
      <c r="B78">
        <v>5</v>
      </c>
      <c r="C78">
        <v>3</v>
      </c>
      <c r="D78" t="s">
        <v>50</v>
      </c>
      <c r="E78" t="s">
        <v>288</v>
      </c>
      <c r="F78" t="s">
        <v>827</v>
      </c>
      <c r="G78" t="s">
        <v>289</v>
      </c>
      <c r="H78" t="s">
        <v>22</v>
      </c>
      <c r="I78" t="s">
        <v>53</v>
      </c>
      <c r="J78" t="s">
        <v>54</v>
      </c>
      <c r="K78" t="s">
        <v>55</v>
      </c>
      <c r="L78" t="s">
        <v>26</v>
      </c>
      <c r="M78" t="s">
        <v>218</v>
      </c>
      <c r="N78" t="s">
        <v>39</v>
      </c>
      <c r="O78" t="s">
        <v>29</v>
      </c>
      <c r="P78" t="s">
        <v>30</v>
      </c>
      <c r="Q78" t="s">
        <v>31</v>
      </c>
      <c r="R78" t="s">
        <v>29</v>
      </c>
      <c r="S78" s="1">
        <v>46042.471134259256</v>
      </c>
      <c r="T78" s="1">
        <v>46044.674155092594</v>
      </c>
    </row>
    <row r="79" spans="1:20" x14ac:dyDescent="0.3">
      <c r="A79" t="s">
        <v>290</v>
      </c>
      <c r="B79">
        <v>5</v>
      </c>
      <c r="C79">
        <v>3</v>
      </c>
      <c r="D79" t="s">
        <v>50</v>
      </c>
      <c r="E79" t="s">
        <v>291</v>
      </c>
      <c r="F79" t="s">
        <v>827</v>
      </c>
      <c r="G79" t="s">
        <v>292</v>
      </c>
      <c r="H79" t="s">
        <v>22</v>
      </c>
      <c r="I79" t="s">
        <v>53</v>
      </c>
      <c r="J79" t="s">
        <v>54</v>
      </c>
      <c r="K79" t="s">
        <v>55</v>
      </c>
      <c r="L79" t="s">
        <v>26</v>
      </c>
      <c r="M79" t="s">
        <v>218</v>
      </c>
      <c r="N79" t="s">
        <v>39</v>
      </c>
      <c r="O79" t="s">
        <v>29</v>
      </c>
      <c r="P79" t="s">
        <v>30</v>
      </c>
      <c r="Q79" t="s">
        <v>31</v>
      </c>
      <c r="R79" t="s">
        <v>29</v>
      </c>
      <c r="S79" s="1">
        <v>46041.64267361111</v>
      </c>
      <c r="T79" s="1">
        <v>46045.56753472222</v>
      </c>
    </row>
    <row r="80" spans="1:20" x14ac:dyDescent="0.3">
      <c r="A80" t="s">
        <v>293</v>
      </c>
      <c r="B80">
        <v>5</v>
      </c>
      <c r="C80">
        <v>3</v>
      </c>
      <c r="D80" t="s">
        <v>50</v>
      </c>
      <c r="E80" t="s">
        <v>294</v>
      </c>
      <c r="F80" t="s">
        <v>827</v>
      </c>
      <c r="G80" t="s">
        <v>295</v>
      </c>
      <c r="H80" t="s">
        <v>22</v>
      </c>
      <c r="I80" t="s">
        <v>53</v>
      </c>
      <c r="J80" t="s">
        <v>54</v>
      </c>
      <c r="K80" t="s">
        <v>55</v>
      </c>
      <c r="L80" t="s">
        <v>26</v>
      </c>
      <c r="M80" t="s">
        <v>218</v>
      </c>
      <c r="N80" t="s">
        <v>39</v>
      </c>
      <c r="O80" t="s">
        <v>29</v>
      </c>
      <c r="P80" t="s">
        <v>30</v>
      </c>
      <c r="Q80" t="s">
        <v>31</v>
      </c>
      <c r="R80" t="s">
        <v>29</v>
      </c>
      <c r="S80" s="1">
        <v>46041.637245370373</v>
      </c>
      <c r="T80" s="1">
        <v>46045.574178240742</v>
      </c>
    </row>
    <row r="81" spans="1:20" x14ac:dyDescent="0.3">
      <c r="A81" t="s">
        <v>296</v>
      </c>
      <c r="B81">
        <v>5</v>
      </c>
      <c r="C81">
        <v>3</v>
      </c>
      <c r="D81" t="s">
        <v>50</v>
      </c>
      <c r="E81" t="s">
        <v>297</v>
      </c>
      <c r="F81" t="s">
        <v>827</v>
      </c>
      <c r="G81" t="s">
        <v>298</v>
      </c>
      <c r="H81" t="s">
        <v>22</v>
      </c>
      <c r="I81" t="s">
        <v>53</v>
      </c>
      <c r="J81" t="s">
        <v>54</v>
      </c>
      <c r="K81" t="s">
        <v>55</v>
      </c>
      <c r="L81" t="s">
        <v>26</v>
      </c>
      <c r="M81" t="s">
        <v>218</v>
      </c>
      <c r="N81" t="s">
        <v>39</v>
      </c>
      <c r="O81" t="s">
        <v>47</v>
      </c>
      <c r="P81" t="s">
        <v>55</v>
      </c>
      <c r="Q81" t="s">
        <v>31</v>
      </c>
      <c r="R81" t="s">
        <v>48</v>
      </c>
      <c r="S81" s="1">
        <v>46041.565567129626</v>
      </c>
      <c r="T81" s="1">
        <v>46048.542673611111</v>
      </c>
    </row>
    <row r="82" spans="1:20" x14ac:dyDescent="0.3">
      <c r="A82" t="s">
        <v>299</v>
      </c>
      <c r="B82">
        <v>5</v>
      </c>
      <c r="C82">
        <v>3</v>
      </c>
      <c r="D82" t="s">
        <v>50</v>
      </c>
      <c r="E82" t="s">
        <v>300</v>
      </c>
      <c r="F82" t="s">
        <v>817</v>
      </c>
      <c r="G82" t="s">
        <v>301</v>
      </c>
      <c r="H82" t="s">
        <v>22</v>
      </c>
      <c r="I82" t="s">
        <v>53</v>
      </c>
      <c r="J82" t="s">
        <v>54</v>
      </c>
      <c r="K82" t="s">
        <v>55</v>
      </c>
      <c r="L82" t="s">
        <v>26</v>
      </c>
      <c r="M82" t="s">
        <v>218</v>
      </c>
      <c r="N82" t="s">
        <v>39</v>
      </c>
      <c r="O82" t="s">
        <v>47</v>
      </c>
      <c r="P82" t="s">
        <v>55</v>
      </c>
      <c r="Q82" t="s">
        <v>31</v>
      </c>
      <c r="R82" t="s">
        <v>48</v>
      </c>
      <c r="S82" s="1">
        <v>46042.550196759257</v>
      </c>
      <c r="T82" s="1">
        <v>46048.549259259256</v>
      </c>
    </row>
    <row r="83" spans="1:20" x14ac:dyDescent="0.3">
      <c r="A83" t="s">
        <v>268</v>
      </c>
      <c r="B83">
        <v>5</v>
      </c>
      <c r="C83">
        <v>3</v>
      </c>
      <c r="D83" t="s">
        <v>50</v>
      </c>
      <c r="E83" t="s">
        <v>302</v>
      </c>
      <c r="F83" t="s">
        <v>817</v>
      </c>
      <c r="G83" t="s">
        <v>303</v>
      </c>
      <c r="H83" t="s">
        <v>22</v>
      </c>
      <c r="I83" t="s">
        <v>53</v>
      </c>
      <c r="J83" t="s">
        <v>54</v>
      </c>
      <c r="K83" t="s">
        <v>55</v>
      </c>
      <c r="L83" t="s">
        <v>26</v>
      </c>
      <c r="M83" t="s">
        <v>218</v>
      </c>
      <c r="N83" t="s">
        <v>39</v>
      </c>
      <c r="O83" t="s">
        <v>47</v>
      </c>
      <c r="P83" t="s">
        <v>55</v>
      </c>
      <c r="Q83" t="s">
        <v>31</v>
      </c>
      <c r="R83" t="s">
        <v>48</v>
      </c>
      <c r="S83" s="1">
        <v>46042.567349537036</v>
      </c>
      <c r="T83" s="1">
        <v>46048.563634259262</v>
      </c>
    </row>
    <row r="84" spans="1:20" x14ac:dyDescent="0.3">
      <c r="A84" t="s">
        <v>304</v>
      </c>
      <c r="B84">
        <v>5</v>
      </c>
      <c r="C84">
        <v>3</v>
      </c>
      <c r="D84" t="s">
        <v>50</v>
      </c>
      <c r="E84" t="s">
        <v>305</v>
      </c>
      <c r="F84" t="s">
        <v>817</v>
      </c>
      <c r="G84" t="s">
        <v>306</v>
      </c>
      <c r="H84" t="s">
        <v>22</v>
      </c>
      <c r="I84" t="s">
        <v>53</v>
      </c>
      <c r="J84" t="s">
        <v>54</v>
      </c>
      <c r="K84" t="s">
        <v>55</v>
      </c>
      <c r="L84" t="s">
        <v>26</v>
      </c>
      <c r="M84" t="s">
        <v>218</v>
      </c>
      <c r="N84" t="s">
        <v>39</v>
      </c>
      <c r="O84" t="s">
        <v>47</v>
      </c>
      <c r="P84" t="s">
        <v>55</v>
      </c>
      <c r="Q84" t="s">
        <v>31</v>
      </c>
      <c r="R84" t="s">
        <v>48</v>
      </c>
      <c r="S84" s="1">
        <v>46042.577650462961</v>
      </c>
      <c r="T84" s="1">
        <v>46048.542094907411</v>
      </c>
    </row>
    <row r="85" spans="1:20" x14ac:dyDescent="0.3">
      <c r="A85" t="s">
        <v>307</v>
      </c>
      <c r="B85">
        <v>5</v>
      </c>
      <c r="C85">
        <v>3</v>
      </c>
      <c r="D85" t="s">
        <v>50</v>
      </c>
      <c r="E85" t="s">
        <v>308</v>
      </c>
      <c r="F85" t="s">
        <v>817</v>
      </c>
      <c r="G85" t="s">
        <v>309</v>
      </c>
      <c r="H85" t="s">
        <v>22</v>
      </c>
      <c r="I85" t="s">
        <v>53</v>
      </c>
      <c r="J85" t="s">
        <v>54</v>
      </c>
      <c r="K85" t="s">
        <v>55</v>
      </c>
      <c r="L85" t="s">
        <v>26</v>
      </c>
      <c r="M85" t="s">
        <v>218</v>
      </c>
      <c r="N85" t="s">
        <v>39</v>
      </c>
      <c r="O85" t="s">
        <v>47</v>
      </c>
      <c r="P85" t="s">
        <v>55</v>
      </c>
      <c r="Q85" t="s">
        <v>31</v>
      </c>
      <c r="R85" t="s">
        <v>48</v>
      </c>
      <c r="S85" s="1">
        <v>46042.402685185189</v>
      </c>
      <c r="T85" s="1">
        <v>46048.55364583333</v>
      </c>
    </row>
    <row r="86" spans="1:20" x14ac:dyDescent="0.3">
      <c r="A86" t="s">
        <v>310</v>
      </c>
      <c r="B86">
        <v>5</v>
      </c>
      <c r="C86">
        <v>3</v>
      </c>
      <c r="D86" t="s">
        <v>50</v>
      </c>
      <c r="E86" t="s">
        <v>311</v>
      </c>
      <c r="F86" t="s">
        <v>827</v>
      </c>
      <c r="G86" t="s">
        <v>312</v>
      </c>
      <c r="H86" t="s">
        <v>22</v>
      </c>
      <c r="I86" t="s">
        <v>53</v>
      </c>
      <c r="J86" t="s">
        <v>54</v>
      </c>
      <c r="K86" t="s">
        <v>55</v>
      </c>
      <c r="L86" t="s">
        <v>26</v>
      </c>
      <c r="M86" t="s">
        <v>218</v>
      </c>
      <c r="N86" t="s">
        <v>39</v>
      </c>
      <c r="O86" t="s">
        <v>47</v>
      </c>
      <c r="P86" t="s">
        <v>55</v>
      </c>
      <c r="Q86" t="s">
        <v>31</v>
      </c>
      <c r="R86" t="s">
        <v>48</v>
      </c>
      <c r="S86" s="1">
        <v>46041.550844907404</v>
      </c>
      <c r="T86" s="1">
        <v>46048.550682870373</v>
      </c>
    </row>
    <row r="87" spans="1:20" x14ac:dyDescent="0.3">
      <c r="A87" t="s">
        <v>313</v>
      </c>
      <c r="B87">
        <v>5</v>
      </c>
      <c r="C87">
        <v>3</v>
      </c>
      <c r="D87" t="s">
        <v>50</v>
      </c>
      <c r="E87" t="s">
        <v>314</v>
      </c>
      <c r="F87" t="s">
        <v>817</v>
      </c>
      <c r="G87" t="s">
        <v>315</v>
      </c>
      <c r="H87" t="s">
        <v>22</v>
      </c>
      <c r="I87" t="s">
        <v>53</v>
      </c>
      <c r="J87" t="s">
        <v>54</v>
      </c>
      <c r="K87" t="s">
        <v>55</v>
      </c>
      <c r="L87" t="s">
        <v>26</v>
      </c>
      <c r="M87" t="s">
        <v>218</v>
      </c>
      <c r="N87" t="s">
        <v>39</v>
      </c>
      <c r="O87" t="s">
        <v>47</v>
      </c>
      <c r="P87" t="s">
        <v>55</v>
      </c>
      <c r="Q87" t="s">
        <v>31</v>
      </c>
      <c r="R87" t="s">
        <v>48</v>
      </c>
      <c r="S87" s="1">
        <v>46042.462847222225</v>
      </c>
      <c r="T87" s="1">
        <v>46048.562569444446</v>
      </c>
    </row>
    <row r="88" spans="1:20" x14ac:dyDescent="0.3">
      <c r="A88" t="s">
        <v>316</v>
      </c>
      <c r="B88">
        <v>5</v>
      </c>
      <c r="C88">
        <v>3</v>
      </c>
      <c r="D88" t="s">
        <v>50</v>
      </c>
      <c r="E88" t="s">
        <v>317</v>
      </c>
      <c r="F88" t="s">
        <v>827</v>
      </c>
      <c r="G88" t="s">
        <v>318</v>
      </c>
      <c r="H88" t="s">
        <v>22</v>
      </c>
      <c r="I88" t="s">
        <v>53</v>
      </c>
      <c r="J88" t="s">
        <v>54</v>
      </c>
      <c r="K88" t="s">
        <v>55</v>
      </c>
      <c r="L88" t="s">
        <v>26</v>
      </c>
      <c r="M88" t="s">
        <v>218</v>
      </c>
      <c r="N88" t="s">
        <v>39</v>
      </c>
      <c r="O88" t="s">
        <v>47</v>
      </c>
      <c r="P88" t="s">
        <v>55</v>
      </c>
      <c r="Q88" t="s">
        <v>31</v>
      </c>
      <c r="R88" t="s">
        <v>48</v>
      </c>
      <c r="S88" s="1">
        <v>46041.540798611109</v>
      </c>
      <c r="T88" s="1">
        <v>46048.54241898148</v>
      </c>
    </row>
    <row r="89" spans="1:20" x14ac:dyDescent="0.3">
      <c r="A89" t="s">
        <v>319</v>
      </c>
      <c r="B89">
        <v>5</v>
      </c>
      <c r="C89">
        <v>3</v>
      </c>
      <c r="D89" t="s">
        <v>50</v>
      </c>
      <c r="E89" t="s">
        <v>320</v>
      </c>
      <c r="F89" t="s">
        <v>817</v>
      </c>
      <c r="G89" t="s">
        <v>321</v>
      </c>
      <c r="H89" t="s">
        <v>22</v>
      </c>
      <c r="I89" t="s">
        <v>53</v>
      </c>
      <c r="J89" t="s">
        <v>54</v>
      </c>
      <c r="K89" t="s">
        <v>55</v>
      </c>
      <c r="L89" t="s">
        <v>26</v>
      </c>
      <c r="M89" t="s">
        <v>218</v>
      </c>
      <c r="N89" t="s">
        <v>39</v>
      </c>
      <c r="O89" t="s">
        <v>47</v>
      </c>
      <c r="P89" t="s">
        <v>55</v>
      </c>
      <c r="Q89" t="s">
        <v>31</v>
      </c>
      <c r="R89" t="s">
        <v>48</v>
      </c>
      <c r="S89" s="1">
        <v>46041.534328703703</v>
      </c>
      <c r="T89" s="1">
        <v>46048.414641203701</v>
      </c>
    </row>
    <row r="90" spans="1:20" x14ac:dyDescent="0.3">
      <c r="A90" t="s">
        <v>322</v>
      </c>
      <c r="B90">
        <v>5</v>
      </c>
      <c r="C90">
        <v>3</v>
      </c>
      <c r="D90" t="s">
        <v>50</v>
      </c>
      <c r="E90" t="s">
        <v>323</v>
      </c>
      <c r="F90" t="s">
        <v>825</v>
      </c>
      <c r="G90" t="s">
        <v>324</v>
      </c>
      <c r="H90" t="s">
        <v>22</v>
      </c>
      <c r="I90" t="s">
        <v>53</v>
      </c>
      <c r="J90" t="s">
        <v>325</v>
      </c>
      <c r="K90" t="s">
        <v>55</v>
      </c>
      <c r="L90" t="s">
        <v>68</v>
      </c>
      <c r="M90" t="s">
        <v>218</v>
      </c>
      <c r="N90" t="s">
        <v>39</v>
      </c>
      <c r="O90" t="s">
        <v>47</v>
      </c>
      <c r="P90" t="s">
        <v>55</v>
      </c>
      <c r="Q90" t="s">
        <v>31</v>
      </c>
      <c r="R90" t="s">
        <v>48</v>
      </c>
      <c r="S90" s="1">
        <v>46044.609085648146</v>
      </c>
      <c r="T90" s="1">
        <v>46048.596631944441</v>
      </c>
    </row>
    <row r="91" spans="1:20" x14ac:dyDescent="0.3">
      <c r="A91" t="s">
        <v>326</v>
      </c>
      <c r="B91">
        <v>5</v>
      </c>
      <c r="C91">
        <v>3</v>
      </c>
      <c r="D91" t="s">
        <v>50</v>
      </c>
      <c r="E91" t="s">
        <v>327</v>
      </c>
      <c r="F91" t="s">
        <v>825</v>
      </c>
      <c r="G91" t="s">
        <v>328</v>
      </c>
      <c r="H91" t="s">
        <v>22</v>
      </c>
      <c r="I91" t="s">
        <v>53</v>
      </c>
      <c r="J91" t="s">
        <v>67</v>
      </c>
      <c r="K91" t="s">
        <v>55</v>
      </c>
      <c r="L91" t="s">
        <v>68</v>
      </c>
      <c r="M91" t="s">
        <v>218</v>
      </c>
      <c r="N91" t="s">
        <v>39</v>
      </c>
      <c r="O91" t="s">
        <v>47</v>
      </c>
      <c r="P91" t="s">
        <v>55</v>
      </c>
      <c r="Q91" t="s">
        <v>31</v>
      </c>
      <c r="R91" t="s">
        <v>48</v>
      </c>
      <c r="S91" s="1">
        <v>46045.606759259259</v>
      </c>
      <c r="T91" s="1">
        <v>46048.626863425925</v>
      </c>
    </row>
    <row r="92" spans="1:20" x14ac:dyDescent="0.3">
      <c r="A92" t="s">
        <v>329</v>
      </c>
      <c r="B92">
        <v>5</v>
      </c>
      <c r="C92">
        <v>3</v>
      </c>
      <c r="D92" t="s">
        <v>50</v>
      </c>
      <c r="E92" t="s">
        <v>330</v>
      </c>
      <c r="F92" t="s">
        <v>817</v>
      </c>
      <c r="G92" t="s">
        <v>331</v>
      </c>
      <c r="H92" t="s">
        <v>22</v>
      </c>
      <c r="I92" t="s">
        <v>53</v>
      </c>
      <c r="J92" t="s">
        <v>54</v>
      </c>
      <c r="K92" t="s">
        <v>55</v>
      </c>
      <c r="L92" t="s">
        <v>26</v>
      </c>
      <c r="M92" t="s">
        <v>218</v>
      </c>
      <c r="N92" t="s">
        <v>39</v>
      </c>
      <c r="O92" t="s">
        <v>47</v>
      </c>
      <c r="P92" t="s">
        <v>55</v>
      </c>
      <c r="Q92" t="s">
        <v>31</v>
      </c>
      <c r="R92" t="s">
        <v>48</v>
      </c>
      <c r="S92" s="1">
        <v>46041.529305555552</v>
      </c>
      <c r="T92" s="1">
        <v>46048.551701388889</v>
      </c>
    </row>
    <row r="93" spans="1:20" x14ac:dyDescent="0.3">
      <c r="A93" t="s">
        <v>69</v>
      </c>
      <c r="B93">
        <v>5</v>
      </c>
      <c r="C93">
        <v>3</v>
      </c>
      <c r="D93" t="s">
        <v>50</v>
      </c>
      <c r="E93" t="s">
        <v>332</v>
      </c>
      <c r="F93" t="s">
        <v>817</v>
      </c>
      <c r="G93" t="s">
        <v>333</v>
      </c>
      <c r="H93" t="s">
        <v>22</v>
      </c>
      <c r="I93" t="s">
        <v>53</v>
      </c>
      <c r="J93" t="s">
        <v>67</v>
      </c>
      <c r="K93" t="s">
        <v>55</v>
      </c>
      <c r="L93" t="s">
        <v>26</v>
      </c>
      <c r="M93" t="s">
        <v>218</v>
      </c>
      <c r="N93" t="s">
        <v>39</v>
      </c>
      <c r="O93" t="s">
        <v>47</v>
      </c>
      <c r="P93" t="s">
        <v>55</v>
      </c>
      <c r="Q93" t="s">
        <v>97</v>
      </c>
      <c r="R93" t="s">
        <v>48</v>
      </c>
      <c r="S93" s="1">
        <v>46045.548645833333</v>
      </c>
      <c r="T93" s="1">
        <v>46049.609097222223</v>
      </c>
    </row>
    <row r="94" spans="1:20" x14ac:dyDescent="0.3">
      <c r="A94" t="s">
        <v>334</v>
      </c>
      <c r="B94">
        <v>5</v>
      </c>
      <c r="C94">
        <v>3</v>
      </c>
      <c r="D94" t="s">
        <v>50</v>
      </c>
      <c r="E94" t="s">
        <v>335</v>
      </c>
      <c r="F94" t="s">
        <v>825</v>
      </c>
      <c r="G94" t="s">
        <v>336</v>
      </c>
      <c r="H94" t="s">
        <v>22</v>
      </c>
      <c r="I94" t="s">
        <v>53</v>
      </c>
      <c r="J94" t="s">
        <v>67</v>
      </c>
      <c r="K94" t="s">
        <v>55</v>
      </c>
      <c r="L94" t="s">
        <v>68</v>
      </c>
      <c r="M94" t="s">
        <v>218</v>
      </c>
      <c r="N94" t="s">
        <v>39</v>
      </c>
      <c r="O94" t="s">
        <v>47</v>
      </c>
      <c r="P94" t="s">
        <v>55</v>
      </c>
      <c r="Q94" t="s">
        <v>31</v>
      </c>
      <c r="R94" t="s">
        <v>48</v>
      </c>
      <c r="S94" s="1">
        <v>46044.411712962959</v>
      </c>
      <c r="T94" s="1">
        <v>46048.616064814814</v>
      </c>
    </row>
    <row r="95" spans="1:20" x14ac:dyDescent="0.3">
      <c r="A95" t="s">
        <v>337</v>
      </c>
      <c r="B95">
        <v>5</v>
      </c>
      <c r="C95">
        <v>3</v>
      </c>
      <c r="D95" t="s">
        <v>50</v>
      </c>
      <c r="E95" t="s">
        <v>338</v>
      </c>
      <c r="F95" t="s">
        <v>825</v>
      </c>
      <c r="G95" t="s">
        <v>339</v>
      </c>
      <c r="H95" t="s">
        <v>22</v>
      </c>
      <c r="I95" t="s">
        <v>53</v>
      </c>
      <c r="J95" t="s">
        <v>325</v>
      </c>
      <c r="K95" t="s">
        <v>55</v>
      </c>
      <c r="L95" t="s">
        <v>68</v>
      </c>
      <c r="M95" t="s">
        <v>218</v>
      </c>
      <c r="N95" t="s">
        <v>39</v>
      </c>
      <c r="O95" t="s">
        <v>47</v>
      </c>
      <c r="P95" t="s">
        <v>55</v>
      </c>
      <c r="Q95" t="s">
        <v>31</v>
      </c>
      <c r="R95" t="s">
        <v>48</v>
      </c>
      <c r="S95" s="1">
        <v>46044.450185185182</v>
      </c>
      <c r="T95" s="1">
        <v>46048.604768518519</v>
      </c>
    </row>
    <row r="96" spans="1:20" x14ac:dyDescent="0.3">
      <c r="A96" t="s">
        <v>340</v>
      </c>
      <c r="B96">
        <v>5</v>
      </c>
      <c r="C96">
        <v>3</v>
      </c>
      <c r="D96" t="s">
        <v>73</v>
      </c>
      <c r="E96" t="s">
        <v>341</v>
      </c>
      <c r="G96" t="s">
        <v>342</v>
      </c>
      <c r="H96" t="s">
        <v>22</v>
      </c>
      <c r="I96" t="s">
        <v>53</v>
      </c>
      <c r="J96" t="s">
        <v>54</v>
      </c>
      <c r="K96" t="s">
        <v>55</v>
      </c>
      <c r="L96" t="s">
        <v>26</v>
      </c>
      <c r="M96" t="s">
        <v>218</v>
      </c>
      <c r="N96" t="s">
        <v>56</v>
      </c>
      <c r="O96" t="s">
        <v>57</v>
      </c>
      <c r="P96" t="s">
        <v>30</v>
      </c>
      <c r="Q96" t="s">
        <v>31</v>
      </c>
      <c r="R96" t="s">
        <v>57</v>
      </c>
      <c r="S96" s="1">
        <v>46044.626493055555</v>
      </c>
      <c r="T96" s="1">
        <v>46048.410775462966</v>
      </c>
    </row>
    <row r="97" spans="1:20" x14ac:dyDescent="0.3">
      <c r="A97" t="s">
        <v>343</v>
      </c>
      <c r="B97">
        <v>5</v>
      </c>
      <c r="C97">
        <v>3</v>
      </c>
      <c r="D97" t="s">
        <v>73</v>
      </c>
      <c r="E97" t="s">
        <v>344</v>
      </c>
      <c r="G97" t="s">
        <v>345</v>
      </c>
      <c r="H97" t="s">
        <v>22</v>
      </c>
      <c r="I97" t="s">
        <v>53</v>
      </c>
      <c r="J97" t="s">
        <v>53</v>
      </c>
      <c r="K97" t="s">
        <v>55</v>
      </c>
      <c r="L97" t="s">
        <v>26</v>
      </c>
      <c r="M97" t="s">
        <v>218</v>
      </c>
      <c r="N97" t="s">
        <v>39</v>
      </c>
      <c r="O97" t="s">
        <v>57</v>
      </c>
      <c r="P97" t="s">
        <v>30</v>
      </c>
      <c r="Q97" t="s">
        <v>31</v>
      </c>
      <c r="R97" t="s">
        <v>57</v>
      </c>
      <c r="S97" s="1">
        <v>46042.610995370371</v>
      </c>
      <c r="T97" s="1">
        <v>46042.740405092591</v>
      </c>
    </row>
    <row r="98" spans="1:20" x14ac:dyDescent="0.3">
      <c r="A98" t="s">
        <v>346</v>
      </c>
      <c r="B98">
        <v>5</v>
      </c>
      <c r="C98">
        <v>3</v>
      </c>
      <c r="D98" t="s">
        <v>73</v>
      </c>
      <c r="E98" t="s">
        <v>347</v>
      </c>
      <c r="G98" t="s">
        <v>348</v>
      </c>
      <c r="H98" t="s">
        <v>22</v>
      </c>
      <c r="I98" t="s">
        <v>53</v>
      </c>
      <c r="J98" t="s">
        <v>54</v>
      </c>
      <c r="K98" t="s">
        <v>55</v>
      </c>
      <c r="L98" t="s">
        <v>26</v>
      </c>
      <c r="M98" t="s">
        <v>218</v>
      </c>
      <c r="N98" t="s">
        <v>56</v>
      </c>
      <c r="O98" t="s">
        <v>57</v>
      </c>
      <c r="P98" t="s">
        <v>30</v>
      </c>
      <c r="Q98" t="s">
        <v>31</v>
      </c>
      <c r="R98" t="s">
        <v>57</v>
      </c>
      <c r="S98" s="1">
        <v>46044.624907407408</v>
      </c>
      <c r="T98" s="1">
        <v>46048.410451388889</v>
      </c>
    </row>
    <row r="99" spans="1:20" x14ac:dyDescent="0.3">
      <c r="A99" t="s">
        <v>349</v>
      </c>
      <c r="B99">
        <v>5</v>
      </c>
      <c r="C99">
        <v>3</v>
      </c>
      <c r="D99" t="s">
        <v>73</v>
      </c>
      <c r="E99" t="s">
        <v>350</v>
      </c>
      <c r="G99" t="s">
        <v>351</v>
      </c>
      <c r="H99" t="s">
        <v>22</v>
      </c>
      <c r="I99" t="s">
        <v>53</v>
      </c>
      <c r="J99" t="s">
        <v>54</v>
      </c>
      <c r="K99" t="s">
        <v>55</v>
      </c>
      <c r="L99" t="s">
        <v>26</v>
      </c>
      <c r="M99" t="s">
        <v>218</v>
      </c>
      <c r="N99" t="s">
        <v>39</v>
      </c>
      <c r="O99" t="s">
        <v>57</v>
      </c>
      <c r="P99" t="s">
        <v>30</v>
      </c>
      <c r="Q99" t="s">
        <v>31</v>
      </c>
      <c r="R99" t="s">
        <v>57</v>
      </c>
      <c r="S99" s="1">
        <v>46043.5622337963</v>
      </c>
      <c r="T99" s="1">
        <v>46048.55945601852</v>
      </c>
    </row>
    <row r="100" spans="1:20" x14ac:dyDescent="0.3">
      <c r="A100" t="s">
        <v>352</v>
      </c>
      <c r="B100">
        <v>5</v>
      </c>
      <c r="C100">
        <v>3</v>
      </c>
      <c r="D100" t="s">
        <v>73</v>
      </c>
      <c r="E100" t="s">
        <v>353</v>
      </c>
      <c r="G100" t="s">
        <v>354</v>
      </c>
      <c r="H100" t="s">
        <v>22</v>
      </c>
      <c r="I100" t="s">
        <v>53</v>
      </c>
      <c r="J100" t="s">
        <v>54</v>
      </c>
      <c r="K100" t="s">
        <v>55</v>
      </c>
      <c r="L100" t="s">
        <v>26</v>
      </c>
      <c r="M100" t="s">
        <v>218</v>
      </c>
      <c r="N100" t="s">
        <v>39</v>
      </c>
      <c r="O100" t="s">
        <v>57</v>
      </c>
      <c r="P100" t="s">
        <v>30</v>
      </c>
      <c r="Q100" t="s">
        <v>31</v>
      </c>
      <c r="R100" t="s">
        <v>57</v>
      </c>
      <c r="S100" s="1">
        <v>46043.572615740741</v>
      </c>
      <c r="T100" s="1">
        <v>46043.705243055556</v>
      </c>
    </row>
    <row r="101" spans="1:20" x14ac:dyDescent="0.3">
      <c r="A101" t="s">
        <v>355</v>
      </c>
      <c r="B101">
        <v>5</v>
      </c>
      <c r="C101">
        <v>3</v>
      </c>
      <c r="D101" t="s">
        <v>73</v>
      </c>
      <c r="E101" t="s">
        <v>356</v>
      </c>
      <c r="G101" t="s">
        <v>357</v>
      </c>
      <c r="H101" t="s">
        <v>22</v>
      </c>
      <c r="I101" t="s">
        <v>53</v>
      </c>
      <c r="J101" t="s">
        <v>67</v>
      </c>
      <c r="K101" t="s">
        <v>55</v>
      </c>
      <c r="L101" t="s">
        <v>68</v>
      </c>
      <c r="M101" t="s">
        <v>218</v>
      </c>
      <c r="N101" t="s">
        <v>39</v>
      </c>
      <c r="O101" t="s">
        <v>57</v>
      </c>
      <c r="P101" t="s">
        <v>30</v>
      </c>
      <c r="Q101" t="s">
        <v>31</v>
      </c>
      <c r="R101" t="s">
        <v>57</v>
      </c>
      <c r="S101" s="1">
        <v>46044.408541666664</v>
      </c>
      <c r="T101" s="1">
        <v>46048.609293981484</v>
      </c>
    </row>
    <row r="102" spans="1:20" x14ac:dyDescent="0.3">
      <c r="A102" t="s">
        <v>358</v>
      </c>
      <c r="B102">
        <v>5</v>
      </c>
      <c r="C102">
        <v>3</v>
      </c>
      <c r="D102" t="s">
        <v>73</v>
      </c>
      <c r="E102" t="s">
        <v>359</v>
      </c>
      <c r="G102" t="s">
        <v>360</v>
      </c>
      <c r="H102" t="s">
        <v>22</v>
      </c>
      <c r="I102" t="s">
        <v>53</v>
      </c>
      <c r="J102" t="s">
        <v>67</v>
      </c>
      <c r="K102" t="s">
        <v>55</v>
      </c>
      <c r="L102" t="s">
        <v>68</v>
      </c>
      <c r="M102" t="s">
        <v>218</v>
      </c>
      <c r="N102" t="s">
        <v>56</v>
      </c>
      <c r="O102" t="s">
        <v>57</v>
      </c>
      <c r="P102" t="s">
        <v>30</v>
      </c>
      <c r="Q102" t="s">
        <v>31</v>
      </c>
      <c r="R102" t="s">
        <v>57</v>
      </c>
      <c r="S102" s="1">
        <v>46044.570219907408</v>
      </c>
      <c r="T102" s="1">
        <v>46048.411099537036</v>
      </c>
    </row>
    <row r="103" spans="1:20" x14ac:dyDescent="0.3">
      <c r="A103" t="s">
        <v>361</v>
      </c>
      <c r="B103">
        <v>5</v>
      </c>
      <c r="C103">
        <v>3</v>
      </c>
      <c r="D103" t="s">
        <v>73</v>
      </c>
      <c r="E103" t="s">
        <v>362</v>
      </c>
      <c r="G103" t="s">
        <v>363</v>
      </c>
      <c r="H103" t="s">
        <v>22</v>
      </c>
      <c r="I103" t="s">
        <v>53</v>
      </c>
      <c r="J103" t="s">
        <v>54</v>
      </c>
      <c r="K103" t="s">
        <v>87</v>
      </c>
      <c r="L103" t="s">
        <v>26</v>
      </c>
      <c r="M103" t="s">
        <v>218</v>
      </c>
      <c r="N103" t="s">
        <v>39</v>
      </c>
      <c r="O103" t="s">
        <v>57</v>
      </c>
      <c r="P103" t="s">
        <v>30</v>
      </c>
      <c r="Q103" t="s">
        <v>31</v>
      </c>
      <c r="R103" t="s">
        <v>57</v>
      </c>
      <c r="S103" s="1">
        <v>46042.619884259257</v>
      </c>
      <c r="T103" s="1">
        <v>46042.737233796295</v>
      </c>
    </row>
    <row r="104" spans="1:20" x14ac:dyDescent="0.3">
      <c r="A104" t="s">
        <v>364</v>
      </c>
      <c r="B104">
        <v>5</v>
      </c>
      <c r="C104">
        <v>3</v>
      </c>
      <c r="D104" t="s">
        <v>73</v>
      </c>
      <c r="E104" t="s">
        <v>365</v>
      </c>
      <c r="F104" t="s">
        <v>827</v>
      </c>
      <c r="G104" t="s">
        <v>366</v>
      </c>
      <c r="H104" t="s">
        <v>22</v>
      </c>
      <c r="I104" t="s">
        <v>53</v>
      </c>
      <c r="J104" t="s">
        <v>54</v>
      </c>
      <c r="K104" t="s">
        <v>55</v>
      </c>
      <c r="L104" t="s">
        <v>26</v>
      </c>
      <c r="M104" t="s">
        <v>218</v>
      </c>
      <c r="N104" t="s">
        <v>39</v>
      </c>
      <c r="O104" t="s">
        <v>29</v>
      </c>
      <c r="P104" t="s">
        <v>30</v>
      </c>
      <c r="Q104" t="s">
        <v>31</v>
      </c>
      <c r="R104" t="s">
        <v>29</v>
      </c>
      <c r="S104" s="1">
        <v>46042.687175925923</v>
      </c>
      <c r="T104" s="1">
        <v>46044.676018518519</v>
      </c>
    </row>
    <row r="105" spans="1:20" x14ac:dyDescent="0.3">
      <c r="A105" t="s">
        <v>367</v>
      </c>
      <c r="B105">
        <v>5</v>
      </c>
      <c r="C105">
        <v>3</v>
      </c>
      <c r="D105" t="s">
        <v>73</v>
      </c>
      <c r="E105" t="s">
        <v>368</v>
      </c>
      <c r="F105" t="s">
        <v>817</v>
      </c>
      <c r="G105" t="s">
        <v>369</v>
      </c>
      <c r="H105" t="s">
        <v>22</v>
      </c>
      <c r="I105" t="s">
        <v>53</v>
      </c>
      <c r="J105" t="s">
        <v>54</v>
      </c>
      <c r="K105" t="s">
        <v>55</v>
      </c>
      <c r="L105" t="s">
        <v>26</v>
      </c>
      <c r="M105" t="s">
        <v>218</v>
      </c>
      <c r="N105" t="s">
        <v>39</v>
      </c>
      <c r="O105" t="s">
        <v>29</v>
      </c>
      <c r="P105" t="s">
        <v>30</v>
      </c>
      <c r="Q105" t="s">
        <v>31</v>
      </c>
      <c r="R105" t="s">
        <v>29</v>
      </c>
      <c r="S105" s="1">
        <v>46042.624675925923</v>
      </c>
      <c r="T105" s="1">
        <v>46044.680925925924</v>
      </c>
    </row>
    <row r="106" spans="1:20" x14ac:dyDescent="0.3">
      <c r="A106" t="s">
        <v>370</v>
      </c>
      <c r="B106">
        <v>5</v>
      </c>
      <c r="C106">
        <v>3</v>
      </c>
      <c r="D106" t="s">
        <v>73</v>
      </c>
      <c r="E106" t="s">
        <v>371</v>
      </c>
      <c r="F106" t="s">
        <v>817</v>
      </c>
      <c r="G106" t="s">
        <v>372</v>
      </c>
      <c r="H106" t="s">
        <v>22</v>
      </c>
      <c r="I106" t="s">
        <v>53</v>
      </c>
      <c r="J106" t="s">
        <v>54</v>
      </c>
      <c r="K106" t="s">
        <v>55</v>
      </c>
      <c r="L106" t="s">
        <v>26</v>
      </c>
      <c r="M106" t="s">
        <v>218</v>
      </c>
      <c r="N106" t="s">
        <v>39</v>
      </c>
      <c r="O106" t="s">
        <v>29</v>
      </c>
      <c r="P106" t="s">
        <v>30</v>
      </c>
      <c r="Q106" t="s">
        <v>31</v>
      </c>
      <c r="R106" t="s">
        <v>29</v>
      </c>
      <c r="S106" s="1">
        <v>46042.635034722225</v>
      </c>
      <c r="T106" s="1">
        <v>46044.677708333336</v>
      </c>
    </row>
    <row r="107" spans="1:20" x14ac:dyDescent="0.3">
      <c r="A107" t="s">
        <v>373</v>
      </c>
      <c r="B107">
        <v>5</v>
      </c>
      <c r="C107">
        <v>3</v>
      </c>
      <c r="D107" t="s">
        <v>73</v>
      </c>
      <c r="E107" t="s">
        <v>374</v>
      </c>
      <c r="F107" t="s">
        <v>817</v>
      </c>
      <c r="G107" t="s">
        <v>375</v>
      </c>
      <c r="H107" t="s">
        <v>22</v>
      </c>
      <c r="I107" t="s">
        <v>53</v>
      </c>
      <c r="J107" t="s">
        <v>54</v>
      </c>
      <c r="K107" t="s">
        <v>55</v>
      </c>
      <c r="L107" t="s">
        <v>26</v>
      </c>
      <c r="M107" t="s">
        <v>218</v>
      </c>
      <c r="N107" t="s">
        <v>39</v>
      </c>
      <c r="O107" t="s">
        <v>47</v>
      </c>
      <c r="P107" t="s">
        <v>55</v>
      </c>
      <c r="Q107" t="s">
        <v>31</v>
      </c>
      <c r="R107" t="s">
        <v>48</v>
      </c>
      <c r="S107" s="1">
        <v>46042.61886574074</v>
      </c>
      <c r="T107" s="1">
        <v>46048.549502314818</v>
      </c>
    </row>
    <row r="108" spans="1:20" x14ac:dyDescent="0.3">
      <c r="A108" t="s">
        <v>376</v>
      </c>
      <c r="B108">
        <v>5</v>
      </c>
      <c r="C108">
        <v>3</v>
      </c>
      <c r="D108" t="s">
        <v>73</v>
      </c>
      <c r="E108" t="s">
        <v>377</v>
      </c>
      <c r="F108" t="s">
        <v>817</v>
      </c>
      <c r="G108" t="s">
        <v>378</v>
      </c>
      <c r="H108" t="s">
        <v>22</v>
      </c>
      <c r="I108" t="s">
        <v>53</v>
      </c>
      <c r="J108" t="s">
        <v>54</v>
      </c>
      <c r="K108" t="s">
        <v>55</v>
      </c>
      <c r="L108" t="s">
        <v>26</v>
      </c>
      <c r="M108" t="s">
        <v>218</v>
      </c>
      <c r="N108" t="s">
        <v>39</v>
      </c>
      <c r="O108" t="s">
        <v>47</v>
      </c>
      <c r="P108" t="s">
        <v>55</v>
      </c>
      <c r="Q108" t="s">
        <v>31</v>
      </c>
      <c r="R108" t="s">
        <v>48</v>
      </c>
      <c r="S108" s="1">
        <v>46042.62939814815</v>
      </c>
      <c r="T108" s="1">
        <v>46048.552627314813</v>
      </c>
    </row>
    <row r="109" spans="1:20" x14ac:dyDescent="0.3">
      <c r="A109" t="s">
        <v>364</v>
      </c>
      <c r="B109">
        <v>5</v>
      </c>
      <c r="C109">
        <v>3</v>
      </c>
      <c r="D109" t="s">
        <v>73</v>
      </c>
      <c r="E109" t="s">
        <v>379</v>
      </c>
      <c r="F109" t="s">
        <v>817</v>
      </c>
      <c r="G109" t="s">
        <v>380</v>
      </c>
      <c r="H109" t="s">
        <v>22</v>
      </c>
      <c r="I109" t="s">
        <v>53</v>
      </c>
      <c r="J109" t="s">
        <v>54</v>
      </c>
      <c r="K109" t="s">
        <v>55</v>
      </c>
      <c r="L109" t="s">
        <v>26</v>
      </c>
      <c r="M109" t="s">
        <v>218</v>
      </c>
      <c r="N109" t="s">
        <v>39</v>
      </c>
      <c r="O109" t="s">
        <v>47</v>
      </c>
      <c r="P109" t="s">
        <v>55</v>
      </c>
      <c r="Q109" t="s">
        <v>31</v>
      </c>
      <c r="R109" t="s">
        <v>48</v>
      </c>
      <c r="S109" s="1">
        <v>46043.392500000002</v>
      </c>
      <c r="T109" s="1">
        <v>46048.400659722225</v>
      </c>
    </row>
    <row r="110" spans="1:20" x14ac:dyDescent="0.3">
      <c r="A110" t="s">
        <v>381</v>
      </c>
      <c r="B110">
        <v>5</v>
      </c>
      <c r="C110">
        <v>3</v>
      </c>
      <c r="D110" t="s">
        <v>73</v>
      </c>
      <c r="E110" t="s">
        <v>382</v>
      </c>
      <c r="F110" t="s">
        <v>827</v>
      </c>
      <c r="G110" t="s">
        <v>383</v>
      </c>
      <c r="H110" t="s">
        <v>22</v>
      </c>
      <c r="I110" t="s">
        <v>53</v>
      </c>
      <c r="J110" t="s">
        <v>54</v>
      </c>
      <c r="K110" t="s">
        <v>55</v>
      </c>
      <c r="L110" t="s">
        <v>26</v>
      </c>
      <c r="M110" t="s">
        <v>218</v>
      </c>
      <c r="N110" t="s">
        <v>39</v>
      </c>
      <c r="O110" t="s">
        <v>47</v>
      </c>
      <c r="P110" t="s">
        <v>55</v>
      </c>
      <c r="Q110" t="s">
        <v>31</v>
      </c>
      <c r="R110" t="s">
        <v>48</v>
      </c>
      <c r="S110" s="1">
        <v>46042.690648148149</v>
      </c>
      <c r="T110" s="1">
        <v>46048.56322916667</v>
      </c>
    </row>
    <row r="111" spans="1:20" x14ac:dyDescent="0.3">
      <c r="A111" t="s">
        <v>384</v>
      </c>
      <c r="B111">
        <v>5</v>
      </c>
      <c r="C111">
        <v>3</v>
      </c>
      <c r="D111" t="s">
        <v>73</v>
      </c>
      <c r="E111" t="s">
        <v>385</v>
      </c>
      <c r="F111" t="s">
        <v>827</v>
      </c>
      <c r="G111" t="s">
        <v>386</v>
      </c>
      <c r="H111" t="s">
        <v>22</v>
      </c>
      <c r="I111" t="s">
        <v>53</v>
      </c>
      <c r="J111" t="s">
        <v>54</v>
      </c>
      <c r="K111" t="s">
        <v>87</v>
      </c>
      <c r="L111" t="s">
        <v>26</v>
      </c>
      <c r="M111" t="s">
        <v>218</v>
      </c>
      <c r="N111" t="s">
        <v>88</v>
      </c>
      <c r="O111" t="s">
        <v>47</v>
      </c>
      <c r="P111" t="s">
        <v>87</v>
      </c>
      <c r="Q111" t="s">
        <v>31</v>
      </c>
      <c r="R111" t="s">
        <v>48</v>
      </c>
      <c r="S111" s="1">
        <v>46042.634733796294</v>
      </c>
      <c r="T111" s="1">
        <v>46043.687835648147</v>
      </c>
    </row>
    <row r="112" spans="1:20" x14ac:dyDescent="0.3">
      <c r="A112" t="s">
        <v>387</v>
      </c>
      <c r="B112">
        <v>5</v>
      </c>
      <c r="C112">
        <v>3</v>
      </c>
      <c r="D112" t="s">
        <v>73</v>
      </c>
      <c r="E112" t="s">
        <v>388</v>
      </c>
      <c r="F112" t="s">
        <v>817</v>
      </c>
      <c r="G112" t="s">
        <v>389</v>
      </c>
      <c r="H112" t="s">
        <v>22</v>
      </c>
      <c r="I112" t="s">
        <v>53</v>
      </c>
      <c r="J112" t="s">
        <v>54</v>
      </c>
      <c r="K112" t="s">
        <v>55</v>
      </c>
      <c r="L112" t="s">
        <v>26</v>
      </c>
      <c r="M112" t="s">
        <v>218</v>
      </c>
      <c r="N112" t="s">
        <v>39</v>
      </c>
      <c r="O112" t="s">
        <v>47</v>
      </c>
      <c r="P112" t="s">
        <v>55</v>
      </c>
      <c r="Q112" t="s">
        <v>97</v>
      </c>
      <c r="R112" t="s">
        <v>48</v>
      </c>
      <c r="S112" s="1">
        <v>46043.420949074076</v>
      </c>
      <c r="T112" s="1">
        <v>46048.560162037036</v>
      </c>
    </row>
    <row r="113" spans="1:20" x14ac:dyDescent="0.3">
      <c r="A113" t="s">
        <v>390</v>
      </c>
      <c r="B113">
        <v>5</v>
      </c>
      <c r="C113">
        <v>3</v>
      </c>
      <c r="D113" t="s">
        <v>73</v>
      </c>
      <c r="E113" t="s">
        <v>391</v>
      </c>
      <c r="F113" t="s">
        <v>817</v>
      </c>
      <c r="G113" t="s">
        <v>392</v>
      </c>
      <c r="H113" t="s">
        <v>22</v>
      </c>
      <c r="I113" t="s">
        <v>53</v>
      </c>
      <c r="J113" t="s">
        <v>54</v>
      </c>
      <c r="K113" t="s">
        <v>55</v>
      </c>
      <c r="L113" t="s">
        <v>26</v>
      </c>
      <c r="M113" t="s">
        <v>218</v>
      </c>
      <c r="N113" t="s">
        <v>39</v>
      </c>
      <c r="O113" t="s">
        <v>47</v>
      </c>
      <c r="P113" t="s">
        <v>55</v>
      </c>
      <c r="Q113" t="s">
        <v>31</v>
      </c>
      <c r="R113" t="s">
        <v>48</v>
      </c>
      <c r="S113" s="1">
        <v>46043.465497685182</v>
      </c>
      <c r="T113" s="1">
        <v>46048.559699074074</v>
      </c>
    </row>
    <row r="114" spans="1:20" x14ac:dyDescent="0.3">
      <c r="A114" t="s">
        <v>393</v>
      </c>
      <c r="B114">
        <v>5</v>
      </c>
      <c r="C114">
        <v>3</v>
      </c>
      <c r="D114" t="s">
        <v>73</v>
      </c>
      <c r="E114" t="s">
        <v>394</v>
      </c>
      <c r="F114" t="s">
        <v>817</v>
      </c>
      <c r="G114" t="s">
        <v>395</v>
      </c>
      <c r="H114" t="s">
        <v>22</v>
      </c>
      <c r="I114" t="s">
        <v>53</v>
      </c>
      <c r="J114" t="s">
        <v>54</v>
      </c>
      <c r="K114" t="s">
        <v>55</v>
      </c>
      <c r="L114" t="s">
        <v>26</v>
      </c>
      <c r="M114" t="s">
        <v>218</v>
      </c>
      <c r="N114" t="s">
        <v>39</v>
      </c>
      <c r="O114" t="s">
        <v>47</v>
      </c>
      <c r="P114" t="s">
        <v>55</v>
      </c>
      <c r="Q114" t="s">
        <v>31</v>
      </c>
      <c r="R114" t="s">
        <v>48</v>
      </c>
      <c r="S114" s="1">
        <v>46043.530405092592</v>
      </c>
      <c r="T114" s="1">
        <v>46048.557847222219</v>
      </c>
    </row>
    <row r="115" spans="1:20" x14ac:dyDescent="0.3">
      <c r="A115" t="s">
        <v>396</v>
      </c>
      <c r="B115">
        <v>5</v>
      </c>
      <c r="C115">
        <v>3</v>
      </c>
      <c r="D115" t="s">
        <v>73</v>
      </c>
      <c r="E115" t="s">
        <v>397</v>
      </c>
      <c r="F115" t="s">
        <v>817</v>
      </c>
      <c r="G115" t="s">
        <v>398</v>
      </c>
      <c r="H115" t="s">
        <v>22</v>
      </c>
      <c r="I115" t="s">
        <v>53</v>
      </c>
      <c r="J115" t="s">
        <v>54</v>
      </c>
      <c r="K115" t="s">
        <v>55</v>
      </c>
      <c r="L115" t="s">
        <v>26</v>
      </c>
      <c r="M115" t="s">
        <v>218</v>
      </c>
      <c r="N115" t="s">
        <v>39</v>
      </c>
      <c r="O115" t="s">
        <v>47</v>
      </c>
      <c r="P115" t="s">
        <v>55</v>
      </c>
      <c r="Q115" t="s">
        <v>31</v>
      </c>
      <c r="R115" t="s">
        <v>48</v>
      </c>
      <c r="S115" s="1">
        <v>46043.544791666667</v>
      </c>
      <c r="T115" s="1">
        <v>46048.55877314815</v>
      </c>
    </row>
    <row r="116" spans="1:20" x14ac:dyDescent="0.3">
      <c r="A116" t="s">
        <v>399</v>
      </c>
      <c r="B116">
        <v>5</v>
      </c>
      <c r="C116">
        <v>3</v>
      </c>
      <c r="D116" t="s">
        <v>73</v>
      </c>
      <c r="E116" t="s">
        <v>400</v>
      </c>
      <c r="F116" t="s">
        <v>817</v>
      </c>
      <c r="G116" t="s">
        <v>401</v>
      </c>
      <c r="H116" t="s">
        <v>22</v>
      </c>
      <c r="I116" t="s">
        <v>53</v>
      </c>
      <c r="J116" t="s">
        <v>54</v>
      </c>
      <c r="K116" t="s">
        <v>55</v>
      </c>
      <c r="L116" t="s">
        <v>26</v>
      </c>
      <c r="M116" t="s">
        <v>218</v>
      </c>
      <c r="N116" t="s">
        <v>39</v>
      </c>
      <c r="O116" t="s">
        <v>47</v>
      </c>
      <c r="P116" t="s">
        <v>55</v>
      </c>
      <c r="Q116" t="s">
        <v>31</v>
      </c>
      <c r="R116" t="s">
        <v>48</v>
      </c>
      <c r="S116" s="1">
        <v>46043.578182870369</v>
      </c>
      <c r="T116" s="1">
        <v>46048.562048611115</v>
      </c>
    </row>
    <row r="117" spans="1:20" x14ac:dyDescent="0.3">
      <c r="A117" t="s">
        <v>402</v>
      </c>
      <c r="B117">
        <v>5</v>
      </c>
      <c r="C117">
        <v>3</v>
      </c>
      <c r="D117" t="s">
        <v>73</v>
      </c>
      <c r="E117" t="s">
        <v>403</v>
      </c>
      <c r="F117" t="s">
        <v>817</v>
      </c>
      <c r="G117" t="s">
        <v>404</v>
      </c>
      <c r="H117" t="s">
        <v>22</v>
      </c>
      <c r="I117" t="s">
        <v>53</v>
      </c>
      <c r="J117" t="s">
        <v>67</v>
      </c>
      <c r="K117" t="s">
        <v>55</v>
      </c>
      <c r="L117" t="s">
        <v>68</v>
      </c>
      <c r="M117" t="s">
        <v>218</v>
      </c>
      <c r="N117" t="s">
        <v>39</v>
      </c>
      <c r="O117" t="s">
        <v>47</v>
      </c>
      <c r="P117" t="s">
        <v>55</v>
      </c>
      <c r="Q117" t="s">
        <v>31</v>
      </c>
      <c r="R117" t="s">
        <v>48</v>
      </c>
      <c r="S117" s="1">
        <v>46044.556400462963</v>
      </c>
      <c r="T117" s="1">
        <v>46048.63003472222</v>
      </c>
    </row>
    <row r="118" spans="1:20" x14ac:dyDescent="0.3">
      <c r="A118" t="s">
        <v>405</v>
      </c>
      <c r="B118">
        <v>5</v>
      </c>
      <c r="C118">
        <v>3</v>
      </c>
      <c r="D118" t="s">
        <v>73</v>
      </c>
      <c r="E118" t="s">
        <v>406</v>
      </c>
      <c r="F118" t="s">
        <v>825</v>
      </c>
      <c r="G118" t="s">
        <v>407</v>
      </c>
      <c r="H118" t="s">
        <v>22</v>
      </c>
      <c r="I118" t="s">
        <v>53</v>
      </c>
      <c r="J118" t="s">
        <v>67</v>
      </c>
      <c r="K118" t="s">
        <v>55</v>
      </c>
      <c r="L118" t="s">
        <v>68</v>
      </c>
      <c r="M118" t="s">
        <v>218</v>
      </c>
      <c r="N118" t="s">
        <v>39</v>
      </c>
      <c r="O118" t="s">
        <v>47</v>
      </c>
      <c r="P118" t="s">
        <v>55</v>
      </c>
      <c r="Q118" t="s">
        <v>31</v>
      </c>
      <c r="R118" t="s">
        <v>48</v>
      </c>
      <c r="S118" s="1">
        <v>46044.567939814813</v>
      </c>
      <c r="T118" s="1">
        <v>46048.629351851851</v>
      </c>
    </row>
    <row r="119" spans="1:20" x14ac:dyDescent="0.3">
      <c r="A119" t="s">
        <v>408</v>
      </c>
      <c r="B119">
        <v>5</v>
      </c>
      <c r="C119">
        <v>3</v>
      </c>
      <c r="D119" t="s">
        <v>73</v>
      </c>
      <c r="E119" t="s">
        <v>409</v>
      </c>
      <c r="F119" t="s">
        <v>825</v>
      </c>
      <c r="G119" t="s">
        <v>410</v>
      </c>
      <c r="H119" t="s">
        <v>22</v>
      </c>
      <c r="I119" t="s">
        <v>53</v>
      </c>
      <c r="J119" t="s">
        <v>53</v>
      </c>
      <c r="K119" t="s">
        <v>55</v>
      </c>
      <c r="L119" t="s">
        <v>68</v>
      </c>
      <c r="M119" t="s">
        <v>218</v>
      </c>
      <c r="N119" t="s">
        <v>39</v>
      </c>
      <c r="O119" t="s">
        <v>47</v>
      </c>
      <c r="P119" t="s">
        <v>55</v>
      </c>
      <c r="Q119" t="s">
        <v>31</v>
      </c>
      <c r="R119" t="s">
        <v>48</v>
      </c>
      <c r="S119" s="1">
        <v>46044.614583333336</v>
      </c>
      <c r="T119" s="1">
        <v>46048.596377314818</v>
      </c>
    </row>
    <row r="120" spans="1:20" x14ac:dyDescent="0.3">
      <c r="A120" t="s">
        <v>411</v>
      </c>
      <c r="B120">
        <v>5</v>
      </c>
      <c r="C120">
        <v>3</v>
      </c>
      <c r="D120" t="s">
        <v>73</v>
      </c>
      <c r="E120" t="s">
        <v>412</v>
      </c>
      <c r="F120" t="s">
        <v>825</v>
      </c>
      <c r="G120" t="s">
        <v>413</v>
      </c>
      <c r="H120" t="s">
        <v>22</v>
      </c>
      <c r="I120" t="s">
        <v>53</v>
      </c>
      <c r="J120" t="s">
        <v>53</v>
      </c>
      <c r="K120" t="s">
        <v>55</v>
      </c>
      <c r="L120" t="s">
        <v>68</v>
      </c>
      <c r="M120" t="s">
        <v>218</v>
      </c>
      <c r="N120" t="s">
        <v>39</v>
      </c>
      <c r="O120" t="s">
        <v>47</v>
      </c>
      <c r="P120" t="s">
        <v>55</v>
      </c>
      <c r="Q120" t="s">
        <v>31</v>
      </c>
      <c r="R120" t="s">
        <v>48</v>
      </c>
      <c r="S120" s="1">
        <v>46044.620567129627</v>
      </c>
      <c r="T120" s="1">
        <v>46048.614432870374</v>
      </c>
    </row>
    <row r="121" spans="1:20" x14ac:dyDescent="0.3">
      <c r="A121" t="s">
        <v>414</v>
      </c>
      <c r="B121">
        <v>5</v>
      </c>
      <c r="C121">
        <v>3</v>
      </c>
      <c r="D121" t="s">
        <v>73</v>
      </c>
      <c r="E121" t="s">
        <v>415</v>
      </c>
      <c r="F121" t="s">
        <v>817</v>
      </c>
      <c r="G121" t="s">
        <v>416</v>
      </c>
      <c r="H121" t="s">
        <v>22</v>
      </c>
      <c r="I121" t="s">
        <v>53</v>
      </c>
      <c r="J121" t="s">
        <v>54</v>
      </c>
      <c r="K121" t="s">
        <v>55</v>
      </c>
      <c r="L121" t="s">
        <v>26</v>
      </c>
      <c r="M121" t="s">
        <v>218</v>
      </c>
      <c r="N121" t="s">
        <v>39</v>
      </c>
      <c r="O121" t="s">
        <v>47</v>
      </c>
      <c r="P121" t="s">
        <v>55</v>
      </c>
      <c r="Q121" t="s">
        <v>31</v>
      </c>
      <c r="R121" t="s">
        <v>48</v>
      </c>
      <c r="S121" s="1">
        <v>46043.584780092591</v>
      </c>
      <c r="T121" s="1">
        <v>46048.561828703707</v>
      </c>
    </row>
    <row r="122" spans="1:20" x14ac:dyDescent="0.3">
      <c r="A122" t="s">
        <v>417</v>
      </c>
      <c r="B122">
        <v>5</v>
      </c>
      <c r="C122">
        <v>3</v>
      </c>
      <c r="D122" t="s">
        <v>73</v>
      </c>
      <c r="E122" t="s">
        <v>418</v>
      </c>
      <c r="F122" t="s">
        <v>817</v>
      </c>
      <c r="G122" t="s">
        <v>419</v>
      </c>
      <c r="H122" t="s">
        <v>22</v>
      </c>
      <c r="I122" t="s">
        <v>53</v>
      </c>
      <c r="J122" t="s">
        <v>54</v>
      </c>
      <c r="K122" t="s">
        <v>55</v>
      </c>
      <c r="L122" t="s">
        <v>26</v>
      </c>
      <c r="M122" t="s">
        <v>218</v>
      </c>
      <c r="N122" t="s">
        <v>39</v>
      </c>
      <c r="O122" t="s">
        <v>47</v>
      </c>
      <c r="P122" t="s">
        <v>55</v>
      </c>
      <c r="Q122" t="s">
        <v>31</v>
      </c>
      <c r="R122" t="s">
        <v>48</v>
      </c>
      <c r="S122" s="1">
        <v>46043.621030092596</v>
      </c>
      <c r="T122" s="1">
        <v>46048.561331018522</v>
      </c>
    </row>
    <row r="123" spans="1:20" x14ac:dyDescent="0.3">
      <c r="A123" t="s">
        <v>420</v>
      </c>
      <c r="B123">
        <v>5</v>
      </c>
      <c r="C123">
        <v>3</v>
      </c>
      <c r="D123" t="s">
        <v>73</v>
      </c>
      <c r="E123" t="s">
        <v>421</v>
      </c>
      <c r="F123" t="s">
        <v>817</v>
      </c>
      <c r="G123" t="s">
        <v>422</v>
      </c>
      <c r="H123" t="s">
        <v>22</v>
      </c>
      <c r="I123" t="s">
        <v>53</v>
      </c>
      <c r="J123" t="s">
        <v>54</v>
      </c>
      <c r="K123" t="s">
        <v>55</v>
      </c>
      <c r="L123" t="s">
        <v>26</v>
      </c>
      <c r="M123" t="s">
        <v>218</v>
      </c>
      <c r="N123" t="s">
        <v>39</v>
      </c>
      <c r="O123" t="s">
        <v>47</v>
      </c>
      <c r="P123" t="s">
        <v>55</v>
      </c>
      <c r="Q123" t="s">
        <v>31</v>
      </c>
      <c r="R123" t="s">
        <v>48</v>
      </c>
      <c r="S123" s="1">
        <v>46043.552037037036</v>
      </c>
      <c r="T123" s="1">
        <v>46048.562210648146</v>
      </c>
    </row>
    <row r="124" spans="1:20" x14ac:dyDescent="0.3">
      <c r="A124" t="s">
        <v>423</v>
      </c>
      <c r="B124">
        <v>5</v>
      </c>
      <c r="C124">
        <v>3</v>
      </c>
      <c r="D124" t="s">
        <v>73</v>
      </c>
      <c r="E124" t="s">
        <v>424</v>
      </c>
      <c r="F124" t="s">
        <v>827</v>
      </c>
      <c r="G124" t="s">
        <v>312</v>
      </c>
      <c r="H124" t="s">
        <v>22</v>
      </c>
      <c r="I124" t="s">
        <v>53</v>
      </c>
      <c r="J124" t="s">
        <v>54</v>
      </c>
      <c r="K124" t="s">
        <v>55</v>
      </c>
      <c r="L124" t="s">
        <v>26</v>
      </c>
      <c r="M124" t="s">
        <v>218</v>
      </c>
      <c r="N124" t="s">
        <v>39</v>
      </c>
      <c r="O124" t="s">
        <v>47</v>
      </c>
      <c r="P124" t="s">
        <v>55</v>
      </c>
      <c r="Q124" t="s">
        <v>31</v>
      </c>
      <c r="R124" t="s">
        <v>48</v>
      </c>
      <c r="S124" s="1">
        <v>46042.667048611111</v>
      </c>
      <c r="T124" s="1">
        <v>46048.551064814812</v>
      </c>
    </row>
    <row r="125" spans="1:20" x14ac:dyDescent="0.3">
      <c r="A125" t="s">
        <v>425</v>
      </c>
      <c r="B125">
        <v>5</v>
      </c>
      <c r="C125">
        <v>3</v>
      </c>
      <c r="D125" t="s">
        <v>73</v>
      </c>
      <c r="E125" t="s">
        <v>426</v>
      </c>
      <c r="F125" t="s">
        <v>817</v>
      </c>
      <c r="G125" t="s">
        <v>427</v>
      </c>
      <c r="H125" t="s">
        <v>22</v>
      </c>
      <c r="I125" t="s">
        <v>53</v>
      </c>
      <c r="J125" t="s">
        <v>54</v>
      </c>
      <c r="K125" t="s">
        <v>55</v>
      </c>
      <c r="L125" t="s">
        <v>26</v>
      </c>
      <c r="M125" t="s">
        <v>218</v>
      </c>
      <c r="N125" t="s">
        <v>39</v>
      </c>
      <c r="O125" t="s">
        <v>47</v>
      </c>
      <c r="P125" t="s">
        <v>55</v>
      </c>
      <c r="Q125" t="s">
        <v>31</v>
      </c>
      <c r="R125" t="s">
        <v>48</v>
      </c>
      <c r="S125" s="1">
        <v>46042.65797453704</v>
      </c>
      <c r="T125" s="1">
        <v>46048.563425925924</v>
      </c>
    </row>
    <row r="126" spans="1:20" x14ac:dyDescent="0.3">
      <c r="A126" t="s">
        <v>428</v>
      </c>
      <c r="B126">
        <v>5</v>
      </c>
      <c r="C126">
        <v>3</v>
      </c>
      <c r="D126" t="s">
        <v>429</v>
      </c>
      <c r="E126" t="s">
        <v>430</v>
      </c>
      <c r="F126" t="s">
        <v>825</v>
      </c>
      <c r="G126" t="s">
        <v>431</v>
      </c>
      <c r="H126" t="s">
        <v>22</v>
      </c>
      <c r="I126" t="s">
        <v>432</v>
      </c>
      <c r="J126" t="s">
        <v>433</v>
      </c>
      <c r="K126" t="s">
        <v>249</v>
      </c>
      <c r="L126" t="s">
        <v>68</v>
      </c>
      <c r="M126" t="s">
        <v>218</v>
      </c>
      <c r="N126" t="s">
        <v>102</v>
      </c>
      <c r="O126" t="s">
        <v>47</v>
      </c>
      <c r="P126" t="s">
        <v>249</v>
      </c>
      <c r="Q126" t="s">
        <v>31</v>
      </c>
      <c r="R126" t="s">
        <v>48</v>
      </c>
      <c r="S126" s="1">
        <v>46042.454050925924</v>
      </c>
      <c r="T126" s="1">
        <v>46043.807789351849</v>
      </c>
    </row>
    <row r="127" spans="1:20" x14ac:dyDescent="0.3">
      <c r="A127" t="s">
        <v>434</v>
      </c>
      <c r="B127">
        <v>5</v>
      </c>
      <c r="C127">
        <v>3</v>
      </c>
      <c r="D127" t="s">
        <v>429</v>
      </c>
      <c r="E127" t="s">
        <v>435</v>
      </c>
      <c r="F127" t="s">
        <v>817</v>
      </c>
      <c r="G127" t="s">
        <v>436</v>
      </c>
      <c r="H127" t="s">
        <v>22</v>
      </c>
      <c r="I127" t="s">
        <v>432</v>
      </c>
      <c r="J127" t="s">
        <v>432</v>
      </c>
      <c r="K127" t="s">
        <v>249</v>
      </c>
      <c r="L127" t="s">
        <v>26</v>
      </c>
      <c r="M127" t="s">
        <v>218</v>
      </c>
      <c r="N127" t="s">
        <v>39</v>
      </c>
      <c r="O127" t="s">
        <v>47</v>
      </c>
      <c r="P127" t="s">
        <v>249</v>
      </c>
      <c r="Q127" t="s">
        <v>31</v>
      </c>
      <c r="R127" t="s">
        <v>48</v>
      </c>
      <c r="S127" s="1">
        <v>46041.52553240741</v>
      </c>
      <c r="T127" s="1">
        <v>46048.746527777781</v>
      </c>
    </row>
    <row r="128" spans="1:20" x14ac:dyDescent="0.3">
      <c r="A128" t="s">
        <v>437</v>
      </c>
      <c r="B128">
        <v>5</v>
      </c>
      <c r="C128">
        <v>3</v>
      </c>
      <c r="D128" t="s">
        <v>429</v>
      </c>
      <c r="E128" t="s">
        <v>438</v>
      </c>
      <c r="F128" t="s">
        <v>817</v>
      </c>
      <c r="G128" t="s">
        <v>439</v>
      </c>
      <c r="H128" t="s">
        <v>22</v>
      </c>
      <c r="I128" t="s">
        <v>432</v>
      </c>
      <c r="J128" t="s">
        <v>432</v>
      </c>
      <c r="K128" t="s">
        <v>249</v>
      </c>
      <c r="L128" t="s">
        <v>26</v>
      </c>
      <c r="M128" t="s">
        <v>218</v>
      </c>
      <c r="N128" t="s">
        <v>39</v>
      </c>
      <c r="O128" t="s">
        <v>47</v>
      </c>
      <c r="P128" t="s">
        <v>249</v>
      </c>
      <c r="Q128" t="s">
        <v>31</v>
      </c>
      <c r="R128" t="s">
        <v>48</v>
      </c>
      <c r="S128" s="1">
        <v>46041.442210648151</v>
      </c>
      <c r="T128" s="1">
        <v>46048.831273148149</v>
      </c>
    </row>
    <row r="129" spans="1:20" x14ac:dyDescent="0.3">
      <c r="A129" t="s">
        <v>440</v>
      </c>
      <c r="B129">
        <v>5</v>
      </c>
      <c r="C129">
        <v>3</v>
      </c>
      <c r="D129" t="s">
        <v>429</v>
      </c>
      <c r="E129" t="s">
        <v>441</v>
      </c>
      <c r="F129" t="s">
        <v>817</v>
      </c>
      <c r="G129" t="s">
        <v>442</v>
      </c>
      <c r="H129" t="s">
        <v>22</v>
      </c>
      <c r="I129" t="s">
        <v>432</v>
      </c>
      <c r="J129" t="s">
        <v>432</v>
      </c>
      <c r="K129" t="s">
        <v>249</v>
      </c>
      <c r="L129" t="s">
        <v>26</v>
      </c>
      <c r="M129" t="s">
        <v>218</v>
      </c>
      <c r="N129" t="s">
        <v>39</v>
      </c>
      <c r="O129" t="s">
        <v>47</v>
      </c>
      <c r="P129" t="s">
        <v>249</v>
      </c>
      <c r="Q129" t="s">
        <v>31</v>
      </c>
      <c r="R129" t="s">
        <v>48</v>
      </c>
      <c r="S129" s="1">
        <v>46041.464780092596</v>
      </c>
      <c r="T129" s="1">
        <v>46048.835648148146</v>
      </c>
    </row>
    <row r="130" spans="1:20" x14ac:dyDescent="0.3">
      <c r="A130" t="s">
        <v>443</v>
      </c>
      <c r="B130">
        <v>5</v>
      </c>
      <c r="C130">
        <v>3</v>
      </c>
      <c r="D130" t="s">
        <v>429</v>
      </c>
      <c r="E130" t="s">
        <v>444</v>
      </c>
      <c r="F130" t="s">
        <v>817</v>
      </c>
      <c r="G130" t="s">
        <v>445</v>
      </c>
      <c r="H130" t="s">
        <v>22</v>
      </c>
      <c r="I130" t="s">
        <v>432</v>
      </c>
      <c r="J130" t="s">
        <v>432</v>
      </c>
      <c r="K130" t="s">
        <v>249</v>
      </c>
      <c r="L130" t="s">
        <v>68</v>
      </c>
      <c r="M130" t="s">
        <v>218</v>
      </c>
      <c r="N130" t="s">
        <v>102</v>
      </c>
      <c r="O130" t="s">
        <v>47</v>
      </c>
      <c r="P130" t="s">
        <v>249</v>
      </c>
      <c r="Q130" t="s">
        <v>31</v>
      </c>
      <c r="R130" t="s">
        <v>48</v>
      </c>
      <c r="S130" s="1">
        <v>46042.429664351854</v>
      </c>
      <c r="T130" s="1">
        <v>46043.817939814813</v>
      </c>
    </row>
    <row r="131" spans="1:20" x14ac:dyDescent="0.3">
      <c r="A131" t="s">
        <v>446</v>
      </c>
      <c r="B131">
        <v>5</v>
      </c>
      <c r="C131">
        <v>3</v>
      </c>
      <c r="D131" t="s">
        <v>429</v>
      </c>
      <c r="E131" t="s">
        <v>447</v>
      </c>
      <c r="F131" t="s">
        <v>827</v>
      </c>
      <c r="G131" t="s">
        <v>799</v>
      </c>
      <c r="H131" t="s">
        <v>22</v>
      </c>
      <c r="I131" t="s">
        <v>432</v>
      </c>
      <c r="J131" t="s">
        <v>432</v>
      </c>
      <c r="K131" t="s">
        <v>249</v>
      </c>
      <c r="L131" t="s">
        <v>26</v>
      </c>
      <c r="M131" t="s">
        <v>218</v>
      </c>
      <c r="N131" t="s">
        <v>39</v>
      </c>
      <c r="O131" t="s">
        <v>47</v>
      </c>
      <c r="P131" t="s">
        <v>249</v>
      </c>
      <c r="Q131" t="s">
        <v>31</v>
      </c>
      <c r="R131" t="s">
        <v>48</v>
      </c>
      <c r="S131" s="1">
        <v>46041.531018518515</v>
      </c>
      <c r="T131" s="1">
        <v>46048.86509259259</v>
      </c>
    </row>
    <row r="132" spans="1:20" x14ac:dyDescent="0.3">
      <c r="A132" t="s">
        <v>448</v>
      </c>
      <c r="B132">
        <v>5</v>
      </c>
      <c r="C132">
        <v>3</v>
      </c>
      <c r="D132" t="s">
        <v>429</v>
      </c>
      <c r="E132" t="s">
        <v>449</v>
      </c>
      <c r="F132" t="s">
        <v>817</v>
      </c>
      <c r="G132" t="s">
        <v>431</v>
      </c>
      <c r="H132" t="s">
        <v>22</v>
      </c>
      <c r="I132" t="s">
        <v>432</v>
      </c>
      <c r="J132" t="s">
        <v>433</v>
      </c>
      <c r="K132" t="s">
        <v>249</v>
      </c>
      <c r="L132" t="s">
        <v>68</v>
      </c>
      <c r="M132" t="s">
        <v>218</v>
      </c>
      <c r="N132" t="s">
        <v>102</v>
      </c>
      <c r="O132" t="s">
        <v>47</v>
      </c>
      <c r="P132" t="s">
        <v>249</v>
      </c>
      <c r="Q132" t="s">
        <v>31</v>
      </c>
      <c r="R132" t="s">
        <v>48</v>
      </c>
      <c r="S132" s="1">
        <v>46042.452662037038</v>
      </c>
      <c r="T132" s="1">
        <v>46043.79787037037</v>
      </c>
    </row>
    <row r="133" spans="1:20" x14ac:dyDescent="0.3">
      <c r="A133" t="s">
        <v>450</v>
      </c>
      <c r="B133">
        <v>5</v>
      </c>
      <c r="C133">
        <v>3</v>
      </c>
      <c r="D133" t="s">
        <v>82</v>
      </c>
      <c r="E133" t="s">
        <v>451</v>
      </c>
      <c r="G133" t="s">
        <v>452</v>
      </c>
      <c r="H133" t="s">
        <v>22</v>
      </c>
      <c r="I133" t="s">
        <v>85</v>
      </c>
      <c r="J133" t="s">
        <v>96</v>
      </c>
      <c r="K133" t="s">
        <v>87</v>
      </c>
      <c r="L133" t="s">
        <v>26</v>
      </c>
      <c r="M133" t="s">
        <v>218</v>
      </c>
      <c r="N133" t="s">
        <v>39</v>
      </c>
      <c r="O133" t="s">
        <v>57</v>
      </c>
      <c r="P133" t="s">
        <v>30</v>
      </c>
      <c r="Q133" t="s">
        <v>97</v>
      </c>
      <c r="R133" t="s">
        <v>57</v>
      </c>
      <c r="S133" s="1">
        <v>46041.554293981484</v>
      </c>
      <c r="T133" s="1">
        <v>46041.850717592592</v>
      </c>
    </row>
    <row r="134" spans="1:20" x14ac:dyDescent="0.3">
      <c r="A134" t="s">
        <v>453</v>
      </c>
      <c r="B134">
        <v>5</v>
      </c>
      <c r="C134">
        <v>3</v>
      </c>
      <c r="D134" t="s">
        <v>82</v>
      </c>
      <c r="E134" t="s">
        <v>454</v>
      </c>
      <c r="G134" t="s">
        <v>455</v>
      </c>
      <c r="H134" t="s">
        <v>22</v>
      </c>
      <c r="I134" t="s">
        <v>85</v>
      </c>
      <c r="J134" t="s">
        <v>96</v>
      </c>
      <c r="K134" t="s">
        <v>87</v>
      </c>
      <c r="L134" t="s">
        <v>26</v>
      </c>
      <c r="M134" t="s">
        <v>218</v>
      </c>
      <c r="N134" t="s">
        <v>39</v>
      </c>
      <c r="O134" t="s">
        <v>57</v>
      </c>
      <c r="P134" t="s">
        <v>30</v>
      </c>
      <c r="Q134" t="s">
        <v>97</v>
      </c>
      <c r="R134" t="s">
        <v>57</v>
      </c>
      <c r="S134" s="1">
        <v>46041.570520833331</v>
      </c>
      <c r="T134" s="1">
        <v>46041.845960648148</v>
      </c>
    </row>
    <row r="135" spans="1:20" x14ac:dyDescent="0.3">
      <c r="A135" t="s">
        <v>456</v>
      </c>
      <c r="B135">
        <v>5</v>
      </c>
      <c r="C135">
        <v>3</v>
      </c>
      <c r="D135" t="s">
        <v>82</v>
      </c>
      <c r="E135" t="s">
        <v>457</v>
      </c>
      <c r="F135" t="s">
        <v>817</v>
      </c>
      <c r="G135" t="s">
        <v>458</v>
      </c>
      <c r="H135" t="s">
        <v>22</v>
      </c>
      <c r="I135" t="s">
        <v>85</v>
      </c>
      <c r="J135" t="s">
        <v>92</v>
      </c>
      <c r="K135" t="s">
        <v>87</v>
      </c>
      <c r="L135" t="s">
        <v>26</v>
      </c>
      <c r="M135" t="s">
        <v>218</v>
      </c>
      <c r="N135" t="s">
        <v>39</v>
      </c>
      <c r="O135" t="s">
        <v>47</v>
      </c>
      <c r="P135" t="s">
        <v>85</v>
      </c>
      <c r="Q135" t="s">
        <v>97</v>
      </c>
      <c r="R135" t="s">
        <v>47</v>
      </c>
      <c r="S135" s="1">
        <v>46042.441030092596</v>
      </c>
      <c r="T135" s="1">
        <v>46048.596990740742</v>
      </c>
    </row>
    <row r="136" spans="1:20" x14ac:dyDescent="0.3">
      <c r="A136" t="s">
        <v>459</v>
      </c>
      <c r="B136">
        <v>5</v>
      </c>
      <c r="C136">
        <v>3</v>
      </c>
      <c r="D136" t="s">
        <v>99</v>
      </c>
      <c r="E136" t="s">
        <v>460</v>
      </c>
      <c r="F136" t="s">
        <v>817</v>
      </c>
      <c r="G136" t="s">
        <v>461</v>
      </c>
      <c r="H136" t="s">
        <v>22</v>
      </c>
      <c r="I136" t="s">
        <v>85</v>
      </c>
      <c r="J136" t="s">
        <v>92</v>
      </c>
      <c r="K136" t="s">
        <v>87</v>
      </c>
      <c r="L136" t="s">
        <v>68</v>
      </c>
      <c r="M136" t="s">
        <v>218</v>
      </c>
      <c r="N136" t="s">
        <v>39</v>
      </c>
      <c r="O136" t="s">
        <v>170</v>
      </c>
      <c r="P136" t="s">
        <v>85</v>
      </c>
      <c r="Q136" t="s">
        <v>97</v>
      </c>
      <c r="R136" t="s">
        <v>170</v>
      </c>
      <c r="S136" s="1">
        <v>46043.410532407404</v>
      </c>
      <c r="T136" s="1">
        <v>46043.410532407404</v>
      </c>
    </row>
    <row r="137" spans="1:20" x14ac:dyDescent="0.3">
      <c r="A137" t="s">
        <v>462</v>
      </c>
      <c r="B137">
        <v>5</v>
      </c>
      <c r="C137">
        <v>3</v>
      </c>
      <c r="D137" t="s">
        <v>99</v>
      </c>
      <c r="E137" t="s">
        <v>463</v>
      </c>
      <c r="F137" t="s">
        <v>817</v>
      </c>
      <c r="G137" t="s">
        <v>461</v>
      </c>
      <c r="H137" t="s">
        <v>22</v>
      </c>
      <c r="I137" t="s">
        <v>85</v>
      </c>
      <c r="J137" t="s">
        <v>92</v>
      </c>
      <c r="K137" t="s">
        <v>87</v>
      </c>
      <c r="L137" t="s">
        <v>68</v>
      </c>
      <c r="M137" t="s">
        <v>218</v>
      </c>
      <c r="N137" t="s">
        <v>39</v>
      </c>
      <c r="O137" t="s">
        <v>170</v>
      </c>
      <c r="P137" t="s">
        <v>85</v>
      </c>
      <c r="Q137" t="s">
        <v>97</v>
      </c>
      <c r="R137" t="s">
        <v>170</v>
      </c>
      <c r="S137" s="1">
        <v>46043.415335648147</v>
      </c>
      <c r="T137" s="1">
        <v>46043.415335648147</v>
      </c>
    </row>
    <row r="138" spans="1:20" x14ac:dyDescent="0.3">
      <c r="A138" t="s">
        <v>464</v>
      </c>
      <c r="B138">
        <v>5</v>
      </c>
      <c r="C138">
        <v>3</v>
      </c>
      <c r="D138" t="s">
        <v>465</v>
      </c>
      <c r="E138" t="s">
        <v>466</v>
      </c>
      <c r="F138" t="s">
        <v>817</v>
      </c>
      <c r="G138" t="s">
        <v>467</v>
      </c>
      <c r="H138" t="s">
        <v>22</v>
      </c>
      <c r="I138" t="s">
        <v>119</v>
      </c>
      <c r="J138" t="s">
        <v>127</v>
      </c>
      <c r="K138" t="s">
        <v>87</v>
      </c>
      <c r="L138" t="s">
        <v>68</v>
      </c>
      <c r="M138" t="s">
        <v>218</v>
      </c>
      <c r="N138" t="s">
        <v>39</v>
      </c>
      <c r="O138" t="s">
        <v>47</v>
      </c>
      <c r="P138" t="s">
        <v>87</v>
      </c>
      <c r="Q138" t="s">
        <v>97</v>
      </c>
      <c r="R138" t="s">
        <v>48</v>
      </c>
      <c r="S138" s="1">
        <v>46043.722685185188</v>
      </c>
      <c r="T138" s="1">
        <v>46044.663298611114</v>
      </c>
    </row>
    <row r="139" spans="1:20" x14ac:dyDescent="0.3">
      <c r="A139" t="s">
        <v>468</v>
      </c>
      <c r="B139">
        <v>5</v>
      </c>
      <c r="C139">
        <v>3</v>
      </c>
      <c r="D139" t="s">
        <v>110</v>
      </c>
      <c r="E139" t="s">
        <v>469</v>
      </c>
      <c r="F139" t="s">
        <v>817</v>
      </c>
      <c r="G139" t="s">
        <v>470</v>
      </c>
      <c r="H139" t="s">
        <v>22</v>
      </c>
      <c r="I139" t="s">
        <v>112</v>
      </c>
      <c r="J139" t="s">
        <v>471</v>
      </c>
      <c r="K139" t="s">
        <v>114</v>
      </c>
      <c r="L139" t="s">
        <v>26</v>
      </c>
      <c r="M139" t="s">
        <v>218</v>
      </c>
      <c r="N139" t="s">
        <v>39</v>
      </c>
      <c r="O139" t="s">
        <v>170</v>
      </c>
      <c r="P139" t="s">
        <v>112</v>
      </c>
      <c r="Q139" t="s">
        <v>97</v>
      </c>
      <c r="R139" t="s">
        <v>170</v>
      </c>
      <c r="S139" s="1">
        <v>46042.398530092592</v>
      </c>
      <c r="T139" s="1">
        <v>46042.399745370371</v>
      </c>
    </row>
    <row r="140" spans="1:20" x14ac:dyDescent="0.3">
      <c r="A140" t="s">
        <v>472</v>
      </c>
      <c r="B140">
        <v>5</v>
      </c>
      <c r="C140">
        <v>3</v>
      </c>
      <c r="D140" t="s">
        <v>110</v>
      </c>
      <c r="E140" t="s">
        <v>473</v>
      </c>
      <c r="F140" t="s">
        <v>817</v>
      </c>
      <c r="G140" t="s">
        <v>474</v>
      </c>
      <c r="H140" t="s">
        <v>22</v>
      </c>
      <c r="I140" t="s">
        <v>112</v>
      </c>
      <c r="J140" t="s">
        <v>475</v>
      </c>
      <c r="K140" t="s">
        <v>114</v>
      </c>
      <c r="L140" t="s">
        <v>26</v>
      </c>
      <c r="M140" t="s">
        <v>218</v>
      </c>
      <c r="N140" t="s">
        <v>39</v>
      </c>
      <c r="O140" t="s">
        <v>170</v>
      </c>
      <c r="P140" t="s">
        <v>112</v>
      </c>
      <c r="Q140" t="s">
        <v>97</v>
      </c>
      <c r="R140" t="s">
        <v>170</v>
      </c>
      <c r="S140" s="1">
        <v>46041.469525462962</v>
      </c>
      <c r="T140" s="1">
        <v>46041.469525462962</v>
      </c>
    </row>
    <row r="141" spans="1:20" x14ac:dyDescent="0.3">
      <c r="A141" t="s">
        <v>468</v>
      </c>
      <c r="B141">
        <v>5</v>
      </c>
      <c r="C141">
        <v>3</v>
      </c>
      <c r="D141" t="s">
        <v>110</v>
      </c>
      <c r="E141" t="s">
        <v>476</v>
      </c>
      <c r="F141" t="s">
        <v>827</v>
      </c>
      <c r="G141" t="s">
        <v>477</v>
      </c>
      <c r="H141" t="s">
        <v>22</v>
      </c>
      <c r="I141" t="s">
        <v>112</v>
      </c>
      <c r="J141" t="s">
        <v>471</v>
      </c>
      <c r="K141" t="s">
        <v>114</v>
      </c>
      <c r="L141" t="s">
        <v>26</v>
      </c>
      <c r="M141" t="s">
        <v>218</v>
      </c>
      <c r="N141" t="s">
        <v>177</v>
      </c>
      <c r="O141" t="s">
        <v>170</v>
      </c>
      <c r="P141" t="s">
        <v>112</v>
      </c>
      <c r="Q141" t="s">
        <v>31</v>
      </c>
      <c r="R141" t="s">
        <v>170</v>
      </c>
      <c r="S141" s="1">
        <v>46042.394120370373</v>
      </c>
      <c r="T141" s="1">
        <v>46042.394120370373</v>
      </c>
    </row>
    <row r="142" spans="1:20" x14ac:dyDescent="0.3">
      <c r="A142" t="s">
        <v>478</v>
      </c>
      <c r="B142">
        <v>5</v>
      </c>
      <c r="C142">
        <v>3</v>
      </c>
      <c r="D142" t="s">
        <v>110</v>
      </c>
      <c r="E142" t="s">
        <v>479</v>
      </c>
      <c r="G142" t="s">
        <v>480</v>
      </c>
      <c r="H142" t="s">
        <v>22</v>
      </c>
      <c r="I142" t="s">
        <v>112</v>
      </c>
      <c r="J142" t="s">
        <v>475</v>
      </c>
      <c r="K142" t="s">
        <v>114</v>
      </c>
      <c r="L142" t="s">
        <v>26</v>
      </c>
      <c r="M142" t="s">
        <v>218</v>
      </c>
      <c r="N142" t="s">
        <v>88</v>
      </c>
      <c r="O142" t="s">
        <v>57</v>
      </c>
      <c r="P142" t="s">
        <v>30</v>
      </c>
      <c r="Q142" t="s">
        <v>97</v>
      </c>
      <c r="R142" t="s">
        <v>57</v>
      </c>
      <c r="S142" s="1">
        <v>46041.61645833333</v>
      </c>
      <c r="T142" s="1">
        <v>46048.586493055554</v>
      </c>
    </row>
    <row r="143" spans="1:20" x14ac:dyDescent="0.3">
      <c r="A143" t="s">
        <v>481</v>
      </c>
      <c r="B143">
        <v>5</v>
      </c>
      <c r="C143">
        <v>3</v>
      </c>
      <c r="D143" t="s">
        <v>110</v>
      </c>
      <c r="E143" t="s">
        <v>482</v>
      </c>
      <c r="G143" t="s">
        <v>483</v>
      </c>
      <c r="H143" t="s">
        <v>22</v>
      </c>
      <c r="I143" t="s">
        <v>112</v>
      </c>
      <c r="J143" t="s">
        <v>475</v>
      </c>
      <c r="K143" t="s">
        <v>114</v>
      </c>
      <c r="L143" t="s">
        <v>26</v>
      </c>
      <c r="M143" t="s">
        <v>218</v>
      </c>
      <c r="N143" t="s">
        <v>177</v>
      </c>
      <c r="O143" t="s">
        <v>57</v>
      </c>
      <c r="P143" t="s">
        <v>30</v>
      </c>
      <c r="Q143" t="s">
        <v>97</v>
      </c>
      <c r="R143" t="s">
        <v>57</v>
      </c>
      <c r="S143" s="1">
        <v>46041.621168981481</v>
      </c>
      <c r="T143" s="1">
        <v>46048.602534722224</v>
      </c>
    </row>
    <row r="144" spans="1:20" x14ac:dyDescent="0.3">
      <c r="A144" t="s">
        <v>481</v>
      </c>
      <c r="B144">
        <v>5</v>
      </c>
      <c r="C144">
        <v>3</v>
      </c>
      <c r="D144" t="s">
        <v>110</v>
      </c>
      <c r="E144" t="s">
        <v>484</v>
      </c>
      <c r="G144" t="s">
        <v>485</v>
      </c>
      <c r="H144" t="s">
        <v>22</v>
      </c>
      <c r="I144" t="s">
        <v>112</v>
      </c>
      <c r="J144" t="s">
        <v>475</v>
      </c>
      <c r="K144" t="s">
        <v>114</v>
      </c>
      <c r="L144" t="s">
        <v>26</v>
      </c>
      <c r="M144" t="s">
        <v>218</v>
      </c>
      <c r="N144" t="s">
        <v>88</v>
      </c>
      <c r="O144" t="s">
        <v>57</v>
      </c>
      <c r="P144" t="s">
        <v>30</v>
      </c>
      <c r="Q144" t="s">
        <v>31</v>
      </c>
      <c r="R144" t="s">
        <v>57</v>
      </c>
      <c r="S144" s="1">
        <v>46041.620833333334</v>
      </c>
      <c r="T144" s="1">
        <v>46048.682939814818</v>
      </c>
    </row>
    <row r="145" spans="1:20" x14ac:dyDescent="0.3">
      <c r="A145" t="s">
        <v>486</v>
      </c>
      <c r="B145">
        <v>5</v>
      </c>
      <c r="C145">
        <v>3</v>
      </c>
      <c r="D145" t="s">
        <v>110</v>
      </c>
      <c r="E145" t="s">
        <v>487</v>
      </c>
      <c r="G145" t="s">
        <v>488</v>
      </c>
      <c r="H145" t="s">
        <v>22</v>
      </c>
      <c r="I145" t="s">
        <v>112</v>
      </c>
      <c r="J145" t="s">
        <v>475</v>
      </c>
      <c r="K145" t="s">
        <v>114</v>
      </c>
      <c r="L145" t="s">
        <v>26</v>
      </c>
      <c r="M145" t="s">
        <v>218</v>
      </c>
      <c r="N145" t="s">
        <v>88</v>
      </c>
      <c r="O145" t="s">
        <v>57</v>
      </c>
      <c r="P145" t="s">
        <v>30</v>
      </c>
      <c r="Q145" t="s">
        <v>97</v>
      </c>
      <c r="R145" t="s">
        <v>57</v>
      </c>
      <c r="S145" s="1">
        <v>46041.614999999998</v>
      </c>
      <c r="T145" s="1">
        <v>46048.875243055554</v>
      </c>
    </row>
    <row r="146" spans="1:20" x14ac:dyDescent="0.3">
      <c r="A146" t="s">
        <v>486</v>
      </c>
      <c r="B146">
        <v>5</v>
      </c>
      <c r="C146">
        <v>3</v>
      </c>
      <c r="D146" t="s">
        <v>110</v>
      </c>
      <c r="E146" t="s">
        <v>489</v>
      </c>
      <c r="G146" t="s">
        <v>485</v>
      </c>
      <c r="H146" t="s">
        <v>22</v>
      </c>
      <c r="I146" t="s">
        <v>112</v>
      </c>
      <c r="J146" t="s">
        <v>475</v>
      </c>
      <c r="K146" t="s">
        <v>114</v>
      </c>
      <c r="L146" t="s">
        <v>26</v>
      </c>
      <c r="M146" t="s">
        <v>218</v>
      </c>
      <c r="N146" t="s">
        <v>88</v>
      </c>
      <c r="O146" t="s">
        <v>57</v>
      </c>
      <c r="P146" t="s">
        <v>30</v>
      </c>
      <c r="Q146" t="s">
        <v>31</v>
      </c>
      <c r="R146" t="s">
        <v>57</v>
      </c>
      <c r="S146" s="1">
        <v>46041.61273148148</v>
      </c>
      <c r="T146" s="1">
        <v>46048.68273148148</v>
      </c>
    </row>
    <row r="147" spans="1:20" x14ac:dyDescent="0.3">
      <c r="A147" t="s">
        <v>486</v>
      </c>
      <c r="B147">
        <v>5</v>
      </c>
      <c r="C147">
        <v>3</v>
      </c>
      <c r="D147" t="s">
        <v>110</v>
      </c>
      <c r="E147" t="s">
        <v>490</v>
      </c>
      <c r="G147" t="s">
        <v>480</v>
      </c>
      <c r="H147" t="s">
        <v>22</v>
      </c>
      <c r="I147" t="s">
        <v>112</v>
      </c>
      <c r="J147" t="s">
        <v>475</v>
      </c>
      <c r="K147" t="s">
        <v>114</v>
      </c>
      <c r="L147" t="s">
        <v>26</v>
      </c>
      <c r="M147" t="s">
        <v>218</v>
      </c>
      <c r="N147" t="s">
        <v>88</v>
      </c>
      <c r="O147" t="s">
        <v>57</v>
      </c>
      <c r="P147" t="s">
        <v>30</v>
      </c>
      <c r="Q147" t="s">
        <v>97</v>
      </c>
      <c r="R147" t="s">
        <v>57</v>
      </c>
      <c r="S147" s="1">
        <v>46041.609467592592</v>
      </c>
      <c r="T147" s="1">
        <v>46048.586134259262</v>
      </c>
    </row>
    <row r="148" spans="1:20" x14ac:dyDescent="0.3">
      <c r="A148" t="s">
        <v>486</v>
      </c>
      <c r="B148">
        <v>5</v>
      </c>
      <c r="C148">
        <v>3</v>
      </c>
      <c r="D148" t="s">
        <v>110</v>
      </c>
      <c r="E148" t="s">
        <v>491</v>
      </c>
      <c r="G148" t="s">
        <v>483</v>
      </c>
      <c r="H148" t="s">
        <v>22</v>
      </c>
      <c r="I148" t="s">
        <v>112</v>
      </c>
      <c r="J148" t="s">
        <v>475</v>
      </c>
      <c r="K148" t="s">
        <v>114</v>
      </c>
      <c r="L148" t="s">
        <v>26</v>
      </c>
      <c r="M148" t="s">
        <v>218</v>
      </c>
      <c r="N148" t="s">
        <v>177</v>
      </c>
      <c r="O148" t="s">
        <v>57</v>
      </c>
      <c r="P148" t="s">
        <v>30</v>
      </c>
      <c r="Q148" t="s">
        <v>31</v>
      </c>
      <c r="R148" t="s">
        <v>57</v>
      </c>
      <c r="S148" s="1">
        <v>46041.607800925929</v>
      </c>
      <c r="T148" s="1">
        <v>46048.602326388886</v>
      </c>
    </row>
    <row r="149" spans="1:20" x14ac:dyDescent="0.3">
      <c r="A149" t="s">
        <v>492</v>
      </c>
      <c r="B149">
        <v>5</v>
      </c>
      <c r="C149">
        <v>3</v>
      </c>
      <c r="D149" t="s">
        <v>110</v>
      </c>
      <c r="E149" t="s">
        <v>493</v>
      </c>
      <c r="G149" t="s">
        <v>480</v>
      </c>
      <c r="H149" t="s">
        <v>22</v>
      </c>
      <c r="I149" t="s">
        <v>112</v>
      </c>
      <c r="J149" t="s">
        <v>475</v>
      </c>
      <c r="K149" t="s">
        <v>114</v>
      </c>
      <c r="L149" t="s">
        <v>26</v>
      </c>
      <c r="M149" t="s">
        <v>218</v>
      </c>
      <c r="N149" t="s">
        <v>88</v>
      </c>
      <c r="O149" t="s">
        <v>57</v>
      </c>
      <c r="P149" t="s">
        <v>30</v>
      </c>
      <c r="Q149" t="s">
        <v>97</v>
      </c>
      <c r="R149" t="s">
        <v>57</v>
      </c>
      <c r="S149" s="1">
        <v>46041.554189814815</v>
      </c>
      <c r="T149" s="1">
        <v>46048.585949074077</v>
      </c>
    </row>
    <row r="150" spans="1:20" x14ac:dyDescent="0.3">
      <c r="A150" t="s">
        <v>492</v>
      </c>
      <c r="B150">
        <v>5</v>
      </c>
      <c r="C150">
        <v>3</v>
      </c>
      <c r="D150" t="s">
        <v>110</v>
      </c>
      <c r="E150" t="s">
        <v>494</v>
      </c>
      <c r="G150" t="s">
        <v>485</v>
      </c>
      <c r="H150" t="s">
        <v>22</v>
      </c>
      <c r="I150" t="s">
        <v>112</v>
      </c>
      <c r="J150" t="s">
        <v>475</v>
      </c>
      <c r="K150" t="s">
        <v>114</v>
      </c>
      <c r="L150" t="s">
        <v>26</v>
      </c>
      <c r="M150" t="s">
        <v>218</v>
      </c>
      <c r="N150" t="s">
        <v>88</v>
      </c>
      <c r="O150" t="s">
        <v>57</v>
      </c>
      <c r="P150" t="s">
        <v>30</v>
      </c>
      <c r="Q150" t="s">
        <v>31</v>
      </c>
      <c r="R150" t="s">
        <v>57</v>
      </c>
      <c r="S150" s="1">
        <v>46041.570138888892</v>
      </c>
      <c r="T150" s="1">
        <v>46048.682523148149</v>
      </c>
    </row>
    <row r="151" spans="1:20" x14ac:dyDescent="0.3">
      <c r="A151" t="s">
        <v>492</v>
      </c>
      <c r="B151">
        <v>5</v>
      </c>
      <c r="C151">
        <v>3</v>
      </c>
      <c r="D151" t="s">
        <v>110</v>
      </c>
      <c r="E151" t="s">
        <v>495</v>
      </c>
      <c r="G151" t="s">
        <v>496</v>
      </c>
      <c r="H151" t="s">
        <v>22</v>
      </c>
      <c r="I151" t="s">
        <v>112</v>
      </c>
      <c r="J151" t="s">
        <v>475</v>
      </c>
      <c r="K151" t="s">
        <v>114</v>
      </c>
      <c r="L151" t="s">
        <v>26</v>
      </c>
      <c r="M151" t="s">
        <v>218</v>
      </c>
      <c r="N151" t="s">
        <v>39</v>
      </c>
      <c r="O151" t="s">
        <v>57</v>
      </c>
      <c r="P151" t="s">
        <v>30</v>
      </c>
      <c r="Q151" t="s">
        <v>97</v>
      </c>
      <c r="R151" t="s">
        <v>57</v>
      </c>
      <c r="S151" s="1">
        <v>46041.555127314816</v>
      </c>
      <c r="T151" s="1">
        <v>46048.874907407408</v>
      </c>
    </row>
    <row r="152" spans="1:20" x14ac:dyDescent="0.3">
      <c r="A152" t="s">
        <v>472</v>
      </c>
      <c r="B152">
        <v>5</v>
      </c>
      <c r="C152">
        <v>3</v>
      </c>
      <c r="D152" t="s">
        <v>110</v>
      </c>
      <c r="E152" t="s">
        <v>497</v>
      </c>
      <c r="G152" t="s">
        <v>498</v>
      </c>
      <c r="H152" t="s">
        <v>22</v>
      </c>
      <c r="I152" t="s">
        <v>112</v>
      </c>
      <c r="J152" t="s">
        <v>475</v>
      </c>
      <c r="K152" t="s">
        <v>114</v>
      </c>
      <c r="L152" t="s">
        <v>26</v>
      </c>
      <c r="M152" t="s">
        <v>218</v>
      </c>
      <c r="N152" t="s">
        <v>39</v>
      </c>
      <c r="O152" t="s">
        <v>57</v>
      </c>
      <c r="P152" t="s">
        <v>30</v>
      </c>
      <c r="Q152" t="s">
        <v>97</v>
      </c>
      <c r="R152" t="s">
        <v>57</v>
      </c>
      <c r="S152" s="1">
        <v>46041.461655092593</v>
      </c>
      <c r="T152" s="1">
        <v>46048.692615740743</v>
      </c>
    </row>
    <row r="153" spans="1:20" x14ac:dyDescent="0.3">
      <c r="A153" t="s">
        <v>472</v>
      </c>
      <c r="B153">
        <v>5</v>
      </c>
      <c r="C153">
        <v>3</v>
      </c>
      <c r="D153" t="s">
        <v>110</v>
      </c>
      <c r="E153" t="s">
        <v>499</v>
      </c>
      <c r="G153" t="s">
        <v>485</v>
      </c>
      <c r="H153" t="s">
        <v>22</v>
      </c>
      <c r="I153" t="s">
        <v>112</v>
      </c>
      <c r="J153" t="s">
        <v>475</v>
      </c>
      <c r="K153" t="s">
        <v>114</v>
      </c>
      <c r="L153" t="s">
        <v>26</v>
      </c>
      <c r="M153" t="s">
        <v>218</v>
      </c>
      <c r="N153" t="s">
        <v>88</v>
      </c>
      <c r="O153" t="s">
        <v>57</v>
      </c>
      <c r="P153" t="s">
        <v>30</v>
      </c>
      <c r="Q153" t="s">
        <v>31</v>
      </c>
      <c r="R153" t="s">
        <v>57</v>
      </c>
      <c r="S153" s="1">
        <v>46041.562800925924</v>
      </c>
      <c r="T153" s="1">
        <v>46048.682268518518</v>
      </c>
    </row>
    <row r="154" spans="1:20" x14ac:dyDescent="0.3">
      <c r="A154" t="s">
        <v>472</v>
      </c>
      <c r="B154">
        <v>5</v>
      </c>
      <c r="C154">
        <v>3</v>
      </c>
      <c r="D154" t="s">
        <v>110</v>
      </c>
      <c r="E154" t="s">
        <v>500</v>
      </c>
      <c r="G154" t="s">
        <v>480</v>
      </c>
      <c r="H154" t="s">
        <v>22</v>
      </c>
      <c r="I154" t="s">
        <v>112</v>
      </c>
      <c r="J154" t="s">
        <v>475</v>
      </c>
      <c r="K154" t="s">
        <v>114</v>
      </c>
      <c r="L154" t="s">
        <v>26</v>
      </c>
      <c r="M154" t="s">
        <v>218</v>
      </c>
      <c r="N154" t="s">
        <v>88</v>
      </c>
      <c r="O154" t="s">
        <v>57</v>
      </c>
      <c r="P154" t="s">
        <v>30</v>
      </c>
      <c r="Q154" t="s">
        <v>97</v>
      </c>
      <c r="R154" t="s">
        <v>57</v>
      </c>
      <c r="S154" s="1">
        <v>46041.457488425927</v>
      </c>
      <c r="T154" s="1">
        <v>46048.585740740738</v>
      </c>
    </row>
    <row r="155" spans="1:20" x14ac:dyDescent="0.3">
      <c r="A155" t="s">
        <v>486</v>
      </c>
      <c r="B155">
        <v>5</v>
      </c>
      <c r="C155">
        <v>3</v>
      </c>
      <c r="D155" t="s">
        <v>110</v>
      </c>
      <c r="E155" t="s">
        <v>501</v>
      </c>
      <c r="G155" t="s">
        <v>498</v>
      </c>
      <c r="H155" t="s">
        <v>22</v>
      </c>
      <c r="I155" t="s">
        <v>112</v>
      </c>
      <c r="J155" t="s">
        <v>475</v>
      </c>
      <c r="K155" t="s">
        <v>114</v>
      </c>
      <c r="L155" t="s">
        <v>26</v>
      </c>
      <c r="M155" t="s">
        <v>218</v>
      </c>
      <c r="N155" t="s">
        <v>39</v>
      </c>
      <c r="O155" t="s">
        <v>57</v>
      </c>
      <c r="P155" t="s">
        <v>30</v>
      </c>
      <c r="Q155" t="s">
        <v>97</v>
      </c>
      <c r="R155" t="s">
        <v>57</v>
      </c>
      <c r="S155" s="1">
        <v>46041.611018518517</v>
      </c>
      <c r="T155" s="1">
        <v>46048.69290509259</v>
      </c>
    </row>
    <row r="156" spans="1:20" x14ac:dyDescent="0.3">
      <c r="A156" t="s">
        <v>502</v>
      </c>
      <c r="B156">
        <v>5</v>
      </c>
      <c r="C156">
        <v>3</v>
      </c>
      <c r="D156" t="s">
        <v>110</v>
      </c>
      <c r="E156" t="s">
        <v>503</v>
      </c>
      <c r="G156" t="s">
        <v>504</v>
      </c>
      <c r="H156" t="s">
        <v>22</v>
      </c>
      <c r="I156" t="s">
        <v>112</v>
      </c>
      <c r="J156" t="s">
        <v>505</v>
      </c>
      <c r="K156" t="s">
        <v>114</v>
      </c>
      <c r="L156" t="s">
        <v>26</v>
      </c>
      <c r="M156" t="s">
        <v>218</v>
      </c>
      <c r="N156" t="s">
        <v>39</v>
      </c>
      <c r="O156" t="s">
        <v>57</v>
      </c>
      <c r="P156" t="s">
        <v>30</v>
      </c>
      <c r="Q156" t="s">
        <v>97</v>
      </c>
      <c r="R156" t="s">
        <v>57</v>
      </c>
      <c r="S156" s="1">
        <v>46042.411319444444</v>
      </c>
      <c r="T156" s="1">
        <v>46044.457372685189</v>
      </c>
    </row>
    <row r="157" spans="1:20" x14ac:dyDescent="0.3">
      <c r="A157" t="s">
        <v>506</v>
      </c>
      <c r="B157">
        <v>5</v>
      </c>
      <c r="C157">
        <v>3</v>
      </c>
      <c r="D157" t="s">
        <v>110</v>
      </c>
      <c r="E157" t="s">
        <v>507</v>
      </c>
      <c r="G157" t="s">
        <v>504</v>
      </c>
      <c r="H157" t="s">
        <v>22</v>
      </c>
      <c r="I157" t="s">
        <v>112</v>
      </c>
      <c r="J157" t="s">
        <v>113</v>
      </c>
      <c r="K157" t="s">
        <v>114</v>
      </c>
      <c r="L157" t="s">
        <v>26</v>
      </c>
      <c r="M157" t="s">
        <v>218</v>
      </c>
      <c r="N157" t="s">
        <v>39</v>
      </c>
      <c r="O157" t="s">
        <v>57</v>
      </c>
      <c r="P157" t="s">
        <v>30</v>
      </c>
      <c r="Q157" t="s">
        <v>97</v>
      </c>
      <c r="R157" t="s">
        <v>57</v>
      </c>
      <c r="S157" s="1">
        <v>46042.40997685185</v>
      </c>
      <c r="T157" s="1">
        <v>46044.457118055558</v>
      </c>
    </row>
    <row r="158" spans="1:20" x14ac:dyDescent="0.3">
      <c r="A158" t="s">
        <v>492</v>
      </c>
      <c r="B158">
        <v>5</v>
      </c>
      <c r="C158">
        <v>3</v>
      </c>
      <c r="D158" t="s">
        <v>110</v>
      </c>
      <c r="E158" t="s">
        <v>508</v>
      </c>
      <c r="F158" t="s">
        <v>827</v>
      </c>
      <c r="G158" t="s">
        <v>483</v>
      </c>
      <c r="H158" t="s">
        <v>22</v>
      </c>
      <c r="I158" t="s">
        <v>112</v>
      </c>
      <c r="J158" t="s">
        <v>475</v>
      </c>
      <c r="K158" t="s">
        <v>114</v>
      </c>
      <c r="L158" t="s">
        <v>26</v>
      </c>
      <c r="M158" t="s">
        <v>218</v>
      </c>
      <c r="N158" t="s">
        <v>177</v>
      </c>
      <c r="O158" t="s">
        <v>47</v>
      </c>
      <c r="P158" t="s">
        <v>114</v>
      </c>
      <c r="Q158" t="s">
        <v>31</v>
      </c>
      <c r="R158" t="s">
        <v>48</v>
      </c>
      <c r="S158" s="1">
        <v>46041.600069444445</v>
      </c>
      <c r="T158" s="1">
        <v>46048.601979166669</v>
      </c>
    </row>
    <row r="159" spans="1:20" x14ac:dyDescent="0.3">
      <c r="A159" t="s">
        <v>492</v>
      </c>
      <c r="B159">
        <v>5</v>
      </c>
      <c r="C159">
        <v>3</v>
      </c>
      <c r="D159" t="s">
        <v>110</v>
      </c>
      <c r="E159" t="s">
        <v>509</v>
      </c>
      <c r="F159" t="s">
        <v>817</v>
      </c>
      <c r="G159" t="s">
        <v>498</v>
      </c>
      <c r="H159" t="s">
        <v>22</v>
      </c>
      <c r="I159" t="s">
        <v>112</v>
      </c>
      <c r="J159" t="s">
        <v>475</v>
      </c>
      <c r="K159" t="s">
        <v>114</v>
      </c>
      <c r="L159" t="s">
        <v>26</v>
      </c>
      <c r="M159" t="s">
        <v>218</v>
      </c>
      <c r="N159" t="s">
        <v>39</v>
      </c>
      <c r="O159" t="s">
        <v>47</v>
      </c>
      <c r="P159" t="s">
        <v>114</v>
      </c>
      <c r="Q159" t="s">
        <v>97</v>
      </c>
      <c r="R159" t="s">
        <v>48</v>
      </c>
      <c r="S159" s="1">
        <v>46041.599351851852</v>
      </c>
      <c r="T159" s="1">
        <v>46048.691990740743</v>
      </c>
    </row>
    <row r="160" spans="1:20" x14ac:dyDescent="0.3">
      <c r="A160" t="s">
        <v>510</v>
      </c>
      <c r="B160">
        <v>5</v>
      </c>
      <c r="C160">
        <v>3</v>
      </c>
      <c r="D160" t="s">
        <v>110</v>
      </c>
      <c r="E160" t="s">
        <v>511</v>
      </c>
      <c r="F160" t="s">
        <v>827</v>
      </c>
      <c r="G160" t="s">
        <v>483</v>
      </c>
      <c r="H160" t="s">
        <v>22</v>
      </c>
      <c r="I160" t="s">
        <v>112</v>
      </c>
      <c r="J160" t="s">
        <v>475</v>
      </c>
      <c r="K160" t="s">
        <v>114</v>
      </c>
      <c r="L160" t="s">
        <v>26</v>
      </c>
      <c r="M160" t="s">
        <v>218</v>
      </c>
      <c r="N160" t="s">
        <v>177</v>
      </c>
      <c r="O160" t="s">
        <v>47</v>
      </c>
      <c r="P160" t="s">
        <v>114</v>
      </c>
      <c r="Q160" t="s">
        <v>31</v>
      </c>
      <c r="R160" t="s">
        <v>48</v>
      </c>
      <c r="S160" s="1">
        <v>46041.45071759259</v>
      </c>
      <c r="T160" s="1">
        <v>46048.600960648146</v>
      </c>
    </row>
    <row r="161" spans="1:20" ht="115.5" x14ac:dyDescent="0.3">
      <c r="A161" t="s">
        <v>510</v>
      </c>
      <c r="B161">
        <v>5</v>
      </c>
      <c r="C161">
        <v>3</v>
      </c>
      <c r="D161" t="s">
        <v>110</v>
      </c>
      <c r="E161" t="s">
        <v>512</v>
      </c>
      <c r="F161" t="s">
        <v>823</v>
      </c>
      <c r="G161" s="19" t="s">
        <v>800</v>
      </c>
      <c r="H161" t="s">
        <v>22</v>
      </c>
      <c r="I161" t="s">
        <v>112</v>
      </c>
      <c r="J161" t="s">
        <v>475</v>
      </c>
      <c r="K161" t="s">
        <v>114</v>
      </c>
      <c r="L161" t="s">
        <v>26</v>
      </c>
      <c r="M161" t="s">
        <v>218</v>
      </c>
      <c r="N161" t="s">
        <v>88</v>
      </c>
      <c r="O161" t="s">
        <v>47</v>
      </c>
      <c r="P161" t="s">
        <v>114</v>
      </c>
      <c r="Q161" t="s">
        <v>31</v>
      </c>
      <c r="R161" t="s">
        <v>48</v>
      </c>
      <c r="S161" s="1">
        <v>46041.559965277775</v>
      </c>
      <c r="T161" s="1">
        <v>46048.680162037039</v>
      </c>
    </row>
    <row r="162" spans="1:20" x14ac:dyDescent="0.3">
      <c r="A162" t="s">
        <v>109</v>
      </c>
      <c r="B162">
        <v>5</v>
      </c>
      <c r="C162">
        <v>3</v>
      </c>
      <c r="D162" t="s">
        <v>110</v>
      </c>
      <c r="E162" t="s">
        <v>513</v>
      </c>
      <c r="F162" t="s">
        <v>827</v>
      </c>
      <c r="G162" t="s">
        <v>514</v>
      </c>
      <c r="H162" t="s">
        <v>22</v>
      </c>
      <c r="I162" t="s">
        <v>112</v>
      </c>
      <c r="J162" t="s">
        <v>113</v>
      </c>
      <c r="K162" t="s">
        <v>114</v>
      </c>
      <c r="L162" t="s">
        <v>26</v>
      </c>
      <c r="M162" t="s">
        <v>218</v>
      </c>
      <c r="N162" t="s">
        <v>177</v>
      </c>
      <c r="O162" t="s">
        <v>47</v>
      </c>
      <c r="P162" t="s">
        <v>114</v>
      </c>
      <c r="Q162" t="s">
        <v>31</v>
      </c>
      <c r="R162" t="s">
        <v>48</v>
      </c>
      <c r="S162" s="1">
        <v>46044.598645833335</v>
      </c>
      <c r="T162" s="1">
        <v>46048.584270833337</v>
      </c>
    </row>
    <row r="163" spans="1:20" ht="132" x14ac:dyDescent="0.3">
      <c r="A163" t="s">
        <v>481</v>
      </c>
      <c r="B163">
        <v>5</v>
      </c>
      <c r="C163">
        <v>3</v>
      </c>
      <c r="D163" t="s">
        <v>110</v>
      </c>
      <c r="E163" t="s">
        <v>515</v>
      </c>
      <c r="F163" t="s">
        <v>817</v>
      </c>
      <c r="G163" s="19" t="s">
        <v>797</v>
      </c>
      <c r="H163" t="s">
        <v>22</v>
      </c>
      <c r="I163" t="s">
        <v>112</v>
      </c>
      <c r="J163" t="s">
        <v>475</v>
      </c>
      <c r="K163" t="s">
        <v>114</v>
      </c>
      <c r="L163" t="s">
        <v>26</v>
      </c>
      <c r="M163" t="s">
        <v>218</v>
      </c>
      <c r="N163" t="s">
        <v>39</v>
      </c>
      <c r="O163" t="s">
        <v>47</v>
      </c>
      <c r="P163" t="s">
        <v>114</v>
      </c>
      <c r="Q163" t="s">
        <v>97</v>
      </c>
      <c r="R163" t="s">
        <v>48</v>
      </c>
      <c r="S163" s="1">
        <v>46041.618796296294</v>
      </c>
      <c r="T163" s="1">
        <v>46048.732604166667</v>
      </c>
    </row>
    <row r="164" spans="1:20" x14ac:dyDescent="0.3">
      <c r="A164" t="s">
        <v>510</v>
      </c>
      <c r="B164">
        <v>5</v>
      </c>
      <c r="C164">
        <v>3</v>
      </c>
      <c r="D164" t="s">
        <v>110</v>
      </c>
      <c r="E164" t="s">
        <v>516</v>
      </c>
      <c r="F164" t="s">
        <v>817</v>
      </c>
      <c r="G164" t="s">
        <v>496</v>
      </c>
      <c r="H164" t="s">
        <v>22</v>
      </c>
      <c r="I164" t="s">
        <v>112</v>
      </c>
      <c r="J164" t="s">
        <v>475</v>
      </c>
      <c r="K164" t="s">
        <v>114</v>
      </c>
      <c r="L164" t="s">
        <v>26</v>
      </c>
      <c r="M164" t="s">
        <v>218</v>
      </c>
      <c r="N164" t="s">
        <v>39</v>
      </c>
      <c r="O164" t="s">
        <v>47</v>
      </c>
      <c r="P164" t="s">
        <v>114</v>
      </c>
      <c r="Q164" t="s">
        <v>97</v>
      </c>
      <c r="R164" t="s">
        <v>48</v>
      </c>
      <c r="S164" s="1">
        <v>46041.441620370373</v>
      </c>
      <c r="T164" s="1">
        <v>46048.874131944445</v>
      </c>
    </row>
    <row r="165" spans="1:20" x14ac:dyDescent="0.3">
      <c r="A165" t="s">
        <v>109</v>
      </c>
      <c r="B165">
        <v>5</v>
      </c>
      <c r="C165">
        <v>3</v>
      </c>
      <c r="D165" t="s">
        <v>110</v>
      </c>
      <c r="E165" t="s">
        <v>517</v>
      </c>
      <c r="F165" t="s">
        <v>817</v>
      </c>
      <c r="G165" t="s">
        <v>518</v>
      </c>
      <c r="H165" t="s">
        <v>22</v>
      </c>
      <c r="I165" t="s">
        <v>112</v>
      </c>
      <c r="J165" t="s">
        <v>113</v>
      </c>
      <c r="K165" t="s">
        <v>114</v>
      </c>
      <c r="L165" t="s">
        <v>26</v>
      </c>
      <c r="M165" t="s">
        <v>218</v>
      </c>
      <c r="N165" t="s">
        <v>39</v>
      </c>
      <c r="O165" t="s">
        <v>47</v>
      </c>
      <c r="P165" t="s">
        <v>114</v>
      </c>
      <c r="Q165" t="s">
        <v>97</v>
      </c>
      <c r="R165" t="s">
        <v>48</v>
      </c>
      <c r="S165" s="1">
        <v>46044.603009259263</v>
      </c>
      <c r="T165" s="1">
        <v>46048.584456018521</v>
      </c>
    </row>
    <row r="166" spans="1:20" x14ac:dyDescent="0.3">
      <c r="A166" t="s">
        <v>510</v>
      </c>
      <c r="B166">
        <v>5</v>
      </c>
      <c r="C166">
        <v>3</v>
      </c>
      <c r="D166" t="s">
        <v>110</v>
      </c>
      <c r="E166" t="s">
        <v>519</v>
      </c>
      <c r="F166" t="s">
        <v>823</v>
      </c>
      <c r="G166" t="s">
        <v>520</v>
      </c>
      <c r="H166" t="s">
        <v>22</v>
      </c>
      <c r="I166" t="s">
        <v>112</v>
      </c>
      <c r="J166" t="s">
        <v>475</v>
      </c>
      <c r="K166" t="s">
        <v>114</v>
      </c>
      <c r="L166" t="s">
        <v>26</v>
      </c>
      <c r="M166" t="s">
        <v>218</v>
      </c>
      <c r="N166" t="s">
        <v>88</v>
      </c>
      <c r="O166" t="s">
        <v>47</v>
      </c>
      <c r="P166" t="s">
        <v>114</v>
      </c>
      <c r="Q166" t="s">
        <v>97</v>
      </c>
      <c r="R166" t="s">
        <v>48</v>
      </c>
      <c r="S166" s="1">
        <v>46041.435995370368</v>
      </c>
      <c r="T166" s="1">
        <v>46048.585011574076</v>
      </c>
    </row>
    <row r="167" spans="1:20" x14ac:dyDescent="0.3">
      <c r="A167" t="s">
        <v>521</v>
      </c>
      <c r="B167">
        <v>5</v>
      </c>
      <c r="C167">
        <v>3</v>
      </c>
      <c r="D167" t="s">
        <v>110</v>
      </c>
      <c r="E167" t="s">
        <v>522</v>
      </c>
      <c r="F167" t="s">
        <v>827</v>
      </c>
      <c r="G167" t="s">
        <v>523</v>
      </c>
      <c r="H167" t="s">
        <v>22</v>
      </c>
      <c r="I167" t="s">
        <v>112</v>
      </c>
      <c r="J167" t="s">
        <v>432</v>
      </c>
      <c r="K167" t="s">
        <v>114</v>
      </c>
      <c r="L167" t="s">
        <v>26</v>
      </c>
      <c r="M167" t="s">
        <v>218</v>
      </c>
      <c r="N167" t="s">
        <v>177</v>
      </c>
      <c r="O167" t="s">
        <v>47</v>
      </c>
      <c r="P167" t="s">
        <v>524</v>
      </c>
      <c r="Q167" t="s">
        <v>31</v>
      </c>
      <c r="R167" t="s">
        <v>47</v>
      </c>
      <c r="S167" s="1">
        <v>46042.38962962963</v>
      </c>
      <c r="T167" s="1">
        <v>46048.311203703706</v>
      </c>
    </row>
    <row r="168" spans="1:20" x14ac:dyDescent="0.3">
      <c r="A168" t="s">
        <v>472</v>
      </c>
      <c r="B168">
        <v>5</v>
      </c>
      <c r="C168">
        <v>3</v>
      </c>
      <c r="D168" t="s">
        <v>110</v>
      </c>
      <c r="E168" t="s">
        <v>525</v>
      </c>
      <c r="F168" t="s">
        <v>827</v>
      </c>
      <c r="G168" t="s">
        <v>483</v>
      </c>
      <c r="H168" t="s">
        <v>22</v>
      </c>
      <c r="I168" t="s">
        <v>112</v>
      </c>
      <c r="J168" t="s">
        <v>475</v>
      </c>
      <c r="K168" t="s">
        <v>114</v>
      </c>
      <c r="L168" t="s">
        <v>26</v>
      </c>
      <c r="M168" t="s">
        <v>218</v>
      </c>
      <c r="N168" t="s">
        <v>177</v>
      </c>
      <c r="O168" t="s">
        <v>47</v>
      </c>
      <c r="P168" t="s">
        <v>112</v>
      </c>
      <c r="Q168" t="s">
        <v>97</v>
      </c>
      <c r="R168" t="s">
        <v>47</v>
      </c>
      <c r="S168" s="1">
        <v>46041.470173611109</v>
      </c>
      <c r="T168" s="1">
        <v>46048.606516203705</v>
      </c>
    </row>
    <row r="169" spans="1:20" x14ac:dyDescent="0.3">
      <c r="A169" t="s">
        <v>526</v>
      </c>
      <c r="B169">
        <v>5</v>
      </c>
      <c r="C169">
        <v>3</v>
      </c>
      <c r="D169" t="s">
        <v>110</v>
      </c>
      <c r="E169" t="s">
        <v>527</v>
      </c>
      <c r="F169" t="s">
        <v>827</v>
      </c>
      <c r="G169" t="s">
        <v>523</v>
      </c>
      <c r="H169" t="s">
        <v>22</v>
      </c>
      <c r="I169" t="s">
        <v>112</v>
      </c>
      <c r="J169" t="s">
        <v>432</v>
      </c>
      <c r="K169" t="s">
        <v>114</v>
      </c>
      <c r="L169" t="s">
        <v>26</v>
      </c>
      <c r="M169" t="s">
        <v>218</v>
      </c>
      <c r="N169" t="s">
        <v>177</v>
      </c>
      <c r="O169" t="s">
        <v>47</v>
      </c>
      <c r="P169" t="s">
        <v>524</v>
      </c>
      <c r="Q169" t="s">
        <v>31</v>
      </c>
      <c r="R169" t="s">
        <v>47</v>
      </c>
      <c r="S169" s="1">
        <v>46042.390462962961</v>
      </c>
      <c r="T169" s="1">
        <v>46048.310995370368</v>
      </c>
    </row>
    <row r="170" spans="1:20" x14ac:dyDescent="0.3">
      <c r="A170" t="s">
        <v>528</v>
      </c>
      <c r="B170">
        <v>5</v>
      </c>
      <c r="C170">
        <v>3</v>
      </c>
      <c r="D170" t="s">
        <v>116</v>
      </c>
      <c r="E170" t="s">
        <v>529</v>
      </c>
      <c r="G170" t="s">
        <v>530</v>
      </c>
      <c r="H170" t="s">
        <v>22</v>
      </c>
      <c r="I170" t="s">
        <v>119</v>
      </c>
      <c r="J170" t="s">
        <v>127</v>
      </c>
      <c r="K170" t="s">
        <v>121</v>
      </c>
      <c r="L170" t="s">
        <v>68</v>
      </c>
      <c r="M170" t="s">
        <v>218</v>
      </c>
      <c r="N170" t="s">
        <v>39</v>
      </c>
      <c r="O170" t="s">
        <v>57</v>
      </c>
      <c r="P170" t="s">
        <v>30</v>
      </c>
      <c r="Q170" t="s">
        <v>97</v>
      </c>
      <c r="R170" t="s">
        <v>57</v>
      </c>
      <c r="S170" s="1">
        <v>46043.420254629629</v>
      </c>
      <c r="T170" s="1">
        <v>46044.467638888891</v>
      </c>
    </row>
    <row r="171" spans="1:20" x14ac:dyDescent="0.3">
      <c r="A171" t="s">
        <v>528</v>
      </c>
      <c r="B171">
        <v>5</v>
      </c>
      <c r="C171">
        <v>3</v>
      </c>
      <c r="D171" t="s">
        <v>116</v>
      </c>
      <c r="E171" t="s">
        <v>531</v>
      </c>
      <c r="G171" t="s">
        <v>532</v>
      </c>
      <c r="H171" t="s">
        <v>22</v>
      </c>
      <c r="I171" t="s">
        <v>119</v>
      </c>
      <c r="J171" t="s">
        <v>127</v>
      </c>
      <c r="K171" t="s">
        <v>121</v>
      </c>
      <c r="L171" t="s">
        <v>68</v>
      </c>
      <c r="M171" t="s">
        <v>218</v>
      </c>
      <c r="N171" t="s">
        <v>39</v>
      </c>
      <c r="O171" t="s">
        <v>57</v>
      </c>
      <c r="P171" t="s">
        <v>30</v>
      </c>
      <c r="Q171" t="s">
        <v>97</v>
      </c>
      <c r="R171" t="s">
        <v>57</v>
      </c>
      <c r="S171" s="1">
        <v>46043.416215277779</v>
      </c>
      <c r="T171" s="1">
        <v>46043.818437499998</v>
      </c>
    </row>
    <row r="172" spans="1:20" x14ac:dyDescent="0.3">
      <c r="A172" t="s">
        <v>533</v>
      </c>
      <c r="B172">
        <v>5</v>
      </c>
      <c r="C172">
        <v>3</v>
      </c>
      <c r="D172" t="s">
        <v>116</v>
      </c>
      <c r="E172" t="s">
        <v>534</v>
      </c>
      <c r="G172" t="s">
        <v>535</v>
      </c>
      <c r="H172" t="s">
        <v>22</v>
      </c>
      <c r="I172" t="s">
        <v>119</v>
      </c>
      <c r="J172" t="s">
        <v>127</v>
      </c>
      <c r="K172" t="s">
        <v>121</v>
      </c>
      <c r="L172" t="s">
        <v>68</v>
      </c>
      <c r="M172" t="s">
        <v>218</v>
      </c>
      <c r="N172" t="s">
        <v>39</v>
      </c>
      <c r="O172" t="s">
        <v>57</v>
      </c>
      <c r="P172" t="s">
        <v>30</v>
      </c>
      <c r="Q172" t="s">
        <v>97</v>
      </c>
      <c r="R172" t="s">
        <v>57</v>
      </c>
      <c r="S172" s="1">
        <v>46043.437314814815</v>
      </c>
      <c r="T172" s="1">
        <v>46044.476921296293</v>
      </c>
    </row>
    <row r="173" spans="1:20" x14ac:dyDescent="0.3">
      <c r="A173" t="s">
        <v>533</v>
      </c>
      <c r="B173">
        <v>5</v>
      </c>
      <c r="C173">
        <v>3</v>
      </c>
      <c r="D173" t="s">
        <v>116</v>
      </c>
      <c r="E173" t="s">
        <v>536</v>
      </c>
      <c r="G173" t="s">
        <v>537</v>
      </c>
      <c r="H173" t="s">
        <v>22</v>
      </c>
      <c r="I173" t="s">
        <v>119</v>
      </c>
      <c r="J173" t="s">
        <v>127</v>
      </c>
      <c r="K173" t="s">
        <v>121</v>
      </c>
      <c r="L173" t="s">
        <v>68</v>
      </c>
      <c r="M173" t="s">
        <v>218</v>
      </c>
      <c r="N173" t="s">
        <v>39</v>
      </c>
      <c r="O173" t="s">
        <v>57</v>
      </c>
      <c r="P173" t="s">
        <v>30</v>
      </c>
      <c r="Q173" t="s">
        <v>97</v>
      </c>
      <c r="R173" t="s">
        <v>57</v>
      </c>
      <c r="S173" s="1">
        <v>46043.439375000002</v>
      </c>
      <c r="T173" s="1">
        <v>46044.547685185185</v>
      </c>
    </row>
    <row r="174" spans="1:20" x14ac:dyDescent="0.3">
      <c r="A174" t="s">
        <v>538</v>
      </c>
      <c r="B174">
        <v>5</v>
      </c>
      <c r="C174">
        <v>3</v>
      </c>
      <c r="D174" t="s">
        <v>116</v>
      </c>
      <c r="E174" t="s">
        <v>539</v>
      </c>
      <c r="G174" t="s">
        <v>540</v>
      </c>
      <c r="H174" t="s">
        <v>22</v>
      </c>
      <c r="I174" t="s">
        <v>119</v>
      </c>
      <c r="J174" t="s">
        <v>127</v>
      </c>
      <c r="K174" t="s">
        <v>121</v>
      </c>
      <c r="L174" t="s">
        <v>68</v>
      </c>
      <c r="M174" t="s">
        <v>218</v>
      </c>
      <c r="N174" t="s">
        <v>39</v>
      </c>
      <c r="O174" t="s">
        <v>57</v>
      </c>
      <c r="P174" t="s">
        <v>30</v>
      </c>
      <c r="Q174" t="s">
        <v>97</v>
      </c>
      <c r="R174" t="s">
        <v>57</v>
      </c>
      <c r="S174" s="1">
        <v>46043.425358796296</v>
      </c>
      <c r="T174" s="1">
        <v>46044.414849537039</v>
      </c>
    </row>
    <row r="175" spans="1:20" x14ac:dyDescent="0.3">
      <c r="A175" t="s">
        <v>541</v>
      </c>
      <c r="B175">
        <v>5</v>
      </c>
      <c r="C175">
        <v>3</v>
      </c>
      <c r="D175" t="s">
        <v>116</v>
      </c>
      <c r="E175" t="s">
        <v>542</v>
      </c>
      <c r="G175" t="s">
        <v>543</v>
      </c>
      <c r="H175" t="s">
        <v>22</v>
      </c>
      <c r="I175" t="s">
        <v>119</v>
      </c>
      <c r="J175" t="s">
        <v>120</v>
      </c>
      <c r="K175" t="s">
        <v>121</v>
      </c>
      <c r="L175" t="s">
        <v>26</v>
      </c>
      <c r="M175" t="s">
        <v>218</v>
      </c>
      <c r="N175" t="s">
        <v>88</v>
      </c>
      <c r="O175" t="s">
        <v>57</v>
      </c>
      <c r="P175" t="s">
        <v>30</v>
      </c>
      <c r="Q175" t="s">
        <v>97</v>
      </c>
      <c r="R175" t="s">
        <v>57</v>
      </c>
      <c r="S175" s="1">
        <v>46041.644004629627</v>
      </c>
      <c r="T175" s="1">
        <v>46043.785937499997</v>
      </c>
    </row>
    <row r="176" spans="1:20" x14ac:dyDescent="0.3">
      <c r="A176" t="s">
        <v>544</v>
      </c>
      <c r="B176">
        <v>5</v>
      </c>
      <c r="C176">
        <v>3</v>
      </c>
      <c r="D176" t="s">
        <v>116</v>
      </c>
      <c r="E176" t="s">
        <v>545</v>
      </c>
      <c r="G176" t="s">
        <v>546</v>
      </c>
      <c r="H176" t="s">
        <v>22</v>
      </c>
      <c r="I176" t="s">
        <v>119</v>
      </c>
      <c r="J176" t="s">
        <v>120</v>
      </c>
      <c r="K176" t="s">
        <v>121</v>
      </c>
      <c r="L176" t="s">
        <v>26</v>
      </c>
      <c r="M176" t="s">
        <v>218</v>
      </c>
      <c r="N176" t="s">
        <v>39</v>
      </c>
      <c r="O176" t="s">
        <v>57</v>
      </c>
      <c r="P176" t="s">
        <v>30</v>
      </c>
      <c r="Q176" t="s">
        <v>156</v>
      </c>
      <c r="R176" t="s">
        <v>57</v>
      </c>
      <c r="S176" s="1">
        <v>46041.65284722222</v>
      </c>
      <c r="T176" s="1">
        <v>46043.783587962964</v>
      </c>
    </row>
    <row r="177" spans="1:20" x14ac:dyDescent="0.3">
      <c r="A177" t="s">
        <v>544</v>
      </c>
      <c r="B177">
        <v>5</v>
      </c>
      <c r="C177">
        <v>3</v>
      </c>
      <c r="D177" t="s">
        <v>116</v>
      </c>
      <c r="E177" t="s">
        <v>547</v>
      </c>
      <c r="G177" t="s">
        <v>548</v>
      </c>
      <c r="H177" t="s">
        <v>22</v>
      </c>
      <c r="I177" t="s">
        <v>119</v>
      </c>
      <c r="J177" t="s">
        <v>120</v>
      </c>
      <c r="K177" t="s">
        <v>121</v>
      </c>
      <c r="L177" t="s">
        <v>26</v>
      </c>
      <c r="M177" t="s">
        <v>218</v>
      </c>
      <c r="N177" t="s">
        <v>88</v>
      </c>
      <c r="O177" t="s">
        <v>57</v>
      </c>
      <c r="P177" t="s">
        <v>30</v>
      </c>
      <c r="Q177" t="s">
        <v>31</v>
      </c>
      <c r="R177" t="s">
        <v>57</v>
      </c>
      <c r="S177" s="1">
        <v>46041.649687500001</v>
      </c>
      <c r="T177" s="1">
        <v>46043.780393518522</v>
      </c>
    </row>
    <row r="178" spans="1:20" x14ac:dyDescent="0.3">
      <c r="A178" t="s">
        <v>549</v>
      </c>
      <c r="B178">
        <v>5</v>
      </c>
      <c r="C178">
        <v>3</v>
      </c>
      <c r="D178" t="s">
        <v>116</v>
      </c>
      <c r="E178" t="s">
        <v>550</v>
      </c>
      <c r="G178" t="s">
        <v>551</v>
      </c>
      <c r="H178" t="s">
        <v>22</v>
      </c>
      <c r="I178" t="s">
        <v>119</v>
      </c>
      <c r="J178" t="s">
        <v>120</v>
      </c>
      <c r="K178" t="s">
        <v>121</v>
      </c>
      <c r="L178" t="s">
        <v>26</v>
      </c>
      <c r="M178" t="s">
        <v>218</v>
      </c>
      <c r="N178" t="s">
        <v>39</v>
      </c>
      <c r="O178" t="s">
        <v>57</v>
      </c>
      <c r="P178" t="s">
        <v>30</v>
      </c>
      <c r="Q178" t="s">
        <v>156</v>
      </c>
      <c r="R178" t="s">
        <v>57</v>
      </c>
      <c r="S178" s="1">
        <v>46041.651875000003</v>
      </c>
      <c r="T178" s="1">
        <v>46043.785115740742</v>
      </c>
    </row>
    <row r="179" spans="1:20" x14ac:dyDescent="0.3">
      <c r="A179" t="s">
        <v>154</v>
      </c>
      <c r="B179">
        <v>5</v>
      </c>
      <c r="C179">
        <v>3</v>
      </c>
      <c r="D179" t="s">
        <v>116</v>
      </c>
      <c r="E179" t="s">
        <v>552</v>
      </c>
      <c r="G179" t="s">
        <v>553</v>
      </c>
      <c r="H179" t="s">
        <v>22</v>
      </c>
      <c r="I179" t="s">
        <v>119</v>
      </c>
      <c r="J179" t="s">
        <v>120</v>
      </c>
      <c r="K179" t="s">
        <v>121</v>
      </c>
      <c r="L179" t="s">
        <v>26</v>
      </c>
      <c r="M179" t="s">
        <v>218</v>
      </c>
      <c r="N179" t="s">
        <v>88</v>
      </c>
      <c r="O179" t="s">
        <v>57</v>
      </c>
      <c r="P179" t="s">
        <v>30</v>
      </c>
      <c r="Q179" t="s">
        <v>31</v>
      </c>
      <c r="R179" t="s">
        <v>57</v>
      </c>
      <c r="S179" s="1">
        <v>46042.464675925927</v>
      </c>
      <c r="T179" s="1">
        <v>46043.403680555559</v>
      </c>
    </row>
    <row r="180" spans="1:20" x14ac:dyDescent="0.3">
      <c r="A180" t="s">
        <v>554</v>
      </c>
      <c r="B180">
        <v>5</v>
      </c>
      <c r="C180">
        <v>3</v>
      </c>
      <c r="D180" t="s">
        <v>116</v>
      </c>
      <c r="E180" t="s">
        <v>555</v>
      </c>
      <c r="G180" t="s">
        <v>556</v>
      </c>
      <c r="H180" t="s">
        <v>22</v>
      </c>
      <c r="I180" t="s">
        <v>119</v>
      </c>
      <c r="J180" t="s">
        <v>120</v>
      </c>
      <c r="K180" t="s">
        <v>121</v>
      </c>
      <c r="L180" t="s">
        <v>26</v>
      </c>
      <c r="M180" t="s">
        <v>218</v>
      </c>
      <c r="N180" t="s">
        <v>39</v>
      </c>
      <c r="O180" t="s">
        <v>57</v>
      </c>
      <c r="P180" t="s">
        <v>30</v>
      </c>
      <c r="Q180" t="s">
        <v>156</v>
      </c>
      <c r="R180" t="s">
        <v>57</v>
      </c>
      <c r="S180" s="1">
        <v>46041.599953703706</v>
      </c>
      <c r="T180" s="1">
        <v>46043.790231481478</v>
      </c>
    </row>
    <row r="181" spans="1:20" x14ac:dyDescent="0.3">
      <c r="A181" t="s">
        <v>554</v>
      </c>
      <c r="B181">
        <v>5</v>
      </c>
      <c r="C181">
        <v>3</v>
      </c>
      <c r="D181" t="s">
        <v>116</v>
      </c>
      <c r="E181" t="s">
        <v>557</v>
      </c>
      <c r="G181" t="s">
        <v>558</v>
      </c>
      <c r="H181" t="s">
        <v>22</v>
      </c>
      <c r="I181" t="s">
        <v>119</v>
      </c>
      <c r="J181" t="s">
        <v>120</v>
      </c>
      <c r="K181" t="s">
        <v>121</v>
      </c>
      <c r="L181" t="s">
        <v>26</v>
      </c>
      <c r="M181" t="s">
        <v>218</v>
      </c>
      <c r="N181" t="s">
        <v>39</v>
      </c>
      <c r="O181" t="s">
        <v>57</v>
      </c>
      <c r="P181" t="s">
        <v>30</v>
      </c>
      <c r="Q181" t="s">
        <v>156</v>
      </c>
      <c r="R181" t="s">
        <v>57</v>
      </c>
      <c r="S181" s="1">
        <v>46041.594942129632</v>
      </c>
      <c r="T181" s="1">
        <v>46043.804224537038</v>
      </c>
    </row>
    <row r="182" spans="1:20" x14ac:dyDescent="0.3">
      <c r="A182" t="s">
        <v>559</v>
      </c>
      <c r="B182">
        <v>5</v>
      </c>
      <c r="C182">
        <v>3</v>
      </c>
      <c r="D182" t="s">
        <v>116</v>
      </c>
      <c r="E182" t="s">
        <v>560</v>
      </c>
      <c r="F182" t="s">
        <v>827</v>
      </c>
      <c r="G182" t="s">
        <v>561</v>
      </c>
      <c r="H182" t="s">
        <v>22</v>
      </c>
      <c r="I182" t="s">
        <v>119</v>
      </c>
      <c r="J182" t="s">
        <v>120</v>
      </c>
      <c r="K182" t="s">
        <v>121</v>
      </c>
      <c r="L182" t="s">
        <v>26</v>
      </c>
      <c r="M182" t="s">
        <v>218</v>
      </c>
      <c r="N182" t="s">
        <v>102</v>
      </c>
      <c r="O182" t="s">
        <v>29</v>
      </c>
      <c r="P182" t="s">
        <v>30</v>
      </c>
      <c r="Q182" t="s">
        <v>156</v>
      </c>
      <c r="R182" t="s">
        <v>29</v>
      </c>
      <c r="S182" s="1">
        <v>46042.634768518517</v>
      </c>
      <c r="T182" s="1">
        <v>46044.664085648146</v>
      </c>
    </row>
    <row r="183" spans="1:20" x14ac:dyDescent="0.3">
      <c r="A183" t="s">
        <v>562</v>
      </c>
      <c r="B183">
        <v>5</v>
      </c>
      <c r="C183">
        <v>3</v>
      </c>
      <c r="D183" t="s">
        <v>116</v>
      </c>
      <c r="E183" t="s">
        <v>563</v>
      </c>
      <c r="F183" t="s">
        <v>827</v>
      </c>
      <c r="G183" t="s">
        <v>564</v>
      </c>
      <c r="H183" t="s">
        <v>22</v>
      </c>
      <c r="I183" t="s">
        <v>119</v>
      </c>
      <c r="J183" t="s">
        <v>120</v>
      </c>
      <c r="K183" t="s">
        <v>121</v>
      </c>
      <c r="L183" t="s">
        <v>26</v>
      </c>
      <c r="M183" t="s">
        <v>218</v>
      </c>
      <c r="N183" t="s">
        <v>102</v>
      </c>
      <c r="O183" t="s">
        <v>29</v>
      </c>
      <c r="P183" t="s">
        <v>30</v>
      </c>
      <c r="Q183" t="s">
        <v>156</v>
      </c>
      <c r="R183" t="s">
        <v>29</v>
      </c>
      <c r="S183" s="1">
        <v>46042.619988425926</v>
      </c>
      <c r="T183" s="1">
        <v>46044.663622685184</v>
      </c>
    </row>
    <row r="184" spans="1:20" x14ac:dyDescent="0.3">
      <c r="A184" t="s">
        <v>565</v>
      </c>
      <c r="B184">
        <v>5</v>
      </c>
      <c r="C184">
        <v>3</v>
      </c>
      <c r="D184" t="s">
        <v>116</v>
      </c>
      <c r="E184" t="s">
        <v>566</v>
      </c>
      <c r="F184" t="s">
        <v>827</v>
      </c>
      <c r="G184" t="s">
        <v>795</v>
      </c>
      <c r="H184" t="s">
        <v>22</v>
      </c>
      <c r="I184" t="s">
        <v>119</v>
      </c>
      <c r="J184" t="s">
        <v>120</v>
      </c>
      <c r="K184" t="s">
        <v>121</v>
      </c>
      <c r="L184" t="s">
        <v>26</v>
      </c>
      <c r="M184" t="s">
        <v>218</v>
      </c>
      <c r="N184" t="s">
        <v>102</v>
      </c>
      <c r="O184" t="s">
        <v>29</v>
      </c>
      <c r="P184" t="s">
        <v>30</v>
      </c>
      <c r="Q184" t="s">
        <v>156</v>
      </c>
      <c r="R184" t="s">
        <v>29</v>
      </c>
      <c r="S184" s="1">
        <v>46042.642442129632</v>
      </c>
      <c r="T184" s="1">
        <v>46044.671469907407</v>
      </c>
    </row>
    <row r="185" spans="1:20" x14ac:dyDescent="0.3">
      <c r="A185" t="s">
        <v>567</v>
      </c>
      <c r="B185">
        <v>5</v>
      </c>
      <c r="C185">
        <v>3</v>
      </c>
      <c r="D185" t="s">
        <v>116</v>
      </c>
      <c r="E185" t="s">
        <v>568</v>
      </c>
      <c r="F185" t="s">
        <v>817</v>
      </c>
      <c r="G185" t="s">
        <v>569</v>
      </c>
      <c r="H185" t="s">
        <v>22</v>
      </c>
      <c r="I185" t="s">
        <v>119</v>
      </c>
      <c r="J185" t="s">
        <v>120</v>
      </c>
      <c r="K185" t="s">
        <v>121</v>
      </c>
      <c r="L185" t="s">
        <v>26</v>
      </c>
      <c r="M185" t="s">
        <v>218</v>
      </c>
      <c r="N185" t="s">
        <v>39</v>
      </c>
      <c r="O185" t="s">
        <v>29</v>
      </c>
      <c r="P185" t="s">
        <v>30</v>
      </c>
      <c r="Q185" t="s">
        <v>156</v>
      </c>
      <c r="R185" t="s">
        <v>29</v>
      </c>
      <c r="S185" s="1">
        <v>46043.627372685187</v>
      </c>
      <c r="T185" s="1">
        <v>46044.678240740737</v>
      </c>
    </row>
    <row r="186" spans="1:20" x14ac:dyDescent="0.3">
      <c r="A186" t="s">
        <v>541</v>
      </c>
      <c r="B186">
        <v>5</v>
      </c>
      <c r="C186">
        <v>3</v>
      </c>
      <c r="D186" t="s">
        <v>116</v>
      </c>
      <c r="E186" t="s">
        <v>570</v>
      </c>
      <c r="F186" t="s">
        <v>817</v>
      </c>
      <c r="G186" t="s">
        <v>571</v>
      </c>
      <c r="H186" t="s">
        <v>22</v>
      </c>
      <c r="I186" t="s">
        <v>119</v>
      </c>
      <c r="J186" t="s">
        <v>120</v>
      </c>
      <c r="K186" t="s">
        <v>121</v>
      </c>
      <c r="L186" t="s">
        <v>26</v>
      </c>
      <c r="M186" t="s">
        <v>218</v>
      </c>
      <c r="N186" t="s">
        <v>39</v>
      </c>
      <c r="O186" t="s">
        <v>47</v>
      </c>
      <c r="P186" t="s">
        <v>121</v>
      </c>
      <c r="Q186" t="s">
        <v>97</v>
      </c>
      <c r="R186" t="s">
        <v>48</v>
      </c>
      <c r="S186" s="1">
        <v>46041.549259259256</v>
      </c>
      <c r="T186" s="1">
        <v>46048.395787037036</v>
      </c>
    </row>
    <row r="187" spans="1:20" x14ac:dyDescent="0.3">
      <c r="A187" t="s">
        <v>122</v>
      </c>
      <c r="B187">
        <v>5</v>
      </c>
      <c r="C187">
        <v>3</v>
      </c>
      <c r="D187" t="s">
        <v>116</v>
      </c>
      <c r="E187" t="s">
        <v>572</v>
      </c>
      <c r="F187" t="s">
        <v>827</v>
      </c>
      <c r="G187" t="s">
        <v>573</v>
      </c>
      <c r="H187" t="s">
        <v>22</v>
      </c>
      <c r="I187" t="s">
        <v>119</v>
      </c>
      <c r="J187" t="s">
        <v>120</v>
      </c>
      <c r="K187" t="s">
        <v>121</v>
      </c>
      <c r="L187" t="s">
        <v>26</v>
      </c>
      <c r="M187" t="s">
        <v>218</v>
      </c>
      <c r="N187" t="s">
        <v>102</v>
      </c>
      <c r="O187" t="s">
        <v>47</v>
      </c>
      <c r="P187" t="s">
        <v>121</v>
      </c>
      <c r="Q187" t="s">
        <v>156</v>
      </c>
      <c r="R187" t="s">
        <v>48</v>
      </c>
      <c r="S187" s="1">
        <v>46044.440810185188</v>
      </c>
      <c r="T187" s="1">
        <v>46049.430520833332</v>
      </c>
    </row>
    <row r="188" spans="1:20" x14ac:dyDescent="0.3">
      <c r="A188" t="s">
        <v>574</v>
      </c>
      <c r="B188">
        <v>5</v>
      </c>
      <c r="C188">
        <v>3</v>
      </c>
      <c r="D188" t="s">
        <v>165</v>
      </c>
      <c r="E188" t="s">
        <v>575</v>
      </c>
      <c r="F188" t="s">
        <v>817</v>
      </c>
      <c r="G188" t="s">
        <v>576</v>
      </c>
      <c r="H188" t="s">
        <v>22</v>
      </c>
      <c r="I188" t="s">
        <v>168</v>
      </c>
      <c r="J188" t="s">
        <v>577</v>
      </c>
      <c r="K188" t="s">
        <v>114</v>
      </c>
      <c r="L188" t="s">
        <v>68</v>
      </c>
      <c r="M188" t="s">
        <v>218</v>
      </c>
      <c r="N188" t="s">
        <v>39</v>
      </c>
      <c r="O188" t="s">
        <v>170</v>
      </c>
      <c r="P188" t="s">
        <v>168</v>
      </c>
      <c r="Q188" t="s">
        <v>97</v>
      </c>
      <c r="R188" t="s">
        <v>170</v>
      </c>
      <c r="S188" s="1">
        <v>46044.64943287037</v>
      </c>
      <c r="T188" s="1">
        <v>46044.64943287037</v>
      </c>
    </row>
    <row r="189" spans="1:20" x14ac:dyDescent="0.3">
      <c r="A189" t="s">
        <v>578</v>
      </c>
      <c r="B189">
        <v>5</v>
      </c>
      <c r="C189">
        <v>3</v>
      </c>
      <c r="D189" t="s">
        <v>165</v>
      </c>
      <c r="E189" t="s">
        <v>579</v>
      </c>
      <c r="F189" t="s">
        <v>817</v>
      </c>
      <c r="G189" t="s">
        <v>580</v>
      </c>
      <c r="H189" t="s">
        <v>22</v>
      </c>
      <c r="I189" t="s">
        <v>168</v>
      </c>
      <c r="J189" t="s">
        <v>577</v>
      </c>
      <c r="K189" t="s">
        <v>114</v>
      </c>
      <c r="L189" t="s">
        <v>68</v>
      </c>
      <c r="M189" t="s">
        <v>218</v>
      </c>
      <c r="N189" t="s">
        <v>39</v>
      </c>
      <c r="O189" t="s">
        <v>170</v>
      </c>
      <c r="P189" t="s">
        <v>168</v>
      </c>
      <c r="Q189" t="s">
        <v>97</v>
      </c>
      <c r="R189" t="s">
        <v>170</v>
      </c>
      <c r="S189" s="1">
        <v>46044.702673611115</v>
      </c>
      <c r="T189" s="1">
        <v>46045.455474537041</v>
      </c>
    </row>
    <row r="190" spans="1:20" x14ac:dyDescent="0.3">
      <c r="A190" t="s">
        <v>581</v>
      </c>
      <c r="B190">
        <v>5</v>
      </c>
      <c r="C190">
        <v>3</v>
      </c>
      <c r="D190" t="s">
        <v>165</v>
      </c>
      <c r="E190" t="s">
        <v>582</v>
      </c>
      <c r="F190" t="s">
        <v>825</v>
      </c>
      <c r="G190" t="s">
        <v>583</v>
      </c>
      <c r="H190" t="s">
        <v>22</v>
      </c>
      <c r="I190" t="s">
        <v>168</v>
      </c>
      <c r="J190" t="s">
        <v>577</v>
      </c>
      <c r="K190" t="s">
        <v>114</v>
      </c>
      <c r="L190" t="s">
        <v>68</v>
      </c>
      <c r="M190" t="s">
        <v>218</v>
      </c>
      <c r="N190" t="s">
        <v>39</v>
      </c>
      <c r="O190" t="s">
        <v>170</v>
      </c>
      <c r="P190" t="s">
        <v>168</v>
      </c>
      <c r="Q190" t="s">
        <v>97</v>
      </c>
      <c r="R190" t="s">
        <v>170</v>
      </c>
      <c r="S190" s="1">
        <v>46045.425555555557</v>
      </c>
      <c r="T190" s="1">
        <v>46045.425555555557</v>
      </c>
    </row>
    <row r="191" spans="1:20" x14ac:dyDescent="0.3">
      <c r="A191" t="s">
        <v>584</v>
      </c>
      <c r="B191">
        <v>5</v>
      </c>
      <c r="C191">
        <v>3</v>
      </c>
      <c r="D191" t="s">
        <v>165</v>
      </c>
      <c r="E191" t="s">
        <v>585</v>
      </c>
      <c r="F191" t="s">
        <v>821</v>
      </c>
      <c r="G191" t="s">
        <v>586</v>
      </c>
      <c r="H191" t="s">
        <v>22</v>
      </c>
      <c r="I191" t="s">
        <v>168</v>
      </c>
      <c r="J191" t="s">
        <v>194</v>
      </c>
      <c r="K191" t="s">
        <v>114</v>
      </c>
      <c r="L191" t="s">
        <v>68</v>
      </c>
      <c r="M191" t="s">
        <v>218</v>
      </c>
      <c r="N191" t="s">
        <v>56</v>
      </c>
      <c r="O191" t="s">
        <v>170</v>
      </c>
      <c r="P191" t="s">
        <v>168</v>
      </c>
      <c r="Q191" t="s">
        <v>97</v>
      </c>
      <c r="R191" t="s">
        <v>170</v>
      </c>
      <c r="S191" s="1">
        <v>46045.598287037035</v>
      </c>
      <c r="T191" s="1">
        <v>46045.598287037035</v>
      </c>
    </row>
    <row r="192" spans="1:20" x14ac:dyDescent="0.3">
      <c r="A192" t="s">
        <v>587</v>
      </c>
      <c r="B192">
        <v>5</v>
      </c>
      <c r="C192">
        <v>3</v>
      </c>
      <c r="D192" t="s">
        <v>165</v>
      </c>
      <c r="E192" t="s">
        <v>588</v>
      </c>
      <c r="F192" t="s">
        <v>825</v>
      </c>
      <c r="G192" t="s">
        <v>589</v>
      </c>
      <c r="H192" t="s">
        <v>22</v>
      </c>
      <c r="I192" t="s">
        <v>168</v>
      </c>
      <c r="J192" t="s">
        <v>577</v>
      </c>
      <c r="K192" t="s">
        <v>114</v>
      </c>
      <c r="L192" t="s">
        <v>68</v>
      </c>
      <c r="M192" t="s">
        <v>218</v>
      </c>
      <c r="N192" t="s">
        <v>39</v>
      </c>
      <c r="O192" t="s">
        <v>170</v>
      </c>
      <c r="P192" t="s">
        <v>168</v>
      </c>
      <c r="Q192" t="s">
        <v>97</v>
      </c>
      <c r="R192" t="s">
        <v>170</v>
      </c>
      <c r="S192" s="1">
        <v>46045.595543981479</v>
      </c>
      <c r="T192" s="1">
        <v>46045.595543981479</v>
      </c>
    </row>
    <row r="193" spans="1:20" x14ac:dyDescent="0.3">
      <c r="A193" t="s">
        <v>590</v>
      </c>
      <c r="B193">
        <v>5</v>
      </c>
      <c r="C193">
        <v>3</v>
      </c>
      <c r="D193" t="s">
        <v>165</v>
      </c>
      <c r="E193" t="s">
        <v>591</v>
      </c>
      <c r="G193" t="s">
        <v>180</v>
      </c>
      <c r="H193" t="s">
        <v>22</v>
      </c>
      <c r="I193" t="s">
        <v>168</v>
      </c>
      <c r="J193" t="s">
        <v>176</v>
      </c>
      <c r="K193" t="s">
        <v>114</v>
      </c>
      <c r="L193" t="s">
        <v>26</v>
      </c>
      <c r="M193" t="s">
        <v>218</v>
      </c>
      <c r="N193" t="s">
        <v>177</v>
      </c>
      <c r="O193" t="s">
        <v>57</v>
      </c>
      <c r="P193" t="s">
        <v>30</v>
      </c>
      <c r="Q193" t="s">
        <v>31</v>
      </c>
      <c r="R193" t="s">
        <v>57</v>
      </c>
      <c r="S193" s="1">
        <v>46042.455717592595</v>
      </c>
      <c r="T193" s="1">
        <v>46042.631157407406</v>
      </c>
    </row>
    <row r="194" spans="1:20" x14ac:dyDescent="0.3">
      <c r="A194" t="s">
        <v>592</v>
      </c>
      <c r="B194">
        <v>5</v>
      </c>
      <c r="C194">
        <v>3</v>
      </c>
      <c r="D194" t="s">
        <v>165</v>
      </c>
      <c r="E194" t="s">
        <v>593</v>
      </c>
      <c r="G194" t="s">
        <v>180</v>
      </c>
      <c r="H194" t="s">
        <v>22</v>
      </c>
      <c r="I194" t="s">
        <v>168</v>
      </c>
      <c r="J194" t="s">
        <v>169</v>
      </c>
      <c r="K194" t="s">
        <v>114</v>
      </c>
      <c r="L194" t="s">
        <v>26</v>
      </c>
      <c r="M194" t="s">
        <v>218</v>
      </c>
      <c r="N194" t="s">
        <v>177</v>
      </c>
      <c r="O194" t="s">
        <v>57</v>
      </c>
      <c r="P194" t="s">
        <v>30</v>
      </c>
      <c r="Q194" t="s">
        <v>31</v>
      </c>
      <c r="R194" t="s">
        <v>57</v>
      </c>
      <c r="S194" s="1">
        <v>46042.44940972222</v>
      </c>
      <c r="T194" s="1">
        <v>46042.632187499999</v>
      </c>
    </row>
    <row r="195" spans="1:20" x14ac:dyDescent="0.3">
      <c r="A195" t="s">
        <v>173</v>
      </c>
      <c r="B195">
        <v>5</v>
      </c>
      <c r="C195">
        <v>3</v>
      </c>
      <c r="D195" t="s">
        <v>165</v>
      </c>
      <c r="E195" t="s">
        <v>594</v>
      </c>
      <c r="G195" t="s">
        <v>595</v>
      </c>
      <c r="H195" t="s">
        <v>22</v>
      </c>
      <c r="I195" t="s">
        <v>168</v>
      </c>
      <c r="J195" t="s">
        <v>176</v>
      </c>
      <c r="K195" t="s">
        <v>114</v>
      </c>
      <c r="L195" t="s">
        <v>26</v>
      </c>
      <c r="M195" t="s">
        <v>218</v>
      </c>
      <c r="N195" t="s">
        <v>177</v>
      </c>
      <c r="O195" t="s">
        <v>57</v>
      </c>
      <c r="P195" t="s">
        <v>30</v>
      </c>
      <c r="Q195" t="s">
        <v>31</v>
      </c>
      <c r="R195" t="s">
        <v>57</v>
      </c>
      <c r="S195" s="1">
        <v>46042.630601851852</v>
      </c>
      <c r="T195" s="1">
        <v>46043.654629629629</v>
      </c>
    </row>
    <row r="196" spans="1:20" x14ac:dyDescent="0.3">
      <c r="A196" t="s">
        <v>596</v>
      </c>
      <c r="B196">
        <v>5</v>
      </c>
      <c r="C196">
        <v>3</v>
      </c>
      <c r="D196" t="s">
        <v>165</v>
      </c>
      <c r="E196" t="s">
        <v>597</v>
      </c>
      <c r="G196" t="s">
        <v>180</v>
      </c>
      <c r="H196" t="s">
        <v>22</v>
      </c>
      <c r="I196" t="s">
        <v>168</v>
      </c>
      <c r="J196" t="s">
        <v>169</v>
      </c>
      <c r="K196" t="s">
        <v>114</v>
      </c>
      <c r="L196" t="s">
        <v>26</v>
      </c>
      <c r="M196" t="s">
        <v>218</v>
      </c>
      <c r="N196" t="s">
        <v>177</v>
      </c>
      <c r="O196" t="s">
        <v>57</v>
      </c>
      <c r="P196" t="s">
        <v>30</v>
      </c>
      <c r="Q196" t="s">
        <v>31</v>
      </c>
      <c r="R196" t="s">
        <v>57</v>
      </c>
      <c r="S196" s="1">
        <v>46042.453611111108</v>
      </c>
      <c r="T196" s="1">
        <v>46042.631620370368</v>
      </c>
    </row>
    <row r="197" spans="1:20" x14ac:dyDescent="0.3">
      <c r="A197" t="s">
        <v>181</v>
      </c>
      <c r="B197">
        <v>5</v>
      </c>
      <c r="C197">
        <v>3</v>
      </c>
      <c r="D197" t="s">
        <v>165</v>
      </c>
      <c r="E197" t="s">
        <v>598</v>
      </c>
      <c r="G197" t="s">
        <v>599</v>
      </c>
      <c r="H197" t="s">
        <v>22</v>
      </c>
      <c r="I197" t="s">
        <v>168</v>
      </c>
      <c r="J197" t="s">
        <v>176</v>
      </c>
      <c r="K197" t="s">
        <v>114</v>
      </c>
      <c r="L197" t="s">
        <v>26</v>
      </c>
      <c r="M197" t="s">
        <v>218</v>
      </c>
      <c r="N197" t="s">
        <v>39</v>
      </c>
      <c r="O197" t="s">
        <v>57</v>
      </c>
      <c r="P197" t="s">
        <v>30</v>
      </c>
      <c r="Q197" t="s">
        <v>97</v>
      </c>
      <c r="R197" t="s">
        <v>57</v>
      </c>
      <c r="S197" s="1">
        <v>46042.613657407404</v>
      </c>
      <c r="T197" s="1">
        <v>46049.751354166663</v>
      </c>
    </row>
    <row r="198" spans="1:20" x14ac:dyDescent="0.3">
      <c r="A198" t="s">
        <v>600</v>
      </c>
      <c r="B198">
        <v>5</v>
      </c>
      <c r="C198">
        <v>3</v>
      </c>
      <c r="D198" t="s">
        <v>165</v>
      </c>
      <c r="E198" t="s">
        <v>601</v>
      </c>
      <c r="G198" t="s">
        <v>180</v>
      </c>
      <c r="H198" t="s">
        <v>22</v>
      </c>
      <c r="I198" t="s">
        <v>168</v>
      </c>
      <c r="J198" t="s">
        <v>169</v>
      </c>
      <c r="K198" t="s">
        <v>114</v>
      </c>
      <c r="L198" t="s">
        <v>26</v>
      </c>
      <c r="M198" t="s">
        <v>218</v>
      </c>
      <c r="N198" t="s">
        <v>177</v>
      </c>
      <c r="O198" t="s">
        <v>57</v>
      </c>
      <c r="P198" t="s">
        <v>30</v>
      </c>
      <c r="Q198" t="s">
        <v>31</v>
      </c>
      <c r="R198" t="s">
        <v>57</v>
      </c>
      <c r="S198" s="1">
        <v>46042.448657407411</v>
      </c>
      <c r="T198" s="1">
        <v>46048.730046296296</v>
      </c>
    </row>
    <row r="199" spans="1:20" x14ac:dyDescent="0.3">
      <c r="A199" t="s">
        <v>602</v>
      </c>
      <c r="B199">
        <v>5</v>
      </c>
      <c r="C199">
        <v>3</v>
      </c>
      <c r="D199" t="s">
        <v>165</v>
      </c>
      <c r="E199" t="s">
        <v>603</v>
      </c>
      <c r="G199" t="s">
        <v>604</v>
      </c>
      <c r="H199" t="s">
        <v>22</v>
      </c>
      <c r="I199" t="s">
        <v>168</v>
      </c>
      <c r="J199" t="s">
        <v>169</v>
      </c>
      <c r="K199" t="s">
        <v>114</v>
      </c>
      <c r="L199" t="s">
        <v>26</v>
      </c>
      <c r="M199" t="s">
        <v>218</v>
      </c>
      <c r="N199" t="s">
        <v>177</v>
      </c>
      <c r="O199" t="s">
        <v>57</v>
      </c>
      <c r="P199" t="s">
        <v>30</v>
      </c>
      <c r="Q199" t="s">
        <v>31</v>
      </c>
      <c r="R199" t="s">
        <v>57</v>
      </c>
      <c r="S199" s="1">
        <v>46042.445034722223</v>
      </c>
      <c r="T199" s="1">
        <v>46042.63140046296</v>
      </c>
    </row>
    <row r="200" spans="1:20" x14ac:dyDescent="0.3">
      <c r="A200" t="s">
        <v>187</v>
      </c>
      <c r="B200">
        <v>5</v>
      </c>
      <c r="C200">
        <v>3</v>
      </c>
      <c r="D200" t="s">
        <v>165</v>
      </c>
      <c r="E200" t="s">
        <v>605</v>
      </c>
      <c r="F200" t="s">
        <v>827</v>
      </c>
      <c r="G200" t="s">
        <v>606</v>
      </c>
      <c r="H200" t="s">
        <v>22</v>
      </c>
      <c r="I200" t="s">
        <v>168</v>
      </c>
      <c r="J200" t="s">
        <v>176</v>
      </c>
      <c r="K200" t="s">
        <v>114</v>
      </c>
      <c r="L200" t="s">
        <v>26</v>
      </c>
      <c r="M200" t="s">
        <v>218</v>
      </c>
      <c r="N200" t="s">
        <v>39</v>
      </c>
      <c r="O200" t="s">
        <v>108</v>
      </c>
      <c r="P200" t="s">
        <v>176</v>
      </c>
      <c r="Q200" t="s">
        <v>97</v>
      </c>
      <c r="R200" t="s">
        <v>108</v>
      </c>
      <c r="S200" s="1">
        <v>46045.627326388887</v>
      </c>
      <c r="T200" s="1">
        <v>46048.45008101852</v>
      </c>
    </row>
    <row r="201" spans="1:20" x14ac:dyDescent="0.3">
      <c r="A201" t="s">
        <v>607</v>
      </c>
      <c r="B201">
        <v>5</v>
      </c>
      <c r="C201">
        <v>3</v>
      </c>
      <c r="D201" t="s">
        <v>165</v>
      </c>
      <c r="E201" t="s">
        <v>608</v>
      </c>
      <c r="F201" t="s">
        <v>817</v>
      </c>
      <c r="G201" t="s">
        <v>609</v>
      </c>
      <c r="H201" t="s">
        <v>22</v>
      </c>
      <c r="I201" t="s">
        <v>168</v>
      </c>
      <c r="J201" t="s">
        <v>577</v>
      </c>
      <c r="K201" t="s">
        <v>114</v>
      </c>
      <c r="L201" t="s">
        <v>68</v>
      </c>
      <c r="M201" t="s">
        <v>218</v>
      </c>
      <c r="N201" t="s">
        <v>102</v>
      </c>
      <c r="O201" t="s">
        <v>108</v>
      </c>
      <c r="P201" t="s">
        <v>577</v>
      </c>
      <c r="Q201" t="s">
        <v>97</v>
      </c>
      <c r="R201" t="s">
        <v>108</v>
      </c>
      <c r="S201" s="1">
        <v>46043.638935185183</v>
      </c>
      <c r="T201" s="1">
        <v>46043.794560185182</v>
      </c>
    </row>
    <row r="202" spans="1:20" x14ac:dyDescent="0.3">
      <c r="A202" t="s">
        <v>610</v>
      </c>
      <c r="B202">
        <v>5</v>
      </c>
      <c r="C202">
        <v>3</v>
      </c>
      <c r="D202" t="s">
        <v>165</v>
      </c>
      <c r="E202" t="s">
        <v>611</v>
      </c>
      <c r="F202" t="s">
        <v>817</v>
      </c>
      <c r="G202" t="s">
        <v>612</v>
      </c>
      <c r="H202" t="s">
        <v>22</v>
      </c>
      <c r="I202" t="s">
        <v>168</v>
      </c>
      <c r="J202" t="s">
        <v>577</v>
      </c>
      <c r="K202" t="s">
        <v>114</v>
      </c>
      <c r="L202" t="s">
        <v>68</v>
      </c>
      <c r="M202" t="s">
        <v>218</v>
      </c>
      <c r="N202" t="s">
        <v>102</v>
      </c>
      <c r="O202" t="s">
        <v>108</v>
      </c>
      <c r="P202" t="s">
        <v>577</v>
      </c>
      <c r="Q202" t="s">
        <v>97</v>
      </c>
      <c r="R202" t="s">
        <v>108</v>
      </c>
      <c r="S202" s="1">
        <v>46043.605740740742</v>
      </c>
      <c r="T202" s="1">
        <v>46043.793009259258</v>
      </c>
    </row>
    <row r="203" spans="1:20" x14ac:dyDescent="0.3">
      <c r="A203" t="s">
        <v>181</v>
      </c>
      <c r="B203">
        <v>5</v>
      </c>
      <c r="C203">
        <v>3</v>
      </c>
      <c r="D203" t="s">
        <v>165</v>
      </c>
      <c r="E203" t="s">
        <v>613</v>
      </c>
      <c r="F203" t="s">
        <v>817</v>
      </c>
      <c r="G203" t="s">
        <v>614</v>
      </c>
      <c r="H203" t="s">
        <v>22</v>
      </c>
      <c r="I203" t="s">
        <v>168</v>
      </c>
      <c r="J203" t="s">
        <v>176</v>
      </c>
      <c r="K203" t="s">
        <v>114</v>
      </c>
      <c r="L203" t="s">
        <v>26</v>
      </c>
      <c r="M203" t="s">
        <v>218</v>
      </c>
      <c r="N203" t="s">
        <v>39</v>
      </c>
      <c r="O203" t="s">
        <v>29</v>
      </c>
      <c r="P203" t="s">
        <v>30</v>
      </c>
      <c r="Q203" t="s">
        <v>97</v>
      </c>
      <c r="R203" t="s">
        <v>29</v>
      </c>
      <c r="S203" s="1">
        <v>46042.586793981478</v>
      </c>
      <c r="T203" s="1">
        <v>46045.456377314818</v>
      </c>
    </row>
    <row r="204" spans="1:20" x14ac:dyDescent="0.3">
      <c r="A204" t="s">
        <v>615</v>
      </c>
      <c r="B204">
        <v>5</v>
      </c>
      <c r="C204">
        <v>3</v>
      </c>
      <c r="D204" t="s">
        <v>165</v>
      </c>
      <c r="E204" t="s">
        <v>791</v>
      </c>
      <c r="F204" t="s">
        <v>817</v>
      </c>
      <c r="G204" t="s">
        <v>616</v>
      </c>
      <c r="H204" t="s">
        <v>22</v>
      </c>
      <c r="I204" t="s">
        <v>168</v>
      </c>
      <c r="J204" t="s">
        <v>169</v>
      </c>
      <c r="K204" t="s">
        <v>114</v>
      </c>
      <c r="L204" t="s">
        <v>26</v>
      </c>
      <c r="M204" t="s">
        <v>218</v>
      </c>
      <c r="N204" t="s">
        <v>39</v>
      </c>
      <c r="O204" t="s">
        <v>47</v>
      </c>
      <c r="P204" t="s">
        <v>114</v>
      </c>
      <c r="Q204" t="s">
        <v>156</v>
      </c>
      <c r="R204" t="s">
        <v>48</v>
      </c>
      <c r="S204" s="1">
        <v>46041.69803240741</v>
      </c>
      <c r="T204" s="1">
        <v>46044.77920138889</v>
      </c>
    </row>
    <row r="205" spans="1:20" x14ac:dyDescent="0.3">
      <c r="A205" t="s">
        <v>617</v>
      </c>
      <c r="B205">
        <v>5</v>
      </c>
      <c r="C205">
        <v>3</v>
      </c>
      <c r="D205" t="s">
        <v>165</v>
      </c>
      <c r="E205" t="s">
        <v>618</v>
      </c>
      <c r="F205" t="s">
        <v>817</v>
      </c>
      <c r="G205" t="s">
        <v>619</v>
      </c>
      <c r="H205" t="s">
        <v>22</v>
      </c>
      <c r="I205" t="s">
        <v>168</v>
      </c>
      <c r="J205" t="s">
        <v>577</v>
      </c>
      <c r="K205" t="s">
        <v>114</v>
      </c>
      <c r="L205" t="s">
        <v>68</v>
      </c>
      <c r="M205" t="s">
        <v>218</v>
      </c>
      <c r="N205" t="s">
        <v>39</v>
      </c>
      <c r="O205" t="s">
        <v>47</v>
      </c>
      <c r="P205" t="s">
        <v>194</v>
      </c>
      <c r="Q205" t="s">
        <v>97</v>
      </c>
      <c r="R205" t="s">
        <v>47</v>
      </c>
      <c r="S205" s="1">
        <v>46045.448379629626</v>
      </c>
      <c r="T205" s="1">
        <v>46045.590624999997</v>
      </c>
    </row>
    <row r="206" spans="1:20" x14ac:dyDescent="0.3">
      <c r="A206" t="s">
        <v>620</v>
      </c>
      <c r="B206">
        <v>5</v>
      </c>
      <c r="C206">
        <v>3</v>
      </c>
      <c r="D206" t="s">
        <v>165</v>
      </c>
      <c r="E206" t="s">
        <v>621</v>
      </c>
      <c r="F206" t="s">
        <v>817</v>
      </c>
      <c r="G206" t="s">
        <v>622</v>
      </c>
      <c r="H206" t="s">
        <v>22</v>
      </c>
      <c r="I206" t="s">
        <v>168</v>
      </c>
      <c r="J206" t="s">
        <v>194</v>
      </c>
      <c r="K206" t="s">
        <v>114</v>
      </c>
      <c r="L206" t="s">
        <v>26</v>
      </c>
      <c r="M206" t="s">
        <v>218</v>
      </c>
      <c r="N206" t="s">
        <v>39</v>
      </c>
      <c r="O206" t="s">
        <v>47</v>
      </c>
      <c r="P206" t="s">
        <v>194</v>
      </c>
      <c r="Q206" t="s">
        <v>97</v>
      </c>
      <c r="R206" t="s">
        <v>47</v>
      </c>
      <c r="S206" s="1">
        <v>46045.550717592596</v>
      </c>
      <c r="T206" s="1">
        <v>46045.591099537036</v>
      </c>
    </row>
    <row r="207" spans="1:20" x14ac:dyDescent="0.3">
      <c r="A207" t="s">
        <v>181</v>
      </c>
      <c r="B207">
        <v>5</v>
      </c>
      <c r="C207">
        <v>3</v>
      </c>
      <c r="D207" t="s">
        <v>165</v>
      </c>
      <c r="E207" t="s">
        <v>623</v>
      </c>
      <c r="F207" t="s">
        <v>817</v>
      </c>
      <c r="G207" t="s">
        <v>624</v>
      </c>
      <c r="H207" t="s">
        <v>22</v>
      </c>
      <c r="I207" t="s">
        <v>168</v>
      </c>
      <c r="J207" t="s">
        <v>176</v>
      </c>
      <c r="K207" t="s">
        <v>114</v>
      </c>
      <c r="L207" t="s">
        <v>26</v>
      </c>
      <c r="M207" t="s">
        <v>218</v>
      </c>
      <c r="N207" t="s">
        <v>39</v>
      </c>
      <c r="O207" t="s">
        <v>47</v>
      </c>
      <c r="P207" t="s">
        <v>194</v>
      </c>
      <c r="Q207" t="s">
        <v>97</v>
      </c>
      <c r="R207" t="s">
        <v>47</v>
      </c>
      <c r="S207" s="1">
        <v>46042.595011574071</v>
      </c>
      <c r="T207" s="1">
        <v>46044.450219907405</v>
      </c>
    </row>
    <row r="208" spans="1:20" x14ac:dyDescent="0.3">
      <c r="A208" t="s">
        <v>602</v>
      </c>
      <c r="B208">
        <v>5</v>
      </c>
      <c r="C208">
        <v>3</v>
      </c>
      <c r="D208" t="s">
        <v>165</v>
      </c>
      <c r="E208" t="s">
        <v>625</v>
      </c>
      <c r="F208" t="s">
        <v>817</v>
      </c>
      <c r="G208" t="s">
        <v>626</v>
      </c>
      <c r="H208" t="s">
        <v>22</v>
      </c>
      <c r="I208" t="s">
        <v>168</v>
      </c>
      <c r="J208" t="s">
        <v>169</v>
      </c>
      <c r="K208" t="s">
        <v>114</v>
      </c>
      <c r="L208" t="s">
        <v>26</v>
      </c>
      <c r="M208" t="s">
        <v>218</v>
      </c>
      <c r="N208" t="s">
        <v>39</v>
      </c>
      <c r="O208" t="s">
        <v>47</v>
      </c>
      <c r="P208" t="s">
        <v>168</v>
      </c>
      <c r="Q208" t="s">
        <v>97</v>
      </c>
      <c r="R208" t="s">
        <v>47</v>
      </c>
      <c r="S208" s="1">
        <v>46045.55840277778</v>
      </c>
      <c r="T208" s="1">
        <v>46049.364305555559</v>
      </c>
    </row>
    <row r="209" spans="1:20" x14ac:dyDescent="0.3">
      <c r="A209" t="s">
        <v>627</v>
      </c>
      <c r="B209">
        <v>5</v>
      </c>
      <c r="C209">
        <v>3</v>
      </c>
      <c r="D209" t="s">
        <v>198</v>
      </c>
      <c r="E209" t="s">
        <v>628</v>
      </c>
      <c r="F209" t="s">
        <v>817</v>
      </c>
      <c r="G209" t="s">
        <v>629</v>
      </c>
      <c r="H209" t="s">
        <v>22</v>
      </c>
      <c r="I209" t="s">
        <v>201</v>
      </c>
      <c r="J209" t="s">
        <v>201</v>
      </c>
      <c r="K209" t="s">
        <v>87</v>
      </c>
      <c r="L209" t="s">
        <v>26</v>
      </c>
      <c r="M209" t="s">
        <v>218</v>
      </c>
      <c r="N209" t="s">
        <v>39</v>
      </c>
      <c r="O209" t="s">
        <v>170</v>
      </c>
      <c r="P209" t="s">
        <v>201</v>
      </c>
      <c r="Q209" t="s">
        <v>31</v>
      </c>
      <c r="R209" t="s">
        <v>170</v>
      </c>
      <c r="S209" s="1">
        <v>46045.51390046296</v>
      </c>
      <c r="T209" s="1">
        <v>46045.51390046296</v>
      </c>
    </row>
    <row r="210" spans="1:20" x14ac:dyDescent="0.3">
      <c r="A210" t="s">
        <v>630</v>
      </c>
      <c r="B210">
        <v>5</v>
      </c>
      <c r="C210">
        <v>3</v>
      </c>
      <c r="D210" t="s">
        <v>198</v>
      </c>
      <c r="E210" t="s">
        <v>631</v>
      </c>
      <c r="F210" t="s">
        <v>821</v>
      </c>
      <c r="G210" t="s">
        <v>632</v>
      </c>
      <c r="H210" t="s">
        <v>22</v>
      </c>
      <c r="I210" t="s">
        <v>201</v>
      </c>
      <c r="J210" t="s">
        <v>201</v>
      </c>
      <c r="K210" t="s">
        <v>121</v>
      </c>
      <c r="L210" t="s">
        <v>26</v>
      </c>
      <c r="M210" t="s">
        <v>218</v>
      </c>
      <c r="N210" t="s">
        <v>56</v>
      </c>
      <c r="O210" t="s">
        <v>170</v>
      </c>
      <c r="P210" t="s">
        <v>201</v>
      </c>
      <c r="Q210" t="s">
        <v>97</v>
      </c>
      <c r="R210" t="s">
        <v>170</v>
      </c>
      <c r="S210" s="1">
        <v>46044.707835648151</v>
      </c>
      <c r="T210" s="1">
        <v>46044.707835648151</v>
      </c>
    </row>
    <row r="211" spans="1:20" x14ac:dyDescent="0.3">
      <c r="A211" t="s">
        <v>633</v>
      </c>
      <c r="B211">
        <v>5</v>
      </c>
      <c r="C211">
        <v>3</v>
      </c>
      <c r="D211" t="s">
        <v>198</v>
      </c>
      <c r="E211" t="s">
        <v>634</v>
      </c>
      <c r="F211" t="s">
        <v>817</v>
      </c>
      <c r="G211" t="s">
        <v>635</v>
      </c>
      <c r="H211" t="s">
        <v>22</v>
      </c>
      <c r="I211" t="s">
        <v>201</v>
      </c>
      <c r="J211" t="s">
        <v>169</v>
      </c>
      <c r="K211" t="s">
        <v>121</v>
      </c>
      <c r="L211" t="s">
        <v>26</v>
      </c>
      <c r="M211" t="s">
        <v>218</v>
      </c>
      <c r="N211" t="s">
        <v>39</v>
      </c>
      <c r="O211" t="s">
        <v>57</v>
      </c>
      <c r="P211" t="s">
        <v>30</v>
      </c>
      <c r="Q211" t="s">
        <v>97</v>
      </c>
      <c r="R211" t="s">
        <v>57</v>
      </c>
      <c r="S211" s="1">
        <v>46043.658958333333</v>
      </c>
      <c r="T211" s="1">
        <v>46044.452141203707</v>
      </c>
    </row>
    <row r="212" spans="1:20" x14ac:dyDescent="0.3">
      <c r="A212" t="s">
        <v>636</v>
      </c>
      <c r="B212">
        <v>5</v>
      </c>
      <c r="C212">
        <v>3</v>
      </c>
      <c r="D212" t="s">
        <v>198</v>
      </c>
      <c r="E212" t="s">
        <v>637</v>
      </c>
      <c r="F212" t="s">
        <v>817</v>
      </c>
      <c r="G212" t="s">
        <v>638</v>
      </c>
      <c r="H212" t="s">
        <v>22</v>
      </c>
      <c r="I212" t="s">
        <v>201</v>
      </c>
      <c r="J212" t="s">
        <v>169</v>
      </c>
      <c r="K212" t="s">
        <v>121</v>
      </c>
      <c r="L212" t="s">
        <v>26</v>
      </c>
      <c r="M212" t="s">
        <v>218</v>
      </c>
      <c r="N212" t="s">
        <v>39</v>
      </c>
      <c r="O212" t="s">
        <v>57</v>
      </c>
      <c r="P212" t="s">
        <v>30</v>
      </c>
      <c r="Q212" t="s">
        <v>97</v>
      </c>
      <c r="R212" t="s">
        <v>57</v>
      </c>
      <c r="S212" s="1">
        <v>46043.678912037038</v>
      </c>
      <c r="T212" s="1">
        <v>46044.451412037037</v>
      </c>
    </row>
    <row r="213" spans="1:20" x14ac:dyDescent="0.3">
      <c r="A213" t="s">
        <v>197</v>
      </c>
      <c r="B213">
        <v>5</v>
      </c>
      <c r="C213">
        <v>3</v>
      </c>
      <c r="D213" t="s">
        <v>198</v>
      </c>
      <c r="E213" t="s">
        <v>639</v>
      </c>
      <c r="F213" t="s">
        <v>827</v>
      </c>
      <c r="G213" t="s">
        <v>793</v>
      </c>
      <c r="H213" t="s">
        <v>22</v>
      </c>
      <c r="I213" t="s">
        <v>201</v>
      </c>
      <c r="J213" t="s">
        <v>169</v>
      </c>
      <c r="K213" t="s">
        <v>121</v>
      </c>
      <c r="L213" t="s">
        <v>26</v>
      </c>
      <c r="M213" t="s">
        <v>218</v>
      </c>
      <c r="N213" t="s">
        <v>88</v>
      </c>
      <c r="O213" t="s">
        <v>29</v>
      </c>
      <c r="P213" t="s">
        <v>30</v>
      </c>
      <c r="Q213" t="s">
        <v>156</v>
      </c>
      <c r="R213" t="s">
        <v>29</v>
      </c>
      <c r="S213" s="1">
        <v>46043.662349537037</v>
      </c>
      <c r="T213" s="1">
        <v>46044.640127314815</v>
      </c>
    </row>
    <row r="214" spans="1:20" x14ac:dyDescent="0.3">
      <c r="A214" t="s">
        <v>202</v>
      </c>
      <c r="B214">
        <v>5</v>
      </c>
      <c r="C214">
        <v>3</v>
      </c>
      <c r="D214" t="s">
        <v>203</v>
      </c>
      <c r="E214" t="s">
        <v>640</v>
      </c>
      <c r="F214" t="s">
        <v>827</v>
      </c>
      <c r="G214" t="s">
        <v>792</v>
      </c>
      <c r="H214" t="s">
        <v>22</v>
      </c>
      <c r="I214" t="s">
        <v>206</v>
      </c>
      <c r="J214" t="s">
        <v>206</v>
      </c>
      <c r="K214" t="s">
        <v>121</v>
      </c>
      <c r="L214" t="s">
        <v>26</v>
      </c>
      <c r="M214" t="s">
        <v>218</v>
      </c>
      <c r="N214" t="s">
        <v>88</v>
      </c>
      <c r="O214" t="s">
        <v>47</v>
      </c>
      <c r="P214" t="s">
        <v>121</v>
      </c>
      <c r="Q214" t="s">
        <v>156</v>
      </c>
      <c r="R214" t="s">
        <v>48</v>
      </c>
      <c r="S214" s="1">
        <v>46044.71665509259</v>
      </c>
      <c r="T214" s="1">
        <v>46045.581423611111</v>
      </c>
    </row>
    <row r="215" spans="1:20" x14ac:dyDescent="0.3">
      <c r="A215" t="s">
        <v>641</v>
      </c>
      <c r="B215">
        <v>5</v>
      </c>
      <c r="C215">
        <v>3</v>
      </c>
      <c r="D215" t="s">
        <v>203</v>
      </c>
      <c r="E215" t="s">
        <v>642</v>
      </c>
      <c r="F215" t="s">
        <v>817</v>
      </c>
      <c r="G215" t="s">
        <v>805</v>
      </c>
      <c r="H215" t="s">
        <v>22</v>
      </c>
      <c r="I215" t="s">
        <v>206</v>
      </c>
      <c r="J215" t="s">
        <v>206</v>
      </c>
      <c r="K215" t="s">
        <v>643</v>
      </c>
      <c r="L215" t="s">
        <v>26</v>
      </c>
      <c r="M215" t="s">
        <v>218</v>
      </c>
      <c r="N215" t="s">
        <v>39</v>
      </c>
      <c r="O215" t="s">
        <v>47</v>
      </c>
      <c r="P215" t="s">
        <v>643</v>
      </c>
      <c r="Q215" t="s">
        <v>31</v>
      </c>
      <c r="R215" t="s">
        <v>48</v>
      </c>
      <c r="S215" s="1">
        <v>46045.457314814812</v>
      </c>
      <c r="T215" s="1">
        <v>46049.421805555554</v>
      </c>
    </row>
    <row r="216" spans="1:20" x14ac:dyDescent="0.3">
      <c r="A216" t="s">
        <v>644</v>
      </c>
      <c r="B216">
        <v>5</v>
      </c>
      <c r="C216">
        <v>3</v>
      </c>
      <c r="D216" t="s">
        <v>203</v>
      </c>
      <c r="E216" t="s">
        <v>645</v>
      </c>
      <c r="F216" t="s">
        <v>817</v>
      </c>
      <c r="G216" t="s">
        <v>646</v>
      </c>
      <c r="H216" t="s">
        <v>22</v>
      </c>
      <c r="I216" t="s">
        <v>206</v>
      </c>
      <c r="J216" t="s">
        <v>206</v>
      </c>
      <c r="K216" t="s">
        <v>643</v>
      </c>
      <c r="L216" t="s">
        <v>26</v>
      </c>
      <c r="M216" t="s">
        <v>218</v>
      </c>
      <c r="N216" t="s">
        <v>39</v>
      </c>
      <c r="O216" t="s">
        <v>47</v>
      </c>
      <c r="P216" t="s">
        <v>643</v>
      </c>
      <c r="Q216" t="s">
        <v>31</v>
      </c>
      <c r="R216" t="s">
        <v>48</v>
      </c>
      <c r="S216" s="1">
        <v>46045.450104166666</v>
      </c>
      <c r="T216" s="1">
        <v>46045.59443287037</v>
      </c>
    </row>
    <row r="217" spans="1:20" x14ac:dyDescent="0.3">
      <c r="A217" t="s">
        <v>647</v>
      </c>
      <c r="B217">
        <v>5</v>
      </c>
      <c r="C217">
        <v>3</v>
      </c>
      <c r="D217" t="s">
        <v>648</v>
      </c>
      <c r="E217" t="s">
        <v>649</v>
      </c>
      <c r="F217" t="s">
        <v>821</v>
      </c>
      <c r="G217" t="s">
        <v>650</v>
      </c>
      <c r="H217" t="s">
        <v>22</v>
      </c>
      <c r="I217" t="s">
        <v>651</v>
      </c>
      <c r="J217" t="s">
        <v>652</v>
      </c>
      <c r="K217" t="s">
        <v>213</v>
      </c>
      <c r="L217" t="s">
        <v>26</v>
      </c>
      <c r="M217" t="s">
        <v>218</v>
      </c>
      <c r="N217" t="s">
        <v>56</v>
      </c>
      <c r="O217" t="s">
        <v>170</v>
      </c>
      <c r="P217" t="s">
        <v>651</v>
      </c>
      <c r="Q217" t="s">
        <v>31</v>
      </c>
      <c r="R217" t="s">
        <v>170</v>
      </c>
      <c r="S217" s="1">
        <v>46043.716909722221</v>
      </c>
      <c r="T217" s="1">
        <v>46043.716909722221</v>
      </c>
    </row>
    <row r="218" spans="1:20" x14ac:dyDescent="0.3">
      <c r="A218" t="s">
        <v>653</v>
      </c>
      <c r="B218">
        <v>5</v>
      </c>
      <c r="C218">
        <v>3</v>
      </c>
      <c r="D218" t="s">
        <v>648</v>
      </c>
      <c r="E218" t="s">
        <v>654</v>
      </c>
      <c r="F218" t="s">
        <v>825</v>
      </c>
      <c r="G218" t="s">
        <v>655</v>
      </c>
      <c r="H218" t="s">
        <v>22</v>
      </c>
      <c r="I218" t="s">
        <v>651</v>
      </c>
      <c r="J218" t="s">
        <v>656</v>
      </c>
      <c r="K218" t="s">
        <v>213</v>
      </c>
      <c r="L218" t="s">
        <v>68</v>
      </c>
      <c r="M218" t="s">
        <v>218</v>
      </c>
      <c r="N218" t="s">
        <v>102</v>
      </c>
      <c r="O218" t="s">
        <v>57</v>
      </c>
      <c r="P218" t="s">
        <v>30</v>
      </c>
      <c r="Q218" t="s">
        <v>31</v>
      </c>
      <c r="R218" t="s">
        <v>57</v>
      </c>
      <c r="S218" s="1">
        <v>46042.602453703701</v>
      </c>
      <c r="T218" s="1">
        <v>46043.561157407406</v>
      </c>
    </row>
    <row r="219" spans="1:20" x14ac:dyDescent="0.3">
      <c r="A219" t="s">
        <v>657</v>
      </c>
      <c r="B219">
        <v>5</v>
      </c>
      <c r="C219">
        <v>3</v>
      </c>
      <c r="D219" t="s">
        <v>648</v>
      </c>
      <c r="E219" t="s">
        <v>658</v>
      </c>
      <c r="F219" t="s">
        <v>825</v>
      </c>
      <c r="G219" t="s">
        <v>659</v>
      </c>
      <c r="H219" t="s">
        <v>22</v>
      </c>
      <c r="I219" t="s">
        <v>651</v>
      </c>
      <c r="J219" t="s">
        <v>656</v>
      </c>
      <c r="K219" t="s">
        <v>213</v>
      </c>
      <c r="L219" t="s">
        <v>68</v>
      </c>
      <c r="M219" t="s">
        <v>218</v>
      </c>
      <c r="N219" t="s">
        <v>102</v>
      </c>
      <c r="O219" t="s">
        <v>57</v>
      </c>
      <c r="P219" t="s">
        <v>30</v>
      </c>
      <c r="Q219" t="s">
        <v>31</v>
      </c>
      <c r="R219" t="s">
        <v>57</v>
      </c>
      <c r="S219" s="1">
        <v>46042.598796296297</v>
      </c>
      <c r="T219" s="1">
        <v>46043.561782407407</v>
      </c>
    </row>
    <row r="220" spans="1:20" x14ac:dyDescent="0.3">
      <c r="A220" t="s">
        <v>660</v>
      </c>
      <c r="B220">
        <v>5</v>
      </c>
      <c r="C220">
        <v>3</v>
      </c>
      <c r="D220" t="s">
        <v>648</v>
      </c>
      <c r="E220" t="s">
        <v>661</v>
      </c>
      <c r="F220" t="s">
        <v>825</v>
      </c>
      <c r="G220" t="s">
        <v>662</v>
      </c>
      <c r="H220" t="s">
        <v>22</v>
      </c>
      <c r="I220" t="s">
        <v>651</v>
      </c>
      <c r="J220" t="s">
        <v>656</v>
      </c>
      <c r="K220" t="s">
        <v>213</v>
      </c>
      <c r="L220" t="s">
        <v>68</v>
      </c>
      <c r="M220" t="s">
        <v>218</v>
      </c>
      <c r="N220" t="s">
        <v>102</v>
      </c>
      <c r="O220" t="s">
        <v>57</v>
      </c>
      <c r="P220" t="s">
        <v>30</v>
      </c>
      <c r="Q220" t="s">
        <v>31</v>
      </c>
      <c r="R220" t="s">
        <v>57</v>
      </c>
      <c r="S220" s="1">
        <v>46042.600243055553</v>
      </c>
      <c r="T220" s="1">
        <v>46043.560740740744</v>
      </c>
    </row>
    <row r="221" spans="1:20" x14ac:dyDescent="0.3">
      <c r="A221" t="s">
        <v>663</v>
      </c>
      <c r="B221">
        <v>5</v>
      </c>
      <c r="C221">
        <v>3</v>
      </c>
      <c r="D221" t="s">
        <v>648</v>
      </c>
      <c r="E221" t="s">
        <v>664</v>
      </c>
      <c r="F221" t="s">
        <v>825</v>
      </c>
      <c r="G221" t="s">
        <v>665</v>
      </c>
      <c r="H221" t="s">
        <v>22</v>
      </c>
      <c r="I221" t="s">
        <v>651</v>
      </c>
      <c r="J221" t="s">
        <v>656</v>
      </c>
      <c r="K221" t="s">
        <v>213</v>
      </c>
      <c r="L221" t="s">
        <v>68</v>
      </c>
      <c r="M221" t="s">
        <v>218</v>
      </c>
      <c r="N221" t="s">
        <v>102</v>
      </c>
      <c r="O221" t="s">
        <v>57</v>
      </c>
      <c r="P221" t="s">
        <v>30</v>
      </c>
      <c r="Q221" t="s">
        <v>31</v>
      </c>
      <c r="R221" t="s">
        <v>57</v>
      </c>
      <c r="S221" s="1">
        <v>46042.597245370373</v>
      </c>
      <c r="T221" s="1">
        <v>46043.561030092591</v>
      </c>
    </row>
    <row r="222" spans="1:20" x14ac:dyDescent="0.3">
      <c r="A222" t="s">
        <v>666</v>
      </c>
      <c r="B222">
        <v>5</v>
      </c>
      <c r="C222">
        <v>3</v>
      </c>
      <c r="D222" t="s">
        <v>648</v>
      </c>
      <c r="E222" t="s">
        <v>667</v>
      </c>
      <c r="F222" t="s">
        <v>825</v>
      </c>
      <c r="G222" t="s">
        <v>668</v>
      </c>
      <c r="H222" t="s">
        <v>22</v>
      </c>
      <c r="I222" t="s">
        <v>651</v>
      </c>
      <c r="J222" t="s">
        <v>656</v>
      </c>
      <c r="K222" t="s">
        <v>213</v>
      </c>
      <c r="L222" t="s">
        <v>68</v>
      </c>
      <c r="M222" t="s">
        <v>218</v>
      </c>
      <c r="N222" t="s">
        <v>102</v>
      </c>
      <c r="O222" t="s">
        <v>57</v>
      </c>
      <c r="P222" t="s">
        <v>30</v>
      </c>
      <c r="Q222" t="s">
        <v>31</v>
      </c>
      <c r="R222" t="s">
        <v>57</v>
      </c>
      <c r="S222" s="1">
        <v>46042.596168981479</v>
      </c>
      <c r="T222" s="1">
        <v>46043.560555555552</v>
      </c>
    </row>
    <row r="223" spans="1:20" x14ac:dyDescent="0.3">
      <c r="A223" t="s">
        <v>669</v>
      </c>
      <c r="B223">
        <v>5</v>
      </c>
      <c r="C223">
        <v>3</v>
      </c>
      <c r="D223" t="s">
        <v>648</v>
      </c>
      <c r="E223" t="s">
        <v>670</v>
      </c>
      <c r="F223" t="s">
        <v>825</v>
      </c>
      <c r="G223" t="s">
        <v>671</v>
      </c>
      <c r="H223" t="s">
        <v>22</v>
      </c>
      <c r="I223" t="s">
        <v>651</v>
      </c>
      <c r="J223" t="s">
        <v>656</v>
      </c>
      <c r="K223" t="s">
        <v>213</v>
      </c>
      <c r="L223" t="s">
        <v>68</v>
      </c>
      <c r="M223" t="s">
        <v>218</v>
      </c>
      <c r="N223" t="s">
        <v>102</v>
      </c>
      <c r="O223" t="s">
        <v>57</v>
      </c>
      <c r="P223" t="s">
        <v>30</v>
      </c>
      <c r="Q223" t="s">
        <v>31</v>
      </c>
      <c r="R223" t="s">
        <v>57</v>
      </c>
      <c r="S223" s="1">
        <v>46042.435763888891</v>
      </c>
      <c r="T223" s="1">
        <v>46043.476539351854</v>
      </c>
    </row>
    <row r="224" spans="1:20" x14ac:dyDescent="0.3">
      <c r="A224" t="s">
        <v>672</v>
      </c>
      <c r="B224">
        <v>5</v>
      </c>
      <c r="C224">
        <v>3</v>
      </c>
      <c r="D224" t="s">
        <v>648</v>
      </c>
      <c r="E224" t="s">
        <v>673</v>
      </c>
      <c r="F224" t="s">
        <v>825</v>
      </c>
      <c r="G224" t="s">
        <v>674</v>
      </c>
      <c r="H224" t="s">
        <v>22</v>
      </c>
      <c r="I224" t="s">
        <v>651</v>
      </c>
      <c r="J224" t="s">
        <v>656</v>
      </c>
      <c r="K224" t="s">
        <v>213</v>
      </c>
      <c r="L224" t="s">
        <v>68</v>
      </c>
      <c r="M224" t="s">
        <v>218</v>
      </c>
      <c r="N224" t="s">
        <v>102</v>
      </c>
      <c r="O224" t="s">
        <v>57</v>
      </c>
      <c r="P224" t="s">
        <v>30</v>
      </c>
      <c r="Q224" t="s">
        <v>31</v>
      </c>
      <c r="R224" t="s">
        <v>57</v>
      </c>
      <c r="S224" s="1">
        <v>46042.427476851852</v>
      </c>
      <c r="T224" s="1">
        <v>46043.476701388892</v>
      </c>
    </row>
    <row r="225" spans="1:20" x14ac:dyDescent="0.3">
      <c r="A225" t="s">
        <v>675</v>
      </c>
      <c r="B225">
        <v>5</v>
      </c>
      <c r="C225">
        <v>3</v>
      </c>
      <c r="D225" t="s">
        <v>648</v>
      </c>
      <c r="E225" t="s">
        <v>676</v>
      </c>
      <c r="F225" t="s">
        <v>825</v>
      </c>
      <c r="G225" t="s">
        <v>677</v>
      </c>
      <c r="H225" t="s">
        <v>22</v>
      </c>
      <c r="I225" t="s">
        <v>651</v>
      </c>
      <c r="J225" t="s">
        <v>656</v>
      </c>
      <c r="K225" t="s">
        <v>213</v>
      </c>
      <c r="L225" t="s">
        <v>68</v>
      </c>
      <c r="M225" t="s">
        <v>218</v>
      </c>
      <c r="N225" t="s">
        <v>102</v>
      </c>
      <c r="O225" t="s">
        <v>57</v>
      </c>
      <c r="P225" t="s">
        <v>30</v>
      </c>
      <c r="Q225" t="s">
        <v>31</v>
      </c>
      <c r="R225" t="s">
        <v>57</v>
      </c>
      <c r="S225" s="1">
        <v>46042.417303240742</v>
      </c>
      <c r="T225" s="1">
        <v>46043.476979166669</v>
      </c>
    </row>
    <row r="226" spans="1:20" x14ac:dyDescent="0.3">
      <c r="A226" t="s">
        <v>678</v>
      </c>
      <c r="B226">
        <v>5</v>
      </c>
      <c r="C226">
        <v>3</v>
      </c>
      <c r="D226" t="s">
        <v>648</v>
      </c>
      <c r="E226" t="s">
        <v>679</v>
      </c>
      <c r="F226" t="s">
        <v>825</v>
      </c>
      <c r="G226" t="s">
        <v>680</v>
      </c>
      <c r="H226" t="s">
        <v>22</v>
      </c>
      <c r="I226" t="s">
        <v>651</v>
      </c>
      <c r="J226" t="s">
        <v>656</v>
      </c>
      <c r="K226" t="s">
        <v>213</v>
      </c>
      <c r="L226" t="s">
        <v>68</v>
      </c>
      <c r="M226" t="s">
        <v>218</v>
      </c>
      <c r="N226" t="s">
        <v>102</v>
      </c>
      <c r="O226" t="s">
        <v>57</v>
      </c>
      <c r="P226" t="s">
        <v>30</v>
      </c>
      <c r="Q226" t="s">
        <v>31</v>
      </c>
      <c r="R226" t="s">
        <v>57</v>
      </c>
      <c r="S226" s="1">
        <v>46042.45517361111</v>
      </c>
      <c r="T226" s="1">
        <v>46043.476840277777</v>
      </c>
    </row>
    <row r="227" spans="1:20" x14ac:dyDescent="0.3">
      <c r="A227" t="s">
        <v>681</v>
      </c>
      <c r="B227">
        <v>5</v>
      </c>
      <c r="C227">
        <v>3</v>
      </c>
      <c r="D227" t="s">
        <v>648</v>
      </c>
      <c r="E227" t="s">
        <v>682</v>
      </c>
      <c r="F227" t="s">
        <v>825</v>
      </c>
      <c r="G227" t="s">
        <v>683</v>
      </c>
      <c r="H227" t="s">
        <v>22</v>
      </c>
      <c r="I227" t="s">
        <v>651</v>
      </c>
      <c r="J227" t="s">
        <v>656</v>
      </c>
      <c r="K227" t="s">
        <v>213</v>
      </c>
      <c r="L227" t="s">
        <v>68</v>
      </c>
      <c r="M227" t="s">
        <v>218</v>
      </c>
      <c r="N227" t="s">
        <v>102</v>
      </c>
      <c r="O227" t="s">
        <v>57</v>
      </c>
      <c r="P227" t="s">
        <v>30</v>
      </c>
      <c r="Q227" t="s">
        <v>31</v>
      </c>
      <c r="R227" t="s">
        <v>57</v>
      </c>
      <c r="S227" s="1">
        <v>46042.601030092592</v>
      </c>
      <c r="T227" s="1">
        <v>46043.560914351852</v>
      </c>
    </row>
    <row r="228" spans="1:20" x14ac:dyDescent="0.3">
      <c r="A228" t="s">
        <v>684</v>
      </c>
      <c r="B228">
        <v>5</v>
      </c>
      <c r="C228">
        <v>3</v>
      </c>
      <c r="D228" t="s">
        <v>648</v>
      </c>
      <c r="E228" t="s">
        <v>685</v>
      </c>
      <c r="F228" t="s">
        <v>825</v>
      </c>
      <c r="G228" t="s">
        <v>686</v>
      </c>
      <c r="H228" t="s">
        <v>22</v>
      </c>
      <c r="I228" t="s">
        <v>651</v>
      </c>
      <c r="J228" t="s">
        <v>656</v>
      </c>
      <c r="K228" t="s">
        <v>213</v>
      </c>
      <c r="L228" t="s">
        <v>68</v>
      </c>
      <c r="M228" t="s">
        <v>218</v>
      </c>
      <c r="N228" t="s">
        <v>102</v>
      </c>
      <c r="O228" t="s">
        <v>57</v>
      </c>
      <c r="P228" t="s">
        <v>30</v>
      </c>
      <c r="Q228" t="s">
        <v>31</v>
      </c>
      <c r="R228" t="s">
        <v>57</v>
      </c>
      <c r="S228" s="1">
        <v>46042.597928240742</v>
      </c>
      <c r="T228" s="1">
        <v>46043.561944444446</v>
      </c>
    </row>
    <row r="229" spans="1:20" x14ac:dyDescent="0.3">
      <c r="A229" t="s">
        <v>687</v>
      </c>
      <c r="B229">
        <v>5</v>
      </c>
      <c r="C229">
        <v>3</v>
      </c>
      <c r="D229" t="s">
        <v>648</v>
      </c>
      <c r="E229" t="s">
        <v>688</v>
      </c>
      <c r="F229" t="s">
        <v>825</v>
      </c>
      <c r="G229" t="s">
        <v>689</v>
      </c>
      <c r="H229" t="s">
        <v>22</v>
      </c>
      <c r="I229" t="s">
        <v>651</v>
      </c>
      <c r="J229" t="s">
        <v>656</v>
      </c>
      <c r="K229" t="s">
        <v>213</v>
      </c>
      <c r="L229" t="s">
        <v>68</v>
      </c>
      <c r="M229" t="s">
        <v>218</v>
      </c>
      <c r="N229" t="s">
        <v>102</v>
      </c>
      <c r="O229" t="s">
        <v>57</v>
      </c>
      <c r="P229" t="s">
        <v>30</v>
      </c>
      <c r="Q229" t="s">
        <v>31</v>
      </c>
      <c r="R229" t="s">
        <v>57</v>
      </c>
      <c r="S229" s="1">
        <v>46042.565428240741</v>
      </c>
      <c r="T229" s="1">
        <v>46043.562800925924</v>
      </c>
    </row>
    <row r="230" spans="1:20" x14ac:dyDescent="0.3">
      <c r="A230" t="s">
        <v>690</v>
      </c>
      <c r="B230">
        <v>5</v>
      </c>
      <c r="C230">
        <v>3</v>
      </c>
      <c r="D230" t="s">
        <v>648</v>
      </c>
      <c r="E230" t="s">
        <v>691</v>
      </c>
      <c r="F230" t="s">
        <v>825</v>
      </c>
      <c r="G230" t="s">
        <v>692</v>
      </c>
      <c r="H230" t="s">
        <v>22</v>
      </c>
      <c r="I230" t="s">
        <v>651</v>
      </c>
      <c r="J230" t="s">
        <v>656</v>
      </c>
      <c r="K230" t="s">
        <v>213</v>
      </c>
      <c r="L230" t="s">
        <v>68</v>
      </c>
      <c r="M230" t="s">
        <v>218</v>
      </c>
      <c r="N230" t="s">
        <v>102</v>
      </c>
      <c r="O230" t="s">
        <v>57</v>
      </c>
      <c r="P230" t="s">
        <v>30</v>
      </c>
      <c r="Q230" t="s">
        <v>31</v>
      </c>
      <c r="R230" t="s">
        <v>57</v>
      </c>
      <c r="S230" s="1">
        <v>46042.552928240744</v>
      </c>
      <c r="T230" s="1">
        <v>46043.563055555554</v>
      </c>
    </row>
    <row r="231" spans="1:20" x14ac:dyDescent="0.3">
      <c r="A231" t="s">
        <v>693</v>
      </c>
      <c r="B231">
        <v>5</v>
      </c>
      <c r="C231">
        <v>3</v>
      </c>
      <c r="D231" t="s">
        <v>648</v>
      </c>
      <c r="E231" t="s">
        <v>694</v>
      </c>
      <c r="F231" t="s">
        <v>825</v>
      </c>
      <c r="G231" t="s">
        <v>695</v>
      </c>
      <c r="H231" t="s">
        <v>22</v>
      </c>
      <c r="I231" t="s">
        <v>651</v>
      </c>
      <c r="J231" t="s">
        <v>656</v>
      </c>
      <c r="K231" t="s">
        <v>213</v>
      </c>
      <c r="L231" t="s">
        <v>68</v>
      </c>
      <c r="M231" t="s">
        <v>218</v>
      </c>
      <c r="N231" t="s">
        <v>102</v>
      </c>
      <c r="O231" t="s">
        <v>57</v>
      </c>
      <c r="P231" t="s">
        <v>30</v>
      </c>
      <c r="Q231" t="s">
        <v>31</v>
      </c>
      <c r="R231" t="s">
        <v>57</v>
      </c>
      <c r="S231" s="1">
        <v>46042.574965277781</v>
      </c>
      <c r="T231" s="1">
        <v>46043.562685185185</v>
      </c>
    </row>
    <row r="232" spans="1:20" x14ac:dyDescent="0.3">
      <c r="A232" t="s">
        <v>696</v>
      </c>
      <c r="B232">
        <v>5</v>
      </c>
      <c r="C232">
        <v>3</v>
      </c>
      <c r="D232" t="s">
        <v>648</v>
      </c>
      <c r="E232" t="s">
        <v>697</v>
      </c>
      <c r="F232" t="s">
        <v>825</v>
      </c>
      <c r="G232" t="s">
        <v>698</v>
      </c>
      <c r="H232" t="s">
        <v>22</v>
      </c>
      <c r="I232" t="s">
        <v>651</v>
      </c>
      <c r="J232" t="s">
        <v>656</v>
      </c>
      <c r="K232" t="s">
        <v>213</v>
      </c>
      <c r="L232" t="s">
        <v>68</v>
      </c>
      <c r="M232" t="s">
        <v>218</v>
      </c>
      <c r="N232" t="s">
        <v>102</v>
      </c>
      <c r="O232" t="s">
        <v>57</v>
      </c>
      <c r="P232" t="s">
        <v>30</v>
      </c>
      <c r="Q232" t="s">
        <v>31</v>
      </c>
      <c r="R232" t="s">
        <v>57</v>
      </c>
      <c r="S232" s="1">
        <v>46042.572847222225</v>
      </c>
      <c r="T232" s="1">
        <v>46043.5624537037</v>
      </c>
    </row>
    <row r="233" spans="1:20" x14ac:dyDescent="0.3">
      <c r="A233" t="s">
        <v>699</v>
      </c>
      <c r="B233">
        <v>5</v>
      </c>
      <c r="C233">
        <v>3</v>
      </c>
      <c r="D233" t="s">
        <v>648</v>
      </c>
      <c r="E233" t="s">
        <v>700</v>
      </c>
      <c r="F233" t="s">
        <v>825</v>
      </c>
      <c r="G233" t="s">
        <v>701</v>
      </c>
      <c r="H233" t="s">
        <v>22</v>
      </c>
      <c r="I233" t="s">
        <v>651</v>
      </c>
      <c r="J233" t="s">
        <v>656</v>
      </c>
      <c r="K233" t="s">
        <v>213</v>
      </c>
      <c r="L233" t="s">
        <v>68</v>
      </c>
      <c r="M233" t="s">
        <v>218</v>
      </c>
      <c r="N233" t="s">
        <v>102</v>
      </c>
      <c r="O233" t="s">
        <v>57</v>
      </c>
      <c r="P233" t="s">
        <v>30</v>
      </c>
      <c r="Q233" t="s">
        <v>31</v>
      </c>
      <c r="R233" t="s">
        <v>57</v>
      </c>
      <c r="S233" s="1">
        <v>46042.567349537036</v>
      </c>
      <c r="T233" s="1">
        <v>46043.562569444446</v>
      </c>
    </row>
    <row r="234" spans="1:20" x14ac:dyDescent="0.3">
      <c r="A234" t="s">
        <v>702</v>
      </c>
      <c r="B234">
        <v>5</v>
      </c>
      <c r="C234">
        <v>3</v>
      </c>
      <c r="D234" t="s">
        <v>648</v>
      </c>
      <c r="E234" t="s">
        <v>703</v>
      </c>
      <c r="F234" t="s">
        <v>825</v>
      </c>
      <c r="G234" t="s">
        <v>704</v>
      </c>
      <c r="H234" t="s">
        <v>22</v>
      </c>
      <c r="I234" t="s">
        <v>651</v>
      </c>
      <c r="J234" t="s">
        <v>656</v>
      </c>
      <c r="K234" t="s">
        <v>213</v>
      </c>
      <c r="L234" t="s">
        <v>68</v>
      </c>
      <c r="M234" t="s">
        <v>218</v>
      </c>
      <c r="N234" t="s">
        <v>102</v>
      </c>
      <c r="O234" t="s">
        <v>57</v>
      </c>
      <c r="P234" t="s">
        <v>30</v>
      </c>
      <c r="Q234" t="s">
        <v>31</v>
      </c>
      <c r="R234" t="s">
        <v>57</v>
      </c>
      <c r="S234" s="1">
        <v>46042.566134259258</v>
      </c>
      <c r="T234" s="1">
        <v>46043.562951388885</v>
      </c>
    </row>
    <row r="235" spans="1:20" x14ac:dyDescent="0.3">
      <c r="A235" t="s">
        <v>705</v>
      </c>
      <c r="B235">
        <v>5</v>
      </c>
      <c r="C235">
        <v>3</v>
      </c>
      <c r="D235" t="s">
        <v>648</v>
      </c>
      <c r="E235" t="s">
        <v>706</v>
      </c>
      <c r="F235" t="s">
        <v>825</v>
      </c>
      <c r="G235" t="s">
        <v>707</v>
      </c>
      <c r="H235" t="s">
        <v>22</v>
      </c>
      <c r="I235" t="s">
        <v>651</v>
      </c>
      <c r="J235" t="s">
        <v>656</v>
      </c>
      <c r="K235" t="s">
        <v>213</v>
      </c>
      <c r="L235" t="s">
        <v>68</v>
      </c>
      <c r="M235" t="s">
        <v>218</v>
      </c>
      <c r="N235" t="s">
        <v>102</v>
      </c>
      <c r="O235" t="s">
        <v>57</v>
      </c>
      <c r="P235" t="s">
        <v>30</v>
      </c>
      <c r="Q235" t="s">
        <v>31</v>
      </c>
      <c r="R235" t="s">
        <v>57</v>
      </c>
      <c r="S235" s="1">
        <v>46042.602685185186</v>
      </c>
      <c r="T235" s="1">
        <v>46043.561284722222</v>
      </c>
    </row>
    <row r="236" spans="1:20" x14ac:dyDescent="0.3">
      <c r="A236" t="s">
        <v>708</v>
      </c>
      <c r="B236">
        <v>5</v>
      </c>
      <c r="C236">
        <v>3</v>
      </c>
      <c r="D236" t="s">
        <v>648</v>
      </c>
      <c r="E236" t="s">
        <v>709</v>
      </c>
      <c r="F236" t="s">
        <v>825</v>
      </c>
      <c r="G236" t="s">
        <v>710</v>
      </c>
      <c r="H236" t="s">
        <v>22</v>
      </c>
      <c r="I236" t="s">
        <v>651</v>
      </c>
      <c r="J236" t="s">
        <v>656</v>
      </c>
      <c r="K236" t="s">
        <v>213</v>
      </c>
      <c r="L236" t="s">
        <v>68</v>
      </c>
      <c r="M236" t="s">
        <v>218</v>
      </c>
      <c r="N236" t="s">
        <v>102</v>
      </c>
      <c r="O236" t="s">
        <v>57</v>
      </c>
      <c r="P236" t="s">
        <v>30</v>
      </c>
      <c r="Q236" t="s">
        <v>31</v>
      </c>
      <c r="R236" t="s">
        <v>57</v>
      </c>
      <c r="S236" s="1">
        <v>46042.603020833332</v>
      </c>
      <c r="T236" s="1">
        <v>46043.561412037037</v>
      </c>
    </row>
    <row r="237" spans="1:20" x14ac:dyDescent="0.3">
      <c r="A237" t="s">
        <v>711</v>
      </c>
      <c r="B237">
        <v>5</v>
      </c>
      <c r="C237">
        <v>3</v>
      </c>
      <c r="D237" t="s">
        <v>648</v>
      </c>
      <c r="E237" t="s">
        <v>712</v>
      </c>
      <c r="F237" t="s">
        <v>825</v>
      </c>
      <c r="G237" t="s">
        <v>713</v>
      </c>
      <c r="H237" t="s">
        <v>22</v>
      </c>
      <c r="I237" t="s">
        <v>651</v>
      </c>
      <c r="J237" t="s">
        <v>656</v>
      </c>
      <c r="K237" t="s">
        <v>213</v>
      </c>
      <c r="L237" t="s">
        <v>68</v>
      </c>
      <c r="M237" t="s">
        <v>218</v>
      </c>
      <c r="N237" t="s">
        <v>102</v>
      </c>
      <c r="O237" t="s">
        <v>57</v>
      </c>
      <c r="P237" t="s">
        <v>30</v>
      </c>
      <c r="Q237" t="s">
        <v>31</v>
      </c>
      <c r="R237" t="s">
        <v>57</v>
      </c>
      <c r="S237" s="1">
        <v>46042.599664351852</v>
      </c>
      <c r="T237" s="1">
        <v>46043.561666666668</v>
      </c>
    </row>
    <row r="238" spans="1:20" x14ac:dyDescent="0.3">
      <c r="A238" t="s">
        <v>714</v>
      </c>
      <c r="B238">
        <v>5</v>
      </c>
      <c r="C238">
        <v>3</v>
      </c>
      <c r="D238" t="s">
        <v>648</v>
      </c>
      <c r="E238" t="s">
        <v>715</v>
      </c>
      <c r="F238" t="s">
        <v>825</v>
      </c>
      <c r="G238" t="s">
        <v>716</v>
      </c>
      <c r="H238" t="s">
        <v>22</v>
      </c>
      <c r="I238" t="s">
        <v>651</v>
      </c>
      <c r="J238" t="s">
        <v>656</v>
      </c>
      <c r="K238" t="s">
        <v>213</v>
      </c>
      <c r="L238" t="s">
        <v>68</v>
      </c>
      <c r="M238" t="s">
        <v>218</v>
      </c>
      <c r="N238" t="s">
        <v>102</v>
      </c>
      <c r="O238" t="s">
        <v>57</v>
      </c>
      <c r="P238" t="s">
        <v>30</v>
      </c>
      <c r="Q238" t="s">
        <v>31</v>
      </c>
      <c r="R238" t="s">
        <v>57</v>
      </c>
      <c r="S238" s="1">
        <v>46042.603506944448</v>
      </c>
      <c r="T238" s="1">
        <v>46043.561516203707</v>
      </c>
    </row>
    <row r="239" spans="1:20" x14ac:dyDescent="0.3">
      <c r="A239" t="s">
        <v>717</v>
      </c>
      <c r="B239">
        <v>5</v>
      </c>
      <c r="C239">
        <v>3</v>
      </c>
      <c r="D239" t="s">
        <v>648</v>
      </c>
      <c r="E239" t="s">
        <v>718</v>
      </c>
      <c r="F239" t="s">
        <v>817</v>
      </c>
      <c r="G239" t="s">
        <v>719</v>
      </c>
      <c r="H239" t="s">
        <v>22</v>
      </c>
      <c r="I239" t="s">
        <v>651</v>
      </c>
      <c r="J239" t="s">
        <v>720</v>
      </c>
      <c r="K239" t="s">
        <v>213</v>
      </c>
      <c r="L239" t="s">
        <v>26</v>
      </c>
      <c r="M239" t="s">
        <v>218</v>
      </c>
      <c r="N239" t="s">
        <v>39</v>
      </c>
      <c r="O239" t="s">
        <v>29</v>
      </c>
      <c r="P239" t="s">
        <v>30</v>
      </c>
      <c r="Q239" t="s">
        <v>31</v>
      </c>
      <c r="R239" t="s">
        <v>29</v>
      </c>
      <c r="S239" s="1">
        <v>46042.628182870372</v>
      </c>
      <c r="T239" s="1">
        <v>46044.379143518519</v>
      </c>
    </row>
    <row r="240" spans="1:20" x14ac:dyDescent="0.3">
      <c r="A240" t="s">
        <v>721</v>
      </c>
      <c r="B240">
        <v>5</v>
      </c>
      <c r="C240">
        <v>3</v>
      </c>
      <c r="D240" t="s">
        <v>648</v>
      </c>
      <c r="E240" t="s">
        <v>722</v>
      </c>
      <c r="F240" t="s">
        <v>817</v>
      </c>
      <c r="G240" t="s">
        <v>723</v>
      </c>
      <c r="H240" t="s">
        <v>22</v>
      </c>
      <c r="I240" t="s">
        <v>651</v>
      </c>
      <c r="J240" t="s">
        <v>720</v>
      </c>
      <c r="K240" t="s">
        <v>213</v>
      </c>
      <c r="L240" t="s">
        <v>26</v>
      </c>
      <c r="M240" t="s">
        <v>218</v>
      </c>
      <c r="N240" t="s">
        <v>724</v>
      </c>
      <c r="O240" t="s">
        <v>29</v>
      </c>
      <c r="P240" t="s">
        <v>30</v>
      </c>
      <c r="Q240" t="s">
        <v>31</v>
      </c>
      <c r="R240" t="s">
        <v>29</v>
      </c>
      <c r="S240" s="1">
        <v>46041.644988425927</v>
      </c>
      <c r="T240" s="1">
        <v>46043.669733796298</v>
      </c>
    </row>
    <row r="241" spans="1:20" x14ac:dyDescent="0.3">
      <c r="A241" t="s">
        <v>725</v>
      </c>
      <c r="B241">
        <v>5</v>
      </c>
      <c r="C241">
        <v>3</v>
      </c>
      <c r="D241" t="s">
        <v>648</v>
      </c>
      <c r="E241" t="s">
        <v>726</v>
      </c>
      <c r="F241" t="s">
        <v>827</v>
      </c>
      <c r="G241" t="s">
        <v>727</v>
      </c>
      <c r="H241" t="s">
        <v>22</v>
      </c>
      <c r="I241" t="s">
        <v>651</v>
      </c>
      <c r="J241" t="s">
        <v>720</v>
      </c>
      <c r="K241" t="s">
        <v>213</v>
      </c>
      <c r="L241" t="s">
        <v>26</v>
      </c>
      <c r="M241" t="s">
        <v>218</v>
      </c>
      <c r="N241" t="s">
        <v>39</v>
      </c>
      <c r="O241" t="s">
        <v>47</v>
      </c>
      <c r="P241" t="s">
        <v>213</v>
      </c>
      <c r="Q241" t="s">
        <v>97</v>
      </c>
      <c r="R241" t="s">
        <v>48</v>
      </c>
      <c r="S241" s="1">
        <v>46041.71434027778</v>
      </c>
      <c r="T241" s="1">
        <v>46049.397905092592</v>
      </c>
    </row>
    <row r="242" spans="1:20" x14ac:dyDescent="0.3">
      <c r="A242" t="s">
        <v>728</v>
      </c>
      <c r="B242">
        <v>5</v>
      </c>
      <c r="C242">
        <v>3</v>
      </c>
      <c r="D242" t="s">
        <v>729</v>
      </c>
      <c r="E242" t="s">
        <v>730</v>
      </c>
      <c r="F242" t="s">
        <v>817</v>
      </c>
      <c r="G242" t="s">
        <v>731</v>
      </c>
      <c r="H242" t="s">
        <v>22</v>
      </c>
      <c r="I242" t="s">
        <v>212</v>
      </c>
      <c r="J242" t="s">
        <v>212</v>
      </c>
      <c r="K242" t="s">
        <v>249</v>
      </c>
      <c r="L242" t="s">
        <v>26</v>
      </c>
      <c r="M242" t="s">
        <v>218</v>
      </c>
      <c r="N242" t="s">
        <v>39</v>
      </c>
      <c r="O242" t="s">
        <v>47</v>
      </c>
      <c r="P242" t="s">
        <v>249</v>
      </c>
      <c r="Q242" t="s">
        <v>31</v>
      </c>
      <c r="R242" t="s">
        <v>48</v>
      </c>
      <c r="S242" s="1">
        <v>46041.635115740741</v>
      </c>
      <c r="T242" s="1">
        <v>46043.445763888885</v>
      </c>
    </row>
    <row r="243" spans="1:20" x14ac:dyDescent="0.3">
      <c r="A243" t="s">
        <v>732</v>
      </c>
      <c r="B243">
        <v>5</v>
      </c>
      <c r="C243">
        <v>3</v>
      </c>
      <c r="D243" t="s">
        <v>729</v>
      </c>
      <c r="E243" t="s">
        <v>733</v>
      </c>
      <c r="F243" t="s">
        <v>817</v>
      </c>
      <c r="G243" t="s">
        <v>734</v>
      </c>
      <c r="H243" t="s">
        <v>22</v>
      </c>
      <c r="I243" t="s">
        <v>212</v>
      </c>
      <c r="J243" t="s">
        <v>212</v>
      </c>
      <c r="K243" t="s">
        <v>249</v>
      </c>
      <c r="L243" t="s">
        <v>26</v>
      </c>
      <c r="M243" t="s">
        <v>218</v>
      </c>
      <c r="N243" t="s">
        <v>39</v>
      </c>
      <c r="O243" t="s">
        <v>47</v>
      </c>
      <c r="P243" t="s">
        <v>249</v>
      </c>
      <c r="Q243" t="s">
        <v>31</v>
      </c>
      <c r="R243" t="s">
        <v>48</v>
      </c>
      <c r="S243" s="1">
        <v>46041.630370370367</v>
      </c>
      <c r="T243" s="1">
        <v>46043.4455787037</v>
      </c>
    </row>
    <row r="244" spans="1:20" x14ac:dyDescent="0.3">
      <c r="A244" t="s">
        <v>735</v>
      </c>
      <c r="B244">
        <v>5</v>
      </c>
      <c r="C244">
        <v>3</v>
      </c>
      <c r="D244" t="s">
        <v>208</v>
      </c>
      <c r="E244" t="s">
        <v>736</v>
      </c>
      <c r="F244" t="s">
        <v>817</v>
      </c>
      <c r="G244" t="s">
        <v>737</v>
      </c>
      <c r="H244" t="s">
        <v>22</v>
      </c>
      <c r="I244" t="s">
        <v>211</v>
      </c>
      <c r="J244" t="s">
        <v>214</v>
      </c>
      <c r="K244" t="s">
        <v>213</v>
      </c>
      <c r="L244" t="s">
        <v>26</v>
      </c>
      <c r="M244" t="s">
        <v>218</v>
      </c>
      <c r="N244" t="s">
        <v>39</v>
      </c>
      <c r="O244" t="s">
        <v>108</v>
      </c>
      <c r="P244" t="s">
        <v>214</v>
      </c>
      <c r="Q244" t="s">
        <v>31</v>
      </c>
      <c r="R244" t="s">
        <v>108</v>
      </c>
      <c r="S244" s="1">
        <v>46043.605821759258</v>
      </c>
      <c r="T244" s="1">
        <v>46044.678437499999</v>
      </c>
    </row>
    <row r="245" spans="1:20" x14ac:dyDescent="0.3">
      <c r="A245" t="s">
        <v>738</v>
      </c>
      <c r="B245">
        <v>5</v>
      </c>
      <c r="C245">
        <v>3</v>
      </c>
      <c r="D245" t="s">
        <v>208</v>
      </c>
      <c r="E245" t="s">
        <v>739</v>
      </c>
      <c r="F245" t="s">
        <v>827</v>
      </c>
      <c r="G245" t="s">
        <v>740</v>
      </c>
      <c r="H245" t="s">
        <v>22</v>
      </c>
      <c r="I245" t="s">
        <v>211</v>
      </c>
      <c r="J245" t="s">
        <v>214</v>
      </c>
      <c r="K245" t="s">
        <v>213</v>
      </c>
      <c r="L245" t="s">
        <v>26</v>
      </c>
      <c r="M245" t="s">
        <v>218</v>
      </c>
      <c r="N245" t="s">
        <v>28</v>
      </c>
      <c r="O245" t="s">
        <v>108</v>
      </c>
      <c r="P245" t="s">
        <v>214</v>
      </c>
      <c r="Q245" t="s">
        <v>31</v>
      </c>
      <c r="R245" t="s">
        <v>108</v>
      </c>
      <c r="S245" s="1">
        <v>46043.604386574072</v>
      </c>
      <c r="T245" s="1">
        <v>46044.678310185183</v>
      </c>
    </row>
    <row r="246" spans="1:20" x14ac:dyDescent="0.3">
      <c r="A246" t="s">
        <v>741</v>
      </c>
      <c r="B246">
        <v>5</v>
      </c>
      <c r="C246">
        <v>3</v>
      </c>
      <c r="D246" t="s">
        <v>208</v>
      </c>
      <c r="E246" t="s">
        <v>742</v>
      </c>
      <c r="F246" t="s">
        <v>817</v>
      </c>
      <c r="G246" t="s">
        <v>743</v>
      </c>
      <c r="H246" t="s">
        <v>22</v>
      </c>
      <c r="I246" t="s">
        <v>211</v>
      </c>
      <c r="J246" t="s">
        <v>214</v>
      </c>
      <c r="K246" t="s">
        <v>213</v>
      </c>
      <c r="L246" t="s">
        <v>26</v>
      </c>
      <c r="M246" t="s">
        <v>218</v>
      </c>
      <c r="N246" t="s">
        <v>39</v>
      </c>
      <c r="O246" t="s">
        <v>108</v>
      </c>
      <c r="P246" t="s">
        <v>214</v>
      </c>
      <c r="Q246" t="s">
        <v>31</v>
      </c>
      <c r="R246" t="s">
        <v>108</v>
      </c>
      <c r="S246" s="1">
        <v>46043.652997685182</v>
      </c>
      <c r="T246" s="1">
        <v>46044.678888888891</v>
      </c>
    </row>
    <row r="247" spans="1:20" x14ac:dyDescent="0.3">
      <c r="A247" t="s">
        <v>744</v>
      </c>
      <c r="B247">
        <v>5</v>
      </c>
      <c r="C247">
        <v>3</v>
      </c>
      <c r="D247" t="s">
        <v>208</v>
      </c>
      <c r="E247" t="s">
        <v>745</v>
      </c>
      <c r="F247" t="s">
        <v>823</v>
      </c>
      <c r="G247" t="s">
        <v>746</v>
      </c>
      <c r="H247" t="s">
        <v>22</v>
      </c>
      <c r="I247" t="s">
        <v>211</v>
      </c>
      <c r="J247" t="s">
        <v>214</v>
      </c>
      <c r="K247" t="s">
        <v>213</v>
      </c>
      <c r="L247" t="s">
        <v>26</v>
      </c>
      <c r="M247" t="s">
        <v>218</v>
      </c>
      <c r="N247" t="s">
        <v>88</v>
      </c>
      <c r="O247" t="s">
        <v>108</v>
      </c>
      <c r="P247" t="s">
        <v>214</v>
      </c>
      <c r="Q247" t="s">
        <v>31</v>
      </c>
      <c r="R247" t="s">
        <v>108</v>
      </c>
      <c r="S247" s="1">
        <v>46045.466504629629</v>
      </c>
      <c r="T247" s="1">
        <v>46048.408206018517</v>
      </c>
    </row>
    <row r="248" spans="1:20" x14ac:dyDescent="0.3">
      <c r="A248" t="s">
        <v>747</v>
      </c>
      <c r="B248">
        <v>5</v>
      </c>
      <c r="C248">
        <v>3</v>
      </c>
      <c r="D248" t="s">
        <v>208</v>
      </c>
      <c r="E248" t="s">
        <v>748</v>
      </c>
      <c r="F248" t="s">
        <v>817</v>
      </c>
      <c r="G248" t="s">
        <v>749</v>
      </c>
      <c r="H248" t="s">
        <v>22</v>
      </c>
      <c r="I248" t="s">
        <v>211</v>
      </c>
      <c r="J248" t="s">
        <v>214</v>
      </c>
      <c r="K248" t="s">
        <v>213</v>
      </c>
      <c r="L248" t="s">
        <v>26</v>
      </c>
      <c r="M248" t="s">
        <v>218</v>
      </c>
      <c r="N248" t="s">
        <v>39</v>
      </c>
      <c r="O248" t="s">
        <v>108</v>
      </c>
      <c r="P248" t="s">
        <v>214</v>
      </c>
      <c r="Q248" t="s">
        <v>31</v>
      </c>
      <c r="R248" t="s">
        <v>108</v>
      </c>
      <c r="S248" s="1">
        <v>46044.548946759256</v>
      </c>
      <c r="T248" s="1">
        <v>46049.380266203705</v>
      </c>
    </row>
    <row r="249" spans="1:20" x14ac:dyDescent="0.3">
      <c r="A249" t="s">
        <v>750</v>
      </c>
      <c r="B249">
        <v>5</v>
      </c>
      <c r="C249">
        <v>3</v>
      </c>
      <c r="D249" t="s">
        <v>208</v>
      </c>
      <c r="E249" t="s">
        <v>751</v>
      </c>
      <c r="F249" t="s">
        <v>817</v>
      </c>
      <c r="G249" t="s">
        <v>752</v>
      </c>
      <c r="H249" t="s">
        <v>22</v>
      </c>
      <c r="I249" t="s">
        <v>211</v>
      </c>
      <c r="J249" t="s">
        <v>212</v>
      </c>
      <c r="K249" t="s">
        <v>213</v>
      </c>
      <c r="L249" t="s">
        <v>26</v>
      </c>
      <c r="M249" t="s">
        <v>218</v>
      </c>
      <c r="N249" t="s">
        <v>39</v>
      </c>
      <c r="O249" t="s">
        <v>108</v>
      </c>
      <c r="P249" t="s">
        <v>214</v>
      </c>
      <c r="Q249" t="s">
        <v>31</v>
      </c>
      <c r="R249" t="s">
        <v>108</v>
      </c>
      <c r="S249" s="1">
        <v>46044.452604166669</v>
      </c>
      <c r="T249" s="1">
        <v>46044.678738425922</v>
      </c>
    </row>
    <row r="250" spans="1:20" x14ac:dyDescent="0.3">
      <c r="A250" t="s">
        <v>753</v>
      </c>
      <c r="B250">
        <v>5</v>
      </c>
      <c r="C250">
        <v>3</v>
      </c>
      <c r="D250" t="s">
        <v>208</v>
      </c>
      <c r="E250" t="s">
        <v>754</v>
      </c>
      <c r="F250" t="s">
        <v>827</v>
      </c>
      <c r="G250" t="s">
        <v>755</v>
      </c>
      <c r="H250" t="s">
        <v>22</v>
      </c>
      <c r="I250" t="s">
        <v>211</v>
      </c>
      <c r="J250" t="s">
        <v>214</v>
      </c>
      <c r="K250" t="s">
        <v>213</v>
      </c>
      <c r="L250" t="s">
        <v>26</v>
      </c>
      <c r="M250" t="s">
        <v>218</v>
      </c>
      <c r="N250" t="s">
        <v>39</v>
      </c>
      <c r="O250" t="s">
        <v>108</v>
      </c>
      <c r="P250" t="s">
        <v>214</v>
      </c>
      <c r="Q250" t="s">
        <v>31</v>
      </c>
      <c r="R250" t="s">
        <v>108</v>
      </c>
      <c r="S250" s="1">
        <v>46045.438750000001</v>
      </c>
      <c r="T250" s="1">
        <v>46048.407754629632</v>
      </c>
    </row>
    <row r="251" spans="1:20" x14ac:dyDescent="0.3">
      <c r="A251" t="s">
        <v>756</v>
      </c>
      <c r="B251">
        <v>5</v>
      </c>
      <c r="C251">
        <v>3</v>
      </c>
      <c r="D251" t="s">
        <v>208</v>
      </c>
      <c r="E251" t="s">
        <v>757</v>
      </c>
      <c r="F251" t="s">
        <v>823</v>
      </c>
      <c r="G251" t="s">
        <v>801</v>
      </c>
      <c r="H251" t="s">
        <v>22</v>
      </c>
      <c r="I251" t="s">
        <v>211</v>
      </c>
      <c r="J251" t="s">
        <v>214</v>
      </c>
      <c r="K251" t="s">
        <v>213</v>
      </c>
      <c r="L251" t="s">
        <v>26</v>
      </c>
      <c r="M251" t="s">
        <v>218</v>
      </c>
      <c r="N251" t="s">
        <v>88</v>
      </c>
      <c r="O251" t="s">
        <v>108</v>
      </c>
      <c r="P251" t="s">
        <v>214</v>
      </c>
      <c r="Q251" t="s">
        <v>31</v>
      </c>
      <c r="R251" t="s">
        <v>108</v>
      </c>
      <c r="S251" s="1">
        <v>46045.533101851855</v>
      </c>
      <c r="T251" s="1">
        <v>46048.407604166663</v>
      </c>
    </row>
    <row r="252" spans="1:20" x14ac:dyDescent="0.3">
      <c r="A252" t="s">
        <v>758</v>
      </c>
      <c r="B252">
        <v>5</v>
      </c>
      <c r="C252">
        <v>3</v>
      </c>
      <c r="D252" t="s">
        <v>208</v>
      </c>
      <c r="E252" t="s">
        <v>759</v>
      </c>
      <c r="F252" t="s">
        <v>823</v>
      </c>
      <c r="G252" t="s">
        <v>746</v>
      </c>
      <c r="H252" t="s">
        <v>22</v>
      </c>
      <c r="I252" t="s">
        <v>211</v>
      </c>
      <c r="J252" t="s">
        <v>212</v>
      </c>
      <c r="K252" t="s">
        <v>213</v>
      </c>
      <c r="L252" t="s">
        <v>26</v>
      </c>
      <c r="M252" t="s">
        <v>218</v>
      </c>
      <c r="N252" t="s">
        <v>88</v>
      </c>
      <c r="O252" t="s">
        <v>108</v>
      </c>
      <c r="P252" t="s">
        <v>214</v>
      </c>
      <c r="Q252" t="s">
        <v>31</v>
      </c>
      <c r="R252" t="s">
        <v>108</v>
      </c>
      <c r="S252" s="1">
        <v>46045.475300925929</v>
      </c>
      <c r="T252" s="1">
        <v>46048.407465277778</v>
      </c>
    </row>
    <row r="253" spans="1:20" x14ac:dyDescent="0.3">
      <c r="A253" t="s">
        <v>760</v>
      </c>
      <c r="B253">
        <v>5</v>
      </c>
      <c r="C253">
        <v>3</v>
      </c>
      <c r="D253" t="s">
        <v>208</v>
      </c>
      <c r="E253" t="s">
        <v>761</v>
      </c>
      <c r="F253" t="s">
        <v>817</v>
      </c>
      <c r="G253" t="s">
        <v>762</v>
      </c>
      <c r="H253" t="s">
        <v>22</v>
      </c>
      <c r="I253" t="s">
        <v>211</v>
      </c>
      <c r="J253" t="s">
        <v>214</v>
      </c>
      <c r="K253" t="s">
        <v>213</v>
      </c>
      <c r="L253" t="s">
        <v>26</v>
      </c>
      <c r="M253" t="s">
        <v>218</v>
      </c>
      <c r="N253" t="s">
        <v>39</v>
      </c>
      <c r="O253" t="s">
        <v>47</v>
      </c>
      <c r="P253" t="s">
        <v>213</v>
      </c>
      <c r="Q253" t="s">
        <v>31</v>
      </c>
      <c r="R253" t="s">
        <v>48</v>
      </c>
      <c r="S253" s="1">
        <v>46043.607083333336</v>
      </c>
      <c r="T253" s="1">
        <v>46048.419317129628</v>
      </c>
    </row>
    <row r="254" spans="1:20" x14ac:dyDescent="0.3">
      <c r="A254" t="s">
        <v>763</v>
      </c>
      <c r="B254">
        <v>5</v>
      </c>
      <c r="C254">
        <v>3</v>
      </c>
      <c r="D254" t="s">
        <v>208</v>
      </c>
      <c r="E254" t="s">
        <v>764</v>
      </c>
      <c r="F254" t="s">
        <v>823</v>
      </c>
      <c r="G254" t="s">
        <v>746</v>
      </c>
      <c r="H254" t="s">
        <v>22</v>
      </c>
      <c r="I254" t="s">
        <v>211</v>
      </c>
      <c r="J254" t="s">
        <v>214</v>
      </c>
      <c r="K254" t="s">
        <v>213</v>
      </c>
      <c r="L254" t="s">
        <v>26</v>
      </c>
      <c r="M254" t="s">
        <v>218</v>
      </c>
      <c r="N254" t="s">
        <v>88</v>
      </c>
      <c r="O254" t="s">
        <v>47</v>
      </c>
      <c r="P254" t="s">
        <v>214</v>
      </c>
      <c r="Q254" t="s">
        <v>31</v>
      </c>
      <c r="R254" t="s">
        <v>47</v>
      </c>
      <c r="S254" s="1">
        <v>46045.466261574074</v>
      </c>
      <c r="T254" s="1">
        <v>46048.408067129632</v>
      </c>
    </row>
    <row r="255" spans="1:20" x14ac:dyDescent="0.3">
      <c r="A255" t="s">
        <v>765</v>
      </c>
      <c r="B255">
        <v>5</v>
      </c>
      <c r="C255">
        <v>3</v>
      </c>
      <c r="D255" t="s">
        <v>208</v>
      </c>
      <c r="E255" t="s">
        <v>766</v>
      </c>
      <c r="F255" t="s">
        <v>823</v>
      </c>
      <c r="G255" t="s">
        <v>746</v>
      </c>
      <c r="H255" t="s">
        <v>22</v>
      </c>
      <c r="I255" t="s">
        <v>211</v>
      </c>
      <c r="J255" t="s">
        <v>214</v>
      </c>
      <c r="K255" t="s">
        <v>213</v>
      </c>
      <c r="L255" t="s">
        <v>26</v>
      </c>
      <c r="M255" t="s">
        <v>218</v>
      </c>
      <c r="N255" t="s">
        <v>88</v>
      </c>
      <c r="O255" t="s">
        <v>47</v>
      </c>
      <c r="P255" t="s">
        <v>214</v>
      </c>
      <c r="Q255" t="s">
        <v>31</v>
      </c>
      <c r="R255" t="s">
        <v>47</v>
      </c>
      <c r="S255" s="1">
        <v>46045.46607638889</v>
      </c>
      <c r="T255" s="1">
        <v>46048.40792824074</v>
      </c>
    </row>
    <row r="256" spans="1:20" x14ac:dyDescent="0.3">
      <c r="A256" t="s">
        <v>767</v>
      </c>
      <c r="B256">
        <v>5</v>
      </c>
      <c r="C256">
        <v>3</v>
      </c>
      <c r="D256" t="s">
        <v>116</v>
      </c>
      <c r="E256" t="s">
        <v>768</v>
      </c>
      <c r="F256" t="s">
        <v>821</v>
      </c>
      <c r="G256" t="s">
        <v>769</v>
      </c>
      <c r="H256" t="s">
        <v>22</v>
      </c>
      <c r="I256" t="s">
        <v>119</v>
      </c>
      <c r="J256" t="s">
        <v>120</v>
      </c>
      <c r="K256" t="s">
        <v>121</v>
      </c>
      <c r="L256" t="s">
        <v>26</v>
      </c>
      <c r="M256" t="s">
        <v>770</v>
      </c>
      <c r="N256" t="s">
        <v>56</v>
      </c>
      <c r="O256" t="s">
        <v>57</v>
      </c>
      <c r="P256" t="s">
        <v>30</v>
      </c>
      <c r="Q256" t="s">
        <v>97</v>
      </c>
      <c r="R256" t="s">
        <v>57</v>
      </c>
      <c r="S256" s="1">
        <v>46044.749328703707</v>
      </c>
      <c r="T256" s="1">
        <v>46048.390972222223</v>
      </c>
    </row>
    <row r="257" spans="1:20" x14ac:dyDescent="0.3">
      <c r="A257" t="s">
        <v>771</v>
      </c>
      <c r="B257">
        <v>5</v>
      </c>
      <c r="C257">
        <v>3</v>
      </c>
      <c r="D257" t="s">
        <v>116</v>
      </c>
      <c r="E257" t="s">
        <v>772</v>
      </c>
      <c r="F257" t="s">
        <v>821</v>
      </c>
      <c r="G257" t="s">
        <v>773</v>
      </c>
      <c r="H257" t="s">
        <v>22</v>
      </c>
      <c r="I257" t="s">
        <v>119</v>
      </c>
      <c r="J257" t="s">
        <v>120</v>
      </c>
      <c r="K257" t="s">
        <v>121</v>
      </c>
      <c r="L257" t="s">
        <v>26</v>
      </c>
      <c r="M257" t="s">
        <v>770</v>
      </c>
      <c r="N257" t="s">
        <v>56</v>
      </c>
      <c r="O257" t="s">
        <v>57</v>
      </c>
      <c r="P257" t="s">
        <v>30</v>
      </c>
      <c r="Q257" t="s">
        <v>97</v>
      </c>
      <c r="R257" t="s">
        <v>57</v>
      </c>
      <c r="S257" s="1">
        <v>46044.76935185185</v>
      </c>
      <c r="T257" s="1">
        <v>46048.389664351853</v>
      </c>
    </row>
    <row r="258" spans="1:20" x14ac:dyDescent="0.3">
      <c r="A258" t="s">
        <v>774</v>
      </c>
      <c r="B258">
        <v>5</v>
      </c>
      <c r="C258">
        <v>3</v>
      </c>
      <c r="D258" t="s">
        <v>648</v>
      </c>
      <c r="E258" t="s">
        <v>775</v>
      </c>
      <c r="F258" t="s">
        <v>821</v>
      </c>
      <c r="G258" t="s">
        <v>776</v>
      </c>
      <c r="H258" t="s">
        <v>22</v>
      </c>
      <c r="I258" t="s">
        <v>651</v>
      </c>
      <c r="J258" t="s">
        <v>656</v>
      </c>
      <c r="K258" t="s">
        <v>213</v>
      </c>
      <c r="L258" t="s">
        <v>68</v>
      </c>
      <c r="M258" t="s">
        <v>770</v>
      </c>
      <c r="N258" t="s">
        <v>56</v>
      </c>
      <c r="O258" t="s">
        <v>170</v>
      </c>
      <c r="P258" t="s">
        <v>651</v>
      </c>
      <c r="Q258" t="s">
        <v>31</v>
      </c>
      <c r="R258" t="s">
        <v>170</v>
      </c>
      <c r="S258" s="1">
        <v>46042.578831018516</v>
      </c>
      <c r="T258" s="1">
        <v>46042.578831018516</v>
      </c>
    </row>
    <row r="259" spans="1:20" x14ac:dyDescent="0.3">
      <c r="A259" t="s">
        <v>777</v>
      </c>
      <c r="B259">
        <v>5</v>
      </c>
      <c r="C259">
        <v>3</v>
      </c>
      <c r="D259" t="s">
        <v>648</v>
      </c>
      <c r="E259" t="s">
        <v>778</v>
      </c>
      <c r="F259" t="s">
        <v>821</v>
      </c>
      <c r="G259" t="s">
        <v>779</v>
      </c>
      <c r="H259" t="s">
        <v>22</v>
      </c>
      <c r="I259" t="s">
        <v>651</v>
      </c>
      <c r="J259" t="s">
        <v>652</v>
      </c>
      <c r="K259" t="s">
        <v>213</v>
      </c>
      <c r="L259" t="s">
        <v>26</v>
      </c>
      <c r="M259" t="s">
        <v>770</v>
      </c>
      <c r="N259" t="s">
        <v>56</v>
      </c>
      <c r="O259" t="s">
        <v>57</v>
      </c>
      <c r="P259" t="s">
        <v>30</v>
      </c>
      <c r="Q259" t="s">
        <v>31</v>
      </c>
      <c r="R259" t="s">
        <v>57</v>
      </c>
      <c r="S259" s="1">
        <v>46042.632974537039</v>
      </c>
      <c r="T259" s="1">
        <v>46043.475937499999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63DE-5592-4BF8-9860-27B67999E975}">
  <dimension ref="A1:Y42"/>
  <sheetViews>
    <sheetView tabSelected="1" topLeftCell="J22" workbookViewId="0">
      <selection activeCell="N24" sqref="N24:Y42"/>
    </sheetView>
  </sheetViews>
  <sheetFormatPr defaultRowHeight="16.5" x14ac:dyDescent="0.3"/>
  <cols>
    <col min="1" max="1" width="20" bestFit="1" customWidth="1"/>
    <col min="2" max="2" width="13" bestFit="1" customWidth="1"/>
    <col min="3" max="3" width="3.625" bestFit="1" customWidth="1"/>
    <col min="4" max="4" width="3.125" bestFit="1" customWidth="1"/>
    <col min="5" max="5" width="4" bestFit="1" customWidth="1"/>
    <col min="6" max="8" width="3.625" bestFit="1" customWidth="1"/>
    <col min="9" max="9" width="4" bestFit="1" customWidth="1"/>
    <col min="10" max="10" width="3.625" bestFit="1" customWidth="1"/>
    <col min="11" max="11" width="7.375" bestFit="1" customWidth="1"/>
    <col min="12" max="12" width="13" bestFit="1" customWidth="1"/>
    <col min="13" max="13" width="17.125" bestFit="1" customWidth="1"/>
    <col min="14" max="14" width="14.75" customWidth="1"/>
    <col min="15" max="15" width="19.25" customWidth="1"/>
    <col min="16" max="17" width="9.75" customWidth="1"/>
    <col min="18" max="19" width="7.5" customWidth="1"/>
    <col min="20" max="20" width="7.875" customWidth="1"/>
    <col min="21" max="21" width="7.5" customWidth="1"/>
    <col min="22" max="22" width="9.75" customWidth="1"/>
    <col min="23" max="23" width="7.875" customWidth="1"/>
    <col min="24" max="24" width="9.75" customWidth="1"/>
    <col min="25" max="25" width="5.875" customWidth="1"/>
    <col min="26" max="33" width="20.5" bestFit="1" customWidth="1"/>
    <col min="34" max="34" width="8" bestFit="1" customWidth="1"/>
    <col min="35" max="35" width="20.5" bestFit="1" customWidth="1"/>
    <col min="36" max="36" width="8" bestFit="1" customWidth="1"/>
    <col min="37" max="40" width="20.5" bestFit="1" customWidth="1"/>
    <col min="41" max="41" width="8" bestFit="1" customWidth="1"/>
    <col min="42" max="45" width="17.125" bestFit="1" customWidth="1"/>
    <col min="46" max="46" width="8" bestFit="1" customWidth="1"/>
    <col min="47" max="52" width="20.5" bestFit="1" customWidth="1"/>
    <col min="53" max="53" width="8" bestFit="1" customWidth="1"/>
    <col min="54" max="60" width="20.5" bestFit="1" customWidth="1"/>
    <col min="61" max="61" width="16.125" bestFit="1" customWidth="1"/>
    <col min="62" max="62" width="7.375" bestFit="1" customWidth="1"/>
  </cols>
  <sheetData>
    <row r="1" spans="1:24" x14ac:dyDescent="0.3">
      <c r="A1" s="15" t="s">
        <v>16</v>
      </c>
      <c r="B1" t="s">
        <v>784</v>
      </c>
    </row>
    <row r="2" spans="1:24" x14ac:dyDescent="0.3">
      <c r="D2">
        <v>1</v>
      </c>
      <c r="E2">
        <v>2</v>
      </c>
    </row>
    <row r="3" spans="1:24" x14ac:dyDescent="0.3">
      <c r="A3" s="15" t="s">
        <v>783</v>
      </c>
      <c r="B3" s="15" t="s">
        <v>782</v>
      </c>
    </row>
    <row r="4" spans="1:24" x14ac:dyDescent="0.3">
      <c r="A4" s="15" t="s">
        <v>780</v>
      </c>
      <c r="B4" t="s">
        <v>816</v>
      </c>
      <c r="C4" t="s">
        <v>818</v>
      </c>
      <c r="D4" t="s">
        <v>822</v>
      </c>
      <c r="E4" t="s">
        <v>826</v>
      </c>
      <c r="F4" t="s">
        <v>830</v>
      </c>
      <c r="G4" t="s">
        <v>828</v>
      </c>
      <c r="H4" t="s">
        <v>820</v>
      </c>
      <c r="I4" t="s">
        <v>824</v>
      </c>
      <c r="J4" t="s">
        <v>833</v>
      </c>
      <c r="K4" t="s">
        <v>781</v>
      </c>
      <c r="N4" s="17" t="s">
        <v>780</v>
      </c>
      <c r="O4" s="17" t="s">
        <v>816</v>
      </c>
      <c r="P4" s="17" t="s">
        <v>818</v>
      </c>
      <c r="Q4" s="17" t="s">
        <v>822</v>
      </c>
      <c r="R4" s="17" t="s">
        <v>826</v>
      </c>
      <c r="S4" s="17" t="s">
        <v>830</v>
      </c>
      <c r="T4" s="17" t="s">
        <v>828</v>
      </c>
      <c r="U4" s="17" t="s">
        <v>820</v>
      </c>
      <c r="V4" s="17" t="s">
        <v>824</v>
      </c>
      <c r="W4" s="17" t="s">
        <v>833</v>
      </c>
      <c r="X4" s="17" t="s">
        <v>781</v>
      </c>
    </row>
    <row r="5" spans="1:24" x14ac:dyDescent="0.3">
      <c r="A5" s="16" t="s">
        <v>20</v>
      </c>
      <c r="B5" s="18">
        <v>16</v>
      </c>
      <c r="C5" s="18">
        <v>1</v>
      </c>
      <c r="D5" s="18"/>
      <c r="E5" s="18"/>
      <c r="F5" s="18"/>
      <c r="G5" s="18"/>
      <c r="H5" s="18"/>
      <c r="I5" s="18"/>
      <c r="J5" s="18"/>
      <c r="K5" s="18">
        <v>17</v>
      </c>
      <c r="N5" s="16" t="s">
        <v>20</v>
      </c>
      <c r="O5" s="18">
        <v>16</v>
      </c>
      <c r="P5" s="18">
        <v>1</v>
      </c>
      <c r="Q5" s="18"/>
      <c r="R5" s="18"/>
      <c r="S5" s="18"/>
      <c r="T5" s="18"/>
      <c r="U5" s="18"/>
      <c r="V5" s="18"/>
      <c r="W5" s="18"/>
      <c r="X5" s="18">
        <v>17</v>
      </c>
    </row>
    <row r="6" spans="1:24" x14ac:dyDescent="0.3">
      <c r="A6" s="16" t="s">
        <v>244</v>
      </c>
      <c r="B6" s="18">
        <v>3</v>
      </c>
      <c r="C6" s="18"/>
      <c r="D6" s="18"/>
      <c r="E6" s="18"/>
      <c r="F6" s="18"/>
      <c r="G6" s="18"/>
      <c r="H6" s="18"/>
      <c r="I6" s="18"/>
      <c r="J6" s="18"/>
      <c r="K6" s="18">
        <v>3</v>
      </c>
      <c r="N6" s="16" t="s">
        <v>244</v>
      </c>
      <c r="O6" s="18">
        <v>3</v>
      </c>
      <c r="P6" s="18"/>
      <c r="Q6" s="18"/>
      <c r="R6" s="18"/>
      <c r="S6" s="18"/>
      <c r="T6" s="18"/>
      <c r="U6" s="18"/>
      <c r="V6" s="18"/>
      <c r="W6" s="18"/>
      <c r="X6" s="18">
        <v>3</v>
      </c>
    </row>
    <row r="7" spans="1:24" x14ac:dyDescent="0.3">
      <c r="A7" s="16" t="s">
        <v>50</v>
      </c>
      <c r="B7" s="18">
        <v>9</v>
      </c>
      <c r="C7" s="18"/>
      <c r="D7" s="18"/>
      <c r="E7" s="18">
        <v>9</v>
      </c>
      <c r="F7" s="18">
        <v>1</v>
      </c>
      <c r="G7" s="18"/>
      <c r="H7" s="18"/>
      <c r="I7" s="18">
        <v>5</v>
      </c>
      <c r="J7" s="18"/>
      <c r="K7" s="18">
        <v>24</v>
      </c>
      <c r="M7" s="28">
        <v>0</v>
      </c>
      <c r="N7" s="16" t="s">
        <v>50</v>
      </c>
      <c r="O7" s="18">
        <v>9</v>
      </c>
      <c r="P7" s="18"/>
      <c r="Q7" s="18"/>
      <c r="R7" s="18">
        <v>9</v>
      </c>
      <c r="S7" s="18">
        <v>1</v>
      </c>
      <c r="T7" s="18"/>
      <c r="U7" s="18"/>
      <c r="V7" s="18">
        <v>5</v>
      </c>
      <c r="W7" s="18"/>
      <c r="X7" s="18">
        <v>24</v>
      </c>
    </row>
    <row r="8" spans="1:24" x14ac:dyDescent="0.3">
      <c r="A8" s="16" t="s">
        <v>73</v>
      </c>
      <c r="B8" s="18">
        <v>16</v>
      </c>
      <c r="C8" s="18"/>
      <c r="D8" s="18"/>
      <c r="E8" s="18">
        <v>4</v>
      </c>
      <c r="F8" s="18"/>
      <c r="G8" s="18"/>
      <c r="H8" s="18"/>
      <c r="I8" s="18">
        <v>3</v>
      </c>
      <c r="J8" s="18"/>
      <c r="K8" s="18">
        <v>23</v>
      </c>
      <c r="M8" s="28">
        <v>0</v>
      </c>
      <c r="N8" s="16" t="s">
        <v>73</v>
      </c>
      <c r="O8" s="18">
        <v>16</v>
      </c>
      <c r="P8" s="18"/>
      <c r="Q8" s="18"/>
      <c r="R8" s="18">
        <v>4</v>
      </c>
      <c r="S8" s="18"/>
      <c r="T8" s="18"/>
      <c r="U8" s="18"/>
      <c r="V8" s="18">
        <v>3</v>
      </c>
      <c r="W8" s="18"/>
      <c r="X8" s="18">
        <v>23</v>
      </c>
    </row>
    <row r="9" spans="1:24" x14ac:dyDescent="0.3">
      <c r="A9" s="16" t="s">
        <v>429</v>
      </c>
      <c r="B9" s="18">
        <v>5</v>
      </c>
      <c r="C9" s="18"/>
      <c r="D9" s="18"/>
      <c r="E9" s="18">
        <v>1</v>
      </c>
      <c r="F9" s="18"/>
      <c r="G9" s="18"/>
      <c r="H9" s="18"/>
      <c r="I9" s="18">
        <v>1</v>
      </c>
      <c r="J9" s="18"/>
      <c r="K9" s="18">
        <v>7</v>
      </c>
      <c r="M9" s="28">
        <v>14</v>
      </c>
      <c r="N9" s="16" t="s">
        <v>429</v>
      </c>
      <c r="O9" s="18">
        <v>5</v>
      </c>
      <c r="P9" s="18"/>
      <c r="Q9" s="18"/>
      <c r="R9" s="18">
        <v>1</v>
      </c>
      <c r="S9" s="18"/>
      <c r="T9" s="18"/>
      <c r="U9" s="18"/>
      <c r="V9" s="18">
        <v>1</v>
      </c>
      <c r="W9" s="18"/>
      <c r="X9" s="18">
        <v>7</v>
      </c>
    </row>
    <row r="10" spans="1:24" x14ac:dyDescent="0.3">
      <c r="A10" s="16" t="s">
        <v>82</v>
      </c>
      <c r="B10" s="18">
        <v>2</v>
      </c>
      <c r="C10" s="18"/>
      <c r="D10" s="18"/>
      <c r="E10" s="18">
        <v>2</v>
      </c>
      <c r="F10" s="18"/>
      <c r="G10" s="18"/>
      <c r="H10" s="18"/>
      <c r="I10" s="18"/>
      <c r="J10" s="18"/>
      <c r="K10" s="18">
        <v>4</v>
      </c>
      <c r="M10" s="28">
        <v>4</v>
      </c>
      <c r="N10" s="16" t="s">
        <v>82</v>
      </c>
      <c r="O10" s="18">
        <v>2</v>
      </c>
      <c r="P10" s="18"/>
      <c r="Q10" s="18"/>
      <c r="R10" s="18">
        <v>2</v>
      </c>
      <c r="S10" s="18"/>
      <c r="T10" s="18"/>
      <c r="U10" s="18"/>
      <c r="V10" s="18"/>
      <c r="W10" s="18"/>
      <c r="X10" s="18">
        <v>4</v>
      </c>
    </row>
    <row r="11" spans="1:24" x14ac:dyDescent="0.3">
      <c r="A11" s="16" t="s">
        <v>99</v>
      </c>
      <c r="B11" s="18">
        <v>2</v>
      </c>
      <c r="C11" s="18"/>
      <c r="D11" s="18"/>
      <c r="E11" s="18"/>
      <c r="F11" s="18"/>
      <c r="G11" s="18">
        <v>1</v>
      </c>
      <c r="H11" s="18"/>
      <c r="I11" s="18"/>
      <c r="J11" s="18"/>
      <c r="K11" s="18">
        <v>3</v>
      </c>
      <c r="M11" s="28">
        <v>87</v>
      </c>
      <c r="N11" s="16" t="s">
        <v>99</v>
      </c>
      <c r="O11" s="18">
        <v>2</v>
      </c>
      <c r="P11" s="18"/>
      <c r="Q11" s="18"/>
      <c r="R11" s="18"/>
      <c r="S11" s="18"/>
      <c r="T11" s="18">
        <v>1</v>
      </c>
      <c r="U11" s="18"/>
      <c r="V11" s="18"/>
      <c r="W11" s="18"/>
      <c r="X11" s="18">
        <v>3</v>
      </c>
    </row>
    <row r="12" spans="1:24" x14ac:dyDescent="0.3">
      <c r="A12" s="16" t="s">
        <v>465</v>
      </c>
      <c r="B12" s="18">
        <v>1</v>
      </c>
      <c r="C12" s="18"/>
      <c r="D12" s="18"/>
      <c r="E12" s="18"/>
      <c r="F12" s="18"/>
      <c r="G12" s="18"/>
      <c r="H12" s="18"/>
      <c r="I12" s="18"/>
      <c r="J12" s="18"/>
      <c r="K12" s="18">
        <v>1</v>
      </c>
      <c r="M12" s="28">
        <v>6</v>
      </c>
      <c r="N12" s="16" t="s">
        <v>465</v>
      </c>
      <c r="O12" s="18">
        <v>1</v>
      </c>
      <c r="P12" s="18"/>
      <c r="Q12" s="18"/>
      <c r="R12" s="18"/>
      <c r="S12" s="18"/>
      <c r="T12" s="18"/>
      <c r="U12" s="18"/>
      <c r="V12" s="18"/>
      <c r="W12" s="18"/>
      <c r="X12" s="18">
        <v>1</v>
      </c>
    </row>
    <row r="13" spans="1:24" x14ac:dyDescent="0.3">
      <c r="A13" s="16" t="s">
        <v>110</v>
      </c>
      <c r="B13" s="18">
        <v>5</v>
      </c>
      <c r="C13" s="18"/>
      <c r="D13" s="18">
        <v>2</v>
      </c>
      <c r="E13" s="18">
        <v>7</v>
      </c>
      <c r="F13" s="18"/>
      <c r="G13" s="18"/>
      <c r="H13" s="18"/>
      <c r="I13" s="18"/>
      <c r="J13" s="18">
        <v>2</v>
      </c>
      <c r="K13" s="18">
        <v>16</v>
      </c>
      <c r="M13" s="28">
        <v>1</v>
      </c>
      <c r="N13" s="16" t="s">
        <v>110</v>
      </c>
      <c r="O13" s="18">
        <v>5</v>
      </c>
      <c r="P13" s="18"/>
      <c r="Q13" s="18">
        <v>2</v>
      </c>
      <c r="R13" s="18">
        <v>7</v>
      </c>
      <c r="S13" s="18"/>
      <c r="T13" s="18"/>
      <c r="U13" s="18"/>
      <c r="V13" s="18"/>
      <c r="W13" s="18">
        <v>2</v>
      </c>
      <c r="X13" s="18">
        <v>16</v>
      </c>
    </row>
    <row r="14" spans="1:24" x14ac:dyDescent="0.3">
      <c r="A14" s="16" t="s">
        <v>116</v>
      </c>
      <c r="B14" s="18">
        <v>8</v>
      </c>
      <c r="C14" s="18"/>
      <c r="D14" s="18"/>
      <c r="E14" s="18">
        <v>5</v>
      </c>
      <c r="F14" s="18"/>
      <c r="G14" s="18"/>
      <c r="H14" s="18"/>
      <c r="I14" s="18">
        <v>2</v>
      </c>
      <c r="J14" s="18">
        <v>1</v>
      </c>
      <c r="K14" s="18">
        <v>16</v>
      </c>
      <c r="M14" s="28">
        <v>2</v>
      </c>
      <c r="N14" s="16" t="s">
        <v>116</v>
      </c>
      <c r="O14" s="18">
        <v>8</v>
      </c>
      <c r="P14" s="18"/>
      <c r="Q14" s="18"/>
      <c r="R14" s="18">
        <v>5</v>
      </c>
      <c r="S14" s="18"/>
      <c r="T14" s="18"/>
      <c r="U14" s="18"/>
      <c r="V14" s="18">
        <v>2</v>
      </c>
      <c r="W14" s="18">
        <v>1</v>
      </c>
      <c r="X14" s="18">
        <v>16</v>
      </c>
    </row>
    <row r="15" spans="1:24" x14ac:dyDescent="0.3">
      <c r="A15" s="16" t="s">
        <v>165</v>
      </c>
      <c r="B15" s="18">
        <v>8</v>
      </c>
      <c r="C15" s="18"/>
      <c r="D15" s="18"/>
      <c r="E15" s="18">
        <v>4</v>
      </c>
      <c r="F15" s="18"/>
      <c r="G15" s="18">
        <v>1</v>
      </c>
      <c r="H15" s="18">
        <v>1</v>
      </c>
      <c r="I15" s="18">
        <v>3</v>
      </c>
      <c r="J15" s="18">
        <v>2</v>
      </c>
      <c r="K15" s="18">
        <v>19</v>
      </c>
      <c r="M15" s="28">
        <v>0</v>
      </c>
      <c r="N15" s="16" t="s">
        <v>165</v>
      </c>
      <c r="O15" s="18">
        <v>8</v>
      </c>
      <c r="P15" s="18"/>
      <c r="Q15" s="18"/>
      <c r="R15" s="18">
        <v>4</v>
      </c>
      <c r="S15" s="18"/>
      <c r="T15" s="18">
        <v>1</v>
      </c>
      <c r="U15" s="18">
        <v>1</v>
      </c>
      <c r="V15" s="18">
        <v>3</v>
      </c>
      <c r="W15" s="18">
        <v>2</v>
      </c>
      <c r="X15" s="18">
        <v>19</v>
      </c>
    </row>
    <row r="16" spans="1:24" x14ac:dyDescent="0.3">
      <c r="A16" s="16" t="s">
        <v>198</v>
      </c>
      <c r="B16" s="18">
        <v>1</v>
      </c>
      <c r="C16" s="18"/>
      <c r="D16" s="18"/>
      <c r="E16" s="18">
        <v>2</v>
      </c>
      <c r="F16" s="18"/>
      <c r="G16" s="18"/>
      <c r="H16" s="18">
        <v>1</v>
      </c>
      <c r="I16" s="18"/>
      <c r="J16" s="18"/>
      <c r="K16" s="18">
        <v>4</v>
      </c>
      <c r="M16" s="28">
        <v>39</v>
      </c>
      <c r="N16" s="16" t="s">
        <v>198</v>
      </c>
      <c r="O16" s="18">
        <v>1</v>
      </c>
      <c r="P16" s="18"/>
      <c r="Q16" s="18"/>
      <c r="R16" s="18">
        <v>2</v>
      </c>
      <c r="S16" s="18"/>
      <c r="T16" s="18"/>
      <c r="U16" s="18">
        <v>1</v>
      </c>
      <c r="V16" s="18"/>
      <c r="W16" s="18"/>
      <c r="X16" s="18">
        <v>4</v>
      </c>
    </row>
    <row r="17" spans="1:25" x14ac:dyDescent="0.3">
      <c r="A17" s="16" t="s">
        <v>203</v>
      </c>
      <c r="B17" s="18">
        <v>2</v>
      </c>
      <c r="C17" s="18"/>
      <c r="D17" s="18"/>
      <c r="E17" s="18">
        <v>2</v>
      </c>
      <c r="F17" s="18"/>
      <c r="G17" s="18"/>
      <c r="H17" s="18"/>
      <c r="I17" s="18"/>
      <c r="J17" s="18"/>
      <c r="K17" s="18">
        <v>4</v>
      </c>
      <c r="M17" s="28">
        <v>97</v>
      </c>
      <c r="N17" s="16" t="s">
        <v>203</v>
      </c>
      <c r="O17" s="18">
        <v>2</v>
      </c>
      <c r="P17" s="18"/>
      <c r="Q17" s="18"/>
      <c r="R17" s="18">
        <v>2</v>
      </c>
      <c r="S17" s="18"/>
      <c r="T17" s="18"/>
      <c r="U17" s="18"/>
      <c r="V17" s="18"/>
      <c r="W17" s="18"/>
      <c r="X17" s="18">
        <v>4</v>
      </c>
    </row>
    <row r="18" spans="1:25" x14ac:dyDescent="0.3">
      <c r="A18" s="16" t="s">
        <v>648</v>
      </c>
      <c r="B18" s="18">
        <v>2</v>
      </c>
      <c r="C18" s="18"/>
      <c r="D18" s="18"/>
      <c r="E18" s="18">
        <v>1</v>
      </c>
      <c r="F18" s="18"/>
      <c r="G18" s="18"/>
      <c r="H18" s="18">
        <v>2</v>
      </c>
      <c r="I18" s="18"/>
      <c r="J18" s="18"/>
      <c r="K18" s="18">
        <v>5</v>
      </c>
      <c r="N18" s="16" t="s">
        <v>648</v>
      </c>
      <c r="O18" s="18">
        <v>2</v>
      </c>
      <c r="P18" s="18"/>
      <c r="Q18" s="18"/>
      <c r="R18" s="18">
        <v>1</v>
      </c>
      <c r="S18" s="18"/>
      <c r="T18" s="18"/>
      <c r="U18" s="18">
        <v>2</v>
      </c>
      <c r="V18" s="18"/>
      <c r="W18" s="18"/>
      <c r="X18" s="18">
        <v>5</v>
      </c>
    </row>
    <row r="19" spans="1:25" x14ac:dyDescent="0.3">
      <c r="A19" s="16" t="s">
        <v>729</v>
      </c>
      <c r="B19" s="18">
        <v>2</v>
      </c>
      <c r="C19" s="18"/>
      <c r="D19" s="18"/>
      <c r="E19" s="18"/>
      <c r="F19" s="18"/>
      <c r="G19" s="18"/>
      <c r="H19" s="18"/>
      <c r="I19" s="18"/>
      <c r="J19" s="18"/>
      <c r="K19" s="18">
        <v>2</v>
      </c>
      <c r="N19" s="16" t="s">
        <v>729</v>
      </c>
      <c r="O19" s="18">
        <v>2</v>
      </c>
      <c r="P19" s="18"/>
      <c r="Q19" s="18"/>
      <c r="R19" s="18"/>
      <c r="S19" s="18"/>
      <c r="T19" s="18"/>
      <c r="U19" s="18"/>
      <c r="V19" s="18"/>
      <c r="W19" s="18"/>
      <c r="X19" s="18">
        <v>2</v>
      </c>
    </row>
    <row r="20" spans="1:25" x14ac:dyDescent="0.3">
      <c r="A20" s="16" t="s">
        <v>208</v>
      </c>
      <c r="B20" s="18">
        <v>5</v>
      </c>
      <c r="C20" s="18"/>
      <c r="D20" s="18">
        <v>5</v>
      </c>
      <c r="E20" s="18">
        <v>2</v>
      </c>
      <c r="F20" s="18"/>
      <c r="G20" s="18"/>
      <c r="H20" s="18"/>
      <c r="I20" s="18"/>
      <c r="J20" s="18">
        <v>1</v>
      </c>
      <c r="K20" s="18">
        <v>13</v>
      </c>
      <c r="N20" s="16" t="s">
        <v>208</v>
      </c>
      <c r="O20" s="18">
        <v>5</v>
      </c>
      <c r="P20" s="18"/>
      <c r="Q20" s="18">
        <v>5</v>
      </c>
      <c r="R20" s="18">
        <v>2</v>
      </c>
      <c r="S20" s="18"/>
      <c r="T20" s="18"/>
      <c r="U20" s="18"/>
      <c r="V20" s="18"/>
      <c r="W20" s="18">
        <v>1</v>
      </c>
      <c r="X20" s="18">
        <v>13</v>
      </c>
    </row>
    <row r="21" spans="1:25" x14ac:dyDescent="0.3">
      <c r="A21" s="16" t="s">
        <v>781</v>
      </c>
      <c r="B21" s="18">
        <v>87</v>
      </c>
      <c r="C21" s="18">
        <v>1</v>
      </c>
      <c r="D21" s="18">
        <v>7</v>
      </c>
      <c r="E21" s="18">
        <v>39</v>
      </c>
      <c r="F21" s="18">
        <v>1</v>
      </c>
      <c r="G21" s="18">
        <v>2</v>
      </c>
      <c r="H21" s="18">
        <v>4</v>
      </c>
      <c r="I21" s="18">
        <v>14</v>
      </c>
      <c r="J21" s="18">
        <v>6</v>
      </c>
      <c r="K21" s="18">
        <v>161</v>
      </c>
      <c r="N21" s="29" t="s">
        <v>781</v>
      </c>
      <c r="O21" s="30">
        <v>87</v>
      </c>
      <c r="P21" s="30">
        <v>1</v>
      </c>
      <c r="Q21" s="30">
        <v>7</v>
      </c>
      <c r="R21" s="30">
        <v>39</v>
      </c>
      <c r="S21" s="30">
        <v>1</v>
      </c>
      <c r="T21" s="30">
        <v>2</v>
      </c>
      <c r="U21" s="30">
        <v>4</v>
      </c>
      <c r="V21" s="30">
        <v>14</v>
      </c>
      <c r="W21" s="30">
        <v>6</v>
      </c>
      <c r="X21" s="30">
        <v>161</v>
      </c>
    </row>
    <row r="24" spans="1:25" ht="25.5" customHeight="1" x14ac:dyDescent="0.3">
      <c r="N24" s="40" t="s">
        <v>842</v>
      </c>
      <c r="O24" s="41"/>
      <c r="P24" s="31" t="s">
        <v>837</v>
      </c>
      <c r="Q24" s="45" t="s">
        <v>808</v>
      </c>
      <c r="R24" s="45" t="s">
        <v>809</v>
      </c>
      <c r="S24" s="45" t="s">
        <v>39</v>
      </c>
      <c r="T24" s="45" t="s">
        <v>810</v>
      </c>
      <c r="U24" s="45" t="s">
        <v>811</v>
      </c>
      <c r="V24" s="45" t="s">
        <v>813</v>
      </c>
      <c r="W24" s="45" t="s">
        <v>102</v>
      </c>
      <c r="X24" s="45" t="s">
        <v>814</v>
      </c>
      <c r="Y24" s="46" t="s">
        <v>841</v>
      </c>
    </row>
    <row r="25" spans="1:25" ht="16.5" customHeight="1" x14ac:dyDescent="0.3">
      <c r="N25" s="32" t="s">
        <v>838</v>
      </c>
      <c r="O25" s="33" t="s">
        <v>110</v>
      </c>
      <c r="P25" s="34">
        <v>22</v>
      </c>
      <c r="Q25" s="35">
        <f>VLOOKUP(O25,tag,9,FALSE)</f>
        <v>0</v>
      </c>
      <c r="R25" s="35">
        <f>VLOOKUP(O25,tag,8,FALSE)</f>
        <v>0</v>
      </c>
      <c r="S25" s="36">
        <f>VLOOKUP(O25,tag,2,FALSE)</f>
        <v>5</v>
      </c>
      <c r="T25" s="35">
        <f>VLOOKUP(O25,tag,10,FALSE)</f>
        <v>2</v>
      </c>
      <c r="U25" s="35">
        <f>VLOOKUP(O25,tag,3,FALSE)+VLOOKUP(O25,tag,4,FALSE)</f>
        <v>2</v>
      </c>
      <c r="V25" s="35">
        <f>VLOOKUP(O25,tag,6,FALSE)</f>
        <v>0</v>
      </c>
      <c r="W25" s="35">
        <f>VLOOKUP(O25,tag,7,FALSE)</f>
        <v>0</v>
      </c>
      <c r="X25" s="36">
        <f>VLOOKUP(O25,tag,5,FALSE)</f>
        <v>7</v>
      </c>
      <c r="Y25" s="36">
        <f>SUM(Q25:X25)</f>
        <v>16</v>
      </c>
    </row>
    <row r="26" spans="1:25" x14ac:dyDescent="0.3">
      <c r="N26" s="32"/>
      <c r="O26" s="33" t="s">
        <v>729</v>
      </c>
      <c r="P26" s="34">
        <v>11</v>
      </c>
      <c r="Q26" s="35">
        <f>VLOOKUP(O26,tag,9,FALSE)</f>
        <v>0</v>
      </c>
      <c r="R26" s="35">
        <f>VLOOKUP(O26,tag,8,FALSE)</f>
        <v>0</v>
      </c>
      <c r="S26" s="36">
        <f>VLOOKUP(O26,tag,2,FALSE)</f>
        <v>2</v>
      </c>
      <c r="T26" s="35">
        <f>VLOOKUP(O26,tag,10,FALSE)</f>
        <v>0</v>
      </c>
      <c r="U26" s="35">
        <f>VLOOKUP(O26,tag,3,FALSE)+VLOOKUP(O26,tag,4,FALSE)</f>
        <v>0</v>
      </c>
      <c r="V26" s="35">
        <f>VLOOKUP(O26,tag,6,FALSE)</f>
        <v>0</v>
      </c>
      <c r="W26" s="35">
        <f>VLOOKUP(O26,tag,7,FALSE)</f>
        <v>0</v>
      </c>
      <c r="X26" s="36">
        <f>VLOOKUP(O26,tag,5,FALSE)</f>
        <v>0</v>
      </c>
      <c r="Y26" s="36">
        <f t="shared" ref="Y26:Y41" si="0">SUM(Q26:X26)</f>
        <v>2</v>
      </c>
    </row>
    <row r="27" spans="1:25" x14ac:dyDescent="0.3">
      <c r="N27" s="32"/>
      <c r="O27" s="33" t="s">
        <v>429</v>
      </c>
      <c r="P27" s="34">
        <v>42</v>
      </c>
      <c r="Q27" s="35">
        <f>VLOOKUP(O27,tag,9,FALSE)</f>
        <v>1</v>
      </c>
      <c r="R27" s="35">
        <f>VLOOKUP(O27,tag,8,FALSE)</f>
        <v>0</v>
      </c>
      <c r="S27" s="36">
        <f>VLOOKUP(O27,tag,2,FALSE)</f>
        <v>5</v>
      </c>
      <c r="T27" s="35">
        <f>VLOOKUP(O27,tag,10,FALSE)</f>
        <v>0</v>
      </c>
      <c r="U27" s="35">
        <f>VLOOKUP(O27,tag,3,FALSE)+VLOOKUP(O27,tag,4,FALSE)</f>
        <v>0</v>
      </c>
      <c r="V27" s="35">
        <f>VLOOKUP(O27,tag,6,FALSE)</f>
        <v>0</v>
      </c>
      <c r="W27" s="35">
        <f>VLOOKUP(O27,tag,7,FALSE)</f>
        <v>0</v>
      </c>
      <c r="X27" s="36">
        <f>VLOOKUP(O27,tag,5,FALSE)</f>
        <v>1</v>
      </c>
      <c r="Y27" s="36">
        <f t="shared" si="0"/>
        <v>7</v>
      </c>
    </row>
    <row r="28" spans="1:25" x14ac:dyDescent="0.3">
      <c r="N28" s="32"/>
      <c r="O28" s="33" t="s">
        <v>208</v>
      </c>
      <c r="P28" s="34">
        <v>55</v>
      </c>
      <c r="Q28" s="35">
        <f>VLOOKUP(O28,tag,9,FALSE)</f>
        <v>0</v>
      </c>
      <c r="R28" s="35">
        <f>VLOOKUP(O28,tag,8,FALSE)</f>
        <v>0</v>
      </c>
      <c r="S28" s="36">
        <f>VLOOKUP(O28,tag,2,FALSE)</f>
        <v>5</v>
      </c>
      <c r="T28" s="35">
        <f>VLOOKUP(O28,tag,10,FALSE)</f>
        <v>1</v>
      </c>
      <c r="U28" s="35">
        <f>VLOOKUP(O28,tag,3,FALSE)+VLOOKUP(O28,tag,4,FALSE)</f>
        <v>5</v>
      </c>
      <c r="V28" s="35">
        <f>VLOOKUP(O28,tag,6,FALSE)</f>
        <v>0</v>
      </c>
      <c r="W28" s="35">
        <f>VLOOKUP(O28,tag,7,FALSE)</f>
        <v>0</v>
      </c>
      <c r="X28" s="36">
        <f>VLOOKUP(O28,tag,5,FALSE)</f>
        <v>2</v>
      </c>
      <c r="Y28" s="36">
        <f t="shared" si="0"/>
        <v>13</v>
      </c>
    </row>
    <row r="29" spans="1:25" x14ac:dyDescent="0.3">
      <c r="N29" s="32"/>
      <c r="O29" s="33" t="s">
        <v>50</v>
      </c>
      <c r="P29" s="34">
        <v>51</v>
      </c>
      <c r="Q29" s="35">
        <f>VLOOKUP(O29,tag,9,FALSE)</f>
        <v>5</v>
      </c>
      <c r="R29" s="35">
        <f>VLOOKUP(O29,tag,8,FALSE)</f>
        <v>0</v>
      </c>
      <c r="S29" s="36">
        <f>VLOOKUP(O29,tag,2,FALSE)</f>
        <v>9</v>
      </c>
      <c r="T29" s="35">
        <f>VLOOKUP(O29,tag,10,FALSE)</f>
        <v>0</v>
      </c>
      <c r="U29" s="35">
        <f>VLOOKUP(O29,tag,3,FALSE)+VLOOKUP(O29,tag,4,FALSE)</f>
        <v>0</v>
      </c>
      <c r="V29" s="35">
        <f>VLOOKUP(O29,tag,6,FALSE)</f>
        <v>1</v>
      </c>
      <c r="W29" s="35">
        <f>VLOOKUP(O29,tag,7,FALSE)</f>
        <v>0</v>
      </c>
      <c r="X29" s="36">
        <f>VLOOKUP(O29,tag,5,FALSE)</f>
        <v>9</v>
      </c>
      <c r="Y29" s="36">
        <f t="shared" si="0"/>
        <v>24</v>
      </c>
    </row>
    <row r="30" spans="1:25" ht="16.5" customHeight="1" x14ac:dyDescent="0.3">
      <c r="N30" s="32" t="s">
        <v>839</v>
      </c>
      <c r="O30" s="33" t="s">
        <v>20</v>
      </c>
      <c r="P30" s="34">
        <v>78</v>
      </c>
      <c r="Q30" s="35">
        <f>VLOOKUP(O30,tag,9,FALSE)</f>
        <v>0</v>
      </c>
      <c r="R30" s="35">
        <f>VLOOKUP(O30,tag,8,FALSE)</f>
        <v>0</v>
      </c>
      <c r="S30" s="36">
        <f>VLOOKUP(O30,tag,2,FALSE)</f>
        <v>16</v>
      </c>
      <c r="T30" s="35">
        <f>VLOOKUP(O30,tag,10,FALSE)</f>
        <v>0</v>
      </c>
      <c r="U30" s="35">
        <f>VLOOKUP(O30,tag,3,FALSE)+VLOOKUP(O30,tag,4,FALSE)</f>
        <v>1</v>
      </c>
      <c r="V30" s="35">
        <f>VLOOKUP(O30,tag,6,FALSE)</f>
        <v>0</v>
      </c>
      <c r="W30" s="35">
        <f>VLOOKUP(O30,tag,7,FALSE)</f>
        <v>0</v>
      </c>
      <c r="X30" s="36">
        <f>VLOOKUP(O30,tag,5,FALSE)</f>
        <v>0</v>
      </c>
      <c r="Y30" s="36">
        <f t="shared" si="0"/>
        <v>17</v>
      </c>
    </row>
    <row r="31" spans="1:25" x14ac:dyDescent="0.3">
      <c r="N31" s="32"/>
      <c r="O31" s="33" t="s">
        <v>73</v>
      </c>
      <c r="P31" s="34">
        <v>51</v>
      </c>
      <c r="Q31" s="35">
        <f>VLOOKUP(O31,tag,9,FALSE)</f>
        <v>3</v>
      </c>
      <c r="R31" s="35">
        <f>VLOOKUP(O31,tag,8,FALSE)</f>
        <v>0</v>
      </c>
      <c r="S31" s="36">
        <f>VLOOKUP(O31,tag,2,FALSE)</f>
        <v>16</v>
      </c>
      <c r="T31" s="35">
        <f>VLOOKUP(O31,tag,10,FALSE)</f>
        <v>0</v>
      </c>
      <c r="U31" s="35">
        <f>VLOOKUP(O31,tag,3,FALSE)+VLOOKUP(O31,tag,4,FALSE)</f>
        <v>0</v>
      </c>
      <c r="V31" s="35">
        <f>VLOOKUP(O31,tag,6,FALSE)</f>
        <v>0</v>
      </c>
      <c r="W31" s="35">
        <f>VLOOKUP(O31,tag,7,FALSE)</f>
        <v>0</v>
      </c>
      <c r="X31" s="36">
        <f>VLOOKUP(O31,tag,5,FALSE)</f>
        <v>4</v>
      </c>
      <c r="Y31" s="36">
        <f t="shared" si="0"/>
        <v>23</v>
      </c>
    </row>
    <row r="32" spans="1:25" x14ac:dyDescent="0.3">
      <c r="N32" s="32"/>
      <c r="O32" s="33" t="s">
        <v>465</v>
      </c>
      <c r="P32" s="34">
        <v>18</v>
      </c>
      <c r="Q32" s="35">
        <f>VLOOKUP(O32,tag,9,FALSE)</f>
        <v>0</v>
      </c>
      <c r="R32" s="35">
        <f>VLOOKUP(O32,tag,8,FALSE)</f>
        <v>0</v>
      </c>
      <c r="S32" s="36">
        <f>VLOOKUP(O32,tag,2,FALSE)</f>
        <v>1</v>
      </c>
      <c r="T32" s="35">
        <f>VLOOKUP(O32,tag,10,FALSE)</f>
        <v>0</v>
      </c>
      <c r="U32" s="35">
        <f>VLOOKUP(O32,tag,3,FALSE)+VLOOKUP(O32,tag,4,FALSE)</f>
        <v>0</v>
      </c>
      <c r="V32" s="35">
        <f>VLOOKUP(O32,tag,6,FALSE)</f>
        <v>0</v>
      </c>
      <c r="W32" s="35">
        <f>VLOOKUP(O32,tag,7,FALSE)</f>
        <v>0</v>
      </c>
      <c r="X32" s="36">
        <f>VLOOKUP(O32,tag,5,FALSE)</f>
        <v>0</v>
      </c>
      <c r="Y32" s="36">
        <f t="shared" si="0"/>
        <v>1</v>
      </c>
    </row>
    <row r="33" spans="14:25" x14ac:dyDescent="0.3">
      <c r="N33" s="32"/>
      <c r="O33" s="33" t="s">
        <v>116</v>
      </c>
      <c r="P33" s="34">
        <v>90</v>
      </c>
      <c r="Q33" s="35">
        <f>VLOOKUP(O33,tag,9,FALSE)</f>
        <v>2</v>
      </c>
      <c r="R33" s="35">
        <f>VLOOKUP(O33,tag,8,FALSE)</f>
        <v>0</v>
      </c>
      <c r="S33" s="36">
        <f>VLOOKUP(O33,tag,2,FALSE)</f>
        <v>8</v>
      </c>
      <c r="T33" s="35">
        <f>VLOOKUP(O33,tag,10,FALSE)</f>
        <v>1</v>
      </c>
      <c r="U33" s="35">
        <f>VLOOKUP(O33,tag,3,FALSE)+VLOOKUP(O33,tag,4,FALSE)</f>
        <v>0</v>
      </c>
      <c r="V33" s="35">
        <f>VLOOKUP(O33,tag,6,FALSE)</f>
        <v>0</v>
      </c>
      <c r="W33" s="35">
        <f>VLOOKUP(O33,tag,7,FALSE)</f>
        <v>0</v>
      </c>
      <c r="X33" s="36">
        <f>VLOOKUP(O33,tag,5,FALSE)</f>
        <v>5</v>
      </c>
      <c r="Y33" s="36">
        <f t="shared" si="0"/>
        <v>16</v>
      </c>
    </row>
    <row r="34" spans="14:25" x14ac:dyDescent="0.3">
      <c r="N34" s="32"/>
      <c r="O34" s="33" t="s">
        <v>165</v>
      </c>
      <c r="P34" s="34">
        <v>65</v>
      </c>
      <c r="Q34" s="35">
        <f>VLOOKUP(O34,tag,9,FALSE)</f>
        <v>3</v>
      </c>
      <c r="R34" s="35">
        <f>VLOOKUP(O34,tag,8,FALSE)</f>
        <v>1</v>
      </c>
      <c r="S34" s="36">
        <f>VLOOKUP(O34,tag,2,FALSE)</f>
        <v>8</v>
      </c>
      <c r="T34" s="35">
        <f>VLOOKUP(O34,tag,10,FALSE)</f>
        <v>2</v>
      </c>
      <c r="U34" s="35">
        <f>VLOOKUP(O34,tag,3,FALSE)+VLOOKUP(O34,tag,4,FALSE)</f>
        <v>0</v>
      </c>
      <c r="V34" s="35">
        <f>VLOOKUP(O34,tag,6,FALSE)</f>
        <v>0</v>
      </c>
      <c r="W34" s="35">
        <f>VLOOKUP(O34,tag,7,FALSE)</f>
        <v>1</v>
      </c>
      <c r="X34" s="36">
        <f>VLOOKUP(O34,tag,5,FALSE)</f>
        <v>4</v>
      </c>
      <c r="Y34" s="36">
        <f t="shared" si="0"/>
        <v>19</v>
      </c>
    </row>
    <row r="35" spans="14:25" x14ac:dyDescent="0.3">
      <c r="N35" s="32"/>
      <c r="O35" s="33" t="s">
        <v>648</v>
      </c>
      <c r="P35" s="34">
        <v>57</v>
      </c>
      <c r="Q35" s="35">
        <f>VLOOKUP(O35,tag,9,FALSE)</f>
        <v>0</v>
      </c>
      <c r="R35" s="35">
        <f>VLOOKUP(O35,tag,8,FALSE)</f>
        <v>2</v>
      </c>
      <c r="S35" s="36">
        <f>VLOOKUP(O35,tag,2,FALSE)</f>
        <v>2</v>
      </c>
      <c r="T35" s="35">
        <f>VLOOKUP(O35,tag,10,FALSE)</f>
        <v>0</v>
      </c>
      <c r="U35" s="35">
        <f>VLOOKUP(O35,tag,3,FALSE)+VLOOKUP(O35,tag,4,FALSE)</f>
        <v>0</v>
      </c>
      <c r="V35" s="35">
        <f>VLOOKUP(O35,tag,6,FALSE)</f>
        <v>0</v>
      </c>
      <c r="W35" s="35">
        <f>VLOOKUP(O35,tag,7,FALSE)</f>
        <v>0</v>
      </c>
      <c r="X35" s="36">
        <f>VLOOKUP(O35,tag,5,FALSE)</f>
        <v>1</v>
      </c>
      <c r="Y35" s="36">
        <f t="shared" si="0"/>
        <v>5</v>
      </c>
    </row>
    <row r="36" spans="14:25" x14ac:dyDescent="0.3">
      <c r="N36" s="37" t="s">
        <v>840</v>
      </c>
      <c r="O36" s="33" t="s">
        <v>203</v>
      </c>
      <c r="P36" s="34">
        <v>10</v>
      </c>
      <c r="Q36" s="35">
        <f>VLOOKUP(O36,tag,9,FALSE)</f>
        <v>0</v>
      </c>
      <c r="R36" s="35">
        <f>VLOOKUP(O36,tag,8,FALSE)</f>
        <v>0</v>
      </c>
      <c r="S36" s="36">
        <f>VLOOKUP(O36,tag,2,FALSE)</f>
        <v>2</v>
      </c>
      <c r="T36" s="35">
        <f>VLOOKUP(O36,tag,10,FALSE)</f>
        <v>0</v>
      </c>
      <c r="U36" s="35">
        <f>VLOOKUP(O36,tag,3,FALSE)+VLOOKUP(O36,tag,4,FALSE)</f>
        <v>0</v>
      </c>
      <c r="V36" s="35">
        <f>VLOOKUP(O36,tag,6,FALSE)</f>
        <v>0</v>
      </c>
      <c r="W36" s="35">
        <f>VLOOKUP(O36,tag,7,FALSE)</f>
        <v>0</v>
      </c>
      <c r="X36" s="36">
        <f>VLOOKUP(O36,tag,5,FALSE)</f>
        <v>2</v>
      </c>
      <c r="Y36" s="36">
        <f t="shared" si="0"/>
        <v>4</v>
      </c>
    </row>
    <row r="37" spans="14:25" x14ac:dyDescent="0.3">
      <c r="N37" s="37"/>
      <c r="O37" s="33" t="s">
        <v>244</v>
      </c>
      <c r="P37" s="34">
        <v>19</v>
      </c>
      <c r="Q37" s="35">
        <f>VLOOKUP(O37,tag,9,FALSE)</f>
        <v>0</v>
      </c>
      <c r="R37" s="35">
        <f>VLOOKUP(O37,tag,8,FALSE)</f>
        <v>0</v>
      </c>
      <c r="S37" s="36">
        <f>VLOOKUP(O37,tag,2,FALSE)</f>
        <v>3</v>
      </c>
      <c r="T37" s="35">
        <f>VLOOKUP(O37,tag,10,FALSE)</f>
        <v>0</v>
      </c>
      <c r="U37" s="35">
        <f>VLOOKUP(O37,tag,3,FALSE)+VLOOKUP(O37,tag,4,FALSE)</f>
        <v>0</v>
      </c>
      <c r="V37" s="35">
        <f>VLOOKUP(O37,tag,6,FALSE)</f>
        <v>0</v>
      </c>
      <c r="W37" s="35">
        <f>VLOOKUP(O37,tag,7,FALSE)</f>
        <v>0</v>
      </c>
      <c r="X37" s="36">
        <f>VLOOKUP(O37,tag,5,FALSE)</f>
        <v>0</v>
      </c>
      <c r="Y37" s="36">
        <f t="shared" si="0"/>
        <v>3</v>
      </c>
    </row>
    <row r="38" spans="14:25" x14ac:dyDescent="0.3">
      <c r="N38" s="37"/>
      <c r="O38" s="33" t="s">
        <v>82</v>
      </c>
      <c r="P38" s="34">
        <v>41</v>
      </c>
      <c r="Q38" s="35">
        <f>VLOOKUP(O38,tag,9,FALSE)</f>
        <v>0</v>
      </c>
      <c r="R38" s="35">
        <f>VLOOKUP(O38,tag,8,FALSE)</f>
        <v>0</v>
      </c>
      <c r="S38" s="36">
        <f>VLOOKUP(O38,tag,2,FALSE)</f>
        <v>2</v>
      </c>
      <c r="T38" s="35">
        <f>VLOOKUP(O38,tag,10,FALSE)</f>
        <v>0</v>
      </c>
      <c r="U38" s="35">
        <f>VLOOKUP(O38,tag,3,FALSE)+VLOOKUP(O38,tag,4,FALSE)</f>
        <v>0</v>
      </c>
      <c r="V38" s="35">
        <f>VLOOKUP(O38,tag,6,FALSE)</f>
        <v>0</v>
      </c>
      <c r="W38" s="35">
        <f>VLOOKUP(O38,tag,7,FALSE)</f>
        <v>0</v>
      </c>
      <c r="X38" s="36">
        <f>VLOOKUP(O38,tag,5,FALSE)</f>
        <v>2</v>
      </c>
      <c r="Y38" s="36">
        <f t="shared" si="0"/>
        <v>4</v>
      </c>
    </row>
    <row r="39" spans="14:25" x14ac:dyDescent="0.3">
      <c r="N39" s="37"/>
      <c r="O39" s="33" t="s">
        <v>99</v>
      </c>
      <c r="P39" s="34">
        <v>19</v>
      </c>
      <c r="Q39" s="35">
        <f>VLOOKUP(O39,tag,9,FALSE)</f>
        <v>0</v>
      </c>
      <c r="R39" s="35">
        <f>VLOOKUP(O39,tag,8,FALSE)</f>
        <v>0</v>
      </c>
      <c r="S39" s="36">
        <f>VLOOKUP(O39,tag,2,FALSE)</f>
        <v>2</v>
      </c>
      <c r="T39" s="35">
        <f>VLOOKUP(O39,tag,10,FALSE)</f>
        <v>0</v>
      </c>
      <c r="U39" s="35">
        <f>VLOOKUP(O39,tag,3,FALSE)+VLOOKUP(O39,tag,4,FALSE)</f>
        <v>0</v>
      </c>
      <c r="V39" s="35">
        <f>VLOOKUP(O39,tag,6,FALSE)</f>
        <v>0</v>
      </c>
      <c r="W39" s="35">
        <f>VLOOKUP(O39,tag,7,FALSE)</f>
        <v>1</v>
      </c>
      <c r="X39" s="36">
        <f>VLOOKUP(O39,tag,5,FALSE)</f>
        <v>0</v>
      </c>
      <c r="Y39" s="36">
        <f t="shared" si="0"/>
        <v>3</v>
      </c>
    </row>
    <row r="40" spans="14:25" x14ac:dyDescent="0.3">
      <c r="N40" s="37"/>
      <c r="O40" s="38" t="s">
        <v>198</v>
      </c>
      <c r="P40" s="39">
        <v>10</v>
      </c>
      <c r="Q40" s="35">
        <f>VLOOKUP(O40,tag,9,FALSE)</f>
        <v>0</v>
      </c>
      <c r="R40" s="35">
        <f>VLOOKUP(O40,tag,8,FALSE)</f>
        <v>1</v>
      </c>
      <c r="S40" s="36">
        <f>VLOOKUP(O40,tag,2,FALSE)</f>
        <v>1</v>
      </c>
      <c r="T40" s="35">
        <f>VLOOKUP(O40,tag,10,FALSE)</f>
        <v>0</v>
      </c>
      <c r="U40" s="35">
        <f>VLOOKUP(O40,tag,3,FALSE)+VLOOKUP(O40,tag,4,FALSE)</f>
        <v>0</v>
      </c>
      <c r="V40" s="35">
        <f>VLOOKUP(O40,tag,6,FALSE)</f>
        <v>0</v>
      </c>
      <c r="W40" s="35">
        <f>VLOOKUP(O40,tag,7,FALSE)</f>
        <v>0</v>
      </c>
      <c r="X40" s="36">
        <f>VLOOKUP(O40,tag,5,FALSE)</f>
        <v>2</v>
      </c>
      <c r="Y40" s="36">
        <f t="shared" si="0"/>
        <v>4</v>
      </c>
    </row>
    <row r="41" spans="14:25" x14ac:dyDescent="0.3">
      <c r="N41" s="37"/>
      <c r="O41" s="33" t="s">
        <v>836</v>
      </c>
      <c r="P41" s="34">
        <v>1</v>
      </c>
      <c r="Q41" s="35">
        <v>0</v>
      </c>
      <c r="R41" s="35">
        <v>0</v>
      </c>
      <c r="S41" s="36">
        <v>0</v>
      </c>
      <c r="T41" s="35">
        <v>0</v>
      </c>
      <c r="U41" s="35">
        <f>VLOOKUP(O25,tag,9,FALSE)</f>
        <v>0</v>
      </c>
      <c r="V41" s="36">
        <v>0</v>
      </c>
      <c r="W41" s="36">
        <v>0</v>
      </c>
      <c r="X41" s="36">
        <v>0</v>
      </c>
      <c r="Y41" s="36">
        <f t="shared" si="0"/>
        <v>0</v>
      </c>
    </row>
    <row r="42" spans="14:25" x14ac:dyDescent="0.3">
      <c r="N42" s="42" t="s">
        <v>841</v>
      </c>
      <c r="O42" s="42"/>
      <c r="P42" s="43">
        <f>SUM(P25:P41)</f>
        <v>640</v>
      </c>
      <c r="Q42" s="44">
        <f>SUM(Q25:Q41)</f>
        <v>14</v>
      </c>
      <c r="R42" s="44">
        <f t="shared" ref="R42:X42" si="1">SUM(R25:R41)</f>
        <v>4</v>
      </c>
      <c r="S42" s="44">
        <f t="shared" si="1"/>
        <v>87</v>
      </c>
      <c r="T42" s="44">
        <f t="shared" si="1"/>
        <v>6</v>
      </c>
      <c r="U42" s="44">
        <f t="shared" si="1"/>
        <v>8</v>
      </c>
      <c r="V42" s="44">
        <f t="shared" si="1"/>
        <v>1</v>
      </c>
      <c r="W42" s="44">
        <f t="shared" si="1"/>
        <v>2</v>
      </c>
      <c r="X42" s="44">
        <f t="shared" si="1"/>
        <v>39</v>
      </c>
      <c r="Y42" s="43">
        <f>SUM(Y25:Y41)</f>
        <v>161</v>
      </c>
    </row>
  </sheetData>
  <mergeCells count="5">
    <mergeCell ref="N42:O42"/>
    <mergeCell ref="N24:O24"/>
    <mergeCell ref="N25:N29"/>
    <mergeCell ref="N30:N35"/>
    <mergeCell ref="N36:N41"/>
  </mergeCells>
  <phoneticPr fontId="3" type="noConversion"/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D7D6-6977-4ABC-82F1-11900B8AE465}">
  <dimension ref="A1:T259"/>
  <sheetViews>
    <sheetView topLeftCell="A203" workbookViewId="0">
      <selection activeCell="G208" sqref="G208"/>
    </sheetView>
  </sheetViews>
  <sheetFormatPr defaultRowHeight="16.5" x14ac:dyDescent="0.3"/>
  <cols>
    <col min="7" max="7" width="95.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832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ht="409.5" x14ac:dyDescent="0.3">
      <c r="A2" s="2" t="s">
        <v>19</v>
      </c>
      <c r="B2" s="3">
        <v>5</v>
      </c>
      <c r="C2" s="3">
        <v>3</v>
      </c>
      <c r="D2" s="3" t="s">
        <v>20</v>
      </c>
      <c r="E2" s="3" t="s">
        <v>21</v>
      </c>
      <c r="F2" s="3" t="s">
        <v>817</v>
      </c>
      <c r="G2" s="22" t="s">
        <v>790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29</v>
      </c>
      <c r="S2" s="23">
        <v>46042.622152777774</v>
      </c>
      <c r="T2" s="24">
        <v>46044.683738425927</v>
      </c>
    </row>
    <row r="3" spans="1:20" x14ac:dyDescent="0.3">
      <c r="A3" s="4" t="s">
        <v>32</v>
      </c>
      <c r="B3" s="5">
        <v>5</v>
      </c>
      <c r="C3" s="5">
        <v>3</v>
      </c>
      <c r="D3" s="5" t="s">
        <v>20</v>
      </c>
      <c r="E3" s="5" t="s">
        <v>33</v>
      </c>
      <c r="F3" s="5" t="s">
        <v>819</v>
      </c>
      <c r="G3" s="5" t="s">
        <v>34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5" t="s">
        <v>28</v>
      </c>
      <c r="O3" s="5" t="s">
        <v>29</v>
      </c>
      <c r="P3" s="5" t="s">
        <v>30</v>
      </c>
      <c r="Q3" s="5" t="s">
        <v>31</v>
      </c>
      <c r="R3" s="5" t="s">
        <v>29</v>
      </c>
      <c r="S3" s="25">
        <v>46041.528807870367</v>
      </c>
      <c r="T3" s="26">
        <v>46045.544687499998</v>
      </c>
    </row>
    <row r="4" spans="1:20" x14ac:dyDescent="0.3">
      <c r="A4" s="2" t="s">
        <v>35</v>
      </c>
      <c r="B4" s="3">
        <v>5</v>
      </c>
      <c r="C4" s="3">
        <v>3</v>
      </c>
      <c r="D4" s="3" t="s">
        <v>20</v>
      </c>
      <c r="E4" s="3" t="s">
        <v>36</v>
      </c>
      <c r="F4" s="3" t="s">
        <v>817</v>
      </c>
      <c r="G4" s="3" t="s">
        <v>37</v>
      </c>
      <c r="H4" s="3" t="s">
        <v>22</v>
      </c>
      <c r="I4" s="3" t="s">
        <v>23</v>
      </c>
      <c r="J4" s="3" t="s">
        <v>38</v>
      </c>
      <c r="K4" s="3" t="s">
        <v>25</v>
      </c>
      <c r="L4" s="3" t="s">
        <v>26</v>
      </c>
      <c r="M4" s="3" t="s">
        <v>27</v>
      </c>
      <c r="N4" s="3" t="s">
        <v>39</v>
      </c>
      <c r="O4" s="3" t="s">
        <v>29</v>
      </c>
      <c r="P4" s="3" t="s">
        <v>30</v>
      </c>
      <c r="Q4" s="3" t="s">
        <v>31</v>
      </c>
      <c r="R4" s="3" t="s">
        <v>29</v>
      </c>
      <c r="S4" s="23">
        <v>46042.456238425926</v>
      </c>
      <c r="T4" s="24">
        <v>46044.688217592593</v>
      </c>
    </row>
    <row r="5" spans="1:20" x14ac:dyDescent="0.3">
      <c r="A5" s="4" t="s">
        <v>40</v>
      </c>
      <c r="B5" s="5">
        <v>5</v>
      </c>
      <c r="C5" s="5">
        <v>3</v>
      </c>
      <c r="D5" s="5" t="s">
        <v>20</v>
      </c>
      <c r="E5" s="5" t="s">
        <v>41</v>
      </c>
      <c r="F5" s="5" t="s">
        <v>817</v>
      </c>
      <c r="G5" s="5" t="s">
        <v>42</v>
      </c>
      <c r="H5" s="5" t="s">
        <v>22</v>
      </c>
      <c r="I5" s="5" t="s">
        <v>23</v>
      </c>
      <c r="J5" s="5" t="s">
        <v>38</v>
      </c>
      <c r="K5" s="5" t="s">
        <v>25</v>
      </c>
      <c r="L5" s="5" t="s">
        <v>26</v>
      </c>
      <c r="M5" s="5" t="s">
        <v>27</v>
      </c>
      <c r="N5" s="5" t="s">
        <v>28</v>
      </c>
      <c r="O5" s="5" t="s">
        <v>29</v>
      </c>
      <c r="P5" s="5" t="s">
        <v>30</v>
      </c>
      <c r="Q5" s="5" t="s">
        <v>31</v>
      </c>
      <c r="R5" s="5" t="s">
        <v>29</v>
      </c>
      <c r="S5" s="25">
        <v>46042.542731481481</v>
      </c>
      <c r="T5" s="26">
        <v>46044.670740740738</v>
      </c>
    </row>
    <row r="6" spans="1:20" ht="264" x14ac:dyDescent="0.3">
      <c r="A6" s="2" t="s">
        <v>40</v>
      </c>
      <c r="B6" s="3">
        <v>5</v>
      </c>
      <c r="C6" s="3">
        <v>3</v>
      </c>
      <c r="D6" s="3" t="s">
        <v>20</v>
      </c>
      <c r="E6" s="3" t="s">
        <v>43</v>
      </c>
      <c r="F6" s="3" t="s">
        <v>817</v>
      </c>
      <c r="G6" s="22" t="s">
        <v>804</v>
      </c>
      <c r="H6" s="3" t="s">
        <v>22</v>
      </c>
      <c r="I6" s="3" t="s">
        <v>23</v>
      </c>
      <c r="J6" s="3" t="s">
        <v>38</v>
      </c>
      <c r="K6" s="3" t="s">
        <v>25</v>
      </c>
      <c r="L6" s="3" t="s">
        <v>26</v>
      </c>
      <c r="M6" s="3" t="s">
        <v>27</v>
      </c>
      <c r="N6" s="3" t="s">
        <v>28</v>
      </c>
      <c r="O6" s="3" t="s">
        <v>29</v>
      </c>
      <c r="P6" s="3" t="s">
        <v>30</v>
      </c>
      <c r="Q6" s="3" t="s">
        <v>31</v>
      </c>
      <c r="R6" s="3" t="s">
        <v>29</v>
      </c>
      <c r="S6" s="23">
        <v>46042.411423611113</v>
      </c>
      <c r="T6" s="24">
        <v>46044.672627314816</v>
      </c>
    </row>
    <row r="7" spans="1:20" x14ac:dyDescent="0.3">
      <c r="A7" s="4" t="s">
        <v>44</v>
      </c>
      <c r="B7" s="5">
        <v>5</v>
      </c>
      <c r="C7" s="5">
        <v>3</v>
      </c>
      <c r="D7" s="5" t="s">
        <v>20</v>
      </c>
      <c r="E7" s="5" t="s">
        <v>45</v>
      </c>
      <c r="F7" s="5" t="s">
        <v>817</v>
      </c>
      <c r="G7" s="5" t="s">
        <v>46</v>
      </c>
      <c r="H7" s="5" t="s">
        <v>22</v>
      </c>
      <c r="I7" s="5" t="s">
        <v>23</v>
      </c>
      <c r="J7" s="5" t="s">
        <v>24</v>
      </c>
      <c r="K7" s="5" t="s">
        <v>25</v>
      </c>
      <c r="L7" s="5" t="s">
        <v>26</v>
      </c>
      <c r="M7" s="5" t="s">
        <v>27</v>
      </c>
      <c r="N7" s="5" t="s">
        <v>39</v>
      </c>
      <c r="O7" s="5" t="s">
        <v>47</v>
      </c>
      <c r="P7" s="5" t="s">
        <v>25</v>
      </c>
      <c r="Q7" s="5" t="s">
        <v>31</v>
      </c>
      <c r="R7" s="5" t="s">
        <v>48</v>
      </c>
      <c r="S7" s="25">
        <v>46045.581990740742</v>
      </c>
      <c r="T7" s="26">
        <v>46048.606886574074</v>
      </c>
    </row>
    <row r="8" spans="1:20" x14ac:dyDescent="0.3">
      <c r="A8" s="2" t="s">
        <v>49</v>
      </c>
      <c r="B8" s="3">
        <v>5</v>
      </c>
      <c r="C8" s="3">
        <v>3</v>
      </c>
      <c r="D8" s="3" t="s">
        <v>50</v>
      </c>
      <c r="E8" s="3" t="s">
        <v>51</v>
      </c>
      <c r="F8" s="3" t="s">
        <v>817</v>
      </c>
      <c r="G8" s="3" t="s">
        <v>52</v>
      </c>
      <c r="H8" s="3" t="s">
        <v>22</v>
      </c>
      <c r="I8" s="3" t="s">
        <v>53</v>
      </c>
      <c r="J8" s="3" t="s">
        <v>54</v>
      </c>
      <c r="K8" s="3" t="s">
        <v>55</v>
      </c>
      <c r="L8" s="3" t="s">
        <v>26</v>
      </c>
      <c r="M8" s="3" t="s">
        <v>27</v>
      </c>
      <c r="N8" s="3" t="s">
        <v>56</v>
      </c>
      <c r="O8" s="3" t="s">
        <v>57</v>
      </c>
      <c r="P8" s="3" t="s">
        <v>30</v>
      </c>
      <c r="Q8" s="3" t="s">
        <v>31</v>
      </c>
      <c r="R8" s="3" t="s">
        <v>57</v>
      </c>
      <c r="S8" s="23">
        <v>46041.690995370373</v>
      </c>
      <c r="T8" s="24">
        <v>46042.624479166669</v>
      </c>
    </row>
    <row r="9" spans="1:20" x14ac:dyDescent="0.3">
      <c r="A9" s="4" t="s">
        <v>58</v>
      </c>
      <c r="B9" s="5">
        <v>5</v>
      </c>
      <c r="C9" s="5">
        <v>3</v>
      </c>
      <c r="D9" s="5" t="s">
        <v>50</v>
      </c>
      <c r="E9" s="5" t="s">
        <v>59</v>
      </c>
      <c r="F9" s="5" t="s">
        <v>829</v>
      </c>
      <c r="G9" s="5" t="s">
        <v>60</v>
      </c>
      <c r="H9" s="5" t="s">
        <v>22</v>
      </c>
      <c r="I9" s="5" t="s">
        <v>53</v>
      </c>
      <c r="J9" s="5" t="s">
        <v>54</v>
      </c>
      <c r="K9" s="5" t="s">
        <v>55</v>
      </c>
      <c r="L9" s="5" t="s">
        <v>26</v>
      </c>
      <c r="M9" s="5" t="s">
        <v>27</v>
      </c>
      <c r="N9" s="5" t="s">
        <v>56</v>
      </c>
      <c r="O9" s="5" t="s">
        <v>57</v>
      </c>
      <c r="P9" s="5" t="s">
        <v>30</v>
      </c>
      <c r="Q9" s="5" t="s">
        <v>31</v>
      </c>
      <c r="R9" s="5" t="s">
        <v>57</v>
      </c>
      <c r="S9" s="25">
        <v>46041.457997685182</v>
      </c>
      <c r="T9" s="26">
        <v>46042.409479166665</v>
      </c>
    </row>
    <row r="10" spans="1:20" x14ac:dyDescent="0.3">
      <c r="A10" s="2" t="s">
        <v>61</v>
      </c>
      <c r="B10" s="3">
        <v>5</v>
      </c>
      <c r="C10" s="3">
        <v>3</v>
      </c>
      <c r="D10" s="3" t="s">
        <v>50</v>
      </c>
      <c r="E10" s="3" t="s">
        <v>62</v>
      </c>
      <c r="F10" s="3" t="s">
        <v>817</v>
      </c>
      <c r="G10" s="3" t="s">
        <v>63</v>
      </c>
      <c r="H10" s="3" t="s">
        <v>22</v>
      </c>
      <c r="I10" s="3" t="s">
        <v>53</v>
      </c>
      <c r="J10" s="3" t="s">
        <v>54</v>
      </c>
      <c r="K10" s="3" t="s">
        <v>55</v>
      </c>
      <c r="L10" s="3" t="s">
        <v>26</v>
      </c>
      <c r="M10" s="3" t="s">
        <v>27</v>
      </c>
      <c r="N10" s="3" t="s">
        <v>28</v>
      </c>
      <c r="O10" s="3" t="s">
        <v>57</v>
      </c>
      <c r="P10" s="3" t="s">
        <v>30</v>
      </c>
      <c r="Q10" s="3" t="s">
        <v>31</v>
      </c>
      <c r="R10" s="3" t="s">
        <v>57</v>
      </c>
      <c r="S10" s="23">
        <v>46041.700208333335</v>
      </c>
      <c r="T10" s="24">
        <v>46042.73878472222</v>
      </c>
    </row>
    <row r="11" spans="1:20" x14ac:dyDescent="0.3">
      <c r="A11" s="4" t="s">
        <v>64</v>
      </c>
      <c r="B11" s="5">
        <v>5</v>
      </c>
      <c r="C11" s="5">
        <v>3</v>
      </c>
      <c r="D11" s="5" t="s">
        <v>50</v>
      </c>
      <c r="E11" s="5" t="s">
        <v>65</v>
      </c>
      <c r="F11" s="5" t="s">
        <v>825</v>
      </c>
      <c r="G11" s="5" t="s">
        <v>66</v>
      </c>
      <c r="H11" s="5" t="s">
        <v>22</v>
      </c>
      <c r="I11" s="5" t="s">
        <v>53</v>
      </c>
      <c r="J11" s="5" t="s">
        <v>67</v>
      </c>
      <c r="K11" s="5" t="s">
        <v>55</v>
      </c>
      <c r="L11" s="5" t="s">
        <v>68</v>
      </c>
      <c r="M11" s="5" t="s">
        <v>27</v>
      </c>
      <c r="N11" s="5" t="s">
        <v>39</v>
      </c>
      <c r="O11" s="5" t="s">
        <v>47</v>
      </c>
      <c r="P11" s="5" t="s">
        <v>55</v>
      </c>
      <c r="Q11" s="5" t="s">
        <v>31</v>
      </c>
      <c r="R11" s="5" t="s">
        <v>48</v>
      </c>
      <c r="S11" s="25">
        <v>46045.591122685182</v>
      </c>
      <c r="T11" s="26">
        <v>46048.62877314815</v>
      </c>
    </row>
    <row r="12" spans="1:20" x14ac:dyDescent="0.3">
      <c r="A12" s="2" t="s">
        <v>69</v>
      </c>
      <c r="B12" s="3">
        <v>5</v>
      </c>
      <c r="C12" s="3">
        <v>3</v>
      </c>
      <c r="D12" s="3" t="s">
        <v>50</v>
      </c>
      <c r="E12" s="3" t="s">
        <v>70</v>
      </c>
      <c r="F12" s="3" t="s">
        <v>831</v>
      </c>
      <c r="G12" s="3" t="s">
        <v>71</v>
      </c>
      <c r="H12" s="3" t="s">
        <v>22</v>
      </c>
      <c r="I12" s="3" t="s">
        <v>53</v>
      </c>
      <c r="J12" s="3" t="s">
        <v>67</v>
      </c>
      <c r="K12" s="3" t="s">
        <v>55</v>
      </c>
      <c r="L12" s="3" t="s">
        <v>26</v>
      </c>
      <c r="M12" s="3" t="s">
        <v>27</v>
      </c>
      <c r="N12" s="3" t="s">
        <v>28</v>
      </c>
      <c r="O12" s="3" t="s">
        <v>47</v>
      </c>
      <c r="P12" s="3" t="s">
        <v>53</v>
      </c>
      <c r="Q12" s="3" t="s">
        <v>31</v>
      </c>
      <c r="R12" s="3" t="s">
        <v>47</v>
      </c>
      <c r="S12" s="23">
        <v>46041.445034722223</v>
      </c>
      <c r="T12" s="24">
        <v>46049.711064814815</v>
      </c>
    </row>
    <row r="13" spans="1:20" x14ac:dyDescent="0.3">
      <c r="A13" s="4" t="s">
        <v>72</v>
      </c>
      <c r="B13" s="5">
        <v>5</v>
      </c>
      <c r="C13" s="5">
        <v>3</v>
      </c>
      <c r="D13" s="5" t="s">
        <v>73</v>
      </c>
      <c r="E13" s="5" t="s">
        <v>74</v>
      </c>
      <c r="F13" s="5" t="s">
        <v>817</v>
      </c>
      <c r="G13" s="5" t="s">
        <v>75</v>
      </c>
      <c r="H13" s="5" t="s">
        <v>22</v>
      </c>
      <c r="I13" s="5" t="s">
        <v>53</v>
      </c>
      <c r="J13" s="5" t="s">
        <v>54</v>
      </c>
      <c r="K13" s="5" t="s">
        <v>55</v>
      </c>
      <c r="L13" s="5" t="s">
        <v>26</v>
      </c>
      <c r="M13" s="5" t="s">
        <v>27</v>
      </c>
      <c r="N13" s="5" t="s">
        <v>39</v>
      </c>
      <c r="O13" s="5" t="s">
        <v>57</v>
      </c>
      <c r="P13" s="5" t="s">
        <v>30</v>
      </c>
      <c r="Q13" s="5" t="s">
        <v>31</v>
      </c>
      <c r="R13" s="5" t="s">
        <v>57</v>
      </c>
      <c r="S13" s="25">
        <v>46042.694895833331</v>
      </c>
      <c r="T13" s="26">
        <v>46042.731064814812</v>
      </c>
    </row>
    <row r="14" spans="1:20" ht="231" x14ac:dyDescent="0.3">
      <c r="A14" s="2" t="s">
        <v>76</v>
      </c>
      <c r="B14" s="3">
        <v>5</v>
      </c>
      <c r="C14" s="3">
        <v>3</v>
      </c>
      <c r="D14" s="3" t="s">
        <v>73</v>
      </c>
      <c r="E14" s="3" t="s">
        <v>77</v>
      </c>
      <c r="F14" s="3" t="s">
        <v>817</v>
      </c>
      <c r="G14" s="22" t="s">
        <v>785</v>
      </c>
      <c r="H14" s="3" t="s">
        <v>22</v>
      </c>
      <c r="I14" s="3" t="s">
        <v>53</v>
      </c>
      <c r="J14" s="3" t="s">
        <v>54</v>
      </c>
      <c r="K14" s="3" t="s">
        <v>55</v>
      </c>
      <c r="L14" s="3" t="s">
        <v>26</v>
      </c>
      <c r="M14" s="3" t="s">
        <v>27</v>
      </c>
      <c r="N14" s="3" t="s">
        <v>39</v>
      </c>
      <c r="O14" s="3" t="s">
        <v>57</v>
      </c>
      <c r="P14" s="3" t="s">
        <v>30</v>
      </c>
      <c r="Q14" s="3" t="s">
        <v>31</v>
      </c>
      <c r="R14" s="3" t="s">
        <v>57</v>
      </c>
      <c r="S14" s="23">
        <v>46043.475891203707</v>
      </c>
      <c r="T14" s="24">
        <v>46048.558136574073</v>
      </c>
    </row>
    <row r="15" spans="1:20" x14ac:dyDescent="0.3">
      <c r="A15" s="4" t="s">
        <v>78</v>
      </c>
      <c r="B15" s="5">
        <v>5</v>
      </c>
      <c r="C15" s="5">
        <v>3</v>
      </c>
      <c r="D15" s="5" t="s">
        <v>73</v>
      </c>
      <c r="E15" s="5" t="s">
        <v>79</v>
      </c>
      <c r="F15" s="5" t="s">
        <v>817</v>
      </c>
      <c r="G15" s="5" t="s">
        <v>80</v>
      </c>
      <c r="H15" s="5" t="s">
        <v>22</v>
      </c>
      <c r="I15" s="5" t="s">
        <v>53</v>
      </c>
      <c r="J15" s="5" t="s">
        <v>54</v>
      </c>
      <c r="K15" s="5" t="s">
        <v>55</v>
      </c>
      <c r="L15" s="5" t="s">
        <v>26</v>
      </c>
      <c r="M15" s="5" t="s">
        <v>27</v>
      </c>
      <c r="N15" s="5" t="s">
        <v>39</v>
      </c>
      <c r="O15" s="5" t="s">
        <v>47</v>
      </c>
      <c r="P15" s="5" t="s">
        <v>55</v>
      </c>
      <c r="Q15" s="5" t="s">
        <v>31</v>
      </c>
      <c r="R15" s="5" t="s">
        <v>48</v>
      </c>
      <c r="S15" s="25">
        <v>46043.379259259258</v>
      </c>
      <c r="T15" s="26">
        <v>46048.559942129628</v>
      </c>
    </row>
    <row r="16" spans="1:20" x14ac:dyDescent="0.3">
      <c r="A16" s="2" t="s">
        <v>81</v>
      </c>
      <c r="B16" s="3">
        <v>5</v>
      </c>
      <c r="C16" s="3">
        <v>3</v>
      </c>
      <c r="D16" s="3" t="s">
        <v>82</v>
      </c>
      <c r="E16" s="3" t="s">
        <v>83</v>
      </c>
      <c r="F16" s="3" t="s">
        <v>827</v>
      </c>
      <c r="G16" s="3" t="s">
        <v>84</v>
      </c>
      <c r="H16" s="3" t="s">
        <v>22</v>
      </c>
      <c r="I16" s="3" t="s">
        <v>85</v>
      </c>
      <c r="J16" s="3" t="s">
        <v>86</v>
      </c>
      <c r="K16" s="3" t="s">
        <v>87</v>
      </c>
      <c r="L16" s="3" t="s">
        <v>26</v>
      </c>
      <c r="M16" s="3" t="s">
        <v>27</v>
      </c>
      <c r="N16" s="3" t="s">
        <v>88</v>
      </c>
      <c r="O16" s="3" t="s">
        <v>47</v>
      </c>
      <c r="P16" s="3" t="s">
        <v>87</v>
      </c>
      <c r="Q16" s="3" t="s">
        <v>31</v>
      </c>
      <c r="R16" s="3" t="s">
        <v>48</v>
      </c>
      <c r="S16" s="23">
        <v>46042.552256944444</v>
      </c>
      <c r="T16" s="24">
        <v>46045.599328703705</v>
      </c>
    </row>
    <row r="17" spans="1:20" x14ac:dyDescent="0.3">
      <c r="A17" s="4" t="s">
        <v>89</v>
      </c>
      <c r="B17" s="5">
        <v>5</v>
      </c>
      <c r="C17" s="5">
        <v>3</v>
      </c>
      <c r="D17" s="5" t="s">
        <v>82</v>
      </c>
      <c r="E17" s="5" t="s">
        <v>90</v>
      </c>
      <c r="F17" s="5" t="s">
        <v>827</v>
      </c>
      <c r="G17" s="5" t="s">
        <v>91</v>
      </c>
      <c r="H17" s="5" t="s">
        <v>22</v>
      </c>
      <c r="I17" s="5" t="s">
        <v>85</v>
      </c>
      <c r="J17" s="5" t="s">
        <v>92</v>
      </c>
      <c r="K17" s="5" t="s">
        <v>87</v>
      </c>
      <c r="L17" s="5" t="s">
        <v>26</v>
      </c>
      <c r="M17" s="5" t="s">
        <v>27</v>
      </c>
      <c r="N17" s="5" t="s">
        <v>39</v>
      </c>
      <c r="O17" s="5" t="s">
        <v>47</v>
      </c>
      <c r="P17" s="5" t="s">
        <v>87</v>
      </c>
      <c r="Q17" s="5" t="s">
        <v>31</v>
      </c>
      <c r="R17" s="5" t="s">
        <v>48</v>
      </c>
      <c r="S17" s="25">
        <v>46042.429351851853</v>
      </c>
      <c r="T17" s="26">
        <v>46045.598587962966</v>
      </c>
    </row>
    <row r="18" spans="1:20" x14ac:dyDescent="0.3">
      <c r="A18" s="2" t="s">
        <v>93</v>
      </c>
      <c r="B18" s="3">
        <v>5</v>
      </c>
      <c r="C18" s="3">
        <v>3</v>
      </c>
      <c r="D18" s="3" t="s">
        <v>82</v>
      </c>
      <c r="E18" s="3" t="s">
        <v>94</v>
      </c>
      <c r="F18" s="3" t="s">
        <v>817</v>
      </c>
      <c r="G18" s="3" t="s">
        <v>95</v>
      </c>
      <c r="H18" s="3" t="s">
        <v>22</v>
      </c>
      <c r="I18" s="3" t="s">
        <v>85</v>
      </c>
      <c r="J18" s="3" t="s">
        <v>96</v>
      </c>
      <c r="K18" s="3" t="s">
        <v>87</v>
      </c>
      <c r="L18" s="3" t="s">
        <v>26</v>
      </c>
      <c r="M18" s="3" t="s">
        <v>27</v>
      </c>
      <c r="N18" s="3" t="s">
        <v>39</v>
      </c>
      <c r="O18" s="3" t="s">
        <v>47</v>
      </c>
      <c r="P18" s="3" t="s">
        <v>85</v>
      </c>
      <c r="Q18" s="3" t="s">
        <v>97</v>
      </c>
      <c r="R18" s="3" t="s">
        <v>47</v>
      </c>
      <c r="S18" s="23">
        <v>46041.473599537036</v>
      </c>
      <c r="T18" s="24">
        <v>46049.455555555556</v>
      </c>
    </row>
    <row r="19" spans="1:20" x14ac:dyDescent="0.3">
      <c r="A19" s="4" t="s">
        <v>98</v>
      </c>
      <c r="B19" s="5">
        <v>5</v>
      </c>
      <c r="C19" s="5">
        <v>3</v>
      </c>
      <c r="D19" s="5" t="s">
        <v>99</v>
      </c>
      <c r="E19" s="5" t="s">
        <v>100</v>
      </c>
      <c r="F19" s="5" t="s">
        <v>829</v>
      </c>
      <c r="G19" s="5" t="s">
        <v>101</v>
      </c>
      <c r="H19" s="5" t="s">
        <v>22</v>
      </c>
      <c r="I19" s="5" t="s">
        <v>85</v>
      </c>
      <c r="J19" s="5" t="s">
        <v>86</v>
      </c>
      <c r="K19" s="5" t="s">
        <v>87</v>
      </c>
      <c r="L19" s="5" t="s">
        <v>26</v>
      </c>
      <c r="M19" s="5" t="s">
        <v>27</v>
      </c>
      <c r="N19" s="5" t="s">
        <v>102</v>
      </c>
      <c r="O19" s="5" t="s">
        <v>57</v>
      </c>
      <c r="P19" s="5" t="s">
        <v>30</v>
      </c>
      <c r="Q19" s="5" t="s">
        <v>31</v>
      </c>
      <c r="R19" s="5" t="s">
        <v>57</v>
      </c>
      <c r="S19" s="25">
        <v>46042.655532407407</v>
      </c>
      <c r="T19" s="26">
        <v>46043.330590277779</v>
      </c>
    </row>
    <row r="20" spans="1:20" x14ac:dyDescent="0.3">
      <c r="A20" s="2" t="s">
        <v>103</v>
      </c>
      <c r="B20" s="3">
        <v>5</v>
      </c>
      <c r="C20" s="3">
        <v>3</v>
      </c>
      <c r="D20" s="3" t="s">
        <v>99</v>
      </c>
      <c r="E20" s="3" t="s">
        <v>104</v>
      </c>
      <c r="F20" s="3" t="s">
        <v>829</v>
      </c>
      <c r="G20" s="3" t="s">
        <v>101</v>
      </c>
      <c r="H20" s="3" t="s">
        <v>22</v>
      </c>
      <c r="I20" s="3" t="s">
        <v>85</v>
      </c>
      <c r="J20" s="3" t="s">
        <v>86</v>
      </c>
      <c r="K20" s="3" t="s">
        <v>87</v>
      </c>
      <c r="L20" s="3" t="s">
        <v>26</v>
      </c>
      <c r="M20" s="3" t="s">
        <v>27</v>
      </c>
      <c r="N20" s="3" t="s">
        <v>102</v>
      </c>
      <c r="O20" s="3" t="s">
        <v>57</v>
      </c>
      <c r="P20" s="3" t="s">
        <v>30</v>
      </c>
      <c r="Q20" s="3" t="s">
        <v>31</v>
      </c>
      <c r="R20" s="3" t="s">
        <v>57</v>
      </c>
      <c r="S20" s="23">
        <v>46042.643958333334</v>
      </c>
      <c r="T20" s="24">
        <v>46043.329837962963</v>
      </c>
    </row>
    <row r="21" spans="1:20" x14ac:dyDescent="0.3">
      <c r="A21" s="4" t="s">
        <v>105</v>
      </c>
      <c r="B21" s="5">
        <v>5</v>
      </c>
      <c r="C21" s="5">
        <v>3</v>
      </c>
      <c r="D21" s="5" t="s">
        <v>99</v>
      </c>
      <c r="E21" s="5" t="s">
        <v>106</v>
      </c>
      <c r="F21" s="5" t="s">
        <v>829</v>
      </c>
      <c r="G21" s="5" t="s">
        <v>107</v>
      </c>
      <c r="H21" s="5" t="s">
        <v>22</v>
      </c>
      <c r="I21" s="5" t="s">
        <v>85</v>
      </c>
      <c r="J21" s="5" t="s">
        <v>86</v>
      </c>
      <c r="K21" s="5" t="s">
        <v>87</v>
      </c>
      <c r="L21" s="5" t="s">
        <v>26</v>
      </c>
      <c r="M21" s="5" t="s">
        <v>27</v>
      </c>
      <c r="N21" s="5" t="s">
        <v>102</v>
      </c>
      <c r="O21" s="5" t="s">
        <v>108</v>
      </c>
      <c r="P21" s="5" t="s">
        <v>86</v>
      </c>
      <c r="Q21" s="5" t="s">
        <v>31</v>
      </c>
      <c r="R21" s="5" t="s">
        <v>108</v>
      </c>
      <c r="S21" s="25">
        <v>46042.62877314815</v>
      </c>
      <c r="T21" s="26">
        <v>46044.574837962966</v>
      </c>
    </row>
    <row r="22" spans="1:20" ht="148.5" x14ac:dyDescent="0.3">
      <c r="A22" s="2" t="s">
        <v>109</v>
      </c>
      <c r="B22" s="3">
        <v>5</v>
      </c>
      <c r="C22" s="3">
        <v>3</v>
      </c>
      <c r="D22" s="3" t="s">
        <v>110</v>
      </c>
      <c r="E22" s="3" t="s">
        <v>111</v>
      </c>
      <c r="F22" s="3" t="s">
        <v>817</v>
      </c>
      <c r="G22" s="22" t="s">
        <v>798</v>
      </c>
      <c r="H22" s="3" t="s">
        <v>22</v>
      </c>
      <c r="I22" s="3" t="s">
        <v>112</v>
      </c>
      <c r="J22" s="3" t="s">
        <v>113</v>
      </c>
      <c r="K22" s="3" t="s">
        <v>114</v>
      </c>
      <c r="L22" s="3" t="s">
        <v>26</v>
      </c>
      <c r="M22" s="3" t="s">
        <v>27</v>
      </c>
      <c r="N22" s="3" t="s">
        <v>88</v>
      </c>
      <c r="O22" s="3" t="s">
        <v>47</v>
      </c>
      <c r="P22" s="3" t="s">
        <v>114</v>
      </c>
      <c r="Q22" s="3" t="s">
        <v>31</v>
      </c>
      <c r="R22" s="3" t="s">
        <v>48</v>
      </c>
      <c r="S22" s="23">
        <v>46044.613067129627</v>
      </c>
      <c r="T22" s="24">
        <v>46048.584594907406</v>
      </c>
    </row>
    <row r="23" spans="1:20" x14ac:dyDescent="0.3">
      <c r="A23" s="4" t="s">
        <v>115</v>
      </c>
      <c r="B23" s="5">
        <v>5</v>
      </c>
      <c r="C23" s="5">
        <v>3</v>
      </c>
      <c r="D23" s="5" t="s">
        <v>116</v>
      </c>
      <c r="E23" s="5" t="s">
        <v>117</v>
      </c>
      <c r="F23" s="5" t="s">
        <v>827</v>
      </c>
      <c r="G23" s="5" t="s">
        <v>118</v>
      </c>
      <c r="H23" s="5" t="s">
        <v>22</v>
      </c>
      <c r="I23" s="5" t="s">
        <v>119</v>
      </c>
      <c r="J23" s="5" t="s">
        <v>120</v>
      </c>
      <c r="K23" s="5" t="s">
        <v>121</v>
      </c>
      <c r="L23" s="5" t="s">
        <v>26</v>
      </c>
      <c r="M23" s="5" t="s">
        <v>27</v>
      </c>
      <c r="N23" s="5" t="s">
        <v>88</v>
      </c>
      <c r="O23" s="5" t="s">
        <v>57</v>
      </c>
      <c r="P23" s="5" t="s">
        <v>30</v>
      </c>
      <c r="Q23" s="5" t="s">
        <v>31</v>
      </c>
      <c r="R23" s="5" t="s">
        <v>57</v>
      </c>
      <c r="S23" s="25">
        <v>46042.420428240737</v>
      </c>
      <c r="T23" s="26">
        <v>46043.411469907405</v>
      </c>
    </row>
    <row r="24" spans="1:20" x14ac:dyDescent="0.3">
      <c r="A24" s="2" t="s">
        <v>122</v>
      </c>
      <c r="B24" s="3">
        <v>5</v>
      </c>
      <c r="C24" s="3">
        <v>3</v>
      </c>
      <c r="D24" s="3" t="s">
        <v>116</v>
      </c>
      <c r="E24" s="3" t="s">
        <v>123</v>
      </c>
      <c r="F24" s="3" t="s">
        <v>817</v>
      </c>
      <c r="G24" s="3" t="s">
        <v>789</v>
      </c>
      <c r="H24" s="3" t="s">
        <v>22</v>
      </c>
      <c r="I24" s="3" t="s">
        <v>119</v>
      </c>
      <c r="J24" s="3" t="s">
        <v>120</v>
      </c>
      <c r="K24" s="3" t="s">
        <v>121</v>
      </c>
      <c r="L24" s="3" t="s">
        <v>26</v>
      </c>
      <c r="M24" s="3" t="s">
        <v>27</v>
      </c>
      <c r="N24" s="3" t="s">
        <v>88</v>
      </c>
      <c r="O24" s="3" t="s">
        <v>57</v>
      </c>
      <c r="P24" s="3" t="s">
        <v>30</v>
      </c>
      <c r="Q24" s="3" t="s">
        <v>31</v>
      </c>
      <c r="R24" s="3" t="s">
        <v>57</v>
      </c>
      <c r="S24" s="23">
        <v>46041.448287037034</v>
      </c>
      <c r="T24" s="24">
        <v>46043.77815972222</v>
      </c>
    </row>
    <row r="25" spans="1:20" x14ac:dyDescent="0.3">
      <c r="A25" s="4" t="s">
        <v>124</v>
      </c>
      <c r="B25" s="5">
        <v>5</v>
      </c>
      <c r="C25" s="5">
        <v>3</v>
      </c>
      <c r="D25" s="5" t="s">
        <v>116</v>
      </c>
      <c r="E25" s="5" t="s">
        <v>125</v>
      </c>
      <c r="F25" s="5" t="s">
        <v>817</v>
      </c>
      <c r="G25" s="5" t="s">
        <v>126</v>
      </c>
      <c r="H25" s="5" t="s">
        <v>22</v>
      </c>
      <c r="I25" s="5" t="s">
        <v>119</v>
      </c>
      <c r="J25" s="5" t="s">
        <v>127</v>
      </c>
      <c r="K25" s="5" t="s">
        <v>121</v>
      </c>
      <c r="L25" s="5" t="s">
        <v>68</v>
      </c>
      <c r="M25" s="5" t="s">
        <v>27</v>
      </c>
      <c r="N25" s="5" t="s">
        <v>102</v>
      </c>
      <c r="O25" s="5" t="s">
        <v>57</v>
      </c>
      <c r="P25" s="5" t="s">
        <v>30</v>
      </c>
      <c r="Q25" s="5" t="s">
        <v>31</v>
      </c>
      <c r="R25" s="5" t="s">
        <v>57</v>
      </c>
      <c r="S25" s="25">
        <v>46043.566111111111</v>
      </c>
      <c r="T25" s="26">
        <v>46043.817384259259</v>
      </c>
    </row>
    <row r="26" spans="1:20" x14ac:dyDescent="0.3">
      <c r="A26" s="2" t="s">
        <v>128</v>
      </c>
      <c r="B26" s="3">
        <v>5</v>
      </c>
      <c r="C26" s="3">
        <v>3</v>
      </c>
      <c r="D26" s="3" t="s">
        <v>116</v>
      </c>
      <c r="E26" s="3" t="s">
        <v>129</v>
      </c>
      <c r="F26" s="3" t="s">
        <v>825</v>
      </c>
      <c r="G26" s="3" t="s">
        <v>786</v>
      </c>
      <c r="H26" s="3" t="s">
        <v>22</v>
      </c>
      <c r="I26" s="3" t="s">
        <v>119</v>
      </c>
      <c r="J26" s="3" t="s">
        <v>127</v>
      </c>
      <c r="K26" s="3" t="s">
        <v>121</v>
      </c>
      <c r="L26" s="3" t="s">
        <v>68</v>
      </c>
      <c r="M26" s="3" t="s">
        <v>27</v>
      </c>
      <c r="N26" s="3" t="s">
        <v>39</v>
      </c>
      <c r="O26" s="3" t="s">
        <v>57</v>
      </c>
      <c r="P26" s="3" t="s">
        <v>30</v>
      </c>
      <c r="Q26" s="3" t="s">
        <v>97</v>
      </c>
      <c r="R26" s="3" t="s">
        <v>57</v>
      </c>
      <c r="S26" s="23">
        <v>46042.688946759263</v>
      </c>
      <c r="T26" s="24">
        <v>46043.730266203704</v>
      </c>
    </row>
    <row r="27" spans="1:20" x14ac:dyDescent="0.3">
      <c r="A27" s="4" t="s">
        <v>130</v>
      </c>
      <c r="B27" s="5">
        <v>5</v>
      </c>
      <c r="C27" s="5">
        <v>3</v>
      </c>
      <c r="D27" s="5" t="s">
        <v>116</v>
      </c>
      <c r="E27" s="5" t="s">
        <v>131</v>
      </c>
      <c r="F27" s="5" t="s">
        <v>825</v>
      </c>
      <c r="G27" s="5" t="s">
        <v>132</v>
      </c>
      <c r="H27" s="5" t="s">
        <v>22</v>
      </c>
      <c r="I27" s="5" t="s">
        <v>119</v>
      </c>
      <c r="J27" s="5" t="s">
        <v>127</v>
      </c>
      <c r="K27" s="5" t="s">
        <v>121</v>
      </c>
      <c r="L27" s="5" t="s">
        <v>68</v>
      </c>
      <c r="M27" s="5" t="s">
        <v>27</v>
      </c>
      <c r="N27" s="5" t="s">
        <v>39</v>
      </c>
      <c r="O27" s="5" t="s">
        <v>57</v>
      </c>
      <c r="P27" s="5" t="s">
        <v>30</v>
      </c>
      <c r="Q27" s="5" t="s">
        <v>97</v>
      </c>
      <c r="R27" s="5" t="s">
        <v>57</v>
      </c>
      <c r="S27" s="25">
        <v>46042.692731481482</v>
      </c>
      <c r="T27" s="26">
        <v>46043.416087962964</v>
      </c>
    </row>
    <row r="28" spans="1:20" x14ac:dyDescent="0.3">
      <c r="A28" s="2" t="s">
        <v>133</v>
      </c>
      <c r="B28" s="3">
        <v>5</v>
      </c>
      <c r="C28" s="3">
        <v>3</v>
      </c>
      <c r="D28" s="3" t="s">
        <v>116</v>
      </c>
      <c r="E28" s="3" t="s">
        <v>134</v>
      </c>
      <c r="F28" s="3" t="s">
        <v>829</v>
      </c>
      <c r="G28" s="3" t="s">
        <v>135</v>
      </c>
      <c r="H28" s="3" t="s">
        <v>22</v>
      </c>
      <c r="I28" s="3" t="s">
        <v>119</v>
      </c>
      <c r="J28" s="3" t="s">
        <v>127</v>
      </c>
      <c r="K28" s="3" t="s">
        <v>121</v>
      </c>
      <c r="L28" s="3" t="s">
        <v>68</v>
      </c>
      <c r="M28" s="3" t="s">
        <v>27</v>
      </c>
      <c r="N28" s="3" t="s">
        <v>39</v>
      </c>
      <c r="O28" s="3" t="s">
        <v>57</v>
      </c>
      <c r="P28" s="3" t="s">
        <v>30</v>
      </c>
      <c r="Q28" s="3" t="s">
        <v>97</v>
      </c>
      <c r="R28" s="3" t="s">
        <v>57</v>
      </c>
      <c r="S28" s="23">
        <v>46043.556238425925</v>
      </c>
      <c r="T28" s="24">
        <v>46043.746631944443</v>
      </c>
    </row>
    <row r="29" spans="1:20" x14ac:dyDescent="0.3">
      <c r="A29" s="4" t="s">
        <v>136</v>
      </c>
      <c r="B29" s="5">
        <v>5</v>
      </c>
      <c r="C29" s="5">
        <v>3</v>
      </c>
      <c r="D29" s="5" t="s">
        <v>116</v>
      </c>
      <c r="E29" s="5" t="s">
        <v>137</v>
      </c>
      <c r="F29" s="5" t="s">
        <v>827</v>
      </c>
      <c r="G29" s="5" t="s">
        <v>138</v>
      </c>
      <c r="H29" s="5" t="s">
        <v>22</v>
      </c>
      <c r="I29" s="5" t="s">
        <v>119</v>
      </c>
      <c r="J29" s="5" t="s">
        <v>120</v>
      </c>
      <c r="K29" s="5" t="s">
        <v>121</v>
      </c>
      <c r="L29" s="5" t="s">
        <v>26</v>
      </c>
      <c r="M29" s="5" t="s">
        <v>27</v>
      </c>
      <c r="N29" s="5" t="s">
        <v>88</v>
      </c>
      <c r="O29" s="5" t="s">
        <v>57</v>
      </c>
      <c r="P29" s="5" t="s">
        <v>30</v>
      </c>
      <c r="Q29" s="5" t="s">
        <v>31</v>
      </c>
      <c r="R29" s="5" t="s">
        <v>57</v>
      </c>
      <c r="S29" s="25">
        <v>46042.415034722224</v>
      </c>
      <c r="T29" s="26">
        <v>46043.413807870369</v>
      </c>
    </row>
    <row r="30" spans="1:20" x14ac:dyDescent="0.3">
      <c r="A30" s="2" t="s">
        <v>139</v>
      </c>
      <c r="B30" s="3">
        <v>5</v>
      </c>
      <c r="C30" s="3">
        <v>3</v>
      </c>
      <c r="D30" s="3" t="s">
        <v>116</v>
      </c>
      <c r="E30" s="3" t="s">
        <v>140</v>
      </c>
      <c r="F30" s="3" t="s">
        <v>825</v>
      </c>
      <c r="G30" s="3" t="s">
        <v>141</v>
      </c>
      <c r="H30" s="3" t="s">
        <v>22</v>
      </c>
      <c r="I30" s="3" t="s">
        <v>119</v>
      </c>
      <c r="J30" s="3" t="s">
        <v>127</v>
      </c>
      <c r="K30" s="3" t="s">
        <v>121</v>
      </c>
      <c r="L30" s="3" t="s">
        <v>68</v>
      </c>
      <c r="M30" s="3" t="s">
        <v>27</v>
      </c>
      <c r="N30" s="3" t="s">
        <v>39</v>
      </c>
      <c r="O30" s="3" t="s">
        <v>29</v>
      </c>
      <c r="P30" s="3" t="s">
        <v>30</v>
      </c>
      <c r="Q30" s="3" t="s">
        <v>31</v>
      </c>
      <c r="R30" s="3" t="s">
        <v>29</v>
      </c>
      <c r="S30" s="23">
        <v>46043.469675925924</v>
      </c>
      <c r="T30" s="24">
        <v>46044.656354166669</v>
      </c>
    </row>
    <row r="31" spans="1:20" x14ac:dyDescent="0.3">
      <c r="A31" s="4" t="s">
        <v>142</v>
      </c>
      <c r="B31" s="5">
        <v>5</v>
      </c>
      <c r="C31" s="5">
        <v>3</v>
      </c>
      <c r="D31" s="5" t="s">
        <v>116</v>
      </c>
      <c r="E31" s="5" t="s">
        <v>143</v>
      </c>
      <c r="F31" s="5" t="s">
        <v>825</v>
      </c>
      <c r="G31" s="5" t="s">
        <v>144</v>
      </c>
      <c r="H31" s="5" t="s">
        <v>22</v>
      </c>
      <c r="I31" s="5" t="s">
        <v>119</v>
      </c>
      <c r="J31" s="5" t="s">
        <v>127</v>
      </c>
      <c r="K31" s="5" t="s">
        <v>121</v>
      </c>
      <c r="L31" s="5" t="s">
        <v>68</v>
      </c>
      <c r="M31" s="5" t="s">
        <v>27</v>
      </c>
      <c r="N31" s="5" t="s">
        <v>39</v>
      </c>
      <c r="O31" s="5" t="s">
        <v>29</v>
      </c>
      <c r="P31" s="5" t="s">
        <v>30</v>
      </c>
      <c r="Q31" s="5" t="s">
        <v>31</v>
      </c>
      <c r="R31" s="5" t="s">
        <v>29</v>
      </c>
      <c r="S31" s="25">
        <v>46043.474791666667</v>
      </c>
      <c r="T31" s="26">
        <v>46044.65662037037</v>
      </c>
    </row>
    <row r="32" spans="1:20" x14ac:dyDescent="0.3">
      <c r="A32" s="2" t="s">
        <v>115</v>
      </c>
      <c r="B32" s="3">
        <v>5</v>
      </c>
      <c r="C32" s="3">
        <v>3</v>
      </c>
      <c r="D32" s="3" t="s">
        <v>116</v>
      </c>
      <c r="E32" s="3" t="s">
        <v>145</v>
      </c>
      <c r="F32" s="3" t="s">
        <v>817</v>
      </c>
      <c r="G32" s="3" t="s">
        <v>796</v>
      </c>
      <c r="H32" s="3" t="s">
        <v>22</v>
      </c>
      <c r="I32" s="3" t="s">
        <v>119</v>
      </c>
      <c r="J32" s="3" t="s">
        <v>120</v>
      </c>
      <c r="K32" s="3" t="s">
        <v>121</v>
      </c>
      <c r="L32" s="3" t="s">
        <v>26</v>
      </c>
      <c r="M32" s="3" t="s">
        <v>27</v>
      </c>
      <c r="N32" s="3" t="s">
        <v>39</v>
      </c>
      <c r="O32" s="3" t="s">
        <v>29</v>
      </c>
      <c r="P32" s="3" t="s">
        <v>30</v>
      </c>
      <c r="Q32" s="3" t="s">
        <v>97</v>
      </c>
      <c r="R32" s="3" t="s">
        <v>29</v>
      </c>
      <c r="S32" s="23">
        <v>46042.435289351852</v>
      </c>
      <c r="T32" s="24">
        <v>46044.660694444443</v>
      </c>
    </row>
    <row r="33" spans="1:20" x14ac:dyDescent="0.3">
      <c r="A33" s="4" t="s">
        <v>147</v>
      </c>
      <c r="B33" s="5">
        <v>5</v>
      </c>
      <c r="C33" s="5">
        <v>3</v>
      </c>
      <c r="D33" s="5" t="s">
        <v>116</v>
      </c>
      <c r="E33" s="5" t="s">
        <v>148</v>
      </c>
      <c r="F33" s="5" t="s">
        <v>817</v>
      </c>
      <c r="G33" s="5" t="s">
        <v>146</v>
      </c>
      <c r="H33" s="5" t="s">
        <v>22</v>
      </c>
      <c r="I33" s="5" t="s">
        <v>119</v>
      </c>
      <c r="J33" s="5" t="s">
        <v>120</v>
      </c>
      <c r="K33" s="5" t="s">
        <v>121</v>
      </c>
      <c r="L33" s="5" t="s">
        <v>26</v>
      </c>
      <c r="M33" s="5" t="s">
        <v>27</v>
      </c>
      <c r="N33" s="5" t="s">
        <v>39</v>
      </c>
      <c r="O33" s="5" t="s">
        <v>29</v>
      </c>
      <c r="P33" s="5" t="s">
        <v>30</v>
      </c>
      <c r="Q33" s="5" t="s">
        <v>97</v>
      </c>
      <c r="R33" s="5" t="s">
        <v>29</v>
      </c>
      <c r="S33" s="25">
        <v>46042.441238425927</v>
      </c>
      <c r="T33" s="26">
        <v>46044.661030092589</v>
      </c>
    </row>
    <row r="34" spans="1:20" x14ac:dyDescent="0.3">
      <c r="A34" s="2" t="s">
        <v>122</v>
      </c>
      <c r="B34" s="3">
        <v>5</v>
      </c>
      <c r="C34" s="3">
        <v>3</v>
      </c>
      <c r="D34" s="3" t="s">
        <v>116</v>
      </c>
      <c r="E34" s="3" t="s">
        <v>149</v>
      </c>
      <c r="F34" s="3" t="s">
        <v>827</v>
      </c>
      <c r="G34" s="3" t="s">
        <v>150</v>
      </c>
      <c r="H34" s="3" t="s">
        <v>22</v>
      </c>
      <c r="I34" s="3" t="s">
        <v>119</v>
      </c>
      <c r="J34" s="3" t="s">
        <v>120</v>
      </c>
      <c r="K34" s="3" t="s">
        <v>121</v>
      </c>
      <c r="L34" s="3" t="s">
        <v>26</v>
      </c>
      <c r="M34" s="3" t="s">
        <v>27</v>
      </c>
      <c r="N34" s="3" t="s">
        <v>102</v>
      </c>
      <c r="O34" s="3" t="s">
        <v>47</v>
      </c>
      <c r="P34" s="3" t="s">
        <v>121</v>
      </c>
      <c r="Q34" s="3" t="s">
        <v>97</v>
      </c>
      <c r="R34" s="3" t="s">
        <v>48</v>
      </c>
      <c r="S34" s="23">
        <v>46041.457638888889</v>
      </c>
      <c r="T34" s="24">
        <v>46048.391840277778</v>
      </c>
    </row>
    <row r="35" spans="1:20" x14ac:dyDescent="0.3">
      <c r="A35" s="4" t="s">
        <v>151</v>
      </c>
      <c r="B35" s="5">
        <v>5</v>
      </c>
      <c r="C35" s="5">
        <v>3</v>
      </c>
      <c r="D35" s="5" t="s">
        <v>116</v>
      </c>
      <c r="E35" s="5" t="s">
        <v>152</v>
      </c>
      <c r="F35" s="5" t="s">
        <v>817</v>
      </c>
      <c r="G35" s="5" t="s">
        <v>153</v>
      </c>
      <c r="H35" s="5" t="s">
        <v>22</v>
      </c>
      <c r="I35" s="5" t="s">
        <v>119</v>
      </c>
      <c r="J35" s="5" t="s">
        <v>120</v>
      </c>
      <c r="K35" s="5" t="s">
        <v>121</v>
      </c>
      <c r="L35" s="5" t="s">
        <v>26</v>
      </c>
      <c r="M35" s="5" t="s">
        <v>27</v>
      </c>
      <c r="N35" s="5" t="s">
        <v>88</v>
      </c>
      <c r="O35" s="5" t="s">
        <v>47</v>
      </c>
      <c r="P35" s="5" t="s">
        <v>121</v>
      </c>
      <c r="Q35" s="5" t="s">
        <v>31</v>
      </c>
      <c r="R35" s="5" t="s">
        <v>48</v>
      </c>
      <c r="S35" s="25">
        <v>46041.470347222225</v>
      </c>
      <c r="T35" s="26">
        <v>46048.391504629632</v>
      </c>
    </row>
    <row r="36" spans="1:20" x14ac:dyDescent="0.3">
      <c r="A36" s="2" t="s">
        <v>154</v>
      </c>
      <c r="B36" s="3">
        <v>5</v>
      </c>
      <c r="C36" s="3">
        <v>3</v>
      </c>
      <c r="D36" s="3" t="s">
        <v>116</v>
      </c>
      <c r="E36" s="3" t="s">
        <v>155</v>
      </c>
      <c r="F36" s="3" t="s">
        <v>817</v>
      </c>
      <c r="G36" s="3" t="s">
        <v>794</v>
      </c>
      <c r="H36" s="3" t="s">
        <v>22</v>
      </c>
      <c r="I36" s="3" t="s">
        <v>119</v>
      </c>
      <c r="J36" s="3" t="s">
        <v>120</v>
      </c>
      <c r="K36" s="3" t="s">
        <v>121</v>
      </c>
      <c r="L36" s="3" t="s">
        <v>26</v>
      </c>
      <c r="M36" s="3" t="s">
        <v>27</v>
      </c>
      <c r="N36" s="3" t="s">
        <v>39</v>
      </c>
      <c r="O36" s="3" t="s">
        <v>47</v>
      </c>
      <c r="P36" s="3" t="s">
        <v>121</v>
      </c>
      <c r="Q36" s="3" t="s">
        <v>156</v>
      </c>
      <c r="R36" s="3" t="s">
        <v>48</v>
      </c>
      <c r="S36" s="23">
        <v>46042.472905092596</v>
      </c>
      <c r="T36" s="24">
        <v>46044.555162037039</v>
      </c>
    </row>
    <row r="37" spans="1:20" x14ac:dyDescent="0.3">
      <c r="A37" s="4" t="s">
        <v>154</v>
      </c>
      <c r="B37" s="5">
        <v>5</v>
      </c>
      <c r="C37" s="5">
        <v>3</v>
      </c>
      <c r="D37" s="5" t="s">
        <v>116</v>
      </c>
      <c r="E37" s="5" t="s">
        <v>157</v>
      </c>
      <c r="F37" s="5" t="s">
        <v>817</v>
      </c>
      <c r="G37" s="5" t="s">
        <v>158</v>
      </c>
      <c r="H37" s="5" t="s">
        <v>22</v>
      </c>
      <c r="I37" s="5" t="s">
        <v>119</v>
      </c>
      <c r="J37" s="5" t="s">
        <v>120</v>
      </c>
      <c r="K37" s="5" t="s">
        <v>121</v>
      </c>
      <c r="L37" s="5" t="s">
        <v>26</v>
      </c>
      <c r="M37" s="5" t="s">
        <v>27</v>
      </c>
      <c r="N37" s="5" t="s">
        <v>39</v>
      </c>
      <c r="O37" s="5" t="s">
        <v>47</v>
      </c>
      <c r="P37" s="5" t="s">
        <v>121</v>
      </c>
      <c r="Q37" s="5" t="s">
        <v>156</v>
      </c>
      <c r="R37" s="5" t="s">
        <v>48</v>
      </c>
      <c r="S37" s="25">
        <v>46042.475370370368</v>
      </c>
      <c r="T37" s="26">
        <v>46044.565775462965</v>
      </c>
    </row>
    <row r="38" spans="1:20" x14ac:dyDescent="0.3">
      <c r="A38" s="2" t="s">
        <v>154</v>
      </c>
      <c r="B38" s="3">
        <v>5</v>
      </c>
      <c r="C38" s="3">
        <v>3</v>
      </c>
      <c r="D38" s="3" t="s">
        <v>116</v>
      </c>
      <c r="E38" s="3" t="s">
        <v>159</v>
      </c>
      <c r="F38" s="3" t="s">
        <v>817</v>
      </c>
      <c r="G38" s="3" t="s">
        <v>160</v>
      </c>
      <c r="H38" s="3" t="s">
        <v>22</v>
      </c>
      <c r="I38" s="3" t="s">
        <v>119</v>
      </c>
      <c r="J38" s="3" t="s">
        <v>120</v>
      </c>
      <c r="K38" s="3" t="s">
        <v>121</v>
      </c>
      <c r="L38" s="3" t="s">
        <v>26</v>
      </c>
      <c r="M38" s="3" t="s">
        <v>27</v>
      </c>
      <c r="N38" s="3" t="s">
        <v>39</v>
      </c>
      <c r="O38" s="3" t="s">
        <v>47</v>
      </c>
      <c r="P38" s="3" t="s">
        <v>121</v>
      </c>
      <c r="Q38" s="3" t="s">
        <v>31</v>
      </c>
      <c r="R38" s="3" t="s">
        <v>48</v>
      </c>
      <c r="S38" s="23">
        <v>46042.469513888886</v>
      </c>
      <c r="T38" s="24">
        <v>46044.566030092596</v>
      </c>
    </row>
    <row r="39" spans="1:20" x14ac:dyDescent="0.3">
      <c r="A39" s="4" t="s">
        <v>161</v>
      </c>
      <c r="B39" s="5">
        <v>5</v>
      </c>
      <c r="C39" s="5">
        <v>3</v>
      </c>
      <c r="D39" s="5" t="s">
        <v>116</v>
      </c>
      <c r="E39" s="5" t="s">
        <v>162</v>
      </c>
      <c r="F39" s="5" t="s">
        <v>817</v>
      </c>
      <c r="G39" s="5" t="s">
        <v>163</v>
      </c>
      <c r="H39" s="5" t="s">
        <v>22</v>
      </c>
      <c r="I39" s="5" t="s">
        <v>119</v>
      </c>
      <c r="J39" s="5" t="s">
        <v>120</v>
      </c>
      <c r="K39" s="5" t="s">
        <v>121</v>
      </c>
      <c r="L39" s="5" t="s">
        <v>26</v>
      </c>
      <c r="M39" s="5" t="s">
        <v>27</v>
      </c>
      <c r="N39" s="5" t="s">
        <v>39</v>
      </c>
      <c r="O39" s="5" t="s">
        <v>47</v>
      </c>
      <c r="P39" s="5" t="s">
        <v>121</v>
      </c>
      <c r="Q39" s="5" t="s">
        <v>97</v>
      </c>
      <c r="R39" s="5" t="s">
        <v>48</v>
      </c>
      <c r="S39" s="25">
        <v>46041.586956018517</v>
      </c>
      <c r="T39" s="26">
        <v>46048.392928240741</v>
      </c>
    </row>
    <row r="40" spans="1:20" x14ac:dyDescent="0.3">
      <c r="A40" s="2" t="s">
        <v>164</v>
      </c>
      <c r="B40" s="3">
        <v>5</v>
      </c>
      <c r="C40" s="3">
        <v>3</v>
      </c>
      <c r="D40" s="3" t="s">
        <v>165</v>
      </c>
      <c r="E40" s="3" t="s">
        <v>166</v>
      </c>
      <c r="F40" s="3" t="s">
        <v>829</v>
      </c>
      <c r="G40" s="3" t="s">
        <v>167</v>
      </c>
      <c r="H40" s="3" t="s">
        <v>22</v>
      </c>
      <c r="I40" s="3" t="s">
        <v>168</v>
      </c>
      <c r="J40" s="3" t="s">
        <v>169</v>
      </c>
      <c r="K40" s="3" t="s">
        <v>114</v>
      </c>
      <c r="L40" s="3" t="s">
        <v>26</v>
      </c>
      <c r="M40" s="3" t="s">
        <v>27</v>
      </c>
      <c r="N40" s="3" t="s">
        <v>102</v>
      </c>
      <c r="O40" s="3" t="s">
        <v>170</v>
      </c>
      <c r="P40" s="3" t="s">
        <v>168</v>
      </c>
      <c r="Q40" s="3" t="s">
        <v>97</v>
      </c>
      <c r="R40" s="3" t="s">
        <v>170</v>
      </c>
      <c r="S40" s="23">
        <v>46043.720995370371</v>
      </c>
      <c r="T40" s="24">
        <v>46043.720995370371</v>
      </c>
    </row>
    <row r="41" spans="1:20" x14ac:dyDescent="0.3">
      <c r="A41" s="4" t="s">
        <v>164</v>
      </c>
      <c r="B41" s="5">
        <v>5</v>
      </c>
      <c r="C41" s="5">
        <v>3</v>
      </c>
      <c r="D41" s="5" t="s">
        <v>165</v>
      </c>
      <c r="E41" s="5" t="s">
        <v>171</v>
      </c>
      <c r="F41" s="5" t="s">
        <v>827</v>
      </c>
      <c r="G41" s="5" t="s">
        <v>172</v>
      </c>
      <c r="H41" s="5" t="s">
        <v>22</v>
      </c>
      <c r="I41" s="5" t="s">
        <v>168</v>
      </c>
      <c r="J41" s="5" t="s">
        <v>169</v>
      </c>
      <c r="K41" s="5" t="s">
        <v>114</v>
      </c>
      <c r="L41" s="5" t="s">
        <v>26</v>
      </c>
      <c r="M41" s="5" t="s">
        <v>27</v>
      </c>
      <c r="N41" s="5" t="s">
        <v>88</v>
      </c>
      <c r="O41" s="5" t="s">
        <v>57</v>
      </c>
      <c r="P41" s="5" t="s">
        <v>30</v>
      </c>
      <c r="Q41" s="5" t="s">
        <v>31</v>
      </c>
      <c r="R41" s="5" t="s">
        <v>57</v>
      </c>
      <c r="S41" s="25">
        <v>46041.674120370371</v>
      </c>
      <c r="T41" s="26">
        <v>46044.566423611112</v>
      </c>
    </row>
    <row r="42" spans="1:20" x14ac:dyDescent="0.3">
      <c r="A42" s="2" t="s">
        <v>173</v>
      </c>
      <c r="B42" s="3">
        <v>5</v>
      </c>
      <c r="C42" s="3">
        <v>3</v>
      </c>
      <c r="D42" s="3" t="s">
        <v>165</v>
      </c>
      <c r="E42" s="3" t="s">
        <v>174</v>
      </c>
      <c r="F42" s="3" t="s">
        <v>827</v>
      </c>
      <c r="G42" s="3" t="s">
        <v>175</v>
      </c>
      <c r="H42" s="3" t="s">
        <v>22</v>
      </c>
      <c r="I42" s="3" t="s">
        <v>168</v>
      </c>
      <c r="J42" s="3" t="s">
        <v>176</v>
      </c>
      <c r="K42" s="3" t="s">
        <v>114</v>
      </c>
      <c r="L42" s="3" t="s">
        <v>26</v>
      </c>
      <c r="M42" s="3" t="s">
        <v>27</v>
      </c>
      <c r="N42" s="3" t="s">
        <v>177</v>
      </c>
      <c r="O42" s="3" t="s">
        <v>57</v>
      </c>
      <c r="P42" s="3" t="s">
        <v>30</v>
      </c>
      <c r="Q42" s="3" t="s">
        <v>31</v>
      </c>
      <c r="R42" s="3" t="s">
        <v>57</v>
      </c>
      <c r="S42" s="23">
        <v>46042.618541666663</v>
      </c>
      <c r="T42" s="24">
        <v>46042.632569444446</v>
      </c>
    </row>
    <row r="43" spans="1:20" x14ac:dyDescent="0.3">
      <c r="A43" s="4" t="s">
        <v>178</v>
      </c>
      <c r="B43" s="5">
        <v>5</v>
      </c>
      <c r="C43" s="5">
        <v>3</v>
      </c>
      <c r="D43" s="5" t="s">
        <v>165</v>
      </c>
      <c r="E43" s="5" t="s">
        <v>179</v>
      </c>
      <c r="F43" s="5"/>
      <c r="G43" s="5" t="s">
        <v>180</v>
      </c>
      <c r="H43" s="5" t="s">
        <v>22</v>
      </c>
      <c r="I43" s="5" t="s">
        <v>168</v>
      </c>
      <c r="J43" s="5" t="s">
        <v>176</v>
      </c>
      <c r="K43" s="5" t="s">
        <v>114</v>
      </c>
      <c r="L43" s="5" t="s">
        <v>26</v>
      </c>
      <c r="M43" s="5" t="s">
        <v>27</v>
      </c>
      <c r="N43" s="5" t="s">
        <v>177</v>
      </c>
      <c r="O43" s="5" t="s">
        <v>57</v>
      </c>
      <c r="P43" s="5" t="s">
        <v>30</v>
      </c>
      <c r="Q43" s="5" t="s">
        <v>31</v>
      </c>
      <c r="R43" s="5" t="s">
        <v>57</v>
      </c>
      <c r="S43" s="25">
        <v>46042.622291666667</v>
      </c>
      <c r="T43" s="26">
        <v>46042.63175925926</v>
      </c>
    </row>
    <row r="44" spans="1:20" x14ac:dyDescent="0.3">
      <c r="A44" s="2" t="s">
        <v>181</v>
      </c>
      <c r="B44" s="3">
        <v>5</v>
      </c>
      <c r="C44" s="3">
        <v>3</v>
      </c>
      <c r="D44" s="3" t="s">
        <v>165</v>
      </c>
      <c r="E44" s="3" t="s">
        <v>182</v>
      </c>
      <c r="F44" s="3"/>
      <c r="G44" s="3" t="s">
        <v>183</v>
      </c>
      <c r="H44" s="3" t="s">
        <v>22</v>
      </c>
      <c r="I44" s="3" t="s">
        <v>168</v>
      </c>
      <c r="J44" s="3" t="s">
        <v>176</v>
      </c>
      <c r="K44" s="3" t="s">
        <v>114</v>
      </c>
      <c r="L44" s="3" t="s">
        <v>26</v>
      </c>
      <c r="M44" s="3" t="s">
        <v>27</v>
      </c>
      <c r="N44" s="3" t="s">
        <v>39</v>
      </c>
      <c r="O44" s="3" t="s">
        <v>57</v>
      </c>
      <c r="P44" s="3" t="s">
        <v>30</v>
      </c>
      <c r="Q44" s="3" t="s">
        <v>97</v>
      </c>
      <c r="R44" s="3" t="s">
        <v>57</v>
      </c>
      <c r="S44" s="23">
        <v>46045.573449074072</v>
      </c>
      <c r="T44" s="24">
        <v>46048.451423611114</v>
      </c>
    </row>
    <row r="45" spans="1:20" x14ac:dyDescent="0.3">
      <c r="A45" s="4" t="s">
        <v>184</v>
      </c>
      <c r="B45" s="5">
        <v>5</v>
      </c>
      <c r="C45" s="5">
        <v>3</v>
      </c>
      <c r="D45" s="5" t="s">
        <v>165</v>
      </c>
      <c r="E45" s="5" t="s">
        <v>185</v>
      </c>
      <c r="F45" s="5"/>
      <c r="G45" s="5" t="s">
        <v>186</v>
      </c>
      <c r="H45" s="5" t="s">
        <v>22</v>
      </c>
      <c r="I45" s="5" t="s">
        <v>168</v>
      </c>
      <c r="J45" s="5" t="s">
        <v>176</v>
      </c>
      <c r="K45" s="5" t="s">
        <v>114</v>
      </c>
      <c r="L45" s="5" t="s">
        <v>26</v>
      </c>
      <c r="M45" s="5" t="s">
        <v>27</v>
      </c>
      <c r="N45" s="5" t="s">
        <v>88</v>
      </c>
      <c r="O45" s="5" t="s">
        <v>57</v>
      </c>
      <c r="P45" s="5" t="s">
        <v>30</v>
      </c>
      <c r="Q45" s="5" t="s">
        <v>31</v>
      </c>
      <c r="R45" s="5" t="s">
        <v>57</v>
      </c>
      <c r="S45" s="25">
        <v>46043.377372685187</v>
      </c>
      <c r="T45" s="26">
        <v>46048.727280092593</v>
      </c>
    </row>
    <row r="46" spans="1:20" x14ac:dyDescent="0.3">
      <c r="A46" s="2" t="s">
        <v>187</v>
      </c>
      <c r="B46" s="3">
        <v>5</v>
      </c>
      <c r="C46" s="3">
        <v>3</v>
      </c>
      <c r="D46" s="3" t="s">
        <v>165</v>
      </c>
      <c r="E46" s="3" t="s">
        <v>188</v>
      </c>
      <c r="F46" s="3" t="s">
        <v>817</v>
      </c>
      <c r="G46" s="3" t="s">
        <v>189</v>
      </c>
      <c r="H46" s="3" t="s">
        <v>22</v>
      </c>
      <c r="I46" s="3" t="s">
        <v>168</v>
      </c>
      <c r="J46" s="3" t="s">
        <v>176</v>
      </c>
      <c r="K46" s="3" t="s">
        <v>114</v>
      </c>
      <c r="L46" s="3" t="s">
        <v>26</v>
      </c>
      <c r="M46" s="3" t="s">
        <v>27</v>
      </c>
      <c r="N46" s="3" t="s">
        <v>88</v>
      </c>
      <c r="O46" s="3" t="s">
        <v>108</v>
      </c>
      <c r="P46" s="3" t="s">
        <v>176</v>
      </c>
      <c r="Q46" s="3" t="s">
        <v>31</v>
      </c>
      <c r="R46" s="3" t="s">
        <v>108</v>
      </c>
      <c r="S46" s="23">
        <v>46045.62804398148</v>
      </c>
      <c r="T46" s="24">
        <v>46048.71943287037</v>
      </c>
    </row>
    <row r="47" spans="1:20" x14ac:dyDescent="0.3">
      <c r="A47" s="4" t="s">
        <v>181</v>
      </c>
      <c r="B47" s="5">
        <v>5</v>
      </c>
      <c r="C47" s="5">
        <v>3</v>
      </c>
      <c r="D47" s="5" t="s">
        <v>165</v>
      </c>
      <c r="E47" s="5" t="s">
        <v>190</v>
      </c>
      <c r="F47" s="5" t="s">
        <v>827</v>
      </c>
      <c r="G47" s="5" t="s">
        <v>191</v>
      </c>
      <c r="H47" s="5" t="s">
        <v>22</v>
      </c>
      <c r="I47" s="5" t="s">
        <v>168</v>
      </c>
      <c r="J47" s="5" t="s">
        <v>176</v>
      </c>
      <c r="K47" s="5" t="s">
        <v>114</v>
      </c>
      <c r="L47" s="5" t="s">
        <v>26</v>
      </c>
      <c r="M47" s="5" t="s">
        <v>27</v>
      </c>
      <c r="N47" s="5" t="s">
        <v>177</v>
      </c>
      <c r="O47" s="5" t="s">
        <v>108</v>
      </c>
      <c r="P47" s="5" t="s">
        <v>176</v>
      </c>
      <c r="Q47" s="5" t="s">
        <v>31</v>
      </c>
      <c r="R47" s="5" t="s">
        <v>108</v>
      </c>
      <c r="S47" s="25">
        <v>46042.575023148151</v>
      </c>
      <c r="T47" s="26">
        <v>46043.473356481481</v>
      </c>
    </row>
    <row r="48" spans="1:20" x14ac:dyDescent="0.3">
      <c r="A48" s="2" t="s">
        <v>181</v>
      </c>
      <c r="B48" s="3">
        <v>5</v>
      </c>
      <c r="C48" s="3">
        <v>3</v>
      </c>
      <c r="D48" s="3" t="s">
        <v>165</v>
      </c>
      <c r="E48" s="3" t="s">
        <v>192</v>
      </c>
      <c r="F48" s="3" t="s">
        <v>827</v>
      </c>
      <c r="G48" s="3" t="s">
        <v>193</v>
      </c>
      <c r="H48" s="3" t="s">
        <v>22</v>
      </c>
      <c r="I48" s="3" t="s">
        <v>168</v>
      </c>
      <c r="J48" s="3" t="s">
        <v>176</v>
      </c>
      <c r="K48" s="3" t="s">
        <v>114</v>
      </c>
      <c r="L48" s="3" t="s">
        <v>26</v>
      </c>
      <c r="M48" s="3" t="s">
        <v>27</v>
      </c>
      <c r="N48" s="3" t="s">
        <v>88</v>
      </c>
      <c r="O48" s="3" t="s">
        <v>47</v>
      </c>
      <c r="P48" s="3" t="s">
        <v>194</v>
      </c>
      <c r="Q48" s="3" t="s">
        <v>31</v>
      </c>
      <c r="R48" s="3" t="s">
        <v>47</v>
      </c>
      <c r="S48" s="23">
        <v>46042.615833333337</v>
      </c>
      <c r="T48" s="24">
        <v>46044.450624999998</v>
      </c>
    </row>
    <row r="49" spans="1:20" x14ac:dyDescent="0.3">
      <c r="A49" s="4" t="s">
        <v>181</v>
      </c>
      <c r="B49" s="5">
        <v>5</v>
      </c>
      <c r="C49" s="5">
        <v>3</v>
      </c>
      <c r="D49" s="5" t="s">
        <v>165</v>
      </c>
      <c r="E49" s="5" t="s">
        <v>195</v>
      </c>
      <c r="F49" s="5" t="s">
        <v>827</v>
      </c>
      <c r="G49" s="5" t="s">
        <v>196</v>
      </c>
      <c r="H49" s="5" t="s">
        <v>22</v>
      </c>
      <c r="I49" s="5" t="s">
        <v>168</v>
      </c>
      <c r="J49" s="5" t="s">
        <v>176</v>
      </c>
      <c r="K49" s="5" t="s">
        <v>114</v>
      </c>
      <c r="L49" s="5" t="s">
        <v>26</v>
      </c>
      <c r="M49" s="5" t="s">
        <v>27</v>
      </c>
      <c r="N49" s="5" t="s">
        <v>177</v>
      </c>
      <c r="O49" s="5" t="s">
        <v>47</v>
      </c>
      <c r="P49" s="5" t="s">
        <v>194</v>
      </c>
      <c r="Q49" s="5" t="s">
        <v>97</v>
      </c>
      <c r="R49" s="5" t="s">
        <v>47</v>
      </c>
      <c r="S49" s="25">
        <v>46045.4690162037</v>
      </c>
      <c r="T49" s="26">
        <v>46045.591550925928</v>
      </c>
    </row>
    <row r="50" spans="1:20" x14ac:dyDescent="0.3">
      <c r="A50" s="2" t="s">
        <v>197</v>
      </c>
      <c r="B50" s="3">
        <v>5</v>
      </c>
      <c r="C50" s="3">
        <v>3</v>
      </c>
      <c r="D50" s="3" t="s">
        <v>198</v>
      </c>
      <c r="E50" s="3" t="s">
        <v>199</v>
      </c>
      <c r="F50" s="3" t="s">
        <v>827</v>
      </c>
      <c r="G50" s="3" t="s">
        <v>200</v>
      </c>
      <c r="H50" s="3" t="s">
        <v>22</v>
      </c>
      <c r="I50" s="3" t="s">
        <v>201</v>
      </c>
      <c r="J50" s="3" t="s">
        <v>169</v>
      </c>
      <c r="K50" s="3" t="s">
        <v>121</v>
      </c>
      <c r="L50" s="3" t="s">
        <v>26</v>
      </c>
      <c r="M50" s="3" t="s">
        <v>27</v>
      </c>
      <c r="N50" s="3" t="s">
        <v>88</v>
      </c>
      <c r="O50" s="3" t="s">
        <v>47</v>
      </c>
      <c r="P50" s="3" t="s">
        <v>121</v>
      </c>
      <c r="Q50" s="3" t="s">
        <v>31</v>
      </c>
      <c r="R50" s="3" t="s">
        <v>48</v>
      </c>
      <c r="S50" s="23">
        <v>46043.665706018517</v>
      </c>
      <c r="T50" s="24">
        <v>46048.437395833331</v>
      </c>
    </row>
    <row r="51" spans="1:20" x14ac:dyDescent="0.3">
      <c r="A51" s="4" t="s">
        <v>202</v>
      </c>
      <c r="B51" s="5">
        <v>5</v>
      </c>
      <c r="C51" s="5">
        <v>3</v>
      </c>
      <c r="D51" s="5" t="s">
        <v>203</v>
      </c>
      <c r="E51" s="5" t="s">
        <v>204</v>
      </c>
      <c r="F51" s="5" t="s">
        <v>827</v>
      </c>
      <c r="G51" s="5" t="s">
        <v>205</v>
      </c>
      <c r="H51" s="5" t="s">
        <v>22</v>
      </c>
      <c r="I51" s="5" t="s">
        <v>206</v>
      </c>
      <c r="J51" s="5" t="s">
        <v>206</v>
      </c>
      <c r="K51" s="5" t="s">
        <v>121</v>
      </c>
      <c r="L51" s="5" t="s">
        <v>26</v>
      </c>
      <c r="M51" s="5" t="s">
        <v>27</v>
      </c>
      <c r="N51" s="5" t="s">
        <v>88</v>
      </c>
      <c r="O51" s="5" t="s">
        <v>47</v>
      </c>
      <c r="P51" s="5" t="s">
        <v>121</v>
      </c>
      <c r="Q51" s="5" t="s">
        <v>31</v>
      </c>
      <c r="R51" s="5" t="s">
        <v>48</v>
      </c>
      <c r="S51" s="25">
        <v>46044.718310185184</v>
      </c>
      <c r="T51" s="26">
        <v>46045.473032407404</v>
      </c>
    </row>
    <row r="52" spans="1:20" x14ac:dyDescent="0.3">
      <c r="A52" s="2" t="s">
        <v>207</v>
      </c>
      <c r="B52" s="3">
        <v>5</v>
      </c>
      <c r="C52" s="3">
        <v>3</v>
      </c>
      <c r="D52" s="3" t="s">
        <v>208</v>
      </c>
      <c r="E52" s="3" t="s">
        <v>209</v>
      </c>
      <c r="F52" s="3" t="s">
        <v>817</v>
      </c>
      <c r="G52" s="3" t="s">
        <v>210</v>
      </c>
      <c r="H52" s="3" t="s">
        <v>22</v>
      </c>
      <c r="I52" s="3" t="s">
        <v>211</v>
      </c>
      <c r="J52" s="3" t="s">
        <v>212</v>
      </c>
      <c r="K52" s="3" t="s">
        <v>213</v>
      </c>
      <c r="L52" s="3" t="s">
        <v>26</v>
      </c>
      <c r="M52" s="3" t="s">
        <v>27</v>
      </c>
      <c r="N52" s="3" t="s">
        <v>39</v>
      </c>
      <c r="O52" s="3" t="s">
        <v>108</v>
      </c>
      <c r="P52" s="3" t="s">
        <v>214</v>
      </c>
      <c r="Q52" s="3" t="s">
        <v>31</v>
      </c>
      <c r="R52" s="3" t="s">
        <v>108</v>
      </c>
      <c r="S52" s="23">
        <v>46044.69740740741</v>
      </c>
      <c r="T52" s="24">
        <v>46049.380011574074</v>
      </c>
    </row>
    <row r="53" spans="1:20" x14ac:dyDescent="0.3">
      <c r="A53" s="4" t="s">
        <v>215</v>
      </c>
      <c r="B53" s="5">
        <v>5</v>
      </c>
      <c r="C53" s="5">
        <v>3</v>
      </c>
      <c r="D53" s="5" t="s">
        <v>20</v>
      </c>
      <c r="E53" s="5" t="s">
        <v>216</v>
      </c>
      <c r="F53" s="5" t="s">
        <v>817</v>
      </c>
      <c r="G53" s="5" t="s">
        <v>217</v>
      </c>
      <c r="H53" s="5" t="s">
        <v>22</v>
      </c>
      <c r="I53" s="5" t="s">
        <v>23</v>
      </c>
      <c r="J53" s="5" t="s">
        <v>38</v>
      </c>
      <c r="K53" s="5" t="s">
        <v>25</v>
      </c>
      <c r="L53" s="5" t="s">
        <v>26</v>
      </c>
      <c r="M53" s="5" t="s">
        <v>218</v>
      </c>
      <c r="N53" s="5" t="s">
        <v>39</v>
      </c>
      <c r="O53" s="5" t="s">
        <v>29</v>
      </c>
      <c r="P53" s="5" t="s">
        <v>30</v>
      </c>
      <c r="Q53" s="5" t="s">
        <v>97</v>
      </c>
      <c r="R53" s="5" t="s">
        <v>29</v>
      </c>
      <c r="S53" s="25">
        <v>46041.69290509259</v>
      </c>
      <c r="T53" s="26">
        <v>46044.685254629629</v>
      </c>
    </row>
    <row r="54" spans="1:20" x14ac:dyDescent="0.3">
      <c r="A54" s="2" t="s">
        <v>40</v>
      </c>
      <c r="B54" s="3">
        <v>5</v>
      </c>
      <c r="C54" s="3">
        <v>3</v>
      </c>
      <c r="D54" s="3" t="s">
        <v>20</v>
      </c>
      <c r="E54" s="3" t="s">
        <v>219</v>
      </c>
      <c r="F54" s="3" t="s">
        <v>817</v>
      </c>
      <c r="G54" s="3" t="s">
        <v>220</v>
      </c>
      <c r="H54" s="3" t="s">
        <v>22</v>
      </c>
      <c r="I54" s="3" t="s">
        <v>23</v>
      </c>
      <c r="J54" s="3" t="s">
        <v>38</v>
      </c>
      <c r="K54" s="3" t="s">
        <v>25</v>
      </c>
      <c r="L54" s="3" t="s">
        <v>26</v>
      </c>
      <c r="M54" s="3" t="s">
        <v>218</v>
      </c>
      <c r="N54" s="3" t="s">
        <v>39</v>
      </c>
      <c r="O54" s="3" t="s">
        <v>29</v>
      </c>
      <c r="P54" s="3" t="s">
        <v>30</v>
      </c>
      <c r="Q54" s="3" t="s">
        <v>31</v>
      </c>
      <c r="R54" s="3" t="s">
        <v>29</v>
      </c>
      <c r="S54" s="23">
        <v>46042.391516203701</v>
      </c>
      <c r="T54" s="24">
        <v>46044.671817129631</v>
      </c>
    </row>
    <row r="55" spans="1:20" x14ac:dyDescent="0.3">
      <c r="A55" s="4" t="s">
        <v>221</v>
      </c>
      <c r="B55" s="5">
        <v>5</v>
      </c>
      <c r="C55" s="5">
        <v>3</v>
      </c>
      <c r="D55" s="5" t="s">
        <v>20</v>
      </c>
      <c r="E55" s="5" t="s">
        <v>222</v>
      </c>
      <c r="F55" s="5" t="s">
        <v>817</v>
      </c>
      <c r="G55" s="5" t="s">
        <v>223</v>
      </c>
      <c r="H55" s="5" t="s">
        <v>22</v>
      </c>
      <c r="I55" s="5" t="s">
        <v>23</v>
      </c>
      <c r="J55" s="5" t="s">
        <v>38</v>
      </c>
      <c r="K55" s="5" t="s">
        <v>25</v>
      </c>
      <c r="L55" s="5" t="s">
        <v>26</v>
      </c>
      <c r="M55" s="5" t="s">
        <v>218</v>
      </c>
      <c r="N55" s="5" t="s">
        <v>39</v>
      </c>
      <c r="O55" s="5" t="s">
        <v>29</v>
      </c>
      <c r="P55" s="5" t="s">
        <v>30</v>
      </c>
      <c r="Q55" s="5" t="s">
        <v>31</v>
      </c>
      <c r="R55" s="5" t="s">
        <v>29</v>
      </c>
      <c r="S55" s="25">
        <v>46041.687245370369</v>
      </c>
      <c r="T55" s="26">
        <v>46044.687152777777</v>
      </c>
    </row>
    <row r="56" spans="1:20" x14ac:dyDescent="0.3">
      <c r="A56" s="2" t="s">
        <v>224</v>
      </c>
      <c r="B56" s="3">
        <v>5</v>
      </c>
      <c r="C56" s="3">
        <v>3</v>
      </c>
      <c r="D56" s="3" t="s">
        <v>20</v>
      </c>
      <c r="E56" s="3" t="s">
        <v>225</v>
      </c>
      <c r="F56" s="3" t="s">
        <v>817</v>
      </c>
      <c r="G56" s="3" t="s">
        <v>226</v>
      </c>
      <c r="H56" s="3" t="s">
        <v>22</v>
      </c>
      <c r="I56" s="3" t="s">
        <v>23</v>
      </c>
      <c r="J56" s="3" t="s">
        <v>24</v>
      </c>
      <c r="K56" s="3" t="s">
        <v>25</v>
      </c>
      <c r="L56" s="3" t="s">
        <v>26</v>
      </c>
      <c r="M56" s="3" t="s">
        <v>218</v>
      </c>
      <c r="N56" s="3" t="s">
        <v>39</v>
      </c>
      <c r="O56" s="3" t="s">
        <v>29</v>
      </c>
      <c r="P56" s="3" t="s">
        <v>30</v>
      </c>
      <c r="Q56" s="3" t="s">
        <v>31</v>
      </c>
      <c r="R56" s="3" t="s">
        <v>29</v>
      </c>
      <c r="S56" s="23">
        <v>46041.575196759259</v>
      </c>
      <c r="T56" s="24">
        <v>46044.680358796293</v>
      </c>
    </row>
    <row r="57" spans="1:20" x14ac:dyDescent="0.3">
      <c r="A57" s="4" t="s">
        <v>224</v>
      </c>
      <c r="B57" s="5">
        <v>5</v>
      </c>
      <c r="C57" s="5">
        <v>3</v>
      </c>
      <c r="D57" s="5" t="s">
        <v>20</v>
      </c>
      <c r="E57" s="5" t="s">
        <v>227</v>
      </c>
      <c r="F57" s="5" t="s">
        <v>817</v>
      </c>
      <c r="G57" s="5" t="s">
        <v>228</v>
      </c>
      <c r="H57" s="5" t="s">
        <v>22</v>
      </c>
      <c r="I57" s="5" t="s">
        <v>23</v>
      </c>
      <c r="J57" s="5" t="s">
        <v>24</v>
      </c>
      <c r="K57" s="5" t="s">
        <v>25</v>
      </c>
      <c r="L57" s="5" t="s">
        <v>26</v>
      </c>
      <c r="M57" s="5" t="s">
        <v>218</v>
      </c>
      <c r="N57" s="5" t="s">
        <v>39</v>
      </c>
      <c r="O57" s="5" t="s">
        <v>29</v>
      </c>
      <c r="P57" s="5" t="s">
        <v>30</v>
      </c>
      <c r="Q57" s="5" t="s">
        <v>31</v>
      </c>
      <c r="R57" s="5" t="s">
        <v>29</v>
      </c>
      <c r="S57" s="25">
        <v>46041.56354166667</v>
      </c>
      <c r="T57" s="26">
        <v>46044.678263888891</v>
      </c>
    </row>
    <row r="58" spans="1:20" x14ac:dyDescent="0.3">
      <c r="A58" s="2" t="s">
        <v>229</v>
      </c>
      <c r="B58" s="3">
        <v>5</v>
      </c>
      <c r="C58" s="3">
        <v>3</v>
      </c>
      <c r="D58" s="3" t="s">
        <v>20</v>
      </c>
      <c r="E58" s="3" t="s">
        <v>230</v>
      </c>
      <c r="F58" s="3" t="s">
        <v>817</v>
      </c>
      <c r="G58" s="3" t="s">
        <v>231</v>
      </c>
      <c r="H58" s="3" t="s">
        <v>22</v>
      </c>
      <c r="I58" s="3" t="s">
        <v>23</v>
      </c>
      <c r="J58" s="3" t="s">
        <v>24</v>
      </c>
      <c r="K58" s="3" t="s">
        <v>25</v>
      </c>
      <c r="L58" s="3" t="s">
        <v>26</v>
      </c>
      <c r="M58" s="3" t="s">
        <v>218</v>
      </c>
      <c r="N58" s="3" t="s">
        <v>39</v>
      </c>
      <c r="O58" s="3" t="s">
        <v>29</v>
      </c>
      <c r="P58" s="3" t="s">
        <v>30</v>
      </c>
      <c r="Q58" s="3" t="s">
        <v>31</v>
      </c>
      <c r="R58" s="3" t="s">
        <v>29</v>
      </c>
      <c r="S58" s="23">
        <v>46041.66574074074</v>
      </c>
      <c r="T58" s="24">
        <v>46045.585405092592</v>
      </c>
    </row>
    <row r="59" spans="1:20" x14ac:dyDescent="0.3">
      <c r="A59" s="4" t="s">
        <v>232</v>
      </c>
      <c r="B59" s="5">
        <v>5</v>
      </c>
      <c r="C59" s="5">
        <v>3</v>
      </c>
      <c r="D59" s="5" t="s">
        <v>20</v>
      </c>
      <c r="E59" s="5" t="s">
        <v>233</v>
      </c>
      <c r="F59" s="5" t="s">
        <v>817</v>
      </c>
      <c r="G59" s="5" t="s">
        <v>234</v>
      </c>
      <c r="H59" s="5" t="s">
        <v>22</v>
      </c>
      <c r="I59" s="5" t="s">
        <v>23</v>
      </c>
      <c r="J59" s="5" t="s">
        <v>38</v>
      </c>
      <c r="K59" s="5" t="s">
        <v>25</v>
      </c>
      <c r="L59" s="5" t="s">
        <v>26</v>
      </c>
      <c r="M59" s="5" t="s">
        <v>218</v>
      </c>
      <c r="N59" s="5" t="s">
        <v>39</v>
      </c>
      <c r="O59" s="5" t="s">
        <v>29</v>
      </c>
      <c r="P59" s="5" t="s">
        <v>30</v>
      </c>
      <c r="Q59" s="5" t="s">
        <v>31</v>
      </c>
      <c r="R59" s="5" t="s">
        <v>29</v>
      </c>
      <c r="S59" s="25">
        <v>46042.563877314817</v>
      </c>
      <c r="T59" s="26">
        <v>46044.688726851855</v>
      </c>
    </row>
    <row r="60" spans="1:20" x14ac:dyDescent="0.3">
      <c r="A60" s="2" t="s">
        <v>235</v>
      </c>
      <c r="B60" s="3">
        <v>5</v>
      </c>
      <c r="C60" s="3">
        <v>3</v>
      </c>
      <c r="D60" s="3" t="s">
        <v>20</v>
      </c>
      <c r="E60" s="3" t="s">
        <v>236</v>
      </c>
      <c r="F60" s="3" t="s">
        <v>817</v>
      </c>
      <c r="G60" s="3" t="s">
        <v>237</v>
      </c>
      <c r="H60" s="3" t="s">
        <v>22</v>
      </c>
      <c r="I60" s="3" t="s">
        <v>23</v>
      </c>
      <c r="J60" s="3" t="s">
        <v>23</v>
      </c>
      <c r="K60" s="3" t="s">
        <v>25</v>
      </c>
      <c r="L60" s="3" t="s">
        <v>68</v>
      </c>
      <c r="M60" s="3" t="s">
        <v>218</v>
      </c>
      <c r="N60" s="3" t="s">
        <v>39</v>
      </c>
      <c r="O60" s="3" t="s">
        <v>47</v>
      </c>
      <c r="P60" s="3" t="s">
        <v>25</v>
      </c>
      <c r="Q60" s="3" t="s">
        <v>31</v>
      </c>
      <c r="R60" s="3" t="s">
        <v>48</v>
      </c>
      <c r="S60" s="23">
        <v>46044.589444444442</v>
      </c>
      <c r="T60" s="24">
        <v>46044.780439814815</v>
      </c>
    </row>
    <row r="61" spans="1:20" x14ac:dyDescent="0.3">
      <c r="A61" s="4" t="s">
        <v>238</v>
      </c>
      <c r="B61" s="5">
        <v>5</v>
      </c>
      <c r="C61" s="5">
        <v>3</v>
      </c>
      <c r="D61" s="5" t="s">
        <v>20</v>
      </c>
      <c r="E61" s="5" t="s">
        <v>239</v>
      </c>
      <c r="F61" s="5" t="s">
        <v>817</v>
      </c>
      <c r="G61" s="5" t="s">
        <v>240</v>
      </c>
      <c r="H61" s="5" t="s">
        <v>22</v>
      </c>
      <c r="I61" s="5" t="s">
        <v>23</v>
      </c>
      <c r="J61" s="5" t="s">
        <v>24</v>
      </c>
      <c r="K61" s="5" t="s">
        <v>25</v>
      </c>
      <c r="L61" s="5" t="s">
        <v>26</v>
      </c>
      <c r="M61" s="5" t="s">
        <v>218</v>
      </c>
      <c r="N61" s="5" t="s">
        <v>39</v>
      </c>
      <c r="O61" s="5" t="s">
        <v>47</v>
      </c>
      <c r="P61" s="5" t="s">
        <v>25</v>
      </c>
      <c r="Q61" s="5" t="s">
        <v>31</v>
      </c>
      <c r="R61" s="5" t="s">
        <v>48</v>
      </c>
      <c r="S61" s="25">
        <v>46041.592673611114</v>
      </c>
      <c r="T61" s="26">
        <v>46048.590254629627</v>
      </c>
    </row>
    <row r="62" spans="1:20" ht="247.5" x14ac:dyDescent="0.3">
      <c r="A62" s="2" t="s">
        <v>44</v>
      </c>
      <c r="B62" s="3">
        <v>5</v>
      </c>
      <c r="C62" s="3">
        <v>3</v>
      </c>
      <c r="D62" s="3" t="s">
        <v>20</v>
      </c>
      <c r="E62" s="3" t="s">
        <v>241</v>
      </c>
      <c r="F62" s="3" t="s">
        <v>817</v>
      </c>
      <c r="G62" s="22" t="s">
        <v>802</v>
      </c>
      <c r="H62" s="3" t="s">
        <v>22</v>
      </c>
      <c r="I62" s="3" t="s">
        <v>23</v>
      </c>
      <c r="J62" s="3" t="s">
        <v>24</v>
      </c>
      <c r="K62" s="3" t="s">
        <v>25</v>
      </c>
      <c r="L62" s="3" t="s">
        <v>26</v>
      </c>
      <c r="M62" s="3" t="s">
        <v>218</v>
      </c>
      <c r="N62" s="3" t="s">
        <v>102</v>
      </c>
      <c r="O62" s="3" t="s">
        <v>47</v>
      </c>
      <c r="P62" s="3" t="s">
        <v>25</v>
      </c>
      <c r="Q62" s="3" t="s">
        <v>31</v>
      </c>
      <c r="R62" s="3" t="s">
        <v>48</v>
      </c>
      <c r="S62" s="23">
        <v>46041.58421296296</v>
      </c>
      <c r="T62" s="24">
        <v>46048.592118055552</v>
      </c>
    </row>
    <row r="63" spans="1:20" ht="409.5" x14ac:dyDescent="0.3">
      <c r="A63" s="4" t="s">
        <v>32</v>
      </c>
      <c r="B63" s="5">
        <v>5</v>
      </c>
      <c r="C63" s="5">
        <v>3</v>
      </c>
      <c r="D63" s="5" t="s">
        <v>20</v>
      </c>
      <c r="E63" s="5" t="s">
        <v>242</v>
      </c>
      <c r="F63" s="5" t="s">
        <v>817</v>
      </c>
      <c r="G63" s="27" t="s">
        <v>803</v>
      </c>
      <c r="H63" s="5" t="s">
        <v>22</v>
      </c>
      <c r="I63" s="5" t="s">
        <v>23</v>
      </c>
      <c r="J63" s="5" t="s">
        <v>24</v>
      </c>
      <c r="K63" s="5" t="s">
        <v>25</v>
      </c>
      <c r="L63" s="5" t="s">
        <v>26</v>
      </c>
      <c r="M63" s="5" t="s">
        <v>218</v>
      </c>
      <c r="N63" s="5" t="s">
        <v>28</v>
      </c>
      <c r="O63" s="5" t="s">
        <v>47</v>
      </c>
      <c r="P63" s="5" t="s">
        <v>25</v>
      </c>
      <c r="Q63" s="5" t="s">
        <v>31</v>
      </c>
      <c r="R63" s="5" t="s">
        <v>48</v>
      </c>
      <c r="S63" s="25">
        <v>46045.567442129628</v>
      </c>
      <c r="T63" s="26">
        <v>46048.61041666667</v>
      </c>
    </row>
    <row r="64" spans="1:20" x14ac:dyDescent="0.3">
      <c r="A64" s="2" t="s">
        <v>243</v>
      </c>
      <c r="B64" s="3">
        <v>5</v>
      </c>
      <c r="C64" s="3">
        <v>3</v>
      </c>
      <c r="D64" s="3" t="s">
        <v>244</v>
      </c>
      <c r="E64" s="3" t="s">
        <v>245</v>
      </c>
      <c r="F64" s="3" t="s">
        <v>817</v>
      </c>
      <c r="G64" s="3" t="s">
        <v>246</v>
      </c>
      <c r="H64" s="3" t="s">
        <v>22</v>
      </c>
      <c r="I64" s="3" t="s">
        <v>247</v>
      </c>
      <c r="J64" s="3" t="s">
        <v>248</v>
      </c>
      <c r="K64" s="3" t="s">
        <v>249</v>
      </c>
      <c r="L64" s="3" t="s">
        <v>26</v>
      </c>
      <c r="M64" s="3" t="s">
        <v>218</v>
      </c>
      <c r="N64" s="3" t="s">
        <v>39</v>
      </c>
      <c r="O64" s="3" t="s">
        <v>170</v>
      </c>
      <c r="P64" s="3" t="s">
        <v>247</v>
      </c>
      <c r="Q64" s="3" t="s">
        <v>31</v>
      </c>
      <c r="R64" s="3" t="s">
        <v>170</v>
      </c>
      <c r="S64" s="23">
        <v>46042.60728009259</v>
      </c>
      <c r="T64" s="24">
        <v>46042.60728009259</v>
      </c>
    </row>
    <row r="65" spans="1:20" x14ac:dyDescent="0.3">
      <c r="A65" s="4" t="s">
        <v>250</v>
      </c>
      <c r="B65" s="5">
        <v>5</v>
      </c>
      <c r="C65" s="5">
        <v>3</v>
      </c>
      <c r="D65" s="5" t="s">
        <v>244</v>
      </c>
      <c r="E65" s="5" t="s">
        <v>251</v>
      </c>
      <c r="F65" s="5" t="s">
        <v>817</v>
      </c>
      <c r="G65" s="5" t="s">
        <v>252</v>
      </c>
      <c r="H65" s="5" t="s">
        <v>22</v>
      </c>
      <c r="I65" s="5" t="s">
        <v>247</v>
      </c>
      <c r="J65" s="5" t="s">
        <v>248</v>
      </c>
      <c r="K65" s="5" t="s">
        <v>249</v>
      </c>
      <c r="L65" s="5" t="s">
        <v>26</v>
      </c>
      <c r="M65" s="5" t="s">
        <v>218</v>
      </c>
      <c r="N65" s="5" t="s">
        <v>39</v>
      </c>
      <c r="O65" s="5" t="s">
        <v>170</v>
      </c>
      <c r="P65" s="5" t="s">
        <v>247</v>
      </c>
      <c r="Q65" s="5" t="s">
        <v>31</v>
      </c>
      <c r="R65" s="5" t="s">
        <v>170</v>
      </c>
      <c r="S65" s="25">
        <v>46042.613379629627</v>
      </c>
      <c r="T65" s="26">
        <v>46042.613379629627</v>
      </c>
    </row>
    <row r="66" spans="1:20" x14ac:dyDescent="0.3">
      <c r="A66" s="2" t="s">
        <v>253</v>
      </c>
      <c r="B66" s="3">
        <v>5</v>
      </c>
      <c r="C66" s="3">
        <v>3</v>
      </c>
      <c r="D66" s="3" t="s">
        <v>244</v>
      </c>
      <c r="E66" s="3" t="s">
        <v>254</v>
      </c>
      <c r="F66" s="3"/>
      <c r="G66" s="3" t="s">
        <v>255</v>
      </c>
      <c r="H66" s="3" t="s">
        <v>22</v>
      </c>
      <c r="I66" s="3" t="s">
        <v>247</v>
      </c>
      <c r="J66" s="3" t="s">
        <v>248</v>
      </c>
      <c r="K66" s="3" t="s">
        <v>249</v>
      </c>
      <c r="L66" s="3" t="s">
        <v>26</v>
      </c>
      <c r="M66" s="3" t="s">
        <v>218</v>
      </c>
      <c r="N66" s="3" t="s">
        <v>39</v>
      </c>
      <c r="O66" s="3" t="s">
        <v>57</v>
      </c>
      <c r="P66" s="3" t="s">
        <v>30</v>
      </c>
      <c r="Q66" s="3" t="s">
        <v>31</v>
      </c>
      <c r="R66" s="3" t="s">
        <v>57</v>
      </c>
      <c r="S66" s="23">
        <v>46042.609363425923</v>
      </c>
      <c r="T66" s="24">
        <v>46042.633460648147</v>
      </c>
    </row>
    <row r="67" spans="1:20" x14ac:dyDescent="0.3">
      <c r="A67" s="4" t="s">
        <v>256</v>
      </c>
      <c r="B67" s="5">
        <v>5</v>
      </c>
      <c r="C67" s="5">
        <v>3</v>
      </c>
      <c r="D67" s="5" t="s">
        <v>244</v>
      </c>
      <c r="E67" s="5" t="s">
        <v>257</v>
      </c>
      <c r="F67" s="5" t="s">
        <v>817</v>
      </c>
      <c r="G67" s="5" t="s">
        <v>258</v>
      </c>
      <c r="H67" s="5" t="s">
        <v>22</v>
      </c>
      <c r="I67" s="5" t="s">
        <v>247</v>
      </c>
      <c r="J67" s="5" t="s">
        <v>248</v>
      </c>
      <c r="K67" s="5" t="s">
        <v>249</v>
      </c>
      <c r="L67" s="5" t="s">
        <v>26</v>
      </c>
      <c r="M67" s="5" t="s">
        <v>218</v>
      </c>
      <c r="N67" s="5" t="s">
        <v>39</v>
      </c>
      <c r="O67" s="5" t="s">
        <v>47</v>
      </c>
      <c r="P67" s="5" t="s">
        <v>249</v>
      </c>
      <c r="Q67" s="5" t="s">
        <v>31</v>
      </c>
      <c r="R67" s="5" t="s">
        <v>48</v>
      </c>
      <c r="S67" s="25">
        <v>46042.616620370369</v>
      </c>
      <c r="T67" s="26">
        <v>46042.636111111111</v>
      </c>
    </row>
    <row r="68" spans="1:20" x14ac:dyDescent="0.3">
      <c r="A68" s="2" t="s">
        <v>259</v>
      </c>
      <c r="B68" s="3">
        <v>5</v>
      </c>
      <c r="C68" s="3">
        <v>3</v>
      </c>
      <c r="D68" s="3" t="s">
        <v>50</v>
      </c>
      <c r="E68" s="3" t="s">
        <v>260</v>
      </c>
      <c r="F68" s="3"/>
      <c r="G68" s="3" t="s">
        <v>261</v>
      </c>
      <c r="H68" s="3" t="s">
        <v>22</v>
      </c>
      <c r="I68" s="3" t="s">
        <v>53</v>
      </c>
      <c r="J68" s="3" t="s">
        <v>67</v>
      </c>
      <c r="K68" s="3" t="s">
        <v>55</v>
      </c>
      <c r="L68" s="3" t="s">
        <v>68</v>
      </c>
      <c r="M68" s="3" t="s">
        <v>218</v>
      </c>
      <c r="N68" s="3" t="s">
        <v>56</v>
      </c>
      <c r="O68" s="3" t="s">
        <v>57</v>
      </c>
      <c r="P68" s="3" t="s">
        <v>30</v>
      </c>
      <c r="Q68" s="3" t="s">
        <v>31</v>
      </c>
      <c r="R68" s="3" t="s">
        <v>57</v>
      </c>
      <c r="S68" s="23">
        <v>46045.607361111113</v>
      </c>
      <c r="T68" s="24">
        <v>46048.3984375</v>
      </c>
    </row>
    <row r="69" spans="1:20" x14ac:dyDescent="0.3">
      <c r="A69" s="4" t="s">
        <v>262</v>
      </c>
      <c r="B69" s="5">
        <v>5</v>
      </c>
      <c r="C69" s="5">
        <v>3</v>
      </c>
      <c r="D69" s="5" t="s">
        <v>50</v>
      </c>
      <c r="E69" s="5" t="s">
        <v>263</v>
      </c>
      <c r="F69" s="5"/>
      <c r="G69" s="5" t="s">
        <v>264</v>
      </c>
      <c r="H69" s="5" t="s">
        <v>22</v>
      </c>
      <c r="I69" s="5" t="s">
        <v>53</v>
      </c>
      <c r="J69" s="5" t="s">
        <v>54</v>
      </c>
      <c r="K69" s="5" t="s">
        <v>55</v>
      </c>
      <c r="L69" s="5" t="s">
        <v>26</v>
      </c>
      <c r="M69" s="5" t="s">
        <v>218</v>
      </c>
      <c r="N69" s="5" t="s">
        <v>39</v>
      </c>
      <c r="O69" s="5" t="s">
        <v>57</v>
      </c>
      <c r="P69" s="5" t="s">
        <v>30</v>
      </c>
      <c r="Q69" s="5" t="s">
        <v>31</v>
      </c>
      <c r="R69" s="5" t="s">
        <v>57</v>
      </c>
      <c r="S69" s="25">
        <v>46042.456979166665</v>
      </c>
      <c r="T69" s="26">
        <v>46043.688634259262</v>
      </c>
    </row>
    <row r="70" spans="1:20" x14ac:dyDescent="0.3">
      <c r="A70" s="2" t="s">
        <v>265</v>
      </c>
      <c r="B70" s="3">
        <v>5</v>
      </c>
      <c r="C70" s="3">
        <v>3</v>
      </c>
      <c r="D70" s="3" t="s">
        <v>50</v>
      </c>
      <c r="E70" s="3" t="s">
        <v>266</v>
      </c>
      <c r="F70" s="3"/>
      <c r="G70" s="3" t="s">
        <v>267</v>
      </c>
      <c r="H70" s="3" t="s">
        <v>22</v>
      </c>
      <c r="I70" s="3" t="s">
        <v>53</v>
      </c>
      <c r="J70" s="3" t="s">
        <v>54</v>
      </c>
      <c r="K70" s="3" t="s">
        <v>55</v>
      </c>
      <c r="L70" s="3" t="s">
        <v>26</v>
      </c>
      <c r="M70" s="3" t="s">
        <v>218</v>
      </c>
      <c r="N70" s="3" t="s">
        <v>39</v>
      </c>
      <c r="O70" s="3" t="s">
        <v>57</v>
      </c>
      <c r="P70" s="3" t="s">
        <v>30</v>
      </c>
      <c r="Q70" s="3" t="s">
        <v>31</v>
      </c>
      <c r="R70" s="3" t="s">
        <v>57</v>
      </c>
      <c r="S70" s="23">
        <v>46042.42564814815</v>
      </c>
      <c r="T70" s="24">
        <v>46048.563009259262</v>
      </c>
    </row>
    <row r="71" spans="1:20" x14ac:dyDescent="0.3">
      <c r="A71" s="4" t="s">
        <v>268</v>
      </c>
      <c r="B71" s="5">
        <v>5</v>
      </c>
      <c r="C71" s="5">
        <v>3</v>
      </c>
      <c r="D71" s="5" t="s">
        <v>50</v>
      </c>
      <c r="E71" s="5" t="s">
        <v>269</v>
      </c>
      <c r="F71" s="5"/>
      <c r="G71" s="5" t="s">
        <v>270</v>
      </c>
      <c r="H71" s="5" t="s">
        <v>22</v>
      </c>
      <c r="I71" s="5" t="s">
        <v>53</v>
      </c>
      <c r="J71" s="5" t="s">
        <v>54</v>
      </c>
      <c r="K71" s="5" t="s">
        <v>55</v>
      </c>
      <c r="L71" s="5" t="s">
        <v>26</v>
      </c>
      <c r="M71" s="5" t="s">
        <v>218</v>
      </c>
      <c r="N71" s="5" t="s">
        <v>102</v>
      </c>
      <c r="O71" s="5" t="s">
        <v>57</v>
      </c>
      <c r="P71" s="5" t="s">
        <v>30</v>
      </c>
      <c r="Q71" s="5" t="s">
        <v>31</v>
      </c>
      <c r="R71" s="5" t="s">
        <v>57</v>
      </c>
      <c r="S71" s="25">
        <v>46042.558553240742</v>
      </c>
      <c r="T71" s="26">
        <v>46048.552395833336</v>
      </c>
    </row>
    <row r="72" spans="1:20" ht="363" x14ac:dyDescent="0.3">
      <c r="A72" s="2" t="s">
        <v>271</v>
      </c>
      <c r="B72" s="3">
        <v>5</v>
      </c>
      <c r="C72" s="3">
        <v>3</v>
      </c>
      <c r="D72" s="3" t="s">
        <v>50</v>
      </c>
      <c r="E72" s="3" t="s">
        <v>788</v>
      </c>
      <c r="F72" s="3"/>
      <c r="G72" s="22" t="s">
        <v>787</v>
      </c>
      <c r="H72" s="3" t="s">
        <v>22</v>
      </c>
      <c r="I72" s="3" t="s">
        <v>53</v>
      </c>
      <c r="J72" s="3" t="s">
        <v>67</v>
      </c>
      <c r="K72" s="3" t="s">
        <v>55</v>
      </c>
      <c r="L72" s="3" t="s">
        <v>68</v>
      </c>
      <c r="M72" s="3" t="s">
        <v>218</v>
      </c>
      <c r="N72" s="3" t="s">
        <v>39</v>
      </c>
      <c r="O72" s="3" t="s">
        <v>57</v>
      </c>
      <c r="P72" s="3" t="s">
        <v>30</v>
      </c>
      <c r="Q72" s="3" t="s">
        <v>31</v>
      </c>
      <c r="R72" s="3" t="s">
        <v>57</v>
      </c>
      <c r="S72" s="23">
        <v>46044.472083333334</v>
      </c>
      <c r="T72" s="24">
        <v>46048.608356481483</v>
      </c>
    </row>
    <row r="73" spans="1:20" x14ac:dyDescent="0.3">
      <c r="A73" s="4" t="s">
        <v>272</v>
      </c>
      <c r="B73" s="5">
        <v>5</v>
      </c>
      <c r="C73" s="5">
        <v>3</v>
      </c>
      <c r="D73" s="5" t="s">
        <v>50</v>
      </c>
      <c r="E73" s="5" t="s">
        <v>273</v>
      </c>
      <c r="F73" s="5"/>
      <c r="G73" s="5" t="s">
        <v>274</v>
      </c>
      <c r="H73" s="5" t="s">
        <v>22</v>
      </c>
      <c r="I73" s="5" t="s">
        <v>53</v>
      </c>
      <c r="J73" s="5" t="s">
        <v>67</v>
      </c>
      <c r="K73" s="5" t="s">
        <v>55</v>
      </c>
      <c r="L73" s="5" t="s">
        <v>68</v>
      </c>
      <c r="M73" s="5" t="s">
        <v>218</v>
      </c>
      <c r="N73" s="5" t="s">
        <v>39</v>
      </c>
      <c r="O73" s="5" t="s">
        <v>57</v>
      </c>
      <c r="P73" s="5" t="s">
        <v>30</v>
      </c>
      <c r="Q73" s="5" t="s">
        <v>31</v>
      </c>
      <c r="R73" s="5" t="s">
        <v>57</v>
      </c>
      <c r="S73" s="25">
        <v>46044.44358796296</v>
      </c>
      <c r="T73" s="26">
        <v>46048.61546296296</v>
      </c>
    </row>
    <row r="74" spans="1:20" x14ac:dyDescent="0.3">
      <c r="A74" s="2" t="s">
        <v>275</v>
      </c>
      <c r="B74" s="3">
        <v>5</v>
      </c>
      <c r="C74" s="3">
        <v>3</v>
      </c>
      <c r="D74" s="3" t="s">
        <v>50</v>
      </c>
      <c r="E74" s="3" t="s">
        <v>276</v>
      </c>
      <c r="F74" s="3" t="s">
        <v>817</v>
      </c>
      <c r="G74" s="3" t="s">
        <v>277</v>
      </c>
      <c r="H74" s="3" t="s">
        <v>22</v>
      </c>
      <c r="I74" s="3" t="s">
        <v>53</v>
      </c>
      <c r="J74" s="3" t="s">
        <v>54</v>
      </c>
      <c r="K74" s="3" t="s">
        <v>55</v>
      </c>
      <c r="L74" s="3" t="s">
        <v>26</v>
      </c>
      <c r="M74" s="3" t="s">
        <v>218</v>
      </c>
      <c r="N74" s="3" t="s">
        <v>39</v>
      </c>
      <c r="O74" s="3" t="s">
        <v>108</v>
      </c>
      <c r="P74" s="3" t="s">
        <v>54</v>
      </c>
      <c r="Q74" s="3" t="s">
        <v>31</v>
      </c>
      <c r="R74" s="3" t="s">
        <v>108</v>
      </c>
      <c r="S74" s="23">
        <v>46042.3828125</v>
      </c>
      <c r="T74" s="24">
        <v>46042.402812499997</v>
      </c>
    </row>
    <row r="75" spans="1:20" x14ac:dyDescent="0.3">
      <c r="A75" s="4" t="s">
        <v>278</v>
      </c>
      <c r="B75" s="5">
        <v>5</v>
      </c>
      <c r="C75" s="5">
        <v>3</v>
      </c>
      <c r="D75" s="5" t="s">
        <v>50</v>
      </c>
      <c r="E75" s="5" t="s">
        <v>279</v>
      </c>
      <c r="F75" s="5" t="s">
        <v>827</v>
      </c>
      <c r="G75" s="5" t="s">
        <v>280</v>
      </c>
      <c r="H75" s="5" t="s">
        <v>22</v>
      </c>
      <c r="I75" s="5" t="s">
        <v>53</v>
      </c>
      <c r="J75" s="5" t="s">
        <v>54</v>
      </c>
      <c r="K75" s="5" t="s">
        <v>55</v>
      </c>
      <c r="L75" s="5" t="s">
        <v>26</v>
      </c>
      <c r="M75" s="5" t="s">
        <v>218</v>
      </c>
      <c r="N75" s="5" t="s">
        <v>39</v>
      </c>
      <c r="O75" s="5" t="s">
        <v>29</v>
      </c>
      <c r="P75" s="5" t="s">
        <v>30</v>
      </c>
      <c r="Q75" s="5" t="s">
        <v>31</v>
      </c>
      <c r="R75" s="5" t="s">
        <v>29</v>
      </c>
      <c r="S75" s="25">
        <v>46041.652106481481</v>
      </c>
      <c r="T75" s="26">
        <v>46045.571238425924</v>
      </c>
    </row>
    <row r="76" spans="1:20" x14ac:dyDescent="0.3">
      <c r="A76" s="2" t="s">
        <v>281</v>
      </c>
      <c r="B76" s="3">
        <v>5</v>
      </c>
      <c r="C76" s="3">
        <v>3</v>
      </c>
      <c r="D76" s="3" t="s">
        <v>50</v>
      </c>
      <c r="E76" s="3" t="s">
        <v>282</v>
      </c>
      <c r="F76" s="3" t="s">
        <v>827</v>
      </c>
      <c r="G76" s="3" t="s">
        <v>283</v>
      </c>
      <c r="H76" s="3" t="s">
        <v>22</v>
      </c>
      <c r="I76" s="3" t="s">
        <v>53</v>
      </c>
      <c r="J76" s="3" t="s">
        <v>54</v>
      </c>
      <c r="K76" s="3" t="s">
        <v>55</v>
      </c>
      <c r="L76" s="3" t="s">
        <v>26</v>
      </c>
      <c r="M76" s="3" t="s">
        <v>218</v>
      </c>
      <c r="N76" s="3" t="s">
        <v>39</v>
      </c>
      <c r="O76" s="3" t="s">
        <v>29</v>
      </c>
      <c r="P76" s="3" t="s">
        <v>30</v>
      </c>
      <c r="Q76" s="3" t="s">
        <v>31</v>
      </c>
      <c r="R76" s="3" t="s">
        <v>29</v>
      </c>
      <c r="S76" s="23">
        <v>46041.623611111114</v>
      </c>
      <c r="T76" s="24">
        <v>46045.612175925926</v>
      </c>
    </row>
    <row r="77" spans="1:20" x14ac:dyDescent="0.3">
      <c r="A77" s="4" t="s">
        <v>284</v>
      </c>
      <c r="B77" s="5">
        <v>5</v>
      </c>
      <c r="C77" s="5">
        <v>3</v>
      </c>
      <c r="D77" s="5" t="s">
        <v>50</v>
      </c>
      <c r="E77" s="5" t="s">
        <v>285</v>
      </c>
      <c r="F77" s="5" t="s">
        <v>827</v>
      </c>
      <c r="G77" s="5" t="s">
        <v>286</v>
      </c>
      <c r="H77" s="5" t="s">
        <v>22</v>
      </c>
      <c r="I77" s="5" t="s">
        <v>53</v>
      </c>
      <c r="J77" s="5" t="s">
        <v>54</v>
      </c>
      <c r="K77" s="5" t="s">
        <v>55</v>
      </c>
      <c r="L77" s="5" t="s">
        <v>26</v>
      </c>
      <c r="M77" s="5" t="s">
        <v>218</v>
      </c>
      <c r="N77" s="5" t="s">
        <v>39</v>
      </c>
      <c r="O77" s="5" t="s">
        <v>29</v>
      </c>
      <c r="P77" s="5" t="s">
        <v>30</v>
      </c>
      <c r="Q77" s="5" t="s">
        <v>31</v>
      </c>
      <c r="R77" s="5" t="s">
        <v>29</v>
      </c>
      <c r="S77" s="25">
        <v>46041.558692129627</v>
      </c>
      <c r="T77" s="26">
        <v>46045.613495370373</v>
      </c>
    </row>
    <row r="78" spans="1:20" x14ac:dyDescent="0.3">
      <c r="A78" s="2" t="s">
        <v>287</v>
      </c>
      <c r="B78" s="3">
        <v>5</v>
      </c>
      <c r="C78" s="3">
        <v>3</v>
      </c>
      <c r="D78" s="3" t="s">
        <v>50</v>
      </c>
      <c r="E78" s="3" t="s">
        <v>288</v>
      </c>
      <c r="F78" s="3" t="s">
        <v>827</v>
      </c>
      <c r="G78" s="3" t="s">
        <v>289</v>
      </c>
      <c r="H78" s="3" t="s">
        <v>22</v>
      </c>
      <c r="I78" s="3" t="s">
        <v>53</v>
      </c>
      <c r="J78" s="3" t="s">
        <v>54</v>
      </c>
      <c r="K78" s="3" t="s">
        <v>55</v>
      </c>
      <c r="L78" s="3" t="s">
        <v>26</v>
      </c>
      <c r="M78" s="3" t="s">
        <v>218</v>
      </c>
      <c r="N78" s="3" t="s">
        <v>39</v>
      </c>
      <c r="O78" s="3" t="s">
        <v>29</v>
      </c>
      <c r="P78" s="3" t="s">
        <v>30</v>
      </c>
      <c r="Q78" s="3" t="s">
        <v>31</v>
      </c>
      <c r="R78" s="3" t="s">
        <v>29</v>
      </c>
      <c r="S78" s="23">
        <v>46042.471134259256</v>
      </c>
      <c r="T78" s="24">
        <v>46044.674155092594</v>
      </c>
    </row>
    <row r="79" spans="1:20" x14ac:dyDescent="0.3">
      <c r="A79" s="4" t="s">
        <v>290</v>
      </c>
      <c r="B79" s="5">
        <v>5</v>
      </c>
      <c r="C79" s="5">
        <v>3</v>
      </c>
      <c r="D79" s="5" t="s">
        <v>50</v>
      </c>
      <c r="E79" s="5" t="s">
        <v>291</v>
      </c>
      <c r="F79" s="5" t="s">
        <v>827</v>
      </c>
      <c r="G79" s="5" t="s">
        <v>292</v>
      </c>
      <c r="H79" s="5" t="s">
        <v>22</v>
      </c>
      <c r="I79" s="5" t="s">
        <v>53</v>
      </c>
      <c r="J79" s="5" t="s">
        <v>54</v>
      </c>
      <c r="K79" s="5" t="s">
        <v>55</v>
      </c>
      <c r="L79" s="5" t="s">
        <v>26</v>
      </c>
      <c r="M79" s="5" t="s">
        <v>218</v>
      </c>
      <c r="N79" s="5" t="s">
        <v>39</v>
      </c>
      <c r="O79" s="5" t="s">
        <v>29</v>
      </c>
      <c r="P79" s="5" t="s">
        <v>30</v>
      </c>
      <c r="Q79" s="5" t="s">
        <v>31</v>
      </c>
      <c r="R79" s="5" t="s">
        <v>29</v>
      </c>
      <c r="S79" s="25">
        <v>46041.64267361111</v>
      </c>
      <c r="T79" s="26">
        <v>46045.56753472222</v>
      </c>
    </row>
    <row r="80" spans="1:20" x14ac:dyDescent="0.3">
      <c r="A80" s="2" t="s">
        <v>293</v>
      </c>
      <c r="B80" s="3">
        <v>5</v>
      </c>
      <c r="C80" s="3">
        <v>3</v>
      </c>
      <c r="D80" s="3" t="s">
        <v>50</v>
      </c>
      <c r="E80" s="3" t="s">
        <v>294</v>
      </c>
      <c r="F80" s="3" t="s">
        <v>827</v>
      </c>
      <c r="G80" s="3" t="s">
        <v>295</v>
      </c>
      <c r="H80" s="3" t="s">
        <v>22</v>
      </c>
      <c r="I80" s="3" t="s">
        <v>53</v>
      </c>
      <c r="J80" s="3" t="s">
        <v>54</v>
      </c>
      <c r="K80" s="3" t="s">
        <v>55</v>
      </c>
      <c r="L80" s="3" t="s">
        <v>26</v>
      </c>
      <c r="M80" s="3" t="s">
        <v>218</v>
      </c>
      <c r="N80" s="3" t="s">
        <v>39</v>
      </c>
      <c r="O80" s="3" t="s">
        <v>29</v>
      </c>
      <c r="P80" s="3" t="s">
        <v>30</v>
      </c>
      <c r="Q80" s="3" t="s">
        <v>31</v>
      </c>
      <c r="R80" s="3" t="s">
        <v>29</v>
      </c>
      <c r="S80" s="23">
        <v>46041.637245370373</v>
      </c>
      <c r="T80" s="24">
        <v>46045.574178240742</v>
      </c>
    </row>
    <row r="81" spans="1:20" x14ac:dyDescent="0.3">
      <c r="A81" s="4" t="s">
        <v>296</v>
      </c>
      <c r="B81" s="5">
        <v>5</v>
      </c>
      <c r="C81" s="5">
        <v>3</v>
      </c>
      <c r="D81" s="5" t="s">
        <v>50</v>
      </c>
      <c r="E81" s="5" t="s">
        <v>297</v>
      </c>
      <c r="F81" s="5" t="s">
        <v>827</v>
      </c>
      <c r="G81" s="5" t="s">
        <v>298</v>
      </c>
      <c r="H81" s="5" t="s">
        <v>22</v>
      </c>
      <c r="I81" s="5" t="s">
        <v>53</v>
      </c>
      <c r="J81" s="5" t="s">
        <v>54</v>
      </c>
      <c r="K81" s="5" t="s">
        <v>55</v>
      </c>
      <c r="L81" s="5" t="s">
        <v>26</v>
      </c>
      <c r="M81" s="5" t="s">
        <v>218</v>
      </c>
      <c r="N81" s="5" t="s">
        <v>39</v>
      </c>
      <c r="O81" s="5" t="s">
        <v>47</v>
      </c>
      <c r="P81" s="5" t="s">
        <v>55</v>
      </c>
      <c r="Q81" s="5" t="s">
        <v>31</v>
      </c>
      <c r="R81" s="5" t="s">
        <v>48</v>
      </c>
      <c r="S81" s="25">
        <v>46041.565567129626</v>
      </c>
      <c r="T81" s="26">
        <v>46048.542673611111</v>
      </c>
    </row>
    <row r="82" spans="1:20" x14ac:dyDescent="0.3">
      <c r="A82" s="2" t="s">
        <v>299</v>
      </c>
      <c r="B82" s="3">
        <v>5</v>
      </c>
      <c r="C82" s="3">
        <v>3</v>
      </c>
      <c r="D82" s="3" t="s">
        <v>50</v>
      </c>
      <c r="E82" s="3" t="s">
        <v>300</v>
      </c>
      <c r="F82" s="3" t="s">
        <v>817</v>
      </c>
      <c r="G82" s="3" t="s">
        <v>301</v>
      </c>
      <c r="H82" s="3" t="s">
        <v>22</v>
      </c>
      <c r="I82" s="3" t="s">
        <v>53</v>
      </c>
      <c r="J82" s="3" t="s">
        <v>54</v>
      </c>
      <c r="K82" s="3" t="s">
        <v>55</v>
      </c>
      <c r="L82" s="3" t="s">
        <v>26</v>
      </c>
      <c r="M82" s="3" t="s">
        <v>218</v>
      </c>
      <c r="N82" s="3" t="s">
        <v>39</v>
      </c>
      <c r="O82" s="3" t="s">
        <v>47</v>
      </c>
      <c r="P82" s="3" t="s">
        <v>55</v>
      </c>
      <c r="Q82" s="3" t="s">
        <v>31</v>
      </c>
      <c r="R82" s="3" t="s">
        <v>48</v>
      </c>
      <c r="S82" s="23">
        <v>46042.550196759257</v>
      </c>
      <c r="T82" s="24">
        <v>46048.549259259256</v>
      </c>
    </row>
    <row r="83" spans="1:20" x14ac:dyDescent="0.3">
      <c r="A83" s="4" t="s">
        <v>268</v>
      </c>
      <c r="B83" s="5">
        <v>5</v>
      </c>
      <c r="C83" s="5">
        <v>3</v>
      </c>
      <c r="D83" s="5" t="s">
        <v>50</v>
      </c>
      <c r="E83" s="5" t="s">
        <v>302</v>
      </c>
      <c r="F83" s="5" t="s">
        <v>817</v>
      </c>
      <c r="G83" s="5" t="s">
        <v>303</v>
      </c>
      <c r="H83" s="5" t="s">
        <v>22</v>
      </c>
      <c r="I83" s="5" t="s">
        <v>53</v>
      </c>
      <c r="J83" s="5" t="s">
        <v>54</v>
      </c>
      <c r="K83" s="5" t="s">
        <v>55</v>
      </c>
      <c r="L83" s="5" t="s">
        <v>26</v>
      </c>
      <c r="M83" s="5" t="s">
        <v>218</v>
      </c>
      <c r="N83" s="5" t="s">
        <v>39</v>
      </c>
      <c r="O83" s="5" t="s">
        <v>47</v>
      </c>
      <c r="P83" s="5" t="s">
        <v>55</v>
      </c>
      <c r="Q83" s="5" t="s">
        <v>31</v>
      </c>
      <c r="R83" s="5" t="s">
        <v>48</v>
      </c>
      <c r="S83" s="25">
        <v>46042.567349537036</v>
      </c>
      <c r="T83" s="26">
        <v>46048.563634259262</v>
      </c>
    </row>
    <row r="84" spans="1:20" x14ac:dyDescent="0.3">
      <c r="A84" s="2" t="s">
        <v>304</v>
      </c>
      <c r="B84" s="3">
        <v>5</v>
      </c>
      <c r="C84" s="3">
        <v>3</v>
      </c>
      <c r="D84" s="3" t="s">
        <v>50</v>
      </c>
      <c r="E84" s="3" t="s">
        <v>305</v>
      </c>
      <c r="F84" s="3" t="s">
        <v>817</v>
      </c>
      <c r="G84" s="3" t="s">
        <v>306</v>
      </c>
      <c r="H84" s="3" t="s">
        <v>22</v>
      </c>
      <c r="I84" s="3" t="s">
        <v>53</v>
      </c>
      <c r="J84" s="3" t="s">
        <v>54</v>
      </c>
      <c r="K84" s="3" t="s">
        <v>55</v>
      </c>
      <c r="L84" s="3" t="s">
        <v>26</v>
      </c>
      <c r="M84" s="3" t="s">
        <v>218</v>
      </c>
      <c r="N84" s="3" t="s">
        <v>39</v>
      </c>
      <c r="O84" s="3" t="s">
        <v>47</v>
      </c>
      <c r="P84" s="3" t="s">
        <v>55</v>
      </c>
      <c r="Q84" s="3" t="s">
        <v>31</v>
      </c>
      <c r="R84" s="3" t="s">
        <v>48</v>
      </c>
      <c r="S84" s="23">
        <v>46042.577650462961</v>
      </c>
      <c r="T84" s="24">
        <v>46048.542094907411</v>
      </c>
    </row>
    <row r="85" spans="1:20" x14ac:dyDescent="0.3">
      <c r="A85" s="4" t="s">
        <v>307</v>
      </c>
      <c r="B85" s="5">
        <v>5</v>
      </c>
      <c r="C85" s="5">
        <v>3</v>
      </c>
      <c r="D85" s="5" t="s">
        <v>50</v>
      </c>
      <c r="E85" s="5" t="s">
        <v>308</v>
      </c>
      <c r="F85" s="5" t="s">
        <v>817</v>
      </c>
      <c r="G85" s="5" t="s">
        <v>309</v>
      </c>
      <c r="H85" s="5" t="s">
        <v>22</v>
      </c>
      <c r="I85" s="5" t="s">
        <v>53</v>
      </c>
      <c r="J85" s="5" t="s">
        <v>54</v>
      </c>
      <c r="K85" s="5" t="s">
        <v>55</v>
      </c>
      <c r="L85" s="5" t="s">
        <v>26</v>
      </c>
      <c r="M85" s="5" t="s">
        <v>218</v>
      </c>
      <c r="N85" s="5" t="s">
        <v>39</v>
      </c>
      <c r="O85" s="5" t="s">
        <v>47</v>
      </c>
      <c r="P85" s="5" t="s">
        <v>55</v>
      </c>
      <c r="Q85" s="5" t="s">
        <v>31</v>
      </c>
      <c r="R85" s="5" t="s">
        <v>48</v>
      </c>
      <c r="S85" s="25">
        <v>46042.402685185189</v>
      </c>
      <c r="T85" s="26">
        <v>46048.55364583333</v>
      </c>
    </row>
    <row r="86" spans="1:20" x14ac:dyDescent="0.3">
      <c r="A86" s="2" t="s">
        <v>310</v>
      </c>
      <c r="B86" s="3">
        <v>5</v>
      </c>
      <c r="C86" s="3">
        <v>3</v>
      </c>
      <c r="D86" s="3" t="s">
        <v>50</v>
      </c>
      <c r="E86" s="3" t="s">
        <v>311</v>
      </c>
      <c r="F86" s="3" t="s">
        <v>827</v>
      </c>
      <c r="G86" s="3" t="s">
        <v>312</v>
      </c>
      <c r="H86" s="3" t="s">
        <v>22</v>
      </c>
      <c r="I86" s="3" t="s">
        <v>53</v>
      </c>
      <c r="J86" s="3" t="s">
        <v>54</v>
      </c>
      <c r="K86" s="3" t="s">
        <v>55</v>
      </c>
      <c r="L86" s="3" t="s">
        <v>26</v>
      </c>
      <c r="M86" s="3" t="s">
        <v>218</v>
      </c>
      <c r="N86" s="3" t="s">
        <v>39</v>
      </c>
      <c r="O86" s="3" t="s">
        <v>47</v>
      </c>
      <c r="P86" s="3" t="s">
        <v>55</v>
      </c>
      <c r="Q86" s="3" t="s">
        <v>31</v>
      </c>
      <c r="R86" s="3" t="s">
        <v>48</v>
      </c>
      <c r="S86" s="23">
        <v>46041.550844907404</v>
      </c>
      <c r="T86" s="24">
        <v>46048.550682870373</v>
      </c>
    </row>
    <row r="87" spans="1:20" x14ac:dyDescent="0.3">
      <c r="A87" s="4" t="s">
        <v>313</v>
      </c>
      <c r="B87" s="5">
        <v>5</v>
      </c>
      <c r="C87" s="5">
        <v>3</v>
      </c>
      <c r="D87" s="5" t="s">
        <v>50</v>
      </c>
      <c r="E87" s="5" t="s">
        <v>314</v>
      </c>
      <c r="F87" s="5" t="s">
        <v>817</v>
      </c>
      <c r="G87" s="5" t="s">
        <v>315</v>
      </c>
      <c r="H87" s="5" t="s">
        <v>22</v>
      </c>
      <c r="I87" s="5" t="s">
        <v>53</v>
      </c>
      <c r="J87" s="5" t="s">
        <v>54</v>
      </c>
      <c r="K87" s="5" t="s">
        <v>55</v>
      </c>
      <c r="L87" s="5" t="s">
        <v>26</v>
      </c>
      <c r="M87" s="5" t="s">
        <v>218</v>
      </c>
      <c r="N87" s="5" t="s">
        <v>39</v>
      </c>
      <c r="O87" s="5" t="s">
        <v>47</v>
      </c>
      <c r="P87" s="5" t="s">
        <v>55</v>
      </c>
      <c r="Q87" s="5" t="s">
        <v>31</v>
      </c>
      <c r="R87" s="5" t="s">
        <v>48</v>
      </c>
      <c r="S87" s="25">
        <v>46042.462847222225</v>
      </c>
      <c r="T87" s="26">
        <v>46048.562569444446</v>
      </c>
    </row>
    <row r="88" spans="1:20" x14ac:dyDescent="0.3">
      <c r="A88" s="2" t="s">
        <v>316</v>
      </c>
      <c r="B88" s="3">
        <v>5</v>
      </c>
      <c r="C88" s="3">
        <v>3</v>
      </c>
      <c r="D88" s="3" t="s">
        <v>50</v>
      </c>
      <c r="E88" s="3" t="s">
        <v>317</v>
      </c>
      <c r="F88" s="3" t="s">
        <v>827</v>
      </c>
      <c r="G88" s="3" t="s">
        <v>318</v>
      </c>
      <c r="H88" s="3" t="s">
        <v>22</v>
      </c>
      <c r="I88" s="3" t="s">
        <v>53</v>
      </c>
      <c r="J88" s="3" t="s">
        <v>54</v>
      </c>
      <c r="K88" s="3" t="s">
        <v>55</v>
      </c>
      <c r="L88" s="3" t="s">
        <v>26</v>
      </c>
      <c r="M88" s="3" t="s">
        <v>218</v>
      </c>
      <c r="N88" s="3" t="s">
        <v>39</v>
      </c>
      <c r="O88" s="3" t="s">
        <v>47</v>
      </c>
      <c r="P88" s="3" t="s">
        <v>55</v>
      </c>
      <c r="Q88" s="3" t="s">
        <v>31</v>
      </c>
      <c r="R88" s="3" t="s">
        <v>48</v>
      </c>
      <c r="S88" s="23">
        <v>46041.540798611109</v>
      </c>
      <c r="T88" s="24">
        <v>46048.54241898148</v>
      </c>
    </row>
    <row r="89" spans="1:20" x14ac:dyDescent="0.3">
      <c r="A89" s="4" t="s">
        <v>319</v>
      </c>
      <c r="B89" s="5">
        <v>5</v>
      </c>
      <c r="C89" s="5">
        <v>3</v>
      </c>
      <c r="D89" s="5" t="s">
        <v>50</v>
      </c>
      <c r="E89" s="5" t="s">
        <v>320</v>
      </c>
      <c r="F89" s="5" t="s">
        <v>817</v>
      </c>
      <c r="G89" s="5" t="s">
        <v>321</v>
      </c>
      <c r="H89" s="5" t="s">
        <v>22</v>
      </c>
      <c r="I89" s="5" t="s">
        <v>53</v>
      </c>
      <c r="J89" s="5" t="s">
        <v>54</v>
      </c>
      <c r="K89" s="5" t="s">
        <v>55</v>
      </c>
      <c r="L89" s="5" t="s">
        <v>26</v>
      </c>
      <c r="M89" s="5" t="s">
        <v>218</v>
      </c>
      <c r="N89" s="5" t="s">
        <v>39</v>
      </c>
      <c r="O89" s="5" t="s">
        <v>47</v>
      </c>
      <c r="P89" s="5" t="s">
        <v>55</v>
      </c>
      <c r="Q89" s="5" t="s">
        <v>31</v>
      </c>
      <c r="R89" s="5" t="s">
        <v>48</v>
      </c>
      <c r="S89" s="25">
        <v>46041.534328703703</v>
      </c>
      <c r="T89" s="26">
        <v>46048.414641203701</v>
      </c>
    </row>
    <row r="90" spans="1:20" x14ac:dyDescent="0.3">
      <c r="A90" s="2" t="s">
        <v>322</v>
      </c>
      <c r="B90" s="3">
        <v>5</v>
      </c>
      <c r="C90" s="3">
        <v>3</v>
      </c>
      <c r="D90" s="3" t="s">
        <v>50</v>
      </c>
      <c r="E90" s="3" t="s">
        <v>323</v>
      </c>
      <c r="F90" s="3" t="s">
        <v>825</v>
      </c>
      <c r="G90" s="3" t="s">
        <v>324</v>
      </c>
      <c r="H90" s="3" t="s">
        <v>22</v>
      </c>
      <c r="I90" s="3" t="s">
        <v>53</v>
      </c>
      <c r="J90" s="3" t="s">
        <v>325</v>
      </c>
      <c r="K90" s="3" t="s">
        <v>55</v>
      </c>
      <c r="L90" s="3" t="s">
        <v>68</v>
      </c>
      <c r="M90" s="3" t="s">
        <v>218</v>
      </c>
      <c r="N90" s="3" t="s">
        <v>39</v>
      </c>
      <c r="O90" s="3" t="s">
        <v>47</v>
      </c>
      <c r="P90" s="3" t="s">
        <v>55</v>
      </c>
      <c r="Q90" s="3" t="s">
        <v>31</v>
      </c>
      <c r="R90" s="3" t="s">
        <v>48</v>
      </c>
      <c r="S90" s="23">
        <v>46044.609085648146</v>
      </c>
      <c r="T90" s="24">
        <v>46048.596631944441</v>
      </c>
    </row>
    <row r="91" spans="1:20" x14ac:dyDescent="0.3">
      <c r="A91" s="4" t="s">
        <v>326</v>
      </c>
      <c r="B91" s="5">
        <v>5</v>
      </c>
      <c r="C91" s="5">
        <v>3</v>
      </c>
      <c r="D91" s="5" t="s">
        <v>50</v>
      </c>
      <c r="E91" s="5" t="s">
        <v>327</v>
      </c>
      <c r="F91" s="5" t="s">
        <v>825</v>
      </c>
      <c r="G91" s="5" t="s">
        <v>328</v>
      </c>
      <c r="H91" s="5" t="s">
        <v>22</v>
      </c>
      <c r="I91" s="5" t="s">
        <v>53</v>
      </c>
      <c r="J91" s="5" t="s">
        <v>67</v>
      </c>
      <c r="K91" s="5" t="s">
        <v>55</v>
      </c>
      <c r="L91" s="5" t="s">
        <v>68</v>
      </c>
      <c r="M91" s="5" t="s">
        <v>218</v>
      </c>
      <c r="N91" s="5" t="s">
        <v>39</v>
      </c>
      <c r="O91" s="5" t="s">
        <v>47</v>
      </c>
      <c r="P91" s="5" t="s">
        <v>55</v>
      </c>
      <c r="Q91" s="5" t="s">
        <v>31</v>
      </c>
      <c r="R91" s="5" t="s">
        <v>48</v>
      </c>
      <c r="S91" s="25">
        <v>46045.606759259259</v>
      </c>
      <c r="T91" s="26">
        <v>46048.626863425925</v>
      </c>
    </row>
    <row r="92" spans="1:20" x14ac:dyDescent="0.3">
      <c r="A92" s="2" t="s">
        <v>329</v>
      </c>
      <c r="B92" s="3">
        <v>5</v>
      </c>
      <c r="C92" s="3">
        <v>3</v>
      </c>
      <c r="D92" s="3" t="s">
        <v>50</v>
      </c>
      <c r="E92" s="3" t="s">
        <v>330</v>
      </c>
      <c r="F92" s="3" t="s">
        <v>817</v>
      </c>
      <c r="G92" s="3" t="s">
        <v>331</v>
      </c>
      <c r="H92" s="3" t="s">
        <v>22</v>
      </c>
      <c r="I92" s="3" t="s">
        <v>53</v>
      </c>
      <c r="J92" s="3" t="s">
        <v>54</v>
      </c>
      <c r="K92" s="3" t="s">
        <v>55</v>
      </c>
      <c r="L92" s="3" t="s">
        <v>26</v>
      </c>
      <c r="M92" s="3" t="s">
        <v>218</v>
      </c>
      <c r="N92" s="3" t="s">
        <v>39</v>
      </c>
      <c r="O92" s="3" t="s">
        <v>47</v>
      </c>
      <c r="P92" s="3" t="s">
        <v>55</v>
      </c>
      <c r="Q92" s="3" t="s">
        <v>31</v>
      </c>
      <c r="R92" s="3" t="s">
        <v>48</v>
      </c>
      <c r="S92" s="23">
        <v>46041.529305555552</v>
      </c>
      <c r="T92" s="24">
        <v>46048.551701388889</v>
      </c>
    </row>
    <row r="93" spans="1:20" x14ac:dyDescent="0.3">
      <c r="A93" s="4" t="s">
        <v>69</v>
      </c>
      <c r="B93" s="5">
        <v>5</v>
      </c>
      <c r="C93" s="5">
        <v>3</v>
      </c>
      <c r="D93" s="5" t="s">
        <v>50</v>
      </c>
      <c r="E93" s="5" t="s">
        <v>332</v>
      </c>
      <c r="F93" s="5" t="s">
        <v>817</v>
      </c>
      <c r="G93" s="5" t="s">
        <v>333</v>
      </c>
      <c r="H93" s="5" t="s">
        <v>22</v>
      </c>
      <c r="I93" s="5" t="s">
        <v>53</v>
      </c>
      <c r="J93" s="5" t="s">
        <v>67</v>
      </c>
      <c r="K93" s="5" t="s">
        <v>55</v>
      </c>
      <c r="L93" s="5" t="s">
        <v>26</v>
      </c>
      <c r="M93" s="5" t="s">
        <v>218</v>
      </c>
      <c r="N93" s="5" t="s">
        <v>39</v>
      </c>
      <c r="O93" s="5" t="s">
        <v>47</v>
      </c>
      <c r="P93" s="5" t="s">
        <v>55</v>
      </c>
      <c r="Q93" s="5" t="s">
        <v>97</v>
      </c>
      <c r="R93" s="5" t="s">
        <v>48</v>
      </c>
      <c r="S93" s="25">
        <v>46045.548645833333</v>
      </c>
      <c r="T93" s="26">
        <v>46049.609097222223</v>
      </c>
    </row>
    <row r="94" spans="1:20" x14ac:dyDescent="0.3">
      <c r="A94" s="2" t="s">
        <v>334</v>
      </c>
      <c r="B94" s="3">
        <v>5</v>
      </c>
      <c r="C94" s="3">
        <v>3</v>
      </c>
      <c r="D94" s="3" t="s">
        <v>50</v>
      </c>
      <c r="E94" s="3" t="s">
        <v>335</v>
      </c>
      <c r="F94" s="3" t="s">
        <v>825</v>
      </c>
      <c r="G94" s="3" t="s">
        <v>336</v>
      </c>
      <c r="H94" s="3" t="s">
        <v>22</v>
      </c>
      <c r="I94" s="3" t="s">
        <v>53</v>
      </c>
      <c r="J94" s="3" t="s">
        <v>67</v>
      </c>
      <c r="K94" s="3" t="s">
        <v>55</v>
      </c>
      <c r="L94" s="3" t="s">
        <v>68</v>
      </c>
      <c r="M94" s="3" t="s">
        <v>218</v>
      </c>
      <c r="N94" s="3" t="s">
        <v>39</v>
      </c>
      <c r="O94" s="3" t="s">
        <v>47</v>
      </c>
      <c r="P94" s="3" t="s">
        <v>55</v>
      </c>
      <c r="Q94" s="3" t="s">
        <v>31</v>
      </c>
      <c r="R94" s="3" t="s">
        <v>48</v>
      </c>
      <c r="S94" s="23">
        <v>46044.411712962959</v>
      </c>
      <c r="T94" s="24">
        <v>46048.616064814814</v>
      </c>
    </row>
    <row r="95" spans="1:20" x14ac:dyDescent="0.3">
      <c r="A95" s="4" t="s">
        <v>337</v>
      </c>
      <c r="B95" s="5">
        <v>5</v>
      </c>
      <c r="C95" s="5">
        <v>3</v>
      </c>
      <c r="D95" s="5" t="s">
        <v>50</v>
      </c>
      <c r="E95" s="5" t="s">
        <v>338</v>
      </c>
      <c r="F95" s="5" t="s">
        <v>825</v>
      </c>
      <c r="G95" s="5" t="s">
        <v>339</v>
      </c>
      <c r="H95" s="5" t="s">
        <v>22</v>
      </c>
      <c r="I95" s="5" t="s">
        <v>53</v>
      </c>
      <c r="J95" s="5" t="s">
        <v>325</v>
      </c>
      <c r="K95" s="5" t="s">
        <v>55</v>
      </c>
      <c r="L95" s="5" t="s">
        <v>68</v>
      </c>
      <c r="M95" s="5" t="s">
        <v>218</v>
      </c>
      <c r="N95" s="5" t="s">
        <v>39</v>
      </c>
      <c r="O95" s="5" t="s">
        <v>47</v>
      </c>
      <c r="P95" s="5" t="s">
        <v>55</v>
      </c>
      <c r="Q95" s="5" t="s">
        <v>31</v>
      </c>
      <c r="R95" s="5" t="s">
        <v>48</v>
      </c>
      <c r="S95" s="25">
        <v>46044.450185185182</v>
      </c>
      <c r="T95" s="26">
        <v>46048.604768518519</v>
      </c>
    </row>
    <row r="96" spans="1:20" x14ac:dyDescent="0.3">
      <c r="A96" s="2" t="s">
        <v>340</v>
      </c>
      <c r="B96" s="3">
        <v>5</v>
      </c>
      <c r="C96" s="3">
        <v>3</v>
      </c>
      <c r="D96" s="3" t="s">
        <v>73</v>
      </c>
      <c r="E96" s="3" t="s">
        <v>341</v>
      </c>
      <c r="F96" s="3"/>
      <c r="G96" s="3" t="s">
        <v>342</v>
      </c>
      <c r="H96" s="3" t="s">
        <v>22</v>
      </c>
      <c r="I96" s="3" t="s">
        <v>53</v>
      </c>
      <c r="J96" s="3" t="s">
        <v>54</v>
      </c>
      <c r="K96" s="3" t="s">
        <v>55</v>
      </c>
      <c r="L96" s="3" t="s">
        <v>26</v>
      </c>
      <c r="M96" s="3" t="s">
        <v>218</v>
      </c>
      <c r="N96" s="3" t="s">
        <v>56</v>
      </c>
      <c r="O96" s="3" t="s">
        <v>57</v>
      </c>
      <c r="P96" s="3" t="s">
        <v>30</v>
      </c>
      <c r="Q96" s="3" t="s">
        <v>31</v>
      </c>
      <c r="R96" s="3" t="s">
        <v>57</v>
      </c>
      <c r="S96" s="23">
        <v>46044.626493055555</v>
      </c>
      <c r="T96" s="24">
        <v>46048.410775462966</v>
      </c>
    </row>
    <row r="97" spans="1:20" x14ac:dyDescent="0.3">
      <c r="A97" s="4" t="s">
        <v>343</v>
      </c>
      <c r="B97" s="5">
        <v>5</v>
      </c>
      <c r="C97" s="5">
        <v>3</v>
      </c>
      <c r="D97" s="5" t="s">
        <v>73</v>
      </c>
      <c r="E97" s="5" t="s">
        <v>344</v>
      </c>
      <c r="F97" s="5"/>
      <c r="G97" s="5" t="s">
        <v>345</v>
      </c>
      <c r="H97" s="5" t="s">
        <v>22</v>
      </c>
      <c r="I97" s="5" t="s">
        <v>53</v>
      </c>
      <c r="J97" s="5" t="s">
        <v>53</v>
      </c>
      <c r="K97" s="5" t="s">
        <v>55</v>
      </c>
      <c r="L97" s="5" t="s">
        <v>26</v>
      </c>
      <c r="M97" s="5" t="s">
        <v>218</v>
      </c>
      <c r="N97" s="5" t="s">
        <v>39</v>
      </c>
      <c r="O97" s="5" t="s">
        <v>57</v>
      </c>
      <c r="P97" s="5" t="s">
        <v>30</v>
      </c>
      <c r="Q97" s="5" t="s">
        <v>31</v>
      </c>
      <c r="R97" s="5" t="s">
        <v>57</v>
      </c>
      <c r="S97" s="25">
        <v>46042.610995370371</v>
      </c>
      <c r="T97" s="26">
        <v>46042.740405092591</v>
      </c>
    </row>
    <row r="98" spans="1:20" x14ac:dyDescent="0.3">
      <c r="A98" s="2" t="s">
        <v>346</v>
      </c>
      <c r="B98" s="3">
        <v>5</v>
      </c>
      <c r="C98" s="3">
        <v>3</v>
      </c>
      <c r="D98" s="3" t="s">
        <v>73</v>
      </c>
      <c r="E98" s="3" t="s">
        <v>347</v>
      </c>
      <c r="F98" s="3"/>
      <c r="G98" s="3" t="s">
        <v>348</v>
      </c>
      <c r="H98" s="3" t="s">
        <v>22</v>
      </c>
      <c r="I98" s="3" t="s">
        <v>53</v>
      </c>
      <c r="J98" s="3" t="s">
        <v>54</v>
      </c>
      <c r="K98" s="3" t="s">
        <v>55</v>
      </c>
      <c r="L98" s="3" t="s">
        <v>26</v>
      </c>
      <c r="M98" s="3" t="s">
        <v>218</v>
      </c>
      <c r="N98" s="3" t="s">
        <v>56</v>
      </c>
      <c r="O98" s="3" t="s">
        <v>57</v>
      </c>
      <c r="P98" s="3" t="s">
        <v>30</v>
      </c>
      <c r="Q98" s="3" t="s">
        <v>31</v>
      </c>
      <c r="R98" s="3" t="s">
        <v>57</v>
      </c>
      <c r="S98" s="23">
        <v>46044.624907407408</v>
      </c>
      <c r="T98" s="24">
        <v>46048.410451388889</v>
      </c>
    </row>
    <row r="99" spans="1:20" x14ac:dyDescent="0.3">
      <c r="A99" s="4" t="s">
        <v>349</v>
      </c>
      <c r="B99" s="5">
        <v>5</v>
      </c>
      <c r="C99" s="5">
        <v>3</v>
      </c>
      <c r="D99" s="5" t="s">
        <v>73</v>
      </c>
      <c r="E99" s="5" t="s">
        <v>350</v>
      </c>
      <c r="F99" s="5"/>
      <c r="G99" s="5" t="s">
        <v>351</v>
      </c>
      <c r="H99" s="5" t="s">
        <v>22</v>
      </c>
      <c r="I99" s="5" t="s">
        <v>53</v>
      </c>
      <c r="J99" s="5" t="s">
        <v>54</v>
      </c>
      <c r="K99" s="5" t="s">
        <v>55</v>
      </c>
      <c r="L99" s="5" t="s">
        <v>26</v>
      </c>
      <c r="M99" s="5" t="s">
        <v>218</v>
      </c>
      <c r="N99" s="5" t="s">
        <v>39</v>
      </c>
      <c r="O99" s="5" t="s">
        <v>57</v>
      </c>
      <c r="P99" s="5" t="s">
        <v>30</v>
      </c>
      <c r="Q99" s="5" t="s">
        <v>31</v>
      </c>
      <c r="R99" s="5" t="s">
        <v>57</v>
      </c>
      <c r="S99" s="25">
        <v>46043.5622337963</v>
      </c>
      <c r="T99" s="26">
        <v>46048.55945601852</v>
      </c>
    </row>
    <row r="100" spans="1:20" x14ac:dyDescent="0.3">
      <c r="A100" s="2" t="s">
        <v>352</v>
      </c>
      <c r="B100" s="3">
        <v>5</v>
      </c>
      <c r="C100" s="3">
        <v>3</v>
      </c>
      <c r="D100" s="3" t="s">
        <v>73</v>
      </c>
      <c r="E100" s="3" t="s">
        <v>353</v>
      </c>
      <c r="F100" s="3"/>
      <c r="G100" s="3" t="s">
        <v>354</v>
      </c>
      <c r="H100" s="3" t="s">
        <v>22</v>
      </c>
      <c r="I100" s="3" t="s">
        <v>53</v>
      </c>
      <c r="J100" s="3" t="s">
        <v>54</v>
      </c>
      <c r="K100" s="3" t="s">
        <v>55</v>
      </c>
      <c r="L100" s="3" t="s">
        <v>26</v>
      </c>
      <c r="M100" s="3" t="s">
        <v>218</v>
      </c>
      <c r="N100" s="3" t="s">
        <v>39</v>
      </c>
      <c r="O100" s="3" t="s">
        <v>57</v>
      </c>
      <c r="P100" s="3" t="s">
        <v>30</v>
      </c>
      <c r="Q100" s="3" t="s">
        <v>31</v>
      </c>
      <c r="R100" s="3" t="s">
        <v>57</v>
      </c>
      <c r="S100" s="23">
        <v>46043.572615740741</v>
      </c>
      <c r="T100" s="24">
        <v>46043.705243055556</v>
      </c>
    </row>
    <row r="101" spans="1:20" x14ac:dyDescent="0.3">
      <c r="A101" s="4" t="s">
        <v>355</v>
      </c>
      <c r="B101" s="5">
        <v>5</v>
      </c>
      <c r="C101" s="5">
        <v>3</v>
      </c>
      <c r="D101" s="5" t="s">
        <v>73</v>
      </c>
      <c r="E101" s="5" t="s">
        <v>356</v>
      </c>
      <c r="F101" s="5"/>
      <c r="G101" s="5" t="s">
        <v>357</v>
      </c>
      <c r="H101" s="5" t="s">
        <v>22</v>
      </c>
      <c r="I101" s="5" t="s">
        <v>53</v>
      </c>
      <c r="J101" s="5" t="s">
        <v>67</v>
      </c>
      <c r="K101" s="5" t="s">
        <v>55</v>
      </c>
      <c r="L101" s="5" t="s">
        <v>68</v>
      </c>
      <c r="M101" s="5" t="s">
        <v>218</v>
      </c>
      <c r="N101" s="5" t="s">
        <v>39</v>
      </c>
      <c r="O101" s="5" t="s">
        <v>57</v>
      </c>
      <c r="P101" s="5" t="s">
        <v>30</v>
      </c>
      <c r="Q101" s="5" t="s">
        <v>31</v>
      </c>
      <c r="R101" s="5" t="s">
        <v>57</v>
      </c>
      <c r="S101" s="25">
        <v>46044.408541666664</v>
      </c>
      <c r="T101" s="26">
        <v>46048.609293981484</v>
      </c>
    </row>
    <row r="102" spans="1:20" x14ac:dyDescent="0.3">
      <c r="A102" s="2" t="s">
        <v>358</v>
      </c>
      <c r="B102" s="3">
        <v>5</v>
      </c>
      <c r="C102" s="3">
        <v>3</v>
      </c>
      <c r="D102" s="3" t="s">
        <v>73</v>
      </c>
      <c r="E102" s="3" t="s">
        <v>359</v>
      </c>
      <c r="F102" s="3"/>
      <c r="G102" s="3" t="s">
        <v>360</v>
      </c>
      <c r="H102" s="3" t="s">
        <v>22</v>
      </c>
      <c r="I102" s="3" t="s">
        <v>53</v>
      </c>
      <c r="J102" s="3" t="s">
        <v>67</v>
      </c>
      <c r="K102" s="3" t="s">
        <v>55</v>
      </c>
      <c r="L102" s="3" t="s">
        <v>68</v>
      </c>
      <c r="M102" s="3" t="s">
        <v>218</v>
      </c>
      <c r="N102" s="3" t="s">
        <v>56</v>
      </c>
      <c r="O102" s="3" t="s">
        <v>57</v>
      </c>
      <c r="P102" s="3" t="s">
        <v>30</v>
      </c>
      <c r="Q102" s="3" t="s">
        <v>31</v>
      </c>
      <c r="R102" s="3" t="s">
        <v>57</v>
      </c>
      <c r="S102" s="23">
        <v>46044.570219907408</v>
      </c>
      <c r="T102" s="24">
        <v>46048.411099537036</v>
      </c>
    </row>
    <row r="103" spans="1:20" x14ac:dyDescent="0.3">
      <c r="A103" s="4" t="s">
        <v>361</v>
      </c>
      <c r="B103" s="5">
        <v>5</v>
      </c>
      <c r="C103" s="5">
        <v>3</v>
      </c>
      <c r="D103" s="5" t="s">
        <v>73</v>
      </c>
      <c r="E103" s="5" t="s">
        <v>362</v>
      </c>
      <c r="F103" s="5"/>
      <c r="G103" s="5" t="s">
        <v>363</v>
      </c>
      <c r="H103" s="5" t="s">
        <v>22</v>
      </c>
      <c r="I103" s="5" t="s">
        <v>53</v>
      </c>
      <c r="J103" s="5" t="s">
        <v>54</v>
      </c>
      <c r="K103" s="5" t="s">
        <v>87</v>
      </c>
      <c r="L103" s="5" t="s">
        <v>26</v>
      </c>
      <c r="M103" s="5" t="s">
        <v>218</v>
      </c>
      <c r="N103" s="5" t="s">
        <v>39</v>
      </c>
      <c r="O103" s="5" t="s">
        <v>57</v>
      </c>
      <c r="P103" s="5" t="s">
        <v>30</v>
      </c>
      <c r="Q103" s="5" t="s">
        <v>31</v>
      </c>
      <c r="R103" s="5" t="s">
        <v>57</v>
      </c>
      <c r="S103" s="25">
        <v>46042.619884259257</v>
      </c>
      <c r="T103" s="26">
        <v>46042.737233796295</v>
      </c>
    </row>
    <row r="104" spans="1:20" x14ac:dyDescent="0.3">
      <c r="A104" s="2" t="s">
        <v>364</v>
      </c>
      <c r="B104" s="3">
        <v>5</v>
      </c>
      <c r="C104" s="3">
        <v>3</v>
      </c>
      <c r="D104" s="3" t="s">
        <v>73</v>
      </c>
      <c r="E104" s="3" t="s">
        <v>365</v>
      </c>
      <c r="F104" s="3" t="s">
        <v>827</v>
      </c>
      <c r="G104" s="3" t="s">
        <v>366</v>
      </c>
      <c r="H104" s="3" t="s">
        <v>22</v>
      </c>
      <c r="I104" s="3" t="s">
        <v>53</v>
      </c>
      <c r="J104" s="3" t="s">
        <v>54</v>
      </c>
      <c r="K104" s="3" t="s">
        <v>55</v>
      </c>
      <c r="L104" s="3" t="s">
        <v>26</v>
      </c>
      <c r="M104" s="3" t="s">
        <v>218</v>
      </c>
      <c r="N104" s="3" t="s">
        <v>39</v>
      </c>
      <c r="O104" s="3" t="s">
        <v>29</v>
      </c>
      <c r="P104" s="3" t="s">
        <v>30</v>
      </c>
      <c r="Q104" s="3" t="s">
        <v>31</v>
      </c>
      <c r="R104" s="3" t="s">
        <v>29</v>
      </c>
      <c r="S104" s="23">
        <v>46042.687175925923</v>
      </c>
      <c r="T104" s="24">
        <v>46044.676018518519</v>
      </c>
    </row>
    <row r="105" spans="1:20" x14ac:dyDescent="0.3">
      <c r="A105" s="4" t="s">
        <v>367</v>
      </c>
      <c r="B105" s="5">
        <v>5</v>
      </c>
      <c r="C105" s="5">
        <v>3</v>
      </c>
      <c r="D105" s="5" t="s">
        <v>73</v>
      </c>
      <c r="E105" s="5" t="s">
        <v>368</v>
      </c>
      <c r="F105" s="5" t="s">
        <v>817</v>
      </c>
      <c r="G105" s="5" t="s">
        <v>369</v>
      </c>
      <c r="H105" s="5" t="s">
        <v>22</v>
      </c>
      <c r="I105" s="5" t="s">
        <v>53</v>
      </c>
      <c r="J105" s="5" t="s">
        <v>54</v>
      </c>
      <c r="K105" s="5" t="s">
        <v>55</v>
      </c>
      <c r="L105" s="5" t="s">
        <v>26</v>
      </c>
      <c r="M105" s="5" t="s">
        <v>218</v>
      </c>
      <c r="N105" s="5" t="s">
        <v>39</v>
      </c>
      <c r="O105" s="5" t="s">
        <v>29</v>
      </c>
      <c r="P105" s="5" t="s">
        <v>30</v>
      </c>
      <c r="Q105" s="5" t="s">
        <v>31</v>
      </c>
      <c r="R105" s="5" t="s">
        <v>29</v>
      </c>
      <c r="S105" s="25">
        <v>46042.624675925923</v>
      </c>
      <c r="T105" s="26">
        <v>46044.680925925924</v>
      </c>
    </row>
    <row r="106" spans="1:20" x14ac:dyDescent="0.3">
      <c r="A106" s="2" t="s">
        <v>370</v>
      </c>
      <c r="B106" s="3">
        <v>5</v>
      </c>
      <c r="C106" s="3">
        <v>3</v>
      </c>
      <c r="D106" s="3" t="s">
        <v>73</v>
      </c>
      <c r="E106" s="3" t="s">
        <v>371</v>
      </c>
      <c r="F106" s="3" t="s">
        <v>817</v>
      </c>
      <c r="G106" s="3" t="s">
        <v>372</v>
      </c>
      <c r="H106" s="3" t="s">
        <v>22</v>
      </c>
      <c r="I106" s="3" t="s">
        <v>53</v>
      </c>
      <c r="J106" s="3" t="s">
        <v>54</v>
      </c>
      <c r="K106" s="3" t="s">
        <v>55</v>
      </c>
      <c r="L106" s="3" t="s">
        <v>26</v>
      </c>
      <c r="M106" s="3" t="s">
        <v>218</v>
      </c>
      <c r="N106" s="3" t="s">
        <v>39</v>
      </c>
      <c r="O106" s="3" t="s">
        <v>29</v>
      </c>
      <c r="P106" s="3" t="s">
        <v>30</v>
      </c>
      <c r="Q106" s="3" t="s">
        <v>31</v>
      </c>
      <c r="R106" s="3" t="s">
        <v>29</v>
      </c>
      <c r="S106" s="23">
        <v>46042.635034722225</v>
      </c>
      <c r="T106" s="24">
        <v>46044.677708333336</v>
      </c>
    </row>
    <row r="107" spans="1:20" x14ac:dyDescent="0.3">
      <c r="A107" s="4" t="s">
        <v>373</v>
      </c>
      <c r="B107" s="5">
        <v>5</v>
      </c>
      <c r="C107" s="5">
        <v>3</v>
      </c>
      <c r="D107" s="5" t="s">
        <v>73</v>
      </c>
      <c r="E107" s="5" t="s">
        <v>374</v>
      </c>
      <c r="F107" s="5" t="s">
        <v>817</v>
      </c>
      <c r="G107" s="5" t="s">
        <v>375</v>
      </c>
      <c r="H107" s="5" t="s">
        <v>22</v>
      </c>
      <c r="I107" s="5" t="s">
        <v>53</v>
      </c>
      <c r="J107" s="5" t="s">
        <v>54</v>
      </c>
      <c r="K107" s="5" t="s">
        <v>55</v>
      </c>
      <c r="L107" s="5" t="s">
        <v>26</v>
      </c>
      <c r="M107" s="5" t="s">
        <v>218</v>
      </c>
      <c r="N107" s="5" t="s">
        <v>39</v>
      </c>
      <c r="O107" s="5" t="s">
        <v>47</v>
      </c>
      <c r="P107" s="5" t="s">
        <v>55</v>
      </c>
      <c r="Q107" s="5" t="s">
        <v>31</v>
      </c>
      <c r="R107" s="5" t="s">
        <v>48</v>
      </c>
      <c r="S107" s="25">
        <v>46042.61886574074</v>
      </c>
      <c r="T107" s="26">
        <v>46048.549502314818</v>
      </c>
    </row>
    <row r="108" spans="1:20" x14ac:dyDescent="0.3">
      <c r="A108" s="2" t="s">
        <v>376</v>
      </c>
      <c r="B108" s="3">
        <v>5</v>
      </c>
      <c r="C108" s="3">
        <v>3</v>
      </c>
      <c r="D108" s="3" t="s">
        <v>73</v>
      </c>
      <c r="E108" s="3" t="s">
        <v>377</v>
      </c>
      <c r="F108" s="3" t="s">
        <v>817</v>
      </c>
      <c r="G108" s="3" t="s">
        <v>378</v>
      </c>
      <c r="H108" s="3" t="s">
        <v>22</v>
      </c>
      <c r="I108" s="3" t="s">
        <v>53</v>
      </c>
      <c r="J108" s="3" t="s">
        <v>54</v>
      </c>
      <c r="K108" s="3" t="s">
        <v>55</v>
      </c>
      <c r="L108" s="3" t="s">
        <v>26</v>
      </c>
      <c r="M108" s="3" t="s">
        <v>218</v>
      </c>
      <c r="N108" s="3" t="s">
        <v>39</v>
      </c>
      <c r="O108" s="3" t="s">
        <v>47</v>
      </c>
      <c r="P108" s="3" t="s">
        <v>55</v>
      </c>
      <c r="Q108" s="3" t="s">
        <v>31</v>
      </c>
      <c r="R108" s="3" t="s">
        <v>48</v>
      </c>
      <c r="S108" s="23">
        <v>46042.62939814815</v>
      </c>
      <c r="T108" s="24">
        <v>46048.552627314813</v>
      </c>
    </row>
    <row r="109" spans="1:20" x14ac:dyDescent="0.3">
      <c r="A109" s="4" t="s">
        <v>364</v>
      </c>
      <c r="B109" s="5">
        <v>5</v>
      </c>
      <c r="C109" s="5">
        <v>3</v>
      </c>
      <c r="D109" s="5" t="s">
        <v>73</v>
      </c>
      <c r="E109" s="5" t="s">
        <v>379</v>
      </c>
      <c r="F109" s="5" t="s">
        <v>817</v>
      </c>
      <c r="G109" s="5" t="s">
        <v>380</v>
      </c>
      <c r="H109" s="5" t="s">
        <v>22</v>
      </c>
      <c r="I109" s="5" t="s">
        <v>53</v>
      </c>
      <c r="J109" s="5" t="s">
        <v>54</v>
      </c>
      <c r="K109" s="5" t="s">
        <v>55</v>
      </c>
      <c r="L109" s="5" t="s">
        <v>26</v>
      </c>
      <c r="M109" s="5" t="s">
        <v>218</v>
      </c>
      <c r="N109" s="5" t="s">
        <v>39</v>
      </c>
      <c r="O109" s="5" t="s">
        <v>47</v>
      </c>
      <c r="P109" s="5" t="s">
        <v>55</v>
      </c>
      <c r="Q109" s="5" t="s">
        <v>31</v>
      </c>
      <c r="R109" s="5" t="s">
        <v>48</v>
      </c>
      <c r="S109" s="25">
        <v>46043.392500000002</v>
      </c>
      <c r="T109" s="26">
        <v>46048.400659722225</v>
      </c>
    </row>
    <row r="110" spans="1:20" x14ac:dyDescent="0.3">
      <c r="A110" s="2" t="s">
        <v>381</v>
      </c>
      <c r="B110" s="3">
        <v>5</v>
      </c>
      <c r="C110" s="3">
        <v>3</v>
      </c>
      <c r="D110" s="3" t="s">
        <v>73</v>
      </c>
      <c r="E110" s="3" t="s">
        <v>382</v>
      </c>
      <c r="F110" s="3" t="s">
        <v>827</v>
      </c>
      <c r="G110" s="3" t="s">
        <v>383</v>
      </c>
      <c r="H110" s="3" t="s">
        <v>22</v>
      </c>
      <c r="I110" s="3" t="s">
        <v>53</v>
      </c>
      <c r="J110" s="3" t="s">
        <v>54</v>
      </c>
      <c r="K110" s="3" t="s">
        <v>55</v>
      </c>
      <c r="L110" s="3" t="s">
        <v>26</v>
      </c>
      <c r="M110" s="3" t="s">
        <v>218</v>
      </c>
      <c r="N110" s="3" t="s">
        <v>39</v>
      </c>
      <c r="O110" s="3" t="s">
        <v>47</v>
      </c>
      <c r="P110" s="3" t="s">
        <v>55</v>
      </c>
      <c r="Q110" s="3" t="s">
        <v>31</v>
      </c>
      <c r="R110" s="3" t="s">
        <v>48</v>
      </c>
      <c r="S110" s="23">
        <v>46042.690648148149</v>
      </c>
      <c r="T110" s="24">
        <v>46048.56322916667</v>
      </c>
    </row>
    <row r="111" spans="1:20" x14ac:dyDescent="0.3">
      <c r="A111" s="4" t="s">
        <v>384</v>
      </c>
      <c r="B111" s="5">
        <v>5</v>
      </c>
      <c r="C111" s="5">
        <v>3</v>
      </c>
      <c r="D111" s="5" t="s">
        <v>73</v>
      </c>
      <c r="E111" s="5" t="s">
        <v>385</v>
      </c>
      <c r="F111" s="5" t="s">
        <v>827</v>
      </c>
      <c r="G111" s="5" t="s">
        <v>386</v>
      </c>
      <c r="H111" s="5" t="s">
        <v>22</v>
      </c>
      <c r="I111" s="5" t="s">
        <v>53</v>
      </c>
      <c r="J111" s="5" t="s">
        <v>54</v>
      </c>
      <c r="K111" s="5" t="s">
        <v>87</v>
      </c>
      <c r="L111" s="5" t="s">
        <v>26</v>
      </c>
      <c r="M111" s="5" t="s">
        <v>218</v>
      </c>
      <c r="N111" s="5" t="s">
        <v>88</v>
      </c>
      <c r="O111" s="5" t="s">
        <v>47</v>
      </c>
      <c r="P111" s="5" t="s">
        <v>87</v>
      </c>
      <c r="Q111" s="5" t="s">
        <v>31</v>
      </c>
      <c r="R111" s="5" t="s">
        <v>48</v>
      </c>
      <c r="S111" s="25">
        <v>46042.634733796294</v>
      </c>
      <c r="T111" s="26">
        <v>46043.687835648147</v>
      </c>
    </row>
    <row r="112" spans="1:20" x14ac:dyDescent="0.3">
      <c r="A112" s="2" t="s">
        <v>387</v>
      </c>
      <c r="B112" s="3">
        <v>5</v>
      </c>
      <c r="C112" s="3">
        <v>3</v>
      </c>
      <c r="D112" s="3" t="s">
        <v>73</v>
      </c>
      <c r="E112" s="3" t="s">
        <v>388</v>
      </c>
      <c r="F112" s="3" t="s">
        <v>817</v>
      </c>
      <c r="G112" s="3" t="s">
        <v>389</v>
      </c>
      <c r="H112" s="3" t="s">
        <v>22</v>
      </c>
      <c r="I112" s="3" t="s">
        <v>53</v>
      </c>
      <c r="J112" s="3" t="s">
        <v>54</v>
      </c>
      <c r="K112" s="3" t="s">
        <v>55</v>
      </c>
      <c r="L112" s="3" t="s">
        <v>26</v>
      </c>
      <c r="M112" s="3" t="s">
        <v>218</v>
      </c>
      <c r="N112" s="3" t="s">
        <v>39</v>
      </c>
      <c r="O112" s="3" t="s">
        <v>47</v>
      </c>
      <c r="P112" s="3" t="s">
        <v>55</v>
      </c>
      <c r="Q112" s="3" t="s">
        <v>97</v>
      </c>
      <c r="R112" s="3" t="s">
        <v>48</v>
      </c>
      <c r="S112" s="23">
        <v>46043.420949074076</v>
      </c>
      <c r="T112" s="24">
        <v>46048.560162037036</v>
      </c>
    </row>
    <row r="113" spans="1:20" x14ac:dyDescent="0.3">
      <c r="A113" s="4" t="s">
        <v>390</v>
      </c>
      <c r="B113" s="5">
        <v>5</v>
      </c>
      <c r="C113" s="5">
        <v>3</v>
      </c>
      <c r="D113" s="5" t="s">
        <v>73</v>
      </c>
      <c r="E113" s="5" t="s">
        <v>391</v>
      </c>
      <c r="F113" s="5" t="s">
        <v>817</v>
      </c>
      <c r="G113" s="5" t="s">
        <v>392</v>
      </c>
      <c r="H113" s="5" t="s">
        <v>22</v>
      </c>
      <c r="I113" s="5" t="s">
        <v>53</v>
      </c>
      <c r="J113" s="5" t="s">
        <v>54</v>
      </c>
      <c r="K113" s="5" t="s">
        <v>55</v>
      </c>
      <c r="L113" s="5" t="s">
        <v>26</v>
      </c>
      <c r="M113" s="5" t="s">
        <v>218</v>
      </c>
      <c r="N113" s="5" t="s">
        <v>39</v>
      </c>
      <c r="O113" s="5" t="s">
        <v>47</v>
      </c>
      <c r="P113" s="5" t="s">
        <v>55</v>
      </c>
      <c r="Q113" s="5" t="s">
        <v>31</v>
      </c>
      <c r="R113" s="5" t="s">
        <v>48</v>
      </c>
      <c r="S113" s="25">
        <v>46043.465497685182</v>
      </c>
      <c r="T113" s="26">
        <v>46048.559699074074</v>
      </c>
    </row>
    <row r="114" spans="1:20" x14ac:dyDescent="0.3">
      <c r="A114" s="2" t="s">
        <v>393</v>
      </c>
      <c r="B114" s="3">
        <v>5</v>
      </c>
      <c r="C114" s="3">
        <v>3</v>
      </c>
      <c r="D114" s="3" t="s">
        <v>73</v>
      </c>
      <c r="E114" s="3" t="s">
        <v>394</v>
      </c>
      <c r="F114" s="3" t="s">
        <v>817</v>
      </c>
      <c r="G114" s="3" t="s">
        <v>395</v>
      </c>
      <c r="H114" s="3" t="s">
        <v>22</v>
      </c>
      <c r="I114" s="3" t="s">
        <v>53</v>
      </c>
      <c r="J114" s="3" t="s">
        <v>54</v>
      </c>
      <c r="K114" s="3" t="s">
        <v>55</v>
      </c>
      <c r="L114" s="3" t="s">
        <v>26</v>
      </c>
      <c r="M114" s="3" t="s">
        <v>218</v>
      </c>
      <c r="N114" s="3" t="s">
        <v>39</v>
      </c>
      <c r="O114" s="3" t="s">
        <v>47</v>
      </c>
      <c r="P114" s="3" t="s">
        <v>55</v>
      </c>
      <c r="Q114" s="3" t="s">
        <v>31</v>
      </c>
      <c r="R114" s="3" t="s">
        <v>48</v>
      </c>
      <c r="S114" s="23">
        <v>46043.530405092592</v>
      </c>
      <c r="T114" s="24">
        <v>46048.557847222219</v>
      </c>
    </row>
    <row r="115" spans="1:20" x14ac:dyDescent="0.3">
      <c r="A115" s="4" t="s">
        <v>396</v>
      </c>
      <c r="B115" s="5">
        <v>5</v>
      </c>
      <c r="C115" s="5">
        <v>3</v>
      </c>
      <c r="D115" s="5" t="s">
        <v>73</v>
      </c>
      <c r="E115" s="5" t="s">
        <v>397</v>
      </c>
      <c r="F115" s="5" t="s">
        <v>817</v>
      </c>
      <c r="G115" s="5" t="s">
        <v>398</v>
      </c>
      <c r="H115" s="5" t="s">
        <v>22</v>
      </c>
      <c r="I115" s="5" t="s">
        <v>53</v>
      </c>
      <c r="J115" s="5" t="s">
        <v>54</v>
      </c>
      <c r="K115" s="5" t="s">
        <v>55</v>
      </c>
      <c r="L115" s="5" t="s">
        <v>26</v>
      </c>
      <c r="M115" s="5" t="s">
        <v>218</v>
      </c>
      <c r="N115" s="5" t="s">
        <v>39</v>
      </c>
      <c r="O115" s="5" t="s">
        <v>47</v>
      </c>
      <c r="P115" s="5" t="s">
        <v>55</v>
      </c>
      <c r="Q115" s="5" t="s">
        <v>31</v>
      </c>
      <c r="R115" s="5" t="s">
        <v>48</v>
      </c>
      <c r="S115" s="25">
        <v>46043.544791666667</v>
      </c>
      <c r="T115" s="26">
        <v>46048.55877314815</v>
      </c>
    </row>
    <row r="116" spans="1:20" x14ac:dyDescent="0.3">
      <c r="A116" s="2" t="s">
        <v>399</v>
      </c>
      <c r="B116" s="3">
        <v>5</v>
      </c>
      <c r="C116" s="3">
        <v>3</v>
      </c>
      <c r="D116" s="3" t="s">
        <v>73</v>
      </c>
      <c r="E116" s="3" t="s">
        <v>400</v>
      </c>
      <c r="F116" s="3" t="s">
        <v>817</v>
      </c>
      <c r="G116" s="3" t="s">
        <v>401</v>
      </c>
      <c r="H116" s="3" t="s">
        <v>22</v>
      </c>
      <c r="I116" s="3" t="s">
        <v>53</v>
      </c>
      <c r="J116" s="3" t="s">
        <v>54</v>
      </c>
      <c r="K116" s="3" t="s">
        <v>55</v>
      </c>
      <c r="L116" s="3" t="s">
        <v>26</v>
      </c>
      <c r="M116" s="3" t="s">
        <v>218</v>
      </c>
      <c r="N116" s="3" t="s">
        <v>39</v>
      </c>
      <c r="O116" s="3" t="s">
        <v>47</v>
      </c>
      <c r="P116" s="3" t="s">
        <v>55</v>
      </c>
      <c r="Q116" s="3" t="s">
        <v>31</v>
      </c>
      <c r="R116" s="3" t="s">
        <v>48</v>
      </c>
      <c r="S116" s="23">
        <v>46043.578182870369</v>
      </c>
      <c r="T116" s="24">
        <v>46048.562048611115</v>
      </c>
    </row>
    <row r="117" spans="1:20" x14ac:dyDescent="0.3">
      <c r="A117" s="4" t="s">
        <v>402</v>
      </c>
      <c r="B117" s="5">
        <v>5</v>
      </c>
      <c r="C117" s="5">
        <v>3</v>
      </c>
      <c r="D117" s="5" t="s">
        <v>73</v>
      </c>
      <c r="E117" s="5" t="s">
        <v>403</v>
      </c>
      <c r="F117" s="5" t="s">
        <v>817</v>
      </c>
      <c r="G117" s="5" t="s">
        <v>404</v>
      </c>
      <c r="H117" s="5" t="s">
        <v>22</v>
      </c>
      <c r="I117" s="5" t="s">
        <v>53</v>
      </c>
      <c r="J117" s="5" t="s">
        <v>67</v>
      </c>
      <c r="K117" s="5" t="s">
        <v>55</v>
      </c>
      <c r="L117" s="5" t="s">
        <v>68</v>
      </c>
      <c r="M117" s="5" t="s">
        <v>218</v>
      </c>
      <c r="N117" s="5" t="s">
        <v>39</v>
      </c>
      <c r="O117" s="5" t="s">
        <v>47</v>
      </c>
      <c r="P117" s="5" t="s">
        <v>55</v>
      </c>
      <c r="Q117" s="5" t="s">
        <v>31</v>
      </c>
      <c r="R117" s="5" t="s">
        <v>48</v>
      </c>
      <c r="S117" s="25">
        <v>46044.556400462963</v>
      </c>
      <c r="T117" s="26">
        <v>46048.63003472222</v>
      </c>
    </row>
    <row r="118" spans="1:20" x14ac:dyDescent="0.3">
      <c r="A118" s="2" t="s">
        <v>405</v>
      </c>
      <c r="B118" s="3">
        <v>5</v>
      </c>
      <c r="C118" s="3">
        <v>3</v>
      </c>
      <c r="D118" s="3" t="s">
        <v>73</v>
      </c>
      <c r="E118" s="3" t="s">
        <v>406</v>
      </c>
      <c r="F118" s="3" t="s">
        <v>825</v>
      </c>
      <c r="G118" s="3" t="s">
        <v>407</v>
      </c>
      <c r="H118" s="3" t="s">
        <v>22</v>
      </c>
      <c r="I118" s="3" t="s">
        <v>53</v>
      </c>
      <c r="J118" s="3" t="s">
        <v>67</v>
      </c>
      <c r="K118" s="3" t="s">
        <v>55</v>
      </c>
      <c r="L118" s="3" t="s">
        <v>68</v>
      </c>
      <c r="M118" s="3" t="s">
        <v>218</v>
      </c>
      <c r="N118" s="3" t="s">
        <v>39</v>
      </c>
      <c r="O118" s="3" t="s">
        <v>47</v>
      </c>
      <c r="P118" s="3" t="s">
        <v>55</v>
      </c>
      <c r="Q118" s="3" t="s">
        <v>31</v>
      </c>
      <c r="R118" s="3" t="s">
        <v>48</v>
      </c>
      <c r="S118" s="23">
        <v>46044.567939814813</v>
      </c>
      <c r="T118" s="24">
        <v>46048.629351851851</v>
      </c>
    </row>
    <row r="119" spans="1:20" x14ac:dyDescent="0.3">
      <c r="A119" s="4" t="s">
        <v>408</v>
      </c>
      <c r="B119" s="5">
        <v>5</v>
      </c>
      <c r="C119" s="5">
        <v>3</v>
      </c>
      <c r="D119" s="5" t="s">
        <v>73</v>
      </c>
      <c r="E119" s="5" t="s">
        <v>409</v>
      </c>
      <c r="F119" s="5" t="s">
        <v>825</v>
      </c>
      <c r="G119" s="5" t="s">
        <v>410</v>
      </c>
      <c r="H119" s="5" t="s">
        <v>22</v>
      </c>
      <c r="I119" s="5" t="s">
        <v>53</v>
      </c>
      <c r="J119" s="5" t="s">
        <v>53</v>
      </c>
      <c r="K119" s="5" t="s">
        <v>55</v>
      </c>
      <c r="L119" s="5" t="s">
        <v>68</v>
      </c>
      <c r="M119" s="5" t="s">
        <v>218</v>
      </c>
      <c r="N119" s="5" t="s">
        <v>39</v>
      </c>
      <c r="O119" s="5" t="s">
        <v>47</v>
      </c>
      <c r="P119" s="5" t="s">
        <v>55</v>
      </c>
      <c r="Q119" s="5" t="s">
        <v>31</v>
      </c>
      <c r="R119" s="5" t="s">
        <v>48</v>
      </c>
      <c r="S119" s="25">
        <v>46044.614583333336</v>
      </c>
      <c r="T119" s="26">
        <v>46048.596377314818</v>
      </c>
    </row>
    <row r="120" spans="1:20" x14ac:dyDescent="0.3">
      <c r="A120" s="2" t="s">
        <v>411</v>
      </c>
      <c r="B120" s="3">
        <v>5</v>
      </c>
      <c r="C120" s="3">
        <v>3</v>
      </c>
      <c r="D120" s="3" t="s">
        <v>73</v>
      </c>
      <c r="E120" s="3" t="s">
        <v>412</v>
      </c>
      <c r="F120" s="3" t="s">
        <v>825</v>
      </c>
      <c r="G120" s="3" t="s">
        <v>413</v>
      </c>
      <c r="H120" s="3" t="s">
        <v>22</v>
      </c>
      <c r="I120" s="3" t="s">
        <v>53</v>
      </c>
      <c r="J120" s="3" t="s">
        <v>53</v>
      </c>
      <c r="K120" s="3" t="s">
        <v>55</v>
      </c>
      <c r="L120" s="3" t="s">
        <v>68</v>
      </c>
      <c r="M120" s="3" t="s">
        <v>218</v>
      </c>
      <c r="N120" s="3" t="s">
        <v>39</v>
      </c>
      <c r="O120" s="3" t="s">
        <v>47</v>
      </c>
      <c r="P120" s="3" t="s">
        <v>55</v>
      </c>
      <c r="Q120" s="3" t="s">
        <v>31</v>
      </c>
      <c r="R120" s="3" t="s">
        <v>48</v>
      </c>
      <c r="S120" s="23">
        <v>46044.620567129627</v>
      </c>
      <c r="T120" s="24">
        <v>46048.614432870374</v>
      </c>
    </row>
    <row r="121" spans="1:20" x14ac:dyDescent="0.3">
      <c r="A121" s="4" t="s">
        <v>414</v>
      </c>
      <c r="B121" s="5">
        <v>5</v>
      </c>
      <c r="C121" s="5">
        <v>3</v>
      </c>
      <c r="D121" s="5" t="s">
        <v>73</v>
      </c>
      <c r="E121" s="5" t="s">
        <v>415</v>
      </c>
      <c r="F121" s="5" t="s">
        <v>817</v>
      </c>
      <c r="G121" s="5" t="s">
        <v>416</v>
      </c>
      <c r="H121" s="5" t="s">
        <v>22</v>
      </c>
      <c r="I121" s="5" t="s">
        <v>53</v>
      </c>
      <c r="J121" s="5" t="s">
        <v>54</v>
      </c>
      <c r="K121" s="5" t="s">
        <v>55</v>
      </c>
      <c r="L121" s="5" t="s">
        <v>26</v>
      </c>
      <c r="M121" s="5" t="s">
        <v>218</v>
      </c>
      <c r="N121" s="5" t="s">
        <v>39</v>
      </c>
      <c r="O121" s="5" t="s">
        <v>47</v>
      </c>
      <c r="P121" s="5" t="s">
        <v>55</v>
      </c>
      <c r="Q121" s="5" t="s">
        <v>31</v>
      </c>
      <c r="R121" s="5" t="s">
        <v>48</v>
      </c>
      <c r="S121" s="25">
        <v>46043.584780092591</v>
      </c>
      <c r="T121" s="26">
        <v>46048.561828703707</v>
      </c>
    </row>
    <row r="122" spans="1:20" x14ac:dyDescent="0.3">
      <c r="A122" s="2" t="s">
        <v>417</v>
      </c>
      <c r="B122" s="3">
        <v>5</v>
      </c>
      <c r="C122" s="3">
        <v>3</v>
      </c>
      <c r="D122" s="3" t="s">
        <v>73</v>
      </c>
      <c r="E122" s="3" t="s">
        <v>418</v>
      </c>
      <c r="F122" s="3" t="s">
        <v>817</v>
      </c>
      <c r="G122" s="3" t="s">
        <v>419</v>
      </c>
      <c r="H122" s="3" t="s">
        <v>22</v>
      </c>
      <c r="I122" s="3" t="s">
        <v>53</v>
      </c>
      <c r="J122" s="3" t="s">
        <v>54</v>
      </c>
      <c r="K122" s="3" t="s">
        <v>55</v>
      </c>
      <c r="L122" s="3" t="s">
        <v>26</v>
      </c>
      <c r="M122" s="3" t="s">
        <v>218</v>
      </c>
      <c r="N122" s="3" t="s">
        <v>39</v>
      </c>
      <c r="O122" s="3" t="s">
        <v>47</v>
      </c>
      <c r="P122" s="3" t="s">
        <v>55</v>
      </c>
      <c r="Q122" s="3" t="s">
        <v>31</v>
      </c>
      <c r="R122" s="3" t="s">
        <v>48</v>
      </c>
      <c r="S122" s="23">
        <v>46043.621030092596</v>
      </c>
      <c r="T122" s="24">
        <v>46048.561331018522</v>
      </c>
    </row>
    <row r="123" spans="1:20" x14ac:dyDescent="0.3">
      <c r="A123" s="4" t="s">
        <v>420</v>
      </c>
      <c r="B123" s="5">
        <v>5</v>
      </c>
      <c r="C123" s="5">
        <v>3</v>
      </c>
      <c r="D123" s="5" t="s">
        <v>73</v>
      </c>
      <c r="E123" s="5" t="s">
        <v>421</v>
      </c>
      <c r="F123" s="5" t="s">
        <v>817</v>
      </c>
      <c r="G123" s="5" t="s">
        <v>422</v>
      </c>
      <c r="H123" s="5" t="s">
        <v>22</v>
      </c>
      <c r="I123" s="5" t="s">
        <v>53</v>
      </c>
      <c r="J123" s="5" t="s">
        <v>54</v>
      </c>
      <c r="K123" s="5" t="s">
        <v>55</v>
      </c>
      <c r="L123" s="5" t="s">
        <v>26</v>
      </c>
      <c r="M123" s="5" t="s">
        <v>218</v>
      </c>
      <c r="N123" s="5" t="s">
        <v>39</v>
      </c>
      <c r="O123" s="5" t="s">
        <v>47</v>
      </c>
      <c r="P123" s="5" t="s">
        <v>55</v>
      </c>
      <c r="Q123" s="5" t="s">
        <v>31</v>
      </c>
      <c r="R123" s="5" t="s">
        <v>48</v>
      </c>
      <c r="S123" s="25">
        <v>46043.552037037036</v>
      </c>
      <c r="T123" s="26">
        <v>46048.562210648146</v>
      </c>
    </row>
    <row r="124" spans="1:20" x14ac:dyDescent="0.3">
      <c r="A124" s="2" t="s">
        <v>423</v>
      </c>
      <c r="B124" s="3">
        <v>5</v>
      </c>
      <c r="C124" s="3">
        <v>3</v>
      </c>
      <c r="D124" s="3" t="s">
        <v>73</v>
      </c>
      <c r="E124" s="3" t="s">
        <v>424</v>
      </c>
      <c r="F124" s="3" t="s">
        <v>827</v>
      </c>
      <c r="G124" s="3" t="s">
        <v>312</v>
      </c>
      <c r="H124" s="3" t="s">
        <v>22</v>
      </c>
      <c r="I124" s="3" t="s">
        <v>53</v>
      </c>
      <c r="J124" s="3" t="s">
        <v>54</v>
      </c>
      <c r="K124" s="3" t="s">
        <v>55</v>
      </c>
      <c r="L124" s="3" t="s">
        <v>26</v>
      </c>
      <c r="M124" s="3" t="s">
        <v>218</v>
      </c>
      <c r="N124" s="3" t="s">
        <v>39</v>
      </c>
      <c r="O124" s="3" t="s">
        <v>47</v>
      </c>
      <c r="P124" s="3" t="s">
        <v>55</v>
      </c>
      <c r="Q124" s="3" t="s">
        <v>31</v>
      </c>
      <c r="R124" s="3" t="s">
        <v>48</v>
      </c>
      <c r="S124" s="23">
        <v>46042.667048611111</v>
      </c>
      <c r="T124" s="24">
        <v>46048.551064814812</v>
      </c>
    </row>
    <row r="125" spans="1:20" x14ac:dyDescent="0.3">
      <c r="A125" s="4" t="s">
        <v>425</v>
      </c>
      <c r="B125" s="5">
        <v>5</v>
      </c>
      <c r="C125" s="5">
        <v>3</v>
      </c>
      <c r="D125" s="5" t="s">
        <v>73</v>
      </c>
      <c r="E125" s="5" t="s">
        <v>426</v>
      </c>
      <c r="F125" s="5" t="s">
        <v>817</v>
      </c>
      <c r="G125" s="5" t="s">
        <v>427</v>
      </c>
      <c r="H125" s="5" t="s">
        <v>22</v>
      </c>
      <c r="I125" s="5" t="s">
        <v>53</v>
      </c>
      <c r="J125" s="5" t="s">
        <v>54</v>
      </c>
      <c r="K125" s="5" t="s">
        <v>55</v>
      </c>
      <c r="L125" s="5" t="s">
        <v>26</v>
      </c>
      <c r="M125" s="5" t="s">
        <v>218</v>
      </c>
      <c r="N125" s="5" t="s">
        <v>39</v>
      </c>
      <c r="O125" s="5" t="s">
        <v>47</v>
      </c>
      <c r="P125" s="5" t="s">
        <v>55</v>
      </c>
      <c r="Q125" s="5" t="s">
        <v>31</v>
      </c>
      <c r="R125" s="5" t="s">
        <v>48</v>
      </c>
      <c r="S125" s="25">
        <v>46042.65797453704</v>
      </c>
      <c r="T125" s="26">
        <v>46048.563425925924</v>
      </c>
    </row>
    <row r="126" spans="1:20" x14ac:dyDescent="0.3">
      <c r="A126" s="2" t="s">
        <v>428</v>
      </c>
      <c r="B126" s="3">
        <v>5</v>
      </c>
      <c r="C126" s="3">
        <v>3</v>
      </c>
      <c r="D126" s="3" t="s">
        <v>429</v>
      </c>
      <c r="E126" s="3" t="s">
        <v>430</v>
      </c>
      <c r="F126" s="3" t="s">
        <v>825</v>
      </c>
      <c r="G126" s="3" t="s">
        <v>431</v>
      </c>
      <c r="H126" s="3" t="s">
        <v>22</v>
      </c>
      <c r="I126" s="3" t="s">
        <v>432</v>
      </c>
      <c r="J126" s="3" t="s">
        <v>433</v>
      </c>
      <c r="K126" s="3" t="s">
        <v>249</v>
      </c>
      <c r="L126" s="3" t="s">
        <v>68</v>
      </c>
      <c r="M126" s="3" t="s">
        <v>218</v>
      </c>
      <c r="N126" s="3" t="s">
        <v>102</v>
      </c>
      <c r="O126" s="3" t="s">
        <v>47</v>
      </c>
      <c r="P126" s="3" t="s">
        <v>249</v>
      </c>
      <c r="Q126" s="3" t="s">
        <v>31</v>
      </c>
      <c r="R126" s="3" t="s">
        <v>48</v>
      </c>
      <c r="S126" s="23">
        <v>46042.454050925924</v>
      </c>
      <c r="T126" s="24">
        <v>46043.807789351849</v>
      </c>
    </row>
    <row r="127" spans="1:20" x14ac:dyDescent="0.3">
      <c r="A127" s="4" t="s">
        <v>434</v>
      </c>
      <c r="B127" s="5">
        <v>5</v>
      </c>
      <c r="C127" s="5">
        <v>3</v>
      </c>
      <c r="D127" s="5" t="s">
        <v>429</v>
      </c>
      <c r="E127" s="5" t="s">
        <v>435</v>
      </c>
      <c r="F127" s="5" t="s">
        <v>817</v>
      </c>
      <c r="G127" s="5" t="s">
        <v>436</v>
      </c>
      <c r="H127" s="5" t="s">
        <v>22</v>
      </c>
      <c r="I127" s="5" t="s">
        <v>432</v>
      </c>
      <c r="J127" s="5" t="s">
        <v>432</v>
      </c>
      <c r="K127" s="5" t="s">
        <v>249</v>
      </c>
      <c r="L127" s="5" t="s">
        <v>26</v>
      </c>
      <c r="M127" s="5" t="s">
        <v>218</v>
      </c>
      <c r="N127" s="5" t="s">
        <v>39</v>
      </c>
      <c r="O127" s="5" t="s">
        <v>47</v>
      </c>
      <c r="P127" s="5" t="s">
        <v>249</v>
      </c>
      <c r="Q127" s="5" t="s">
        <v>31</v>
      </c>
      <c r="R127" s="5" t="s">
        <v>48</v>
      </c>
      <c r="S127" s="25">
        <v>46041.52553240741</v>
      </c>
      <c r="T127" s="26">
        <v>46048.746527777781</v>
      </c>
    </row>
    <row r="128" spans="1:20" x14ac:dyDescent="0.3">
      <c r="A128" s="2" t="s">
        <v>437</v>
      </c>
      <c r="B128" s="3">
        <v>5</v>
      </c>
      <c r="C128" s="3">
        <v>3</v>
      </c>
      <c r="D128" s="3" t="s">
        <v>429</v>
      </c>
      <c r="E128" s="3" t="s">
        <v>438</v>
      </c>
      <c r="F128" s="3" t="s">
        <v>817</v>
      </c>
      <c r="G128" s="3" t="s">
        <v>439</v>
      </c>
      <c r="H128" s="3" t="s">
        <v>22</v>
      </c>
      <c r="I128" s="3" t="s">
        <v>432</v>
      </c>
      <c r="J128" s="3" t="s">
        <v>432</v>
      </c>
      <c r="K128" s="3" t="s">
        <v>249</v>
      </c>
      <c r="L128" s="3" t="s">
        <v>26</v>
      </c>
      <c r="M128" s="3" t="s">
        <v>218</v>
      </c>
      <c r="N128" s="3" t="s">
        <v>39</v>
      </c>
      <c r="O128" s="3" t="s">
        <v>47</v>
      </c>
      <c r="P128" s="3" t="s">
        <v>249</v>
      </c>
      <c r="Q128" s="3" t="s">
        <v>31</v>
      </c>
      <c r="R128" s="3" t="s">
        <v>48</v>
      </c>
      <c r="S128" s="23">
        <v>46041.442210648151</v>
      </c>
      <c r="T128" s="24">
        <v>46048.831273148149</v>
      </c>
    </row>
    <row r="129" spans="1:20" x14ac:dyDescent="0.3">
      <c r="A129" s="4" t="s">
        <v>440</v>
      </c>
      <c r="B129" s="5">
        <v>5</v>
      </c>
      <c r="C129" s="5">
        <v>3</v>
      </c>
      <c r="D129" s="5" t="s">
        <v>429</v>
      </c>
      <c r="E129" s="5" t="s">
        <v>441</v>
      </c>
      <c r="F129" s="5" t="s">
        <v>817</v>
      </c>
      <c r="G129" s="5" t="s">
        <v>442</v>
      </c>
      <c r="H129" s="5" t="s">
        <v>22</v>
      </c>
      <c r="I129" s="5" t="s">
        <v>432</v>
      </c>
      <c r="J129" s="5" t="s">
        <v>432</v>
      </c>
      <c r="K129" s="5" t="s">
        <v>249</v>
      </c>
      <c r="L129" s="5" t="s">
        <v>26</v>
      </c>
      <c r="M129" s="5" t="s">
        <v>218</v>
      </c>
      <c r="N129" s="5" t="s">
        <v>39</v>
      </c>
      <c r="O129" s="5" t="s">
        <v>47</v>
      </c>
      <c r="P129" s="5" t="s">
        <v>249</v>
      </c>
      <c r="Q129" s="5" t="s">
        <v>31</v>
      </c>
      <c r="R129" s="5" t="s">
        <v>48</v>
      </c>
      <c r="S129" s="25">
        <v>46041.464780092596</v>
      </c>
      <c r="T129" s="26">
        <v>46048.835648148146</v>
      </c>
    </row>
    <row r="130" spans="1:20" x14ac:dyDescent="0.3">
      <c r="A130" s="2" t="s">
        <v>443</v>
      </c>
      <c r="B130" s="3">
        <v>5</v>
      </c>
      <c r="C130" s="3">
        <v>3</v>
      </c>
      <c r="D130" s="3" t="s">
        <v>429</v>
      </c>
      <c r="E130" s="3" t="s">
        <v>444</v>
      </c>
      <c r="F130" s="3" t="s">
        <v>817</v>
      </c>
      <c r="G130" s="3" t="s">
        <v>445</v>
      </c>
      <c r="H130" s="3" t="s">
        <v>22</v>
      </c>
      <c r="I130" s="3" t="s">
        <v>432</v>
      </c>
      <c r="J130" s="3" t="s">
        <v>432</v>
      </c>
      <c r="K130" s="3" t="s">
        <v>249</v>
      </c>
      <c r="L130" s="3" t="s">
        <v>68</v>
      </c>
      <c r="M130" s="3" t="s">
        <v>218</v>
      </c>
      <c r="N130" s="3" t="s">
        <v>102</v>
      </c>
      <c r="O130" s="3" t="s">
        <v>47</v>
      </c>
      <c r="P130" s="3" t="s">
        <v>249</v>
      </c>
      <c r="Q130" s="3" t="s">
        <v>31</v>
      </c>
      <c r="R130" s="3" t="s">
        <v>48</v>
      </c>
      <c r="S130" s="23">
        <v>46042.429664351854</v>
      </c>
      <c r="T130" s="24">
        <v>46043.817939814813</v>
      </c>
    </row>
    <row r="131" spans="1:20" x14ac:dyDescent="0.3">
      <c r="A131" s="4" t="s">
        <v>446</v>
      </c>
      <c r="B131" s="5">
        <v>5</v>
      </c>
      <c r="C131" s="5">
        <v>3</v>
      </c>
      <c r="D131" s="5" t="s">
        <v>429</v>
      </c>
      <c r="E131" s="5" t="s">
        <v>447</v>
      </c>
      <c r="F131" s="5" t="s">
        <v>827</v>
      </c>
      <c r="G131" s="5" t="s">
        <v>799</v>
      </c>
      <c r="H131" s="5" t="s">
        <v>22</v>
      </c>
      <c r="I131" s="5" t="s">
        <v>432</v>
      </c>
      <c r="J131" s="5" t="s">
        <v>432</v>
      </c>
      <c r="K131" s="5" t="s">
        <v>249</v>
      </c>
      <c r="L131" s="5" t="s">
        <v>26</v>
      </c>
      <c r="M131" s="5" t="s">
        <v>218</v>
      </c>
      <c r="N131" s="5" t="s">
        <v>39</v>
      </c>
      <c r="O131" s="5" t="s">
        <v>47</v>
      </c>
      <c r="P131" s="5" t="s">
        <v>249</v>
      </c>
      <c r="Q131" s="5" t="s">
        <v>31</v>
      </c>
      <c r="R131" s="5" t="s">
        <v>48</v>
      </c>
      <c r="S131" s="25">
        <v>46041.531018518515</v>
      </c>
      <c r="T131" s="26">
        <v>46048.86509259259</v>
      </c>
    </row>
    <row r="132" spans="1:20" x14ac:dyDescent="0.3">
      <c r="A132" s="2" t="s">
        <v>448</v>
      </c>
      <c r="B132" s="3">
        <v>5</v>
      </c>
      <c r="C132" s="3">
        <v>3</v>
      </c>
      <c r="D132" s="3" t="s">
        <v>429</v>
      </c>
      <c r="E132" s="3" t="s">
        <v>449</v>
      </c>
      <c r="F132" s="3" t="s">
        <v>817</v>
      </c>
      <c r="G132" s="3" t="s">
        <v>431</v>
      </c>
      <c r="H132" s="3" t="s">
        <v>22</v>
      </c>
      <c r="I132" s="3" t="s">
        <v>432</v>
      </c>
      <c r="J132" s="3" t="s">
        <v>433</v>
      </c>
      <c r="K132" s="3" t="s">
        <v>249</v>
      </c>
      <c r="L132" s="3" t="s">
        <v>68</v>
      </c>
      <c r="M132" s="3" t="s">
        <v>218</v>
      </c>
      <c r="N132" s="3" t="s">
        <v>102</v>
      </c>
      <c r="O132" s="3" t="s">
        <v>47</v>
      </c>
      <c r="P132" s="3" t="s">
        <v>249</v>
      </c>
      <c r="Q132" s="3" t="s">
        <v>31</v>
      </c>
      <c r="R132" s="3" t="s">
        <v>48</v>
      </c>
      <c r="S132" s="23">
        <v>46042.452662037038</v>
      </c>
      <c r="T132" s="24">
        <v>46043.79787037037</v>
      </c>
    </row>
    <row r="133" spans="1:20" x14ac:dyDescent="0.3">
      <c r="A133" s="4" t="s">
        <v>450</v>
      </c>
      <c r="B133" s="5">
        <v>5</v>
      </c>
      <c r="C133" s="5">
        <v>3</v>
      </c>
      <c r="D133" s="5" t="s">
        <v>82</v>
      </c>
      <c r="E133" s="5" t="s">
        <v>451</v>
      </c>
      <c r="F133" s="5"/>
      <c r="G133" s="5" t="s">
        <v>452</v>
      </c>
      <c r="H133" s="5" t="s">
        <v>22</v>
      </c>
      <c r="I133" s="5" t="s">
        <v>85</v>
      </c>
      <c r="J133" s="5" t="s">
        <v>96</v>
      </c>
      <c r="K133" s="5" t="s">
        <v>87</v>
      </c>
      <c r="L133" s="5" t="s">
        <v>26</v>
      </c>
      <c r="M133" s="5" t="s">
        <v>218</v>
      </c>
      <c r="N133" s="5" t="s">
        <v>39</v>
      </c>
      <c r="O133" s="5" t="s">
        <v>57</v>
      </c>
      <c r="P133" s="5" t="s">
        <v>30</v>
      </c>
      <c r="Q133" s="5" t="s">
        <v>97</v>
      </c>
      <c r="R133" s="5" t="s">
        <v>57</v>
      </c>
      <c r="S133" s="25">
        <v>46041.554293981484</v>
      </c>
      <c r="T133" s="26">
        <v>46041.850717592592</v>
      </c>
    </row>
    <row r="134" spans="1:20" x14ac:dyDescent="0.3">
      <c r="A134" s="2" t="s">
        <v>453</v>
      </c>
      <c r="B134" s="3">
        <v>5</v>
      </c>
      <c r="C134" s="3">
        <v>3</v>
      </c>
      <c r="D134" s="3" t="s">
        <v>82</v>
      </c>
      <c r="E134" s="3" t="s">
        <v>454</v>
      </c>
      <c r="F134" s="3"/>
      <c r="G134" s="3" t="s">
        <v>455</v>
      </c>
      <c r="H134" s="3" t="s">
        <v>22</v>
      </c>
      <c r="I134" s="3" t="s">
        <v>85</v>
      </c>
      <c r="J134" s="3" t="s">
        <v>96</v>
      </c>
      <c r="K134" s="3" t="s">
        <v>87</v>
      </c>
      <c r="L134" s="3" t="s">
        <v>26</v>
      </c>
      <c r="M134" s="3" t="s">
        <v>218</v>
      </c>
      <c r="N134" s="3" t="s">
        <v>39</v>
      </c>
      <c r="O134" s="3" t="s">
        <v>57</v>
      </c>
      <c r="P134" s="3" t="s">
        <v>30</v>
      </c>
      <c r="Q134" s="3" t="s">
        <v>97</v>
      </c>
      <c r="R134" s="3" t="s">
        <v>57</v>
      </c>
      <c r="S134" s="23">
        <v>46041.570520833331</v>
      </c>
      <c r="T134" s="24">
        <v>46041.845960648148</v>
      </c>
    </row>
    <row r="135" spans="1:20" x14ac:dyDescent="0.3">
      <c r="A135" s="4" t="s">
        <v>456</v>
      </c>
      <c r="B135" s="5">
        <v>5</v>
      </c>
      <c r="C135" s="5">
        <v>3</v>
      </c>
      <c r="D135" s="5" t="s">
        <v>82</v>
      </c>
      <c r="E135" s="5" t="s">
        <v>457</v>
      </c>
      <c r="F135" s="5" t="s">
        <v>817</v>
      </c>
      <c r="G135" s="5" t="s">
        <v>458</v>
      </c>
      <c r="H135" s="5" t="s">
        <v>22</v>
      </c>
      <c r="I135" s="5" t="s">
        <v>85</v>
      </c>
      <c r="J135" s="5" t="s">
        <v>92</v>
      </c>
      <c r="K135" s="5" t="s">
        <v>87</v>
      </c>
      <c r="L135" s="5" t="s">
        <v>26</v>
      </c>
      <c r="M135" s="5" t="s">
        <v>218</v>
      </c>
      <c r="N135" s="5" t="s">
        <v>39</v>
      </c>
      <c r="O135" s="5" t="s">
        <v>47</v>
      </c>
      <c r="P135" s="5" t="s">
        <v>85</v>
      </c>
      <c r="Q135" s="5" t="s">
        <v>97</v>
      </c>
      <c r="R135" s="5" t="s">
        <v>47</v>
      </c>
      <c r="S135" s="25">
        <v>46042.441030092596</v>
      </c>
      <c r="T135" s="26">
        <v>46048.596990740742</v>
      </c>
    </row>
    <row r="136" spans="1:20" x14ac:dyDescent="0.3">
      <c r="A136" s="2" t="s">
        <v>459</v>
      </c>
      <c r="B136" s="3">
        <v>5</v>
      </c>
      <c r="C136" s="3">
        <v>3</v>
      </c>
      <c r="D136" s="3" t="s">
        <v>99</v>
      </c>
      <c r="E136" s="3" t="s">
        <v>460</v>
      </c>
      <c r="F136" s="3" t="s">
        <v>817</v>
      </c>
      <c r="G136" s="3" t="s">
        <v>461</v>
      </c>
      <c r="H136" s="3" t="s">
        <v>22</v>
      </c>
      <c r="I136" s="3" t="s">
        <v>85</v>
      </c>
      <c r="J136" s="3" t="s">
        <v>92</v>
      </c>
      <c r="K136" s="3" t="s">
        <v>87</v>
      </c>
      <c r="L136" s="3" t="s">
        <v>68</v>
      </c>
      <c r="M136" s="3" t="s">
        <v>218</v>
      </c>
      <c r="N136" s="3" t="s">
        <v>39</v>
      </c>
      <c r="O136" s="3" t="s">
        <v>170</v>
      </c>
      <c r="P136" s="3" t="s">
        <v>85</v>
      </c>
      <c r="Q136" s="3" t="s">
        <v>97</v>
      </c>
      <c r="R136" s="3" t="s">
        <v>170</v>
      </c>
      <c r="S136" s="23">
        <v>46043.410532407404</v>
      </c>
      <c r="T136" s="24">
        <v>46043.410532407404</v>
      </c>
    </row>
    <row r="137" spans="1:20" x14ac:dyDescent="0.3">
      <c r="A137" s="4" t="s">
        <v>462</v>
      </c>
      <c r="B137" s="5">
        <v>5</v>
      </c>
      <c r="C137" s="5">
        <v>3</v>
      </c>
      <c r="D137" s="5" t="s">
        <v>99</v>
      </c>
      <c r="E137" s="5" t="s">
        <v>463</v>
      </c>
      <c r="F137" s="5" t="s">
        <v>817</v>
      </c>
      <c r="G137" s="5" t="s">
        <v>461</v>
      </c>
      <c r="H137" s="5" t="s">
        <v>22</v>
      </c>
      <c r="I137" s="5" t="s">
        <v>85</v>
      </c>
      <c r="J137" s="5" t="s">
        <v>92</v>
      </c>
      <c r="K137" s="5" t="s">
        <v>87</v>
      </c>
      <c r="L137" s="5" t="s">
        <v>68</v>
      </c>
      <c r="M137" s="5" t="s">
        <v>218</v>
      </c>
      <c r="N137" s="5" t="s">
        <v>39</v>
      </c>
      <c r="O137" s="5" t="s">
        <v>170</v>
      </c>
      <c r="P137" s="5" t="s">
        <v>85</v>
      </c>
      <c r="Q137" s="5" t="s">
        <v>97</v>
      </c>
      <c r="R137" s="5" t="s">
        <v>170</v>
      </c>
      <c r="S137" s="25">
        <v>46043.415335648147</v>
      </c>
      <c r="T137" s="26">
        <v>46043.415335648147</v>
      </c>
    </row>
    <row r="138" spans="1:20" x14ac:dyDescent="0.3">
      <c r="A138" s="2" t="s">
        <v>464</v>
      </c>
      <c r="B138" s="3">
        <v>5</v>
      </c>
      <c r="C138" s="3">
        <v>3</v>
      </c>
      <c r="D138" s="3" t="s">
        <v>465</v>
      </c>
      <c r="E138" s="3" t="s">
        <v>466</v>
      </c>
      <c r="F138" s="3" t="s">
        <v>817</v>
      </c>
      <c r="G138" s="3" t="s">
        <v>467</v>
      </c>
      <c r="H138" s="3" t="s">
        <v>22</v>
      </c>
      <c r="I138" s="3" t="s">
        <v>119</v>
      </c>
      <c r="J138" s="3" t="s">
        <v>127</v>
      </c>
      <c r="K138" s="3" t="s">
        <v>87</v>
      </c>
      <c r="L138" s="3" t="s">
        <v>68</v>
      </c>
      <c r="M138" s="3" t="s">
        <v>218</v>
      </c>
      <c r="N138" s="3" t="s">
        <v>39</v>
      </c>
      <c r="O138" s="3" t="s">
        <v>47</v>
      </c>
      <c r="P138" s="3" t="s">
        <v>87</v>
      </c>
      <c r="Q138" s="3" t="s">
        <v>97</v>
      </c>
      <c r="R138" s="3" t="s">
        <v>48</v>
      </c>
      <c r="S138" s="23">
        <v>46043.722685185188</v>
      </c>
      <c r="T138" s="24">
        <v>46044.663298611114</v>
      </c>
    </row>
    <row r="139" spans="1:20" x14ac:dyDescent="0.3">
      <c r="A139" s="4" t="s">
        <v>468</v>
      </c>
      <c r="B139" s="5">
        <v>5</v>
      </c>
      <c r="C139" s="5">
        <v>3</v>
      </c>
      <c r="D139" s="5" t="s">
        <v>110</v>
      </c>
      <c r="E139" s="5" t="s">
        <v>469</v>
      </c>
      <c r="F139" s="5" t="s">
        <v>817</v>
      </c>
      <c r="G139" s="5" t="s">
        <v>470</v>
      </c>
      <c r="H139" s="5" t="s">
        <v>22</v>
      </c>
      <c r="I139" s="5" t="s">
        <v>112</v>
      </c>
      <c r="J139" s="5" t="s">
        <v>471</v>
      </c>
      <c r="K139" s="5" t="s">
        <v>114</v>
      </c>
      <c r="L139" s="5" t="s">
        <v>26</v>
      </c>
      <c r="M139" s="5" t="s">
        <v>218</v>
      </c>
      <c r="N139" s="5" t="s">
        <v>39</v>
      </c>
      <c r="O139" s="5" t="s">
        <v>170</v>
      </c>
      <c r="P139" s="5" t="s">
        <v>112</v>
      </c>
      <c r="Q139" s="5" t="s">
        <v>97</v>
      </c>
      <c r="R139" s="5" t="s">
        <v>170</v>
      </c>
      <c r="S139" s="25">
        <v>46042.398530092592</v>
      </c>
      <c r="T139" s="26">
        <v>46042.399745370371</v>
      </c>
    </row>
    <row r="140" spans="1:20" x14ac:dyDescent="0.3">
      <c r="A140" s="2" t="s">
        <v>472</v>
      </c>
      <c r="B140" s="3">
        <v>5</v>
      </c>
      <c r="C140" s="3">
        <v>3</v>
      </c>
      <c r="D140" s="3" t="s">
        <v>110</v>
      </c>
      <c r="E140" s="3" t="s">
        <v>473</v>
      </c>
      <c r="F140" s="3" t="s">
        <v>817</v>
      </c>
      <c r="G140" s="3" t="s">
        <v>474</v>
      </c>
      <c r="H140" s="3" t="s">
        <v>22</v>
      </c>
      <c r="I140" s="3" t="s">
        <v>112</v>
      </c>
      <c r="J140" s="3" t="s">
        <v>475</v>
      </c>
      <c r="K140" s="3" t="s">
        <v>114</v>
      </c>
      <c r="L140" s="3" t="s">
        <v>26</v>
      </c>
      <c r="M140" s="3" t="s">
        <v>218</v>
      </c>
      <c r="N140" s="3" t="s">
        <v>39</v>
      </c>
      <c r="O140" s="3" t="s">
        <v>170</v>
      </c>
      <c r="P140" s="3" t="s">
        <v>112</v>
      </c>
      <c r="Q140" s="3" t="s">
        <v>97</v>
      </c>
      <c r="R140" s="3" t="s">
        <v>170</v>
      </c>
      <c r="S140" s="23">
        <v>46041.469525462962</v>
      </c>
      <c r="T140" s="24">
        <v>46041.469525462962</v>
      </c>
    </row>
    <row r="141" spans="1:20" x14ac:dyDescent="0.3">
      <c r="A141" s="4" t="s">
        <v>468</v>
      </c>
      <c r="B141" s="5">
        <v>5</v>
      </c>
      <c r="C141" s="5">
        <v>3</v>
      </c>
      <c r="D141" s="5" t="s">
        <v>110</v>
      </c>
      <c r="E141" s="5" t="s">
        <v>476</v>
      </c>
      <c r="F141" s="5" t="s">
        <v>827</v>
      </c>
      <c r="G141" s="5" t="s">
        <v>477</v>
      </c>
      <c r="H141" s="5" t="s">
        <v>22</v>
      </c>
      <c r="I141" s="5" t="s">
        <v>112</v>
      </c>
      <c r="J141" s="5" t="s">
        <v>471</v>
      </c>
      <c r="K141" s="5" t="s">
        <v>114</v>
      </c>
      <c r="L141" s="5" t="s">
        <v>26</v>
      </c>
      <c r="M141" s="5" t="s">
        <v>218</v>
      </c>
      <c r="N141" s="5" t="s">
        <v>177</v>
      </c>
      <c r="O141" s="5" t="s">
        <v>170</v>
      </c>
      <c r="P141" s="5" t="s">
        <v>112</v>
      </c>
      <c r="Q141" s="5" t="s">
        <v>31</v>
      </c>
      <c r="R141" s="5" t="s">
        <v>170</v>
      </c>
      <c r="S141" s="25">
        <v>46042.394120370373</v>
      </c>
      <c r="T141" s="26">
        <v>46042.394120370373</v>
      </c>
    </row>
    <row r="142" spans="1:20" x14ac:dyDescent="0.3">
      <c r="A142" s="2" t="s">
        <v>478</v>
      </c>
      <c r="B142" s="3">
        <v>5</v>
      </c>
      <c r="C142" s="3">
        <v>3</v>
      </c>
      <c r="D142" s="3" t="s">
        <v>110</v>
      </c>
      <c r="E142" s="3" t="s">
        <v>479</v>
      </c>
      <c r="F142" s="3"/>
      <c r="G142" s="3" t="s">
        <v>480</v>
      </c>
      <c r="H142" s="3" t="s">
        <v>22</v>
      </c>
      <c r="I142" s="3" t="s">
        <v>112</v>
      </c>
      <c r="J142" s="3" t="s">
        <v>475</v>
      </c>
      <c r="K142" s="3" t="s">
        <v>114</v>
      </c>
      <c r="L142" s="3" t="s">
        <v>26</v>
      </c>
      <c r="M142" s="3" t="s">
        <v>218</v>
      </c>
      <c r="N142" s="3" t="s">
        <v>88</v>
      </c>
      <c r="O142" s="3" t="s">
        <v>57</v>
      </c>
      <c r="P142" s="3" t="s">
        <v>30</v>
      </c>
      <c r="Q142" s="3" t="s">
        <v>97</v>
      </c>
      <c r="R142" s="3" t="s">
        <v>57</v>
      </c>
      <c r="S142" s="23">
        <v>46041.61645833333</v>
      </c>
      <c r="T142" s="24">
        <v>46048.586493055554</v>
      </c>
    </row>
    <row r="143" spans="1:20" x14ac:dyDescent="0.3">
      <c r="A143" s="4" t="s">
        <v>481</v>
      </c>
      <c r="B143" s="5">
        <v>5</v>
      </c>
      <c r="C143" s="5">
        <v>3</v>
      </c>
      <c r="D143" s="5" t="s">
        <v>110</v>
      </c>
      <c r="E143" s="5" t="s">
        <v>482</v>
      </c>
      <c r="F143" s="5"/>
      <c r="G143" s="5" t="s">
        <v>483</v>
      </c>
      <c r="H143" s="5" t="s">
        <v>22</v>
      </c>
      <c r="I143" s="5" t="s">
        <v>112</v>
      </c>
      <c r="J143" s="5" t="s">
        <v>475</v>
      </c>
      <c r="K143" s="5" t="s">
        <v>114</v>
      </c>
      <c r="L143" s="5" t="s">
        <v>26</v>
      </c>
      <c r="M143" s="5" t="s">
        <v>218</v>
      </c>
      <c r="N143" s="5" t="s">
        <v>177</v>
      </c>
      <c r="O143" s="5" t="s">
        <v>57</v>
      </c>
      <c r="P143" s="5" t="s">
        <v>30</v>
      </c>
      <c r="Q143" s="5" t="s">
        <v>97</v>
      </c>
      <c r="R143" s="5" t="s">
        <v>57</v>
      </c>
      <c r="S143" s="25">
        <v>46041.621168981481</v>
      </c>
      <c r="T143" s="26">
        <v>46048.602534722224</v>
      </c>
    </row>
    <row r="144" spans="1:20" x14ac:dyDescent="0.3">
      <c r="A144" s="2" t="s">
        <v>481</v>
      </c>
      <c r="B144" s="3">
        <v>5</v>
      </c>
      <c r="C144" s="3">
        <v>3</v>
      </c>
      <c r="D144" s="3" t="s">
        <v>110</v>
      </c>
      <c r="E144" s="3" t="s">
        <v>484</v>
      </c>
      <c r="F144" s="3"/>
      <c r="G144" s="3" t="s">
        <v>485</v>
      </c>
      <c r="H144" s="3" t="s">
        <v>22</v>
      </c>
      <c r="I144" s="3" t="s">
        <v>112</v>
      </c>
      <c r="J144" s="3" t="s">
        <v>475</v>
      </c>
      <c r="K144" s="3" t="s">
        <v>114</v>
      </c>
      <c r="L144" s="3" t="s">
        <v>26</v>
      </c>
      <c r="M144" s="3" t="s">
        <v>218</v>
      </c>
      <c r="N144" s="3" t="s">
        <v>88</v>
      </c>
      <c r="O144" s="3" t="s">
        <v>57</v>
      </c>
      <c r="P144" s="3" t="s">
        <v>30</v>
      </c>
      <c r="Q144" s="3" t="s">
        <v>31</v>
      </c>
      <c r="R144" s="3" t="s">
        <v>57</v>
      </c>
      <c r="S144" s="23">
        <v>46041.620833333334</v>
      </c>
      <c r="T144" s="24">
        <v>46048.682939814818</v>
      </c>
    </row>
    <row r="145" spans="1:20" x14ac:dyDescent="0.3">
      <c r="A145" s="4" t="s">
        <v>486</v>
      </c>
      <c r="B145" s="5">
        <v>5</v>
      </c>
      <c r="C145" s="5">
        <v>3</v>
      </c>
      <c r="D145" s="5" t="s">
        <v>110</v>
      </c>
      <c r="E145" s="5" t="s">
        <v>487</v>
      </c>
      <c r="F145" s="5"/>
      <c r="G145" s="5" t="s">
        <v>488</v>
      </c>
      <c r="H145" s="5" t="s">
        <v>22</v>
      </c>
      <c r="I145" s="5" t="s">
        <v>112</v>
      </c>
      <c r="J145" s="5" t="s">
        <v>475</v>
      </c>
      <c r="K145" s="5" t="s">
        <v>114</v>
      </c>
      <c r="L145" s="5" t="s">
        <v>26</v>
      </c>
      <c r="M145" s="5" t="s">
        <v>218</v>
      </c>
      <c r="N145" s="5" t="s">
        <v>88</v>
      </c>
      <c r="O145" s="5" t="s">
        <v>57</v>
      </c>
      <c r="P145" s="5" t="s">
        <v>30</v>
      </c>
      <c r="Q145" s="5" t="s">
        <v>97</v>
      </c>
      <c r="R145" s="5" t="s">
        <v>57</v>
      </c>
      <c r="S145" s="25">
        <v>46041.614999999998</v>
      </c>
      <c r="T145" s="26">
        <v>46048.875243055554</v>
      </c>
    </row>
    <row r="146" spans="1:20" x14ac:dyDescent="0.3">
      <c r="A146" s="2" t="s">
        <v>486</v>
      </c>
      <c r="B146" s="3">
        <v>5</v>
      </c>
      <c r="C146" s="3">
        <v>3</v>
      </c>
      <c r="D146" s="3" t="s">
        <v>110</v>
      </c>
      <c r="E146" s="3" t="s">
        <v>489</v>
      </c>
      <c r="F146" s="3"/>
      <c r="G146" s="3" t="s">
        <v>485</v>
      </c>
      <c r="H146" s="3" t="s">
        <v>22</v>
      </c>
      <c r="I146" s="3" t="s">
        <v>112</v>
      </c>
      <c r="J146" s="3" t="s">
        <v>475</v>
      </c>
      <c r="K146" s="3" t="s">
        <v>114</v>
      </c>
      <c r="L146" s="3" t="s">
        <v>26</v>
      </c>
      <c r="M146" s="3" t="s">
        <v>218</v>
      </c>
      <c r="N146" s="3" t="s">
        <v>88</v>
      </c>
      <c r="O146" s="3" t="s">
        <v>57</v>
      </c>
      <c r="P146" s="3" t="s">
        <v>30</v>
      </c>
      <c r="Q146" s="3" t="s">
        <v>31</v>
      </c>
      <c r="R146" s="3" t="s">
        <v>57</v>
      </c>
      <c r="S146" s="23">
        <v>46041.61273148148</v>
      </c>
      <c r="T146" s="24">
        <v>46048.68273148148</v>
      </c>
    </row>
    <row r="147" spans="1:20" x14ac:dyDescent="0.3">
      <c r="A147" s="4" t="s">
        <v>486</v>
      </c>
      <c r="B147" s="5">
        <v>5</v>
      </c>
      <c r="C147" s="5">
        <v>3</v>
      </c>
      <c r="D147" s="5" t="s">
        <v>110</v>
      </c>
      <c r="E147" s="5" t="s">
        <v>490</v>
      </c>
      <c r="F147" s="5"/>
      <c r="G147" s="5" t="s">
        <v>480</v>
      </c>
      <c r="H147" s="5" t="s">
        <v>22</v>
      </c>
      <c r="I147" s="5" t="s">
        <v>112</v>
      </c>
      <c r="J147" s="5" t="s">
        <v>475</v>
      </c>
      <c r="K147" s="5" t="s">
        <v>114</v>
      </c>
      <c r="L147" s="5" t="s">
        <v>26</v>
      </c>
      <c r="M147" s="5" t="s">
        <v>218</v>
      </c>
      <c r="N147" s="5" t="s">
        <v>88</v>
      </c>
      <c r="O147" s="5" t="s">
        <v>57</v>
      </c>
      <c r="P147" s="5" t="s">
        <v>30</v>
      </c>
      <c r="Q147" s="5" t="s">
        <v>97</v>
      </c>
      <c r="R147" s="5" t="s">
        <v>57</v>
      </c>
      <c r="S147" s="25">
        <v>46041.609467592592</v>
      </c>
      <c r="T147" s="26">
        <v>46048.586134259262</v>
      </c>
    </row>
    <row r="148" spans="1:20" x14ac:dyDescent="0.3">
      <c r="A148" s="2" t="s">
        <v>486</v>
      </c>
      <c r="B148" s="3">
        <v>5</v>
      </c>
      <c r="C148" s="3">
        <v>3</v>
      </c>
      <c r="D148" s="3" t="s">
        <v>110</v>
      </c>
      <c r="E148" s="3" t="s">
        <v>491</v>
      </c>
      <c r="F148" s="3"/>
      <c r="G148" s="3" t="s">
        <v>483</v>
      </c>
      <c r="H148" s="3" t="s">
        <v>22</v>
      </c>
      <c r="I148" s="3" t="s">
        <v>112</v>
      </c>
      <c r="J148" s="3" t="s">
        <v>475</v>
      </c>
      <c r="K148" s="3" t="s">
        <v>114</v>
      </c>
      <c r="L148" s="3" t="s">
        <v>26</v>
      </c>
      <c r="M148" s="3" t="s">
        <v>218</v>
      </c>
      <c r="N148" s="3" t="s">
        <v>177</v>
      </c>
      <c r="O148" s="3" t="s">
        <v>57</v>
      </c>
      <c r="P148" s="3" t="s">
        <v>30</v>
      </c>
      <c r="Q148" s="3" t="s">
        <v>31</v>
      </c>
      <c r="R148" s="3" t="s">
        <v>57</v>
      </c>
      <c r="S148" s="23">
        <v>46041.607800925929</v>
      </c>
      <c r="T148" s="24">
        <v>46048.602326388886</v>
      </c>
    </row>
    <row r="149" spans="1:20" x14ac:dyDescent="0.3">
      <c r="A149" s="4" t="s">
        <v>492</v>
      </c>
      <c r="B149" s="5">
        <v>5</v>
      </c>
      <c r="C149" s="5">
        <v>3</v>
      </c>
      <c r="D149" s="5" t="s">
        <v>110</v>
      </c>
      <c r="E149" s="5" t="s">
        <v>493</v>
      </c>
      <c r="F149" s="5"/>
      <c r="G149" s="5" t="s">
        <v>480</v>
      </c>
      <c r="H149" s="5" t="s">
        <v>22</v>
      </c>
      <c r="I149" s="5" t="s">
        <v>112</v>
      </c>
      <c r="J149" s="5" t="s">
        <v>475</v>
      </c>
      <c r="K149" s="5" t="s">
        <v>114</v>
      </c>
      <c r="L149" s="5" t="s">
        <v>26</v>
      </c>
      <c r="M149" s="5" t="s">
        <v>218</v>
      </c>
      <c r="N149" s="5" t="s">
        <v>88</v>
      </c>
      <c r="O149" s="5" t="s">
        <v>57</v>
      </c>
      <c r="P149" s="5" t="s">
        <v>30</v>
      </c>
      <c r="Q149" s="5" t="s">
        <v>97</v>
      </c>
      <c r="R149" s="5" t="s">
        <v>57</v>
      </c>
      <c r="S149" s="25">
        <v>46041.554189814815</v>
      </c>
      <c r="T149" s="26">
        <v>46048.585949074077</v>
      </c>
    </row>
    <row r="150" spans="1:20" x14ac:dyDescent="0.3">
      <c r="A150" s="2" t="s">
        <v>492</v>
      </c>
      <c r="B150" s="3">
        <v>5</v>
      </c>
      <c r="C150" s="3">
        <v>3</v>
      </c>
      <c r="D150" s="3" t="s">
        <v>110</v>
      </c>
      <c r="E150" s="3" t="s">
        <v>494</v>
      </c>
      <c r="F150" s="3"/>
      <c r="G150" s="3" t="s">
        <v>485</v>
      </c>
      <c r="H150" s="3" t="s">
        <v>22</v>
      </c>
      <c r="I150" s="3" t="s">
        <v>112</v>
      </c>
      <c r="J150" s="3" t="s">
        <v>475</v>
      </c>
      <c r="K150" s="3" t="s">
        <v>114</v>
      </c>
      <c r="L150" s="3" t="s">
        <v>26</v>
      </c>
      <c r="M150" s="3" t="s">
        <v>218</v>
      </c>
      <c r="N150" s="3" t="s">
        <v>88</v>
      </c>
      <c r="O150" s="3" t="s">
        <v>57</v>
      </c>
      <c r="P150" s="3" t="s">
        <v>30</v>
      </c>
      <c r="Q150" s="3" t="s">
        <v>31</v>
      </c>
      <c r="R150" s="3" t="s">
        <v>57</v>
      </c>
      <c r="S150" s="23">
        <v>46041.570138888892</v>
      </c>
      <c r="T150" s="24">
        <v>46048.682523148149</v>
      </c>
    </row>
    <row r="151" spans="1:20" x14ac:dyDescent="0.3">
      <c r="A151" s="4" t="s">
        <v>492</v>
      </c>
      <c r="B151" s="5">
        <v>5</v>
      </c>
      <c r="C151" s="5">
        <v>3</v>
      </c>
      <c r="D151" s="5" t="s">
        <v>110</v>
      </c>
      <c r="E151" s="5" t="s">
        <v>495</v>
      </c>
      <c r="F151" s="5"/>
      <c r="G151" s="5" t="s">
        <v>496</v>
      </c>
      <c r="H151" s="5" t="s">
        <v>22</v>
      </c>
      <c r="I151" s="5" t="s">
        <v>112</v>
      </c>
      <c r="J151" s="5" t="s">
        <v>475</v>
      </c>
      <c r="K151" s="5" t="s">
        <v>114</v>
      </c>
      <c r="L151" s="5" t="s">
        <v>26</v>
      </c>
      <c r="M151" s="5" t="s">
        <v>218</v>
      </c>
      <c r="N151" s="5" t="s">
        <v>39</v>
      </c>
      <c r="O151" s="5" t="s">
        <v>57</v>
      </c>
      <c r="P151" s="5" t="s">
        <v>30</v>
      </c>
      <c r="Q151" s="5" t="s">
        <v>97</v>
      </c>
      <c r="R151" s="5" t="s">
        <v>57</v>
      </c>
      <c r="S151" s="25">
        <v>46041.555127314816</v>
      </c>
      <c r="T151" s="26">
        <v>46048.874907407408</v>
      </c>
    </row>
    <row r="152" spans="1:20" x14ac:dyDescent="0.3">
      <c r="A152" s="2" t="s">
        <v>472</v>
      </c>
      <c r="B152" s="3">
        <v>5</v>
      </c>
      <c r="C152" s="3">
        <v>3</v>
      </c>
      <c r="D152" s="3" t="s">
        <v>110</v>
      </c>
      <c r="E152" s="3" t="s">
        <v>497</v>
      </c>
      <c r="F152" s="3"/>
      <c r="G152" s="3" t="s">
        <v>498</v>
      </c>
      <c r="H152" s="3" t="s">
        <v>22</v>
      </c>
      <c r="I152" s="3" t="s">
        <v>112</v>
      </c>
      <c r="J152" s="3" t="s">
        <v>475</v>
      </c>
      <c r="K152" s="3" t="s">
        <v>114</v>
      </c>
      <c r="L152" s="3" t="s">
        <v>26</v>
      </c>
      <c r="M152" s="3" t="s">
        <v>218</v>
      </c>
      <c r="N152" s="3" t="s">
        <v>39</v>
      </c>
      <c r="O152" s="3" t="s">
        <v>57</v>
      </c>
      <c r="P152" s="3" t="s">
        <v>30</v>
      </c>
      <c r="Q152" s="3" t="s">
        <v>97</v>
      </c>
      <c r="R152" s="3" t="s">
        <v>57</v>
      </c>
      <c r="S152" s="23">
        <v>46041.461655092593</v>
      </c>
      <c r="T152" s="24">
        <v>46048.692615740743</v>
      </c>
    </row>
    <row r="153" spans="1:20" x14ac:dyDescent="0.3">
      <c r="A153" s="4" t="s">
        <v>472</v>
      </c>
      <c r="B153" s="5">
        <v>5</v>
      </c>
      <c r="C153" s="5">
        <v>3</v>
      </c>
      <c r="D153" s="5" t="s">
        <v>110</v>
      </c>
      <c r="E153" s="5" t="s">
        <v>499</v>
      </c>
      <c r="F153" s="5"/>
      <c r="G153" s="5" t="s">
        <v>485</v>
      </c>
      <c r="H153" s="5" t="s">
        <v>22</v>
      </c>
      <c r="I153" s="5" t="s">
        <v>112</v>
      </c>
      <c r="J153" s="5" t="s">
        <v>475</v>
      </c>
      <c r="K153" s="5" t="s">
        <v>114</v>
      </c>
      <c r="L153" s="5" t="s">
        <v>26</v>
      </c>
      <c r="M153" s="5" t="s">
        <v>218</v>
      </c>
      <c r="N153" s="5" t="s">
        <v>88</v>
      </c>
      <c r="O153" s="5" t="s">
        <v>57</v>
      </c>
      <c r="P153" s="5" t="s">
        <v>30</v>
      </c>
      <c r="Q153" s="5" t="s">
        <v>31</v>
      </c>
      <c r="R153" s="5" t="s">
        <v>57</v>
      </c>
      <c r="S153" s="25">
        <v>46041.562800925924</v>
      </c>
      <c r="T153" s="26">
        <v>46048.682268518518</v>
      </c>
    </row>
    <row r="154" spans="1:20" x14ac:dyDescent="0.3">
      <c r="A154" s="2" t="s">
        <v>472</v>
      </c>
      <c r="B154" s="3">
        <v>5</v>
      </c>
      <c r="C154" s="3">
        <v>3</v>
      </c>
      <c r="D154" s="3" t="s">
        <v>110</v>
      </c>
      <c r="E154" s="3" t="s">
        <v>500</v>
      </c>
      <c r="F154" s="3"/>
      <c r="G154" s="3" t="s">
        <v>480</v>
      </c>
      <c r="H154" s="3" t="s">
        <v>22</v>
      </c>
      <c r="I154" s="3" t="s">
        <v>112</v>
      </c>
      <c r="J154" s="3" t="s">
        <v>475</v>
      </c>
      <c r="K154" s="3" t="s">
        <v>114</v>
      </c>
      <c r="L154" s="3" t="s">
        <v>26</v>
      </c>
      <c r="M154" s="3" t="s">
        <v>218</v>
      </c>
      <c r="N154" s="3" t="s">
        <v>88</v>
      </c>
      <c r="O154" s="3" t="s">
        <v>57</v>
      </c>
      <c r="P154" s="3" t="s">
        <v>30</v>
      </c>
      <c r="Q154" s="3" t="s">
        <v>97</v>
      </c>
      <c r="R154" s="3" t="s">
        <v>57</v>
      </c>
      <c r="S154" s="23">
        <v>46041.457488425927</v>
      </c>
      <c r="T154" s="24">
        <v>46048.585740740738</v>
      </c>
    </row>
    <row r="155" spans="1:20" x14ac:dyDescent="0.3">
      <c r="A155" s="4" t="s">
        <v>486</v>
      </c>
      <c r="B155" s="5">
        <v>5</v>
      </c>
      <c r="C155" s="5">
        <v>3</v>
      </c>
      <c r="D155" s="5" t="s">
        <v>110</v>
      </c>
      <c r="E155" s="5" t="s">
        <v>501</v>
      </c>
      <c r="F155" s="5"/>
      <c r="G155" s="5" t="s">
        <v>498</v>
      </c>
      <c r="H155" s="5" t="s">
        <v>22</v>
      </c>
      <c r="I155" s="5" t="s">
        <v>112</v>
      </c>
      <c r="J155" s="5" t="s">
        <v>475</v>
      </c>
      <c r="K155" s="5" t="s">
        <v>114</v>
      </c>
      <c r="L155" s="5" t="s">
        <v>26</v>
      </c>
      <c r="M155" s="5" t="s">
        <v>218</v>
      </c>
      <c r="N155" s="5" t="s">
        <v>39</v>
      </c>
      <c r="O155" s="5" t="s">
        <v>57</v>
      </c>
      <c r="P155" s="5" t="s">
        <v>30</v>
      </c>
      <c r="Q155" s="5" t="s">
        <v>97</v>
      </c>
      <c r="R155" s="5" t="s">
        <v>57</v>
      </c>
      <c r="S155" s="25">
        <v>46041.611018518517</v>
      </c>
      <c r="T155" s="26">
        <v>46048.69290509259</v>
      </c>
    </row>
    <row r="156" spans="1:20" x14ac:dyDescent="0.3">
      <c r="A156" s="2" t="s">
        <v>502</v>
      </c>
      <c r="B156" s="3">
        <v>5</v>
      </c>
      <c r="C156" s="3">
        <v>3</v>
      </c>
      <c r="D156" s="3" t="s">
        <v>110</v>
      </c>
      <c r="E156" s="3" t="s">
        <v>503</v>
      </c>
      <c r="F156" s="3"/>
      <c r="G156" s="3" t="s">
        <v>504</v>
      </c>
      <c r="H156" s="3" t="s">
        <v>22</v>
      </c>
      <c r="I156" s="3" t="s">
        <v>112</v>
      </c>
      <c r="J156" s="3" t="s">
        <v>505</v>
      </c>
      <c r="K156" s="3" t="s">
        <v>114</v>
      </c>
      <c r="L156" s="3" t="s">
        <v>26</v>
      </c>
      <c r="M156" s="3" t="s">
        <v>218</v>
      </c>
      <c r="N156" s="3" t="s">
        <v>39</v>
      </c>
      <c r="O156" s="3" t="s">
        <v>57</v>
      </c>
      <c r="P156" s="3" t="s">
        <v>30</v>
      </c>
      <c r="Q156" s="3" t="s">
        <v>97</v>
      </c>
      <c r="R156" s="3" t="s">
        <v>57</v>
      </c>
      <c r="S156" s="23">
        <v>46042.411319444444</v>
      </c>
      <c r="T156" s="24">
        <v>46044.457372685189</v>
      </c>
    </row>
    <row r="157" spans="1:20" x14ac:dyDescent="0.3">
      <c r="A157" s="4" t="s">
        <v>506</v>
      </c>
      <c r="B157" s="5">
        <v>5</v>
      </c>
      <c r="C157" s="5">
        <v>3</v>
      </c>
      <c r="D157" s="5" t="s">
        <v>110</v>
      </c>
      <c r="E157" s="5" t="s">
        <v>507</v>
      </c>
      <c r="F157" s="5"/>
      <c r="G157" s="5" t="s">
        <v>504</v>
      </c>
      <c r="H157" s="5" t="s">
        <v>22</v>
      </c>
      <c r="I157" s="5" t="s">
        <v>112</v>
      </c>
      <c r="J157" s="5" t="s">
        <v>113</v>
      </c>
      <c r="K157" s="5" t="s">
        <v>114</v>
      </c>
      <c r="L157" s="5" t="s">
        <v>26</v>
      </c>
      <c r="M157" s="5" t="s">
        <v>218</v>
      </c>
      <c r="N157" s="5" t="s">
        <v>39</v>
      </c>
      <c r="O157" s="5" t="s">
        <v>57</v>
      </c>
      <c r="P157" s="5" t="s">
        <v>30</v>
      </c>
      <c r="Q157" s="5" t="s">
        <v>97</v>
      </c>
      <c r="R157" s="5" t="s">
        <v>57</v>
      </c>
      <c r="S157" s="25">
        <v>46042.40997685185</v>
      </c>
      <c r="T157" s="26">
        <v>46044.457118055558</v>
      </c>
    </row>
    <row r="158" spans="1:20" x14ac:dyDescent="0.3">
      <c r="A158" s="2" t="s">
        <v>492</v>
      </c>
      <c r="B158" s="3">
        <v>5</v>
      </c>
      <c r="C158" s="3">
        <v>3</v>
      </c>
      <c r="D158" s="3" t="s">
        <v>110</v>
      </c>
      <c r="E158" s="3" t="s">
        <v>508</v>
      </c>
      <c r="F158" s="3" t="s">
        <v>827</v>
      </c>
      <c r="G158" s="3" t="s">
        <v>483</v>
      </c>
      <c r="H158" s="3" t="s">
        <v>22</v>
      </c>
      <c r="I158" s="3" t="s">
        <v>112</v>
      </c>
      <c r="J158" s="3" t="s">
        <v>475</v>
      </c>
      <c r="K158" s="3" t="s">
        <v>114</v>
      </c>
      <c r="L158" s="3" t="s">
        <v>26</v>
      </c>
      <c r="M158" s="3" t="s">
        <v>218</v>
      </c>
      <c r="N158" s="3" t="s">
        <v>177</v>
      </c>
      <c r="O158" s="3" t="s">
        <v>47</v>
      </c>
      <c r="P158" s="3" t="s">
        <v>114</v>
      </c>
      <c r="Q158" s="3" t="s">
        <v>31</v>
      </c>
      <c r="R158" s="3" t="s">
        <v>48</v>
      </c>
      <c r="S158" s="23">
        <v>46041.600069444445</v>
      </c>
      <c r="T158" s="24">
        <v>46048.601979166669</v>
      </c>
    </row>
    <row r="159" spans="1:20" x14ac:dyDescent="0.3">
      <c r="A159" s="4" t="s">
        <v>492</v>
      </c>
      <c r="B159" s="5">
        <v>5</v>
      </c>
      <c r="C159" s="5">
        <v>3</v>
      </c>
      <c r="D159" s="5" t="s">
        <v>110</v>
      </c>
      <c r="E159" s="5" t="s">
        <v>509</v>
      </c>
      <c r="F159" s="5" t="s">
        <v>834</v>
      </c>
      <c r="G159" s="5" t="s">
        <v>498</v>
      </c>
      <c r="H159" s="5" t="s">
        <v>22</v>
      </c>
      <c r="I159" s="5" t="s">
        <v>112</v>
      </c>
      <c r="J159" s="5" t="s">
        <v>475</v>
      </c>
      <c r="K159" s="5" t="s">
        <v>114</v>
      </c>
      <c r="L159" s="5" t="s">
        <v>26</v>
      </c>
      <c r="M159" s="5" t="s">
        <v>218</v>
      </c>
      <c r="N159" s="5" t="s">
        <v>39</v>
      </c>
      <c r="O159" s="5" t="s">
        <v>47</v>
      </c>
      <c r="P159" s="5" t="s">
        <v>114</v>
      </c>
      <c r="Q159" s="5" t="s">
        <v>97</v>
      </c>
      <c r="R159" s="5" t="s">
        <v>48</v>
      </c>
      <c r="S159" s="25">
        <v>46041.599351851852</v>
      </c>
      <c r="T159" s="26">
        <v>46048.691990740743</v>
      </c>
    </row>
    <row r="160" spans="1:20" x14ac:dyDescent="0.3">
      <c r="A160" s="2" t="s">
        <v>510</v>
      </c>
      <c r="B160" s="3">
        <v>5</v>
      </c>
      <c r="C160" s="3">
        <v>3</v>
      </c>
      <c r="D160" s="3" t="s">
        <v>110</v>
      </c>
      <c r="E160" s="3" t="s">
        <v>511</v>
      </c>
      <c r="F160" s="3" t="s">
        <v>827</v>
      </c>
      <c r="G160" s="3" t="s">
        <v>483</v>
      </c>
      <c r="H160" s="3" t="s">
        <v>22</v>
      </c>
      <c r="I160" s="3" t="s">
        <v>112</v>
      </c>
      <c r="J160" s="3" t="s">
        <v>475</v>
      </c>
      <c r="K160" s="3" t="s">
        <v>114</v>
      </c>
      <c r="L160" s="3" t="s">
        <v>26</v>
      </c>
      <c r="M160" s="3" t="s">
        <v>218</v>
      </c>
      <c r="N160" s="3" t="s">
        <v>177</v>
      </c>
      <c r="O160" s="3" t="s">
        <v>47</v>
      </c>
      <c r="P160" s="3" t="s">
        <v>114</v>
      </c>
      <c r="Q160" s="3" t="s">
        <v>31</v>
      </c>
      <c r="R160" s="3" t="s">
        <v>48</v>
      </c>
      <c r="S160" s="23">
        <v>46041.45071759259</v>
      </c>
      <c r="T160" s="24">
        <v>46048.600960648146</v>
      </c>
    </row>
    <row r="161" spans="1:20" ht="115.5" x14ac:dyDescent="0.3">
      <c r="A161" s="4" t="s">
        <v>510</v>
      </c>
      <c r="B161" s="5">
        <v>5</v>
      </c>
      <c r="C161" s="5">
        <v>3</v>
      </c>
      <c r="D161" s="5" t="s">
        <v>110</v>
      </c>
      <c r="E161" s="5" t="s">
        <v>512</v>
      </c>
      <c r="F161" s="5" t="s">
        <v>823</v>
      </c>
      <c r="G161" s="27" t="s">
        <v>800</v>
      </c>
      <c r="H161" s="5" t="s">
        <v>22</v>
      </c>
      <c r="I161" s="5" t="s">
        <v>112</v>
      </c>
      <c r="J161" s="5" t="s">
        <v>475</v>
      </c>
      <c r="K161" s="5" t="s">
        <v>114</v>
      </c>
      <c r="L161" s="5" t="s">
        <v>26</v>
      </c>
      <c r="M161" s="5" t="s">
        <v>218</v>
      </c>
      <c r="N161" s="5" t="s">
        <v>88</v>
      </c>
      <c r="O161" s="5" t="s">
        <v>47</v>
      </c>
      <c r="P161" s="5" t="s">
        <v>114</v>
      </c>
      <c r="Q161" s="5" t="s">
        <v>31</v>
      </c>
      <c r="R161" s="5" t="s">
        <v>48</v>
      </c>
      <c r="S161" s="25">
        <v>46041.559965277775</v>
      </c>
      <c r="T161" s="26">
        <v>46048.680162037039</v>
      </c>
    </row>
    <row r="162" spans="1:20" x14ac:dyDescent="0.3">
      <c r="A162" s="2" t="s">
        <v>109</v>
      </c>
      <c r="B162" s="3">
        <v>5</v>
      </c>
      <c r="C162" s="3">
        <v>3</v>
      </c>
      <c r="D162" s="3" t="s">
        <v>110</v>
      </c>
      <c r="E162" s="3" t="s">
        <v>513</v>
      </c>
      <c r="F162" s="3" t="s">
        <v>827</v>
      </c>
      <c r="G162" s="3" t="s">
        <v>514</v>
      </c>
      <c r="H162" s="3" t="s">
        <v>22</v>
      </c>
      <c r="I162" s="3" t="s">
        <v>112</v>
      </c>
      <c r="J162" s="3" t="s">
        <v>113</v>
      </c>
      <c r="K162" s="3" t="s">
        <v>114</v>
      </c>
      <c r="L162" s="3" t="s">
        <v>26</v>
      </c>
      <c r="M162" s="3" t="s">
        <v>218</v>
      </c>
      <c r="N162" s="3" t="s">
        <v>177</v>
      </c>
      <c r="O162" s="3" t="s">
        <v>47</v>
      </c>
      <c r="P162" s="3" t="s">
        <v>114</v>
      </c>
      <c r="Q162" s="3" t="s">
        <v>31</v>
      </c>
      <c r="R162" s="3" t="s">
        <v>48</v>
      </c>
      <c r="S162" s="23">
        <v>46044.598645833335</v>
      </c>
      <c r="T162" s="24">
        <v>46048.584270833337</v>
      </c>
    </row>
    <row r="163" spans="1:20" ht="165" x14ac:dyDescent="0.3">
      <c r="A163" s="4" t="s">
        <v>481</v>
      </c>
      <c r="B163" s="5">
        <v>5</v>
      </c>
      <c r="C163" s="5">
        <v>3</v>
      </c>
      <c r="D163" s="5" t="s">
        <v>110</v>
      </c>
      <c r="E163" s="5" t="s">
        <v>515</v>
      </c>
      <c r="F163" s="5" t="s">
        <v>834</v>
      </c>
      <c r="G163" s="27" t="s">
        <v>797</v>
      </c>
      <c r="H163" s="5" t="s">
        <v>22</v>
      </c>
      <c r="I163" s="5" t="s">
        <v>112</v>
      </c>
      <c r="J163" s="5" t="s">
        <v>475</v>
      </c>
      <c r="K163" s="5" t="s">
        <v>114</v>
      </c>
      <c r="L163" s="5" t="s">
        <v>26</v>
      </c>
      <c r="M163" s="5" t="s">
        <v>218</v>
      </c>
      <c r="N163" s="5" t="s">
        <v>39</v>
      </c>
      <c r="O163" s="5" t="s">
        <v>47</v>
      </c>
      <c r="P163" s="5" t="s">
        <v>114</v>
      </c>
      <c r="Q163" s="5" t="s">
        <v>97</v>
      </c>
      <c r="R163" s="5" t="s">
        <v>48</v>
      </c>
      <c r="S163" s="25">
        <v>46041.618796296294</v>
      </c>
      <c r="T163" s="26">
        <v>46048.732604166667</v>
      </c>
    </row>
    <row r="164" spans="1:20" x14ac:dyDescent="0.3">
      <c r="A164" s="2" t="s">
        <v>510</v>
      </c>
      <c r="B164" s="3">
        <v>5</v>
      </c>
      <c r="C164" s="3">
        <v>3</v>
      </c>
      <c r="D164" s="3" t="s">
        <v>110</v>
      </c>
      <c r="E164" s="3" t="s">
        <v>516</v>
      </c>
      <c r="F164" s="3" t="s">
        <v>817</v>
      </c>
      <c r="G164" s="3" t="s">
        <v>496</v>
      </c>
      <c r="H164" s="3" t="s">
        <v>22</v>
      </c>
      <c r="I164" s="3" t="s">
        <v>112</v>
      </c>
      <c r="J164" s="3" t="s">
        <v>475</v>
      </c>
      <c r="K164" s="3" t="s">
        <v>114</v>
      </c>
      <c r="L164" s="3" t="s">
        <v>26</v>
      </c>
      <c r="M164" s="3" t="s">
        <v>218</v>
      </c>
      <c r="N164" s="3" t="s">
        <v>39</v>
      </c>
      <c r="O164" s="3" t="s">
        <v>47</v>
      </c>
      <c r="P164" s="3" t="s">
        <v>114</v>
      </c>
      <c r="Q164" s="3" t="s">
        <v>97</v>
      </c>
      <c r="R164" s="3" t="s">
        <v>48</v>
      </c>
      <c r="S164" s="23">
        <v>46041.441620370373</v>
      </c>
      <c r="T164" s="24">
        <v>46048.874131944445</v>
      </c>
    </row>
    <row r="165" spans="1:20" x14ac:dyDescent="0.3">
      <c r="A165" s="4" t="s">
        <v>109</v>
      </c>
      <c r="B165" s="5">
        <v>5</v>
      </c>
      <c r="C165" s="5">
        <v>3</v>
      </c>
      <c r="D165" s="5" t="s">
        <v>110</v>
      </c>
      <c r="E165" s="5" t="s">
        <v>517</v>
      </c>
      <c r="F165" s="5" t="s">
        <v>817</v>
      </c>
      <c r="G165" s="5" t="s">
        <v>518</v>
      </c>
      <c r="H165" s="5" t="s">
        <v>22</v>
      </c>
      <c r="I165" s="5" t="s">
        <v>112</v>
      </c>
      <c r="J165" s="5" t="s">
        <v>113</v>
      </c>
      <c r="K165" s="5" t="s">
        <v>114</v>
      </c>
      <c r="L165" s="5" t="s">
        <v>26</v>
      </c>
      <c r="M165" s="5" t="s">
        <v>218</v>
      </c>
      <c r="N165" s="5" t="s">
        <v>39</v>
      </c>
      <c r="O165" s="5" t="s">
        <v>47</v>
      </c>
      <c r="P165" s="5" t="s">
        <v>114</v>
      </c>
      <c r="Q165" s="5" t="s">
        <v>97</v>
      </c>
      <c r="R165" s="5" t="s">
        <v>48</v>
      </c>
      <c r="S165" s="25">
        <v>46044.603009259263</v>
      </c>
      <c r="T165" s="26">
        <v>46048.584456018521</v>
      </c>
    </row>
    <row r="166" spans="1:20" x14ac:dyDescent="0.3">
      <c r="A166" s="2" t="s">
        <v>510</v>
      </c>
      <c r="B166" s="3">
        <v>5</v>
      </c>
      <c r="C166" s="3">
        <v>3</v>
      </c>
      <c r="D166" s="3" t="s">
        <v>110</v>
      </c>
      <c r="E166" s="3" t="s">
        <v>519</v>
      </c>
      <c r="F166" s="3" t="s">
        <v>823</v>
      </c>
      <c r="G166" s="3" t="s">
        <v>520</v>
      </c>
      <c r="H166" s="3" t="s">
        <v>22</v>
      </c>
      <c r="I166" s="3" t="s">
        <v>112</v>
      </c>
      <c r="J166" s="3" t="s">
        <v>475</v>
      </c>
      <c r="K166" s="3" t="s">
        <v>114</v>
      </c>
      <c r="L166" s="3" t="s">
        <v>26</v>
      </c>
      <c r="M166" s="3" t="s">
        <v>218</v>
      </c>
      <c r="N166" s="3" t="s">
        <v>88</v>
      </c>
      <c r="O166" s="3" t="s">
        <v>47</v>
      </c>
      <c r="P166" s="3" t="s">
        <v>114</v>
      </c>
      <c r="Q166" s="3" t="s">
        <v>97</v>
      </c>
      <c r="R166" s="3" t="s">
        <v>48</v>
      </c>
      <c r="S166" s="23">
        <v>46041.435995370368</v>
      </c>
      <c r="T166" s="24">
        <v>46048.585011574076</v>
      </c>
    </row>
    <row r="167" spans="1:20" x14ac:dyDescent="0.3">
      <c r="A167" s="4" t="s">
        <v>521</v>
      </c>
      <c r="B167" s="5">
        <v>5</v>
      </c>
      <c r="C167" s="5">
        <v>3</v>
      </c>
      <c r="D167" s="5" t="s">
        <v>110</v>
      </c>
      <c r="E167" s="5" t="s">
        <v>522</v>
      </c>
      <c r="F167" s="5" t="s">
        <v>827</v>
      </c>
      <c r="G167" s="5" t="s">
        <v>523</v>
      </c>
      <c r="H167" s="5" t="s">
        <v>22</v>
      </c>
      <c r="I167" s="5" t="s">
        <v>112</v>
      </c>
      <c r="J167" s="5" t="s">
        <v>432</v>
      </c>
      <c r="K167" s="5" t="s">
        <v>114</v>
      </c>
      <c r="L167" s="5" t="s">
        <v>26</v>
      </c>
      <c r="M167" s="5" t="s">
        <v>218</v>
      </c>
      <c r="N167" s="5" t="s">
        <v>177</v>
      </c>
      <c r="O167" s="5" t="s">
        <v>47</v>
      </c>
      <c r="P167" s="5" t="s">
        <v>524</v>
      </c>
      <c r="Q167" s="5" t="s">
        <v>31</v>
      </c>
      <c r="R167" s="5" t="s">
        <v>47</v>
      </c>
      <c r="S167" s="25">
        <v>46042.38962962963</v>
      </c>
      <c r="T167" s="26">
        <v>46048.311203703706</v>
      </c>
    </row>
    <row r="168" spans="1:20" x14ac:dyDescent="0.3">
      <c r="A168" s="2" t="s">
        <v>472</v>
      </c>
      <c r="B168" s="3">
        <v>5</v>
      </c>
      <c r="C168" s="3">
        <v>3</v>
      </c>
      <c r="D168" s="3" t="s">
        <v>110</v>
      </c>
      <c r="E168" s="3" t="s">
        <v>525</v>
      </c>
      <c r="F168" s="3" t="s">
        <v>827</v>
      </c>
      <c r="G168" s="3" t="s">
        <v>483</v>
      </c>
      <c r="H168" s="3" t="s">
        <v>22</v>
      </c>
      <c r="I168" s="3" t="s">
        <v>112</v>
      </c>
      <c r="J168" s="3" t="s">
        <v>475</v>
      </c>
      <c r="K168" s="3" t="s">
        <v>114</v>
      </c>
      <c r="L168" s="3" t="s">
        <v>26</v>
      </c>
      <c r="M168" s="3" t="s">
        <v>218</v>
      </c>
      <c r="N168" s="3" t="s">
        <v>177</v>
      </c>
      <c r="O168" s="3" t="s">
        <v>47</v>
      </c>
      <c r="P168" s="3" t="s">
        <v>112</v>
      </c>
      <c r="Q168" s="3" t="s">
        <v>97</v>
      </c>
      <c r="R168" s="3" t="s">
        <v>47</v>
      </c>
      <c r="S168" s="23">
        <v>46041.470173611109</v>
      </c>
      <c r="T168" s="24">
        <v>46048.606516203705</v>
      </c>
    </row>
    <row r="169" spans="1:20" x14ac:dyDescent="0.3">
      <c r="A169" s="4" t="s">
        <v>526</v>
      </c>
      <c r="B169" s="5">
        <v>5</v>
      </c>
      <c r="C169" s="5">
        <v>3</v>
      </c>
      <c r="D169" s="5" t="s">
        <v>110</v>
      </c>
      <c r="E169" s="5" t="s">
        <v>527</v>
      </c>
      <c r="F169" s="5" t="s">
        <v>827</v>
      </c>
      <c r="G169" s="5" t="s">
        <v>523</v>
      </c>
      <c r="H169" s="5" t="s">
        <v>22</v>
      </c>
      <c r="I169" s="5" t="s">
        <v>112</v>
      </c>
      <c r="J169" s="5" t="s">
        <v>432</v>
      </c>
      <c r="K169" s="5" t="s">
        <v>114</v>
      </c>
      <c r="L169" s="5" t="s">
        <v>26</v>
      </c>
      <c r="M169" s="5" t="s">
        <v>218</v>
      </c>
      <c r="N169" s="5" t="s">
        <v>177</v>
      </c>
      <c r="O169" s="5" t="s">
        <v>47</v>
      </c>
      <c r="P169" s="5" t="s">
        <v>524</v>
      </c>
      <c r="Q169" s="5" t="s">
        <v>31</v>
      </c>
      <c r="R169" s="5" t="s">
        <v>47</v>
      </c>
      <c r="S169" s="25">
        <v>46042.390462962961</v>
      </c>
      <c r="T169" s="26">
        <v>46048.310995370368</v>
      </c>
    </row>
    <row r="170" spans="1:20" x14ac:dyDescent="0.3">
      <c r="A170" s="2" t="s">
        <v>528</v>
      </c>
      <c r="B170" s="3">
        <v>5</v>
      </c>
      <c r="C170" s="3">
        <v>3</v>
      </c>
      <c r="D170" s="3" t="s">
        <v>116</v>
      </c>
      <c r="E170" s="3" t="s">
        <v>529</v>
      </c>
      <c r="F170" s="3"/>
      <c r="G170" s="3" t="s">
        <v>530</v>
      </c>
      <c r="H170" s="3" t="s">
        <v>22</v>
      </c>
      <c r="I170" s="3" t="s">
        <v>119</v>
      </c>
      <c r="J170" s="3" t="s">
        <v>127</v>
      </c>
      <c r="K170" s="3" t="s">
        <v>121</v>
      </c>
      <c r="L170" s="3" t="s">
        <v>68</v>
      </c>
      <c r="M170" s="3" t="s">
        <v>218</v>
      </c>
      <c r="N170" s="3" t="s">
        <v>39</v>
      </c>
      <c r="O170" s="3" t="s">
        <v>57</v>
      </c>
      <c r="P170" s="3" t="s">
        <v>30</v>
      </c>
      <c r="Q170" s="3" t="s">
        <v>97</v>
      </c>
      <c r="R170" s="3" t="s">
        <v>57</v>
      </c>
      <c r="S170" s="23">
        <v>46043.420254629629</v>
      </c>
      <c r="T170" s="24">
        <v>46044.467638888891</v>
      </c>
    </row>
    <row r="171" spans="1:20" x14ac:dyDescent="0.3">
      <c r="A171" s="4" t="s">
        <v>528</v>
      </c>
      <c r="B171" s="5">
        <v>5</v>
      </c>
      <c r="C171" s="5">
        <v>3</v>
      </c>
      <c r="D171" s="5" t="s">
        <v>116</v>
      </c>
      <c r="E171" s="5" t="s">
        <v>531</v>
      </c>
      <c r="F171" s="5"/>
      <c r="G171" s="5" t="s">
        <v>532</v>
      </c>
      <c r="H171" s="5" t="s">
        <v>22</v>
      </c>
      <c r="I171" s="5" t="s">
        <v>119</v>
      </c>
      <c r="J171" s="5" t="s">
        <v>127</v>
      </c>
      <c r="K171" s="5" t="s">
        <v>121</v>
      </c>
      <c r="L171" s="5" t="s">
        <v>68</v>
      </c>
      <c r="M171" s="5" t="s">
        <v>218</v>
      </c>
      <c r="N171" s="5" t="s">
        <v>39</v>
      </c>
      <c r="O171" s="5" t="s">
        <v>57</v>
      </c>
      <c r="P171" s="5" t="s">
        <v>30</v>
      </c>
      <c r="Q171" s="5" t="s">
        <v>97</v>
      </c>
      <c r="R171" s="5" t="s">
        <v>57</v>
      </c>
      <c r="S171" s="25">
        <v>46043.416215277779</v>
      </c>
      <c r="T171" s="26">
        <v>46043.818437499998</v>
      </c>
    </row>
    <row r="172" spans="1:20" x14ac:dyDescent="0.3">
      <c r="A172" s="2" t="s">
        <v>533</v>
      </c>
      <c r="B172" s="3">
        <v>5</v>
      </c>
      <c r="C172" s="3">
        <v>3</v>
      </c>
      <c r="D172" s="3" t="s">
        <v>116</v>
      </c>
      <c r="E172" s="3" t="s">
        <v>534</v>
      </c>
      <c r="F172" s="3"/>
      <c r="G172" s="3" t="s">
        <v>535</v>
      </c>
      <c r="H172" s="3" t="s">
        <v>22</v>
      </c>
      <c r="I172" s="3" t="s">
        <v>119</v>
      </c>
      <c r="J172" s="3" t="s">
        <v>127</v>
      </c>
      <c r="K172" s="3" t="s">
        <v>121</v>
      </c>
      <c r="L172" s="3" t="s">
        <v>68</v>
      </c>
      <c r="M172" s="3" t="s">
        <v>218</v>
      </c>
      <c r="N172" s="3" t="s">
        <v>39</v>
      </c>
      <c r="O172" s="3" t="s">
        <v>57</v>
      </c>
      <c r="P172" s="3" t="s">
        <v>30</v>
      </c>
      <c r="Q172" s="3" t="s">
        <v>97</v>
      </c>
      <c r="R172" s="3" t="s">
        <v>57</v>
      </c>
      <c r="S172" s="23">
        <v>46043.437314814815</v>
      </c>
      <c r="T172" s="24">
        <v>46044.476921296293</v>
      </c>
    </row>
    <row r="173" spans="1:20" x14ac:dyDescent="0.3">
      <c r="A173" s="4" t="s">
        <v>533</v>
      </c>
      <c r="B173" s="5">
        <v>5</v>
      </c>
      <c r="C173" s="5">
        <v>3</v>
      </c>
      <c r="D173" s="5" t="s">
        <v>116</v>
      </c>
      <c r="E173" s="5" t="s">
        <v>536</v>
      </c>
      <c r="F173" s="5"/>
      <c r="G173" s="5" t="s">
        <v>537</v>
      </c>
      <c r="H173" s="5" t="s">
        <v>22</v>
      </c>
      <c r="I173" s="5" t="s">
        <v>119</v>
      </c>
      <c r="J173" s="5" t="s">
        <v>127</v>
      </c>
      <c r="K173" s="5" t="s">
        <v>121</v>
      </c>
      <c r="L173" s="5" t="s">
        <v>68</v>
      </c>
      <c r="M173" s="5" t="s">
        <v>218</v>
      </c>
      <c r="N173" s="5" t="s">
        <v>39</v>
      </c>
      <c r="O173" s="5" t="s">
        <v>57</v>
      </c>
      <c r="P173" s="5" t="s">
        <v>30</v>
      </c>
      <c r="Q173" s="5" t="s">
        <v>97</v>
      </c>
      <c r="R173" s="5" t="s">
        <v>57</v>
      </c>
      <c r="S173" s="25">
        <v>46043.439375000002</v>
      </c>
      <c r="T173" s="26">
        <v>46044.547685185185</v>
      </c>
    </row>
    <row r="174" spans="1:20" x14ac:dyDescent="0.3">
      <c r="A174" s="2" t="s">
        <v>538</v>
      </c>
      <c r="B174" s="3">
        <v>5</v>
      </c>
      <c r="C174" s="3">
        <v>3</v>
      </c>
      <c r="D174" s="3" t="s">
        <v>116</v>
      </c>
      <c r="E174" s="3" t="s">
        <v>539</v>
      </c>
      <c r="F174" s="3"/>
      <c r="G174" s="3" t="s">
        <v>540</v>
      </c>
      <c r="H174" s="3" t="s">
        <v>22</v>
      </c>
      <c r="I174" s="3" t="s">
        <v>119</v>
      </c>
      <c r="J174" s="3" t="s">
        <v>127</v>
      </c>
      <c r="K174" s="3" t="s">
        <v>121</v>
      </c>
      <c r="L174" s="3" t="s">
        <v>68</v>
      </c>
      <c r="M174" s="3" t="s">
        <v>218</v>
      </c>
      <c r="N174" s="3" t="s">
        <v>39</v>
      </c>
      <c r="O174" s="3" t="s">
        <v>57</v>
      </c>
      <c r="P174" s="3" t="s">
        <v>30</v>
      </c>
      <c r="Q174" s="3" t="s">
        <v>97</v>
      </c>
      <c r="R174" s="3" t="s">
        <v>57</v>
      </c>
      <c r="S174" s="23">
        <v>46043.425358796296</v>
      </c>
      <c r="T174" s="24">
        <v>46044.414849537039</v>
      </c>
    </row>
    <row r="175" spans="1:20" x14ac:dyDescent="0.3">
      <c r="A175" s="4" t="s">
        <v>541</v>
      </c>
      <c r="B175" s="5">
        <v>5</v>
      </c>
      <c r="C175" s="5">
        <v>3</v>
      </c>
      <c r="D175" s="5" t="s">
        <v>116</v>
      </c>
      <c r="E175" s="5" t="s">
        <v>542</v>
      </c>
      <c r="F175" s="5"/>
      <c r="G175" s="5" t="s">
        <v>543</v>
      </c>
      <c r="H175" s="5" t="s">
        <v>22</v>
      </c>
      <c r="I175" s="5" t="s">
        <v>119</v>
      </c>
      <c r="J175" s="5" t="s">
        <v>120</v>
      </c>
      <c r="K175" s="5" t="s">
        <v>121</v>
      </c>
      <c r="L175" s="5" t="s">
        <v>26</v>
      </c>
      <c r="M175" s="5" t="s">
        <v>218</v>
      </c>
      <c r="N175" s="5" t="s">
        <v>88</v>
      </c>
      <c r="O175" s="5" t="s">
        <v>57</v>
      </c>
      <c r="P175" s="5" t="s">
        <v>30</v>
      </c>
      <c r="Q175" s="5" t="s">
        <v>97</v>
      </c>
      <c r="R175" s="5" t="s">
        <v>57</v>
      </c>
      <c r="S175" s="25">
        <v>46041.644004629627</v>
      </c>
      <c r="T175" s="26">
        <v>46043.785937499997</v>
      </c>
    </row>
    <row r="176" spans="1:20" x14ac:dyDescent="0.3">
      <c r="A176" s="2" t="s">
        <v>544</v>
      </c>
      <c r="B176" s="3">
        <v>5</v>
      </c>
      <c r="C176" s="3">
        <v>3</v>
      </c>
      <c r="D176" s="3" t="s">
        <v>116</v>
      </c>
      <c r="E176" s="3" t="s">
        <v>545</v>
      </c>
      <c r="F176" s="3"/>
      <c r="G176" s="3" t="s">
        <v>546</v>
      </c>
      <c r="H176" s="3" t="s">
        <v>22</v>
      </c>
      <c r="I176" s="3" t="s">
        <v>119</v>
      </c>
      <c r="J176" s="3" t="s">
        <v>120</v>
      </c>
      <c r="K176" s="3" t="s">
        <v>121</v>
      </c>
      <c r="L176" s="3" t="s">
        <v>26</v>
      </c>
      <c r="M176" s="3" t="s">
        <v>218</v>
      </c>
      <c r="N176" s="3" t="s">
        <v>39</v>
      </c>
      <c r="O176" s="3" t="s">
        <v>57</v>
      </c>
      <c r="P176" s="3" t="s">
        <v>30</v>
      </c>
      <c r="Q176" s="3" t="s">
        <v>156</v>
      </c>
      <c r="R176" s="3" t="s">
        <v>57</v>
      </c>
      <c r="S176" s="23">
        <v>46041.65284722222</v>
      </c>
      <c r="T176" s="24">
        <v>46043.783587962964</v>
      </c>
    </row>
    <row r="177" spans="1:20" x14ac:dyDescent="0.3">
      <c r="A177" s="4" t="s">
        <v>544</v>
      </c>
      <c r="B177" s="5">
        <v>5</v>
      </c>
      <c r="C177" s="5">
        <v>3</v>
      </c>
      <c r="D177" s="5" t="s">
        <v>116</v>
      </c>
      <c r="E177" s="5" t="s">
        <v>547</v>
      </c>
      <c r="F177" s="5"/>
      <c r="G177" s="5" t="s">
        <v>548</v>
      </c>
      <c r="H177" s="5" t="s">
        <v>22</v>
      </c>
      <c r="I177" s="5" t="s">
        <v>119</v>
      </c>
      <c r="J177" s="5" t="s">
        <v>120</v>
      </c>
      <c r="K177" s="5" t="s">
        <v>121</v>
      </c>
      <c r="L177" s="5" t="s">
        <v>26</v>
      </c>
      <c r="M177" s="5" t="s">
        <v>218</v>
      </c>
      <c r="N177" s="5" t="s">
        <v>88</v>
      </c>
      <c r="O177" s="5" t="s">
        <v>57</v>
      </c>
      <c r="P177" s="5" t="s">
        <v>30</v>
      </c>
      <c r="Q177" s="5" t="s">
        <v>31</v>
      </c>
      <c r="R177" s="5" t="s">
        <v>57</v>
      </c>
      <c r="S177" s="25">
        <v>46041.649687500001</v>
      </c>
      <c r="T177" s="26">
        <v>46043.780393518522</v>
      </c>
    </row>
    <row r="178" spans="1:20" x14ac:dyDescent="0.3">
      <c r="A178" s="2" t="s">
        <v>549</v>
      </c>
      <c r="B178" s="3">
        <v>5</v>
      </c>
      <c r="C178" s="3">
        <v>3</v>
      </c>
      <c r="D178" s="3" t="s">
        <v>116</v>
      </c>
      <c r="E178" s="3" t="s">
        <v>550</v>
      </c>
      <c r="F178" s="3"/>
      <c r="G178" s="3" t="s">
        <v>551</v>
      </c>
      <c r="H178" s="3" t="s">
        <v>22</v>
      </c>
      <c r="I178" s="3" t="s">
        <v>119</v>
      </c>
      <c r="J178" s="3" t="s">
        <v>120</v>
      </c>
      <c r="K178" s="3" t="s">
        <v>121</v>
      </c>
      <c r="L178" s="3" t="s">
        <v>26</v>
      </c>
      <c r="M178" s="3" t="s">
        <v>218</v>
      </c>
      <c r="N178" s="3" t="s">
        <v>39</v>
      </c>
      <c r="O178" s="3" t="s">
        <v>57</v>
      </c>
      <c r="P178" s="3" t="s">
        <v>30</v>
      </c>
      <c r="Q178" s="3" t="s">
        <v>156</v>
      </c>
      <c r="R178" s="3" t="s">
        <v>57</v>
      </c>
      <c r="S178" s="23">
        <v>46041.651875000003</v>
      </c>
      <c r="T178" s="24">
        <v>46043.785115740742</v>
      </c>
    </row>
    <row r="179" spans="1:20" x14ac:dyDescent="0.3">
      <c r="A179" s="4" t="s">
        <v>154</v>
      </c>
      <c r="B179" s="5">
        <v>5</v>
      </c>
      <c r="C179" s="5">
        <v>3</v>
      </c>
      <c r="D179" s="5" t="s">
        <v>116</v>
      </c>
      <c r="E179" s="5" t="s">
        <v>552</v>
      </c>
      <c r="F179" s="5"/>
      <c r="G179" s="5" t="s">
        <v>553</v>
      </c>
      <c r="H179" s="5" t="s">
        <v>22</v>
      </c>
      <c r="I179" s="5" t="s">
        <v>119</v>
      </c>
      <c r="J179" s="5" t="s">
        <v>120</v>
      </c>
      <c r="K179" s="5" t="s">
        <v>121</v>
      </c>
      <c r="L179" s="5" t="s">
        <v>26</v>
      </c>
      <c r="M179" s="5" t="s">
        <v>218</v>
      </c>
      <c r="N179" s="5" t="s">
        <v>88</v>
      </c>
      <c r="O179" s="5" t="s">
        <v>57</v>
      </c>
      <c r="P179" s="5" t="s">
        <v>30</v>
      </c>
      <c r="Q179" s="5" t="s">
        <v>31</v>
      </c>
      <c r="R179" s="5" t="s">
        <v>57</v>
      </c>
      <c r="S179" s="25">
        <v>46042.464675925927</v>
      </c>
      <c r="T179" s="26">
        <v>46043.403680555559</v>
      </c>
    </row>
    <row r="180" spans="1:20" x14ac:dyDescent="0.3">
      <c r="A180" s="2" t="s">
        <v>554</v>
      </c>
      <c r="B180" s="3">
        <v>5</v>
      </c>
      <c r="C180" s="3">
        <v>3</v>
      </c>
      <c r="D180" s="3" t="s">
        <v>116</v>
      </c>
      <c r="E180" s="3" t="s">
        <v>555</v>
      </c>
      <c r="F180" s="3"/>
      <c r="G180" s="3" t="s">
        <v>556</v>
      </c>
      <c r="H180" s="3" t="s">
        <v>22</v>
      </c>
      <c r="I180" s="3" t="s">
        <v>119</v>
      </c>
      <c r="J180" s="3" t="s">
        <v>120</v>
      </c>
      <c r="K180" s="3" t="s">
        <v>121</v>
      </c>
      <c r="L180" s="3" t="s">
        <v>26</v>
      </c>
      <c r="M180" s="3" t="s">
        <v>218</v>
      </c>
      <c r="N180" s="3" t="s">
        <v>39</v>
      </c>
      <c r="O180" s="3" t="s">
        <v>57</v>
      </c>
      <c r="P180" s="3" t="s">
        <v>30</v>
      </c>
      <c r="Q180" s="3" t="s">
        <v>156</v>
      </c>
      <c r="R180" s="3" t="s">
        <v>57</v>
      </c>
      <c r="S180" s="23">
        <v>46041.599953703706</v>
      </c>
      <c r="T180" s="24">
        <v>46043.790231481478</v>
      </c>
    </row>
    <row r="181" spans="1:20" x14ac:dyDescent="0.3">
      <c r="A181" s="4" t="s">
        <v>554</v>
      </c>
      <c r="B181" s="5">
        <v>5</v>
      </c>
      <c r="C181" s="5">
        <v>3</v>
      </c>
      <c r="D181" s="5" t="s">
        <v>116</v>
      </c>
      <c r="E181" s="5" t="s">
        <v>557</v>
      </c>
      <c r="F181" s="5"/>
      <c r="G181" s="5" t="s">
        <v>558</v>
      </c>
      <c r="H181" s="5" t="s">
        <v>22</v>
      </c>
      <c r="I181" s="5" t="s">
        <v>119</v>
      </c>
      <c r="J181" s="5" t="s">
        <v>120</v>
      </c>
      <c r="K181" s="5" t="s">
        <v>121</v>
      </c>
      <c r="L181" s="5" t="s">
        <v>26</v>
      </c>
      <c r="M181" s="5" t="s">
        <v>218</v>
      </c>
      <c r="N181" s="5" t="s">
        <v>39</v>
      </c>
      <c r="O181" s="5" t="s">
        <v>57</v>
      </c>
      <c r="P181" s="5" t="s">
        <v>30</v>
      </c>
      <c r="Q181" s="5" t="s">
        <v>156</v>
      </c>
      <c r="R181" s="5" t="s">
        <v>57</v>
      </c>
      <c r="S181" s="25">
        <v>46041.594942129632</v>
      </c>
      <c r="T181" s="26">
        <v>46043.804224537038</v>
      </c>
    </row>
    <row r="182" spans="1:20" x14ac:dyDescent="0.3">
      <c r="A182" s="2" t="s">
        <v>559</v>
      </c>
      <c r="B182" s="3">
        <v>5</v>
      </c>
      <c r="C182" s="3">
        <v>3</v>
      </c>
      <c r="D182" s="3" t="s">
        <v>116</v>
      </c>
      <c r="E182" s="3" t="s">
        <v>560</v>
      </c>
      <c r="F182" s="3" t="s">
        <v>827</v>
      </c>
      <c r="G182" s="3" t="s">
        <v>561</v>
      </c>
      <c r="H182" s="3" t="s">
        <v>22</v>
      </c>
      <c r="I182" s="3" t="s">
        <v>119</v>
      </c>
      <c r="J182" s="3" t="s">
        <v>120</v>
      </c>
      <c r="K182" s="3" t="s">
        <v>121</v>
      </c>
      <c r="L182" s="3" t="s">
        <v>26</v>
      </c>
      <c r="M182" s="3" t="s">
        <v>218</v>
      </c>
      <c r="N182" s="3" t="s">
        <v>102</v>
      </c>
      <c r="O182" s="3" t="s">
        <v>29</v>
      </c>
      <c r="P182" s="3" t="s">
        <v>30</v>
      </c>
      <c r="Q182" s="3" t="s">
        <v>156</v>
      </c>
      <c r="R182" s="3" t="s">
        <v>29</v>
      </c>
      <c r="S182" s="23">
        <v>46042.634768518517</v>
      </c>
      <c r="T182" s="24">
        <v>46044.664085648146</v>
      </c>
    </row>
    <row r="183" spans="1:20" x14ac:dyDescent="0.3">
      <c r="A183" s="4" t="s">
        <v>562</v>
      </c>
      <c r="B183" s="5">
        <v>5</v>
      </c>
      <c r="C183" s="5">
        <v>3</v>
      </c>
      <c r="D183" s="5" t="s">
        <v>116</v>
      </c>
      <c r="E183" s="5" t="s">
        <v>563</v>
      </c>
      <c r="F183" s="5" t="s">
        <v>827</v>
      </c>
      <c r="G183" s="5" t="s">
        <v>564</v>
      </c>
      <c r="H183" s="5" t="s">
        <v>22</v>
      </c>
      <c r="I183" s="5" t="s">
        <v>119</v>
      </c>
      <c r="J183" s="5" t="s">
        <v>120</v>
      </c>
      <c r="K183" s="5" t="s">
        <v>121</v>
      </c>
      <c r="L183" s="5" t="s">
        <v>26</v>
      </c>
      <c r="M183" s="5" t="s">
        <v>218</v>
      </c>
      <c r="N183" s="5" t="s">
        <v>102</v>
      </c>
      <c r="O183" s="5" t="s">
        <v>29</v>
      </c>
      <c r="P183" s="5" t="s">
        <v>30</v>
      </c>
      <c r="Q183" s="5" t="s">
        <v>156</v>
      </c>
      <c r="R183" s="5" t="s">
        <v>29</v>
      </c>
      <c r="S183" s="25">
        <v>46042.619988425926</v>
      </c>
      <c r="T183" s="26">
        <v>46044.663622685184</v>
      </c>
    </row>
    <row r="184" spans="1:20" x14ac:dyDescent="0.3">
      <c r="A184" s="2" t="s">
        <v>565</v>
      </c>
      <c r="B184" s="3">
        <v>5</v>
      </c>
      <c r="C184" s="3">
        <v>3</v>
      </c>
      <c r="D184" s="3" t="s">
        <v>116</v>
      </c>
      <c r="E184" s="3" t="s">
        <v>566</v>
      </c>
      <c r="F184" s="3" t="s">
        <v>827</v>
      </c>
      <c r="G184" s="3" t="s">
        <v>795</v>
      </c>
      <c r="H184" s="3" t="s">
        <v>22</v>
      </c>
      <c r="I184" s="3" t="s">
        <v>119</v>
      </c>
      <c r="J184" s="3" t="s">
        <v>120</v>
      </c>
      <c r="K184" s="3" t="s">
        <v>121</v>
      </c>
      <c r="L184" s="3" t="s">
        <v>26</v>
      </c>
      <c r="M184" s="3" t="s">
        <v>218</v>
      </c>
      <c r="N184" s="3" t="s">
        <v>102</v>
      </c>
      <c r="O184" s="3" t="s">
        <v>29</v>
      </c>
      <c r="P184" s="3" t="s">
        <v>30</v>
      </c>
      <c r="Q184" s="3" t="s">
        <v>156</v>
      </c>
      <c r="R184" s="3" t="s">
        <v>29</v>
      </c>
      <c r="S184" s="23">
        <v>46042.642442129632</v>
      </c>
      <c r="T184" s="24">
        <v>46044.671469907407</v>
      </c>
    </row>
    <row r="185" spans="1:20" x14ac:dyDescent="0.3">
      <c r="A185" s="4" t="s">
        <v>567</v>
      </c>
      <c r="B185" s="5">
        <v>5</v>
      </c>
      <c r="C185" s="5">
        <v>3</v>
      </c>
      <c r="D185" s="5" t="s">
        <v>116</v>
      </c>
      <c r="E185" s="5" t="s">
        <v>568</v>
      </c>
      <c r="F185" s="5" t="s">
        <v>817</v>
      </c>
      <c r="G185" s="5" t="s">
        <v>569</v>
      </c>
      <c r="H185" s="5" t="s">
        <v>22</v>
      </c>
      <c r="I185" s="5" t="s">
        <v>119</v>
      </c>
      <c r="J185" s="5" t="s">
        <v>120</v>
      </c>
      <c r="K185" s="5" t="s">
        <v>121</v>
      </c>
      <c r="L185" s="5" t="s">
        <v>26</v>
      </c>
      <c r="M185" s="5" t="s">
        <v>218</v>
      </c>
      <c r="N185" s="5" t="s">
        <v>39</v>
      </c>
      <c r="O185" s="5" t="s">
        <v>29</v>
      </c>
      <c r="P185" s="5" t="s">
        <v>30</v>
      </c>
      <c r="Q185" s="5" t="s">
        <v>156</v>
      </c>
      <c r="R185" s="5" t="s">
        <v>29</v>
      </c>
      <c r="S185" s="25">
        <v>46043.627372685187</v>
      </c>
      <c r="T185" s="26">
        <v>46044.678240740737</v>
      </c>
    </row>
    <row r="186" spans="1:20" x14ac:dyDescent="0.3">
      <c r="A186" s="2" t="s">
        <v>541</v>
      </c>
      <c r="B186" s="3">
        <v>5</v>
      </c>
      <c r="C186" s="3">
        <v>3</v>
      </c>
      <c r="D186" s="3" t="s">
        <v>116</v>
      </c>
      <c r="E186" s="3" t="s">
        <v>570</v>
      </c>
      <c r="F186" s="3" t="s">
        <v>834</v>
      </c>
      <c r="G186" s="3" t="s">
        <v>571</v>
      </c>
      <c r="H186" s="3" t="s">
        <v>22</v>
      </c>
      <c r="I186" s="3" t="s">
        <v>119</v>
      </c>
      <c r="J186" s="3" t="s">
        <v>120</v>
      </c>
      <c r="K186" s="3" t="s">
        <v>121</v>
      </c>
      <c r="L186" s="3" t="s">
        <v>26</v>
      </c>
      <c r="M186" s="3" t="s">
        <v>218</v>
      </c>
      <c r="N186" s="3" t="s">
        <v>39</v>
      </c>
      <c r="O186" s="3" t="s">
        <v>47</v>
      </c>
      <c r="P186" s="3" t="s">
        <v>121</v>
      </c>
      <c r="Q186" s="3" t="s">
        <v>97</v>
      </c>
      <c r="R186" s="3" t="s">
        <v>48</v>
      </c>
      <c r="S186" s="23">
        <v>46041.549259259256</v>
      </c>
      <c r="T186" s="24">
        <v>46048.395787037036</v>
      </c>
    </row>
    <row r="187" spans="1:20" x14ac:dyDescent="0.3">
      <c r="A187" s="4" t="s">
        <v>122</v>
      </c>
      <c r="B187" s="5">
        <v>5</v>
      </c>
      <c r="C187" s="5">
        <v>3</v>
      </c>
      <c r="D187" s="5" t="s">
        <v>116</v>
      </c>
      <c r="E187" s="5" t="s">
        <v>572</v>
      </c>
      <c r="F187" s="5" t="s">
        <v>827</v>
      </c>
      <c r="G187" s="5" t="s">
        <v>573</v>
      </c>
      <c r="H187" s="5" t="s">
        <v>22</v>
      </c>
      <c r="I187" s="5" t="s">
        <v>119</v>
      </c>
      <c r="J187" s="5" t="s">
        <v>120</v>
      </c>
      <c r="K187" s="5" t="s">
        <v>121</v>
      </c>
      <c r="L187" s="5" t="s">
        <v>26</v>
      </c>
      <c r="M187" s="5" t="s">
        <v>218</v>
      </c>
      <c r="N187" s="5" t="s">
        <v>102</v>
      </c>
      <c r="O187" s="5" t="s">
        <v>47</v>
      </c>
      <c r="P187" s="5" t="s">
        <v>121</v>
      </c>
      <c r="Q187" s="5" t="s">
        <v>156</v>
      </c>
      <c r="R187" s="5" t="s">
        <v>48</v>
      </c>
      <c r="S187" s="25">
        <v>46044.440810185188</v>
      </c>
      <c r="T187" s="26">
        <v>46049.430520833332</v>
      </c>
    </row>
    <row r="188" spans="1:20" x14ac:dyDescent="0.3">
      <c r="A188" s="2" t="s">
        <v>574</v>
      </c>
      <c r="B188" s="3">
        <v>5</v>
      </c>
      <c r="C188" s="3">
        <v>3</v>
      </c>
      <c r="D188" s="3" t="s">
        <v>165</v>
      </c>
      <c r="E188" s="3" t="s">
        <v>575</v>
      </c>
      <c r="F188" s="3" t="s">
        <v>817</v>
      </c>
      <c r="G188" s="3" t="s">
        <v>576</v>
      </c>
      <c r="H188" s="3" t="s">
        <v>22</v>
      </c>
      <c r="I188" s="3" t="s">
        <v>168</v>
      </c>
      <c r="J188" s="3" t="s">
        <v>577</v>
      </c>
      <c r="K188" s="3" t="s">
        <v>114</v>
      </c>
      <c r="L188" s="3" t="s">
        <v>68</v>
      </c>
      <c r="M188" s="3" t="s">
        <v>218</v>
      </c>
      <c r="N188" s="3" t="s">
        <v>39</v>
      </c>
      <c r="O188" s="3" t="s">
        <v>170</v>
      </c>
      <c r="P188" s="3" t="s">
        <v>168</v>
      </c>
      <c r="Q188" s="3" t="s">
        <v>97</v>
      </c>
      <c r="R188" s="3" t="s">
        <v>170</v>
      </c>
      <c r="S188" s="23">
        <v>46044.64943287037</v>
      </c>
      <c r="T188" s="24">
        <v>46044.64943287037</v>
      </c>
    </row>
    <row r="189" spans="1:20" x14ac:dyDescent="0.3">
      <c r="A189" s="4" t="s">
        <v>578</v>
      </c>
      <c r="B189" s="5">
        <v>5</v>
      </c>
      <c r="C189" s="5">
        <v>3</v>
      </c>
      <c r="D189" s="5" t="s">
        <v>165</v>
      </c>
      <c r="E189" s="5" t="s">
        <v>579</v>
      </c>
      <c r="F189" s="5" t="s">
        <v>817</v>
      </c>
      <c r="G189" s="5" t="s">
        <v>580</v>
      </c>
      <c r="H189" s="5" t="s">
        <v>22</v>
      </c>
      <c r="I189" s="5" t="s">
        <v>168</v>
      </c>
      <c r="J189" s="5" t="s">
        <v>577</v>
      </c>
      <c r="K189" s="5" t="s">
        <v>114</v>
      </c>
      <c r="L189" s="5" t="s">
        <v>68</v>
      </c>
      <c r="M189" s="5" t="s">
        <v>218</v>
      </c>
      <c r="N189" s="5" t="s">
        <v>39</v>
      </c>
      <c r="O189" s="5" t="s">
        <v>170</v>
      </c>
      <c r="P189" s="5" t="s">
        <v>168</v>
      </c>
      <c r="Q189" s="5" t="s">
        <v>97</v>
      </c>
      <c r="R189" s="5" t="s">
        <v>170</v>
      </c>
      <c r="S189" s="25">
        <v>46044.702673611115</v>
      </c>
      <c r="T189" s="26">
        <v>46045.455474537041</v>
      </c>
    </row>
    <row r="190" spans="1:20" x14ac:dyDescent="0.3">
      <c r="A190" s="2" t="s">
        <v>581</v>
      </c>
      <c r="B190" s="3">
        <v>5</v>
      </c>
      <c r="C190" s="3">
        <v>3</v>
      </c>
      <c r="D190" s="3" t="s">
        <v>165</v>
      </c>
      <c r="E190" s="3" t="s">
        <v>582</v>
      </c>
      <c r="F190" s="3" t="s">
        <v>825</v>
      </c>
      <c r="G190" s="3" t="s">
        <v>583</v>
      </c>
      <c r="H190" s="3" t="s">
        <v>22</v>
      </c>
      <c r="I190" s="3" t="s">
        <v>168</v>
      </c>
      <c r="J190" s="3" t="s">
        <v>577</v>
      </c>
      <c r="K190" s="3" t="s">
        <v>114</v>
      </c>
      <c r="L190" s="3" t="s">
        <v>68</v>
      </c>
      <c r="M190" s="3" t="s">
        <v>218</v>
      </c>
      <c r="N190" s="3" t="s">
        <v>39</v>
      </c>
      <c r="O190" s="3" t="s">
        <v>170</v>
      </c>
      <c r="P190" s="3" t="s">
        <v>168</v>
      </c>
      <c r="Q190" s="3" t="s">
        <v>97</v>
      </c>
      <c r="R190" s="3" t="s">
        <v>170</v>
      </c>
      <c r="S190" s="23">
        <v>46045.425555555557</v>
      </c>
      <c r="T190" s="24">
        <v>46045.425555555557</v>
      </c>
    </row>
    <row r="191" spans="1:20" x14ac:dyDescent="0.3">
      <c r="A191" s="4" t="s">
        <v>584</v>
      </c>
      <c r="B191" s="5">
        <v>5</v>
      </c>
      <c r="C191" s="5">
        <v>3</v>
      </c>
      <c r="D191" s="5" t="s">
        <v>165</v>
      </c>
      <c r="E191" s="5" t="s">
        <v>585</v>
      </c>
      <c r="F191" s="5" t="s">
        <v>821</v>
      </c>
      <c r="G191" s="5" t="s">
        <v>586</v>
      </c>
      <c r="H191" s="5" t="s">
        <v>22</v>
      </c>
      <c r="I191" s="5" t="s">
        <v>168</v>
      </c>
      <c r="J191" s="5" t="s">
        <v>194</v>
      </c>
      <c r="K191" s="5" t="s">
        <v>114</v>
      </c>
      <c r="L191" s="5" t="s">
        <v>68</v>
      </c>
      <c r="M191" s="5" t="s">
        <v>218</v>
      </c>
      <c r="N191" s="5" t="s">
        <v>56</v>
      </c>
      <c r="O191" s="5" t="s">
        <v>170</v>
      </c>
      <c r="P191" s="5" t="s">
        <v>168</v>
      </c>
      <c r="Q191" s="5" t="s">
        <v>97</v>
      </c>
      <c r="R191" s="5" t="s">
        <v>170</v>
      </c>
      <c r="S191" s="25">
        <v>46045.598287037035</v>
      </c>
      <c r="T191" s="26">
        <v>46045.598287037035</v>
      </c>
    </row>
    <row r="192" spans="1:20" x14ac:dyDescent="0.3">
      <c r="A192" s="2" t="s">
        <v>587</v>
      </c>
      <c r="B192" s="3">
        <v>5</v>
      </c>
      <c r="C192" s="3">
        <v>3</v>
      </c>
      <c r="D192" s="3" t="s">
        <v>165</v>
      </c>
      <c r="E192" s="3" t="s">
        <v>588</v>
      </c>
      <c r="F192" s="3" t="s">
        <v>825</v>
      </c>
      <c r="G192" s="3" t="s">
        <v>589</v>
      </c>
      <c r="H192" s="3" t="s">
        <v>22</v>
      </c>
      <c r="I192" s="3" t="s">
        <v>168</v>
      </c>
      <c r="J192" s="3" t="s">
        <v>577</v>
      </c>
      <c r="K192" s="3" t="s">
        <v>114</v>
      </c>
      <c r="L192" s="3" t="s">
        <v>68</v>
      </c>
      <c r="M192" s="3" t="s">
        <v>218</v>
      </c>
      <c r="N192" s="3" t="s">
        <v>39</v>
      </c>
      <c r="O192" s="3" t="s">
        <v>170</v>
      </c>
      <c r="P192" s="3" t="s">
        <v>168</v>
      </c>
      <c r="Q192" s="3" t="s">
        <v>97</v>
      </c>
      <c r="R192" s="3" t="s">
        <v>170</v>
      </c>
      <c r="S192" s="23">
        <v>46045.595543981479</v>
      </c>
      <c r="T192" s="24">
        <v>46045.595543981479</v>
      </c>
    </row>
    <row r="193" spans="1:20" x14ac:dyDescent="0.3">
      <c r="A193" s="4" t="s">
        <v>590</v>
      </c>
      <c r="B193" s="5">
        <v>5</v>
      </c>
      <c r="C193" s="5">
        <v>3</v>
      </c>
      <c r="D193" s="5" t="s">
        <v>165</v>
      </c>
      <c r="E193" s="5" t="s">
        <v>591</v>
      </c>
      <c r="F193" s="5"/>
      <c r="G193" s="5" t="s">
        <v>180</v>
      </c>
      <c r="H193" s="5" t="s">
        <v>22</v>
      </c>
      <c r="I193" s="5" t="s">
        <v>168</v>
      </c>
      <c r="J193" s="5" t="s">
        <v>176</v>
      </c>
      <c r="K193" s="5" t="s">
        <v>114</v>
      </c>
      <c r="L193" s="5" t="s">
        <v>26</v>
      </c>
      <c r="M193" s="5" t="s">
        <v>218</v>
      </c>
      <c r="N193" s="5" t="s">
        <v>177</v>
      </c>
      <c r="O193" s="5" t="s">
        <v>57</v>
      </c>
      <c r="P193" s="5" t="s">
        <v>30</v>
      </c>
      <c r="Q193" s="5" t="s">
        <v>31</v>
      </c>
      <c r="R193" s="5" t="s">
        <v>57</v>
      </c>
      <c r="S193" s="25">
        <v>46042.455717592595</v>
      </c>
      <c r="T193" s="26">
        <v>46042.631157407406</v>
      </c>
    </row>
    <row r="194" spans="1:20" x14ac:dyDescent="0.3">
      <c r="A194" s="2" t="s">
        <v>592</v>
      </c>
      <c r="B194" s="3">
        <v>5</v>
      </c>
      <c r="C194" s="3">
        <v>3</v>
      </c>
      <c r="D194" s="3" t="s">
        <v>165</v>
      </c>
      <c r="E194" s="3" t="s">
        <v>593</v>
      </c>
      <c r="F194" s="3"/>
      <c r="G194" s="3" t="s">
        <v>180</v>
      </c>
      <c r="H194" s="3" t="s">
        <v>22</v>
      </c>
      <c r="I194" s="3" t="s">
        <v>168</v>
      </c>
      <c r="J194" s="3" t="s">
        <v>169</v>
      </c>
      <c r="K194" s="3" t="s">
        <v>114</v>
      </c>
      <c r="L194" s="3" t="s">
        <v>26</v>
      </c>
      <c r="M194" s="3" t="s">
        <v>218</v>
      </c>
      <c r="N194" s="3" t="s">
        <v>177</v>
      </c>
      <c r="O194" s="3" t="s">
        <v>57</v>
      </c>
      <c r="P194" s="3" t="s">
        <v>30</v>
      </c>
      <c r="Q194" s="3" t="s">
        <v>31</v>
      </c>
      <c r="R194" s="3" t="s">
        <v>57</v>
      </c>
      <c r="S194" s="23">
        <v>46042.44940972222</v>
      </c>
      <c r="T194" s="24">
        <v>46042.632187499999</v>
      </c>
    </row>
    <row r="195" spans="1:20" x14ac:dyDescent="0.3">
      <c r="A195" s="4" t="s">
        <v>173</v>
      </c>
      <c r="B195" s="5">
        <v>5</v>
      </c>
      <c r="C195" s="5">
        <v>3</v>
      </c>
      <c r="D195" s="5" t="s">
        <v>165</v>
      </c>
      <c r="E195" s="5" t="s">
        <v>594</v>
      </c>
      <c r="F195" s="5"/>
      <c r="G195" s="5" t="s">
        <v>595</v>
      </c>
      <c r="H195" s="5" t="s">
        <v>22</v>
      </c>
      <c r="I195" s="5" t="s">
        <v>168</v>
      </c>
      <c r="J195" s="5" t="s">
        <v>176</v>
      </c>
      <c r="K195" s="5" t="s">
        <v>114</v>
      </c>
      <c r="L195" s="5" t="s">
        <v>26</v>
      </c>
      <c r="M195" s="5" t="s">
        <v>218</v>
      </c>
      <c r="N195" s="5" t="s">
        <v>177</v>
      </c>
      <c r="O195" s="5" t="s">
        <v>57</v>
      </c>
      <c r="P195" s="5" t="s">
        <v>30</v>
      </c>
      <c r="Q195" s="5" t="s">
        <v>31</v>
      </c>
      <c r="R195" s="5" t="s">
        <v>57</v>
      </c>
      <c r="S195" s="25">
        <v>46042.630601851852</v>
      </c>
      <c r="T195" s="26">
        <v>46043.654629629629</v>
      </c>
    </row>
    <row r="196" spans="1:20" x14ac:dyDescent="0.3">
      <c r="A196" s="2" t="s">
        <v>596</v>
      </c>
      <c r="B196" s="3">
        <v>5</v>
      </c>
      <c r="C196" s="3">
        <v>3</v>
      </c>
      <c r="D196" s="3" t="s">
        <v>165</v>
      </c>
      <c r="E196" s="3" t="s">
        <v>597</v>
      </c>
      <c r="F196" s="3"/>
      <c r="G196" s="3" t="s">
        <v>180</v>
      </c>
      <c r="H196" s="3" t="s">
        <v>22</v>
      </c>
      <c r="I196" s="3" t="s">
        <v>168</v>
      </c>
      <c r="J196" s="3" t="s">
        <v>169</v>
      </c>
      <c r="K196" s="3" t="s">
        <v>114</v>
      </c>
      <c r="L196" s="3" t="s">
        <v>26</v>
      </c>
      <c r="M196" s="3" t="s">
        <v>218</v>
      </c>
      <c r="N196" s="3" t="s">
        <v>177</v>
      </c>
      <c r="O196" s="3" t="s">
        <v>57</v>
      </c>
      <c r="P196" s="3" t="s">
        <v>30</v>
      </c>
      <c r="Q196" s="3" t="s">
        <v>31</v>
      </c>
      <c r="R196" s="3" t="s">
        <v>57</v>
      </c>
      <c r="S196" s="23">
        <v>46042.453611111108</v>
      </c>
      <c r="T196" s="24">
        <v>46042.631620370368</v>
      </c>
    </row>
    <row r="197" spans="1:20" x14ac:dyDescent="0.3">
      <c r="A197" s="4" t="s">
        <v>181</v>
      </c>
      <c r="B197" s="5">
        <v>5</v>
      </c>
      <c r="C197" s="5">
        <v>3</v>
      </c>
      <c r="D197" s="5" t="s">
        <v>165</v>
      </c>
      <c r="E197" s="5" t="s">
        <v>598</v>
      </c>
      <c r="F197" s="5"/>
      <c r="G197" s="5" t="s">
        <v>599</v>
      </c>
      <c r="H197" s="5" t="s">
        <v>22</v>
      </c>
      <c r="I197" s="5" t="s">
        <v>168</v>
      </c>
      <c r="J197" s="5" t="s">
        <v>176</v>
      </c>
      <c r="K197" s="5" t="s">
        <v>114</v>
      </c>
      <c r="L197" s="5" t="s">
        <v>26</v>
      </c>
      <c r="M197" s="5" t="s">
        <v>218</v>
      </c>
      <c r="N197" s="5" t="s">
        <v>39</v>
      </c>
      <c r="O197" s="5" t="s">
        <v>57</v>
      </c>
      <c r="P197" s="5" t="s">
        <v>30</v>
      </c>
      <c r="Q197" s="5" t="s">
        <v>97</v>
      </c>
      <c r="R197" s="5" t="s">
        <v>57</v>
      </c>
      <c r="S197" s="25">
        <v>46042.613657407404</v>
      </c>
      <c r="T197" s="26">
        <v>46049.751354166663</v>
      </c>
    </row>
    <row r="198" spans="1:20" x14ac:dyDescent="0.3">
      <c r="A198" s="2" t="s">
        <v>600</v>
      </c>
      <c r="B198" s="3">
        <v>5</v>
      </c>
      <c r="C198" s="3">
        <v>3</v>
      </c>
      <c r="D198" s="3" t="s">
        <v>165</v>
      </c>
      <c r="E198" s="3" t="s">
        <v>601</v>
      </c>
      <c r="F198" s="3"/>
      <c r="G198" s="3" t="s">
        <v>180</v>
      </c>
      <c r="H198" s="3" t="s">
        <v>22</v>
      </c>
      <c r="I198" s="3" t="s">
        <v>168</v>
      </c>
      <c r="J198" s="3" t="s">
        <v>169</v>
      </c>
      <c r="K198" s="3" t="s">
        <v>114</v>
      </c>
      <c r="L198" s="3" t="s">
        <v>26</v>
      </c>
      <c r="M198" s="3" t="s">
        <v>218</v>
      </c>
      <c r="N198" s="3" t="s">
        <v>177</v>
      </c>
      <c r="O198" s="3" t="s">
        <v>57</v>
      </c>
      <c r="P198" s="3" t="s">
        <v>30</v>
      </c>
      <c r="Q198" s="3" t="s">
        <v>31</v>
      </c>
      <c r="R198" s="3" t="s">
        <v>57</v>
      </c>
      <c r="S198" s="23">
        <v>46042.448657407411</v>
      </c>
      <c r="T198" s="24">
        <v>46048.730046296296</v>
      </c>
    </row>
    <row r="199" spans="1:20" x14ac:dyDescent="0.3">
      <c r="A199" s="4" t="s">
        <v>602</v>
      </c>
      <c r="B199" s="5">
        <v>5</v>
      </c>
      <c r="C199" s="5">
        <v>3</v>
      </c>
      <c r="D199" s="5" t="s">
        <v>165</v>
      </c>
      <c r="E199" s="5" t="s">
        <v>603</v>
      </c>
      <c r="F199" s="5"/>
      <c r="G199" s="5" t="s">
        <v>604</v>
      </c>
      <c r="H199" s="5" t="s">
        <v>22</v>
      </c>
      <c r="I199" s="5" t="s">
        <v>168</v>
      </c>
      <c r="J199" s="5" t="s">
        <v>169</v>
      </c>
      <c r="K199" s="5" t="s">
        <v>114</v>
      </c>
      <c r="L199" s="5" t="s">
        <v>26</v>
      </c>
      <c r="M199" s="5" t="s">
        <v>218</v>
      </c>
      <c r="N199" s="5" t="s">
        <v>177</v>
      </c>
      <c r="O199" s="5" t="s">
        <v>57</v>
      </c>
      <c r="P199" s="5" t="s">
        <v>30</v>
      </c>
      <c r="Q199" s="5" t="s">
        <v>31</v>
      </c>
      <c r="R199" s="5" t="s">
        <v>57</v>
      </c>
      <c r="S199" s="25">
        <v>46042.445034722223</v>
      </c>
      <c r="T199" s="26">
        <v>46042.63140046296</v>
      </c>
    </row>
    <row r="200" spans="1:20" x14ac:dyDescent="0.3">
      <c r="A200" s="2" t="s">
        <v>187</v>
      </c>
      <c r="B200" s="3">
        <v>5</v>
      </c>
      <c r="C200" s="3">
        <v>3</v>
      </c>
      <c r="D200" s="3" t="s">
        <v>165</v>
      </c>
      <c r="E200" s="3" t="s">
        <v>605</v>
      </c>
      <c r="F200" s="3" t="s">
        <v>827</v>
      </c>
      <c r="G200" s="3" t="s">
        <v>606</v>
      </c>
      <c r="H200" s="3" t="s">
        <v>22</v>
      </c>
      <c r="I200" s="3" t="s">
        <v>168</v>
      </c>
      <c r="J200" s="3" t="s">
        <v>176</v>
      </c>
      <c r="K200" s="3" t="s">
        <v>114</v>
      </c>
      <c r="L200" s="3" t="s">
        <v>26</v>
      </c>
      <c r="M200" s="3" t="s">
        <v>218</v>
      </c>
      <c r="N200" s="3" t="s">
        <v>39</v>
      </c>
      <c r="O200" s="3" t="s">
        <v>108</v>
      </c>
      <c r="P200" s="3" t="s">
        <v>176</v>
      </c>
      <c r="Q200" s="3" t="s">
        <v>97</v>
      </c>
      <c r="R200" s="3" t="s">
        <v>108</v>
      </c>
      <c r="S200" s="23">
        <v>46045.627326388887</v>
      </c>
      <c r="T200" s="24">
        <v>46048.45008101852</v>
      </c>
    </row>
    <row r="201" spans="1:20" x14ac:dyDescent="0.3">
      <c r="A201" s="4" t="s">
        <v>607</v>
      </c>
      <c r="B201" s="5">
        <v>5</v>
      </c>
      <c r="C201" s="5">
        <v>3</v>
      </c>
      <c r="D201" s="5" t="s">
        <v>165</v>
      </c>
      <c r="E201" s="5" t="s">
        <v>608</v>
      </c>
      <c r="F201" s="5" t="s">
        <v>834</v>
      </c>
      <c r="G201" s="5" t="s">
        <v>609</v>
      </c>
      <c r="H201" s="5" t="s">
        <v>22</v>
      </c>
      <c r="I201" s="5" t="s">
        <v>168</v>
      </c>
      <c r="J201" s="5" t="s">
        <v>577</v>
      </c>
      <c r="K201" s="5" t="s">
        <v>114</v>
      </c>
      <c r="L201" s="5" t="s">
        <v>68</v>
      </c>
      <c r="M201" s="5" t="s">
        <v>218</v>
      </c>
      <c r="N201" s="5" t="s">
        <v>102</v>
      </c>
      <c r="O201" s="5" t="s">
        <v>108</v>
      </c>
      <c r="P201" s="5" t="s">
        <v>577</v>
      </c>
      <c r="Q201" s="5" t="s">
        <v>97</v>
      </c>
      <c r="R201" s="5" t="s">
        <v>108</v>
      </c>
      <c r="S201" s="25">
        <v>46043.638935185183</v>
      </c>
      <c r="T201" s="26">
        <v>46043.794560185182</v>
      </c>
    </row>
    <row r="202" spans="1:20" ht="214.5" x14ac:dyDescent="0.3">
      <c r="A202" s="2" t="s">
        <v>610</v>
      </c>
      <c r="B202" s="3">
        <v>5</v>
      </c>
      <c r="C202" s="3">
        <v>3</v>
      </c>
      <c r="D202" s="3" t="s">
        <v>165</v>
      </c>
      <c r="E202" s="3" t="s">
        <v>611</v>
      </c>
      <c r="F202" s="3" t="s">
        <v>825</v>
      </c>
      <c r="G202" s="22" t="s">
        <v>835</v>
      </c>
      <c r="H202" s="3" t="s">
        <v>22</v>
      </c>
      <c r="I202" s="3" t="s">
        <v>168</v>
      </c>
      <c r="J202" s="3" t="s">
        <v>577</v>
      </c>
      <c r="K202" s="3" t="s">
        <v>114</v>
      </c>
      <c r="L202" s="3" t="s">
        <v>68</v>
      </c>
      <c r="M202" s="3" t="s">
        <v>218</v>
      </c>
      <c r="N202" s="3" t="s">
        <v>102</v>
      </c>
      <c r="O202" s="3" t="s">
        <v>108</v>
      </c>
      <c r="P202" s="3" t="s">
        <v>577</v>
      </c>
      <c r="Q202" s="3" t="s">
        <v>97</v>
      </c>
      <c r="R202" s="3" t="s">
        <v>108</v>
      </c>
      <c r="S202" s="23">
        <v>46043.605740740742</v>
      </c>
      <c r="T202" s="24">
        <v>46043.793009259258</v>
      </c>
    </row>
    <row r="203" spans="1:20" x14ac:dyDescent="0.3">
      <c r="A203" s="4" t="s">
        <v>181</v>
      </c>
      <c r="B203" s="5">
        <v>5</v>
      </c>
      <c r="C203" s="5">
        <v>3</v>
      </c>
      <c r="D203" s="5" t="s">
        <v>165</v>
      </c>
      <c r="E203" s="5" t="s">
        <v>613</v>
      </c>
      <c r="F203" s="5" t="s">
        <v>817</v>
      </c>
      <c r="G203" s="5" t="s">
        <v>614</v>
      </c>
      <c r="H203" s="5" t="s">
        <v>22</v>
      </c>
      <c r="I203" s="5" t="s">
        <v>168</v>
      </c>
      <c r="J203" s="5" t="s">
        <v>176</v>
      </c>
      <c r="K203" s="5" t="s">
        <v>114</v>
      </c>
      <c r="L203" s="5" t="s">
        <v>26</v>
      </c>
      <c r="M203" s="5" t="s">
        <v>218</v>
      </c>
      <c r="N203" s="5" t="s">
        <v>39</v>
      </c>
      <c r="O203" s="5" t="s">
        <v>29</v>
      </c>
      <c r="P203" s="5" t="s">
        <v>30</v>
      </c>
      <c r="Q203" s="5" t="s">
        <v>97</v>
      </c>
      <c r="R203" s="5" t="s">
        <v>29</v>
      </c>
      <c r="S203" s="25">
        <v>46042.586793981478</v>
      </c>
      <c r="T203" s="26">
        <v>46045.456377314818</v>
      </c>
    </row>
    <row r="204" spans="1:20" x14ac:dyDescent="0.3">
      <c r="A204" s="2" t="s">
        <v>615</v>
      </c>
      <c r="B204" s="3">
        <v>5</v>
      </c>
      <c r="C204" s="3">
        <v>3</v>
      </c>
      <c r="D204" s="3" t="s">
        <v>165</v>
      </c>
      <c r="E204" s="3" t="s">
        <v>791</v>
      </c>
      <c r="F204" s="3" t="s">
        <v>817</v>
      </c>
      <c r="G204" s="3" t="s">
        <v>616</v>
      </c>
      <c r="H204" s="3" t="s">
        <v>22</v>
      </c>
      <c r="I204" s="3" t="s">
        <v>168</v>
      </c>
      <c r="J204" s="3" t="s">
        <v>169</v>
      </c>
      <c r="K204" s="3" t="s">
        <v>114</v>
      </c>
      <c r="L204" s="3" t="s">
        <v>26</v>
      </c>
      <c r="M204" s="3" t="s">
        <v>218</v>
      </c>
      <c r="N204" s="3" t="s">
        <v>39</v>
      </c>
      <c r="O204" s="3" t="s">
        <v>47</v>
      </c>
      <c r="P204" s="3" t="s">
        <v>114</v>
      </c>
      <c r="Q204" s="3" t="s">
        <v>156</v>
      </c>
      <c r="R204" s="3" t="s">
        <v>48</v>
      </c>
      <c r="S204" s="23">
        <v>46041.69803240741</v>
      </c>
      <c r="T204" s="24">
        <v>46044.77920138889</v>
      </c>
    </row>
    <row r="205" spans="1:20" x14ac:dyDescent="0.3">
      <c r="A205" s="4" t="s">
        <v>617</v>
      </c>
      <c r="B205" s="5">
        <v>5</v>
      </c>
      <c r="C205" s="5">
        <v>3</v>
      </c>
      <c r="D205" s="5" t="s">
        <v>165</v>
      </c>
      <c r="E205" s="5" t="s">
        <v>618</v>
      </c>
      <c r="F205" s="5" t="s">
        <v>817</v>
      </c>
      <c r="G205" s="5" t="s">
        <v>619</v>
      </c>
      <c r="H205" s="5" t="s">
        <v>22</v>
      </c>
      <c r="I205" s="5" t="s">
        <v>168</v>
      </c>
      <c r="J205" s="5" t="s">
        <v>577</v>
      </c>
      <c r="K205" s="5" t="s">
        <v>114</v>
      </c>
      <c r="L205" s="5" t="s">
        <v>68</v>
      </c>
      <c r="M205" s="5" t="s">
        <v>218</v>
      </c>
      <c r="N205" s="5" t="s">
        <v>39</v>
      </c>
      <c r="O205" s="5" t="s">
        <v>47</v>
      </c>
      <c r="P205" s="5" t="s">
        <v>194</v>
      </c>
      <c r="Q205" s="5" t="s">
        <v>97</v>
      </c>
      <c r="R205" s="5" t="s">
        <v>47</v>
      </c>
      <c r="S205" s="25">
        <v>46045.448379629626</v>
      </c>
      <c r="T205" s="26">
        <v>46045.590624999997</v>
      </c>
    </row>
    <row r="206" spans="1:20" x14ac:dyDescent="0.3">
      <c r="A206" s="2" t="s">
        <v>620</v>
      </c>
      <c r="B206" s="3">
        <v>5</v>
      </c>
      <c r="C206" s="3">
        <v>3</v>
      </c>
      <c r="D206" s="3" t="s">
        <v>165</v>
      </c>
      <c r="E206" s="3" t="s">
        <v>621</v>
      </c>
      <c r="F206" s="3" t="s">
        <v>817</v>
      </c>
      <c r="G206" s="3" t="s">
        <v>622</v>
      </c>
      <c r="H206" s="3" t="s">
        <v>22</v>
      </c>
      <c r="I206" s="3" t="s">
        <v>168</v>
      </c>
      <c r="J206" s="3" t="s">
        <v>194</v>
      </c>
      <c r="K206" s="3" t="s">
        <v>114</v>
      </c>
      <c r="L206" s="3" t="s">
        <v>26</v>
      </c>
      <c r="M206" s="3" t="s">
        <v>218</v>
      </c>
      <c r="N206" s="3" t="s">
        <v>39</v>
      </c>
      <c r="O206" s="3" t="s">
        <v>47</v>
      </c>
      <c r="P206" s="3" t="s">
        <v>194</v>
      </c>
      <c r="Q206" s="3" t="s">
        <v>97</v>
      </c>
      <c r="R206" s="3" t="s">
        <v>47</v>
      </c>
      <c r="S206" s="23">
        <v>46045.550717592596</v>
      </c>
      <c r="T206" s="24">
        <v>46045.591099537036</v>
      </c>
    </row>
    <row r="207" spans="1:20" x14ac:dyDescent="0.3">
      <c r="A207" s="4" t="s">
        <v>181</v>
      </c>
      <c r="B207" s="5">
        <v>5</v>
      </c>
      <c r="C207" s="5">
        <v>3</v>
      </c>
      <c r="D207" s="5" t="s">
        <v>165</v>
      </c>
      <c r="E207" s="5" t="s">
        <v>623</v>
      </c>
      <c r="F207" s="5" t="s">
        <v>817</v>
      </c>
      <c r="G207" s="5" t="s">
        <v>624</v>
      </c>
      <c r="H207" s="5" t="s">
        <v>22</v>
      </c>
      <c r="I207" s="5" t="s">
        <v>168</v>
      </c>
      <c r="J207" s="5" t="s">
        <v>176</v>
      </c>
      <c r="K207" s="5" t="s">
        <v>114</v>
      </c>
      <c r="L207" s="5" t="s">
        <v>26</v>
      </c>
      <c r="M207" s="5" t="s">
        <v>218</v>
      </c>
      <c r="N207" s="5" t="s">
        <v>39</v>
      </c>
      <c r="O207" s="5" t="s">
        <v>47</v>
      </c>
      <c r="P207" s="5" t="s">
        <v>194</v>
      </c>
      <c r="Q207" s="5" t="s">
        <v>97</v>
      </c>
      <c r="R207" s="5" t="s">
        <v>47</v>
      </c>
      <c r="S207" s="25">
        <v>46042.595011574071</v>
      </c>
      <c r="T207" s="26">
        <v>46044.450219907405</v>
      </c>
    </row>
    <row r="208" spans="1:20" x14ac:dyDescent="0.3">
      <c r="A208" s="2" t="s">
        <v>602</v>
      </c>
      <c r="B208" s="3">
        <v>5</v>
      </c>
      <c r="C208" s="3">
        <v>3</v>
      </c>
      <c r="D208" s="3" t="s">
        <v>165</v>
      </c>
      <c r="E208" s="3" t="s">
        <v>625</v>
      </c>
      <c r="F208" s="3" t="s">
        <v>834</v>
      </c>
      <c r="G208" s="3" t="s">
        <v>626</v>
      </c>
      <c r="H208" s="3" t="s">
        <v>22</v>
      </c>
      <c r="I208" s="3" t="s">
        <v>168</v>
      </c>
      <c r="J208" s="3" t="s">
        <v>169</v>
      </c>
      <c r="K208" s="3" t="s">
        <v>114</v>
      </c>
      <c r="L208" s="3" t="s">
        <v>26</v>
      </c>
      <c r="M208" s="3" t="s">
        <v>218</v>
      </c>
      <c r="N208" s="3" t="s">
        <v>39</v>
      </c>
      <c r="O208" s="3" t="s">
        <v>47</v>
      </c>
      <c r="P208" s="3" t="s">
        <v>168</v>
      </c>
      <c r="Q208" s="3" t="s">
        <v>97</v>
      </c>
      <c r="R208" s="3" t="s">
        <v>47</v>
      </c>
      <c r="S208" s="23">
        <v>46045.55840277778</v>
      </c>
      <c r="T208" s="24">
        <v>46049.364305555559</v>
      </c>
    </row>
    <row r="209" spans="1:20" x14ac:dyDescent="0.3">
      <c r="A209" s="4" t="s">
        <v>627</v>
      </c>
      <c r="B209" s="5">
        <v>5</v>
      </c>
      <c r="C209" s="5">
        <v>3</v>
      </c>
      <c r="D209" s="5" t="s">
        <v>198</v>
      </c>
      <c r="E209" s="5" t="s">
        <v>628</v>
      </c>
      <c r="F209" s="5" t="s">
        <v>817</v>
      </c>
      <c r="G209" s="5" t="s">
        <v>629</v>
      </c>
      <c r="H209" s="5" t="s">
        <v>22</v>
      </c>
      <c r="I209" s="5" t="s">
        <v>201</v>
      </c>
      <c r="J209" s="5" t="s">
        <v>201</v>
      </c>
      <c r="K209" s="5" t="s">
        <v>87</v>
      </c>
      <c r="L209" s="5" t="s">
        <v>26</v>
      </c>
      <c r="M209" s="5" t="s">
        <v>218</v>
      </c>
      <c r="N209" s="5" t="s">
        <v>39</v>
      </c>
      <c r="O209" s="5" t="s">
        <v>170</v>
      </c>
      <c r="P209" s="5" t="s">
        <v>201</v>
      </c>
      <c r="Q209" s="5" t="s">
        <v>31</v>
      </c>
      <c r="R209" s="5" t="s">
        <v>170</v>
      </c>
      <c r="S209" s="25">
        <v>46045.51390046296</v>
      </c>
      <c r="T209" s="26">
        <v>46045.51390046296</v>
      </c>
    </row>
    <row r="210" spans="1:20" x14ac:dyDescent="0.3">
      <c r="A210" s="2" t="s">
        <v>630</v>
      </c>
      <c r="B210" s="3">
        <v>5</v>
      </c>
      <c r="C210" s="3">
        <v>3</v>
      </c>
      <c r="D210" s="3" t="s">
        <v>198</v>
      </c>
      <c r="E210" s="3" t="s">
        <v>631</v>
      </c>
      <c r="F210" s="3" t="s">
        <v>821</v>
      </c>
      <c r="G210" s="3" t="s">
        <v>632</v>
      </c>
      <c r="H210" s="3" t="s">
        <v>22</v>
      </c>
      <c r="I210" s="3" t="s">
        <v>201</v>
      </c>
      <c r="J210" s="3" t="s">
        <v>201</v>
      </c>
      <c r="K210" s="3" t="s">
        <v>121</v>
      </c>
      <c r="L210" s="3" t="s">
        <v>26</v>
      </c>
      <c r="M210" s="3" t="s">
        <v>218</v>
      </c>
      <c r="N210" s="3" t="s">
        <v>56</v>
      </c>
      <c r="O210" s="3" t="s">
        <v>170</v>
      </c>
      <c r="P210" s="3" t="s">
        <v>201</v>
      </c>
      <c r="Q210" s="3" t="s">
        <v>97</v>
      </c>
      <c r="R210" s="3" t="s">
        <v>170</v>
      </c>
      <c r="S210" s="23">
        <v>46044.707835648151</v>
      </c>
      <c r="T210" s="24">
        <v>46044.707835648151</v>
      </c>
    </row>
    <row r="211" spans="1:20" x14ac:dyDescent="0.3">
      <c r="A211" s="4" t="s">
        <v>633</v>
      </c>
      <c r="B211" s="5">
        <v>5</v>
      </c>
      <c r="C211" s="5">
        <v>3</v>
      </c>
      <c r="D211" s="5" t="s">
        <v>198</v>
      </c>
      <c r="E211" s="5" t="s">
        <v>634</v>
      </c>
      <c r="F211" s="5" t="s">
        <v>817</v>
      </c>
      <c r="G211" s="5" t="s">
        <v>635</v>
      </c>
      <c r="H211" s="5" t="s">
        <v>22</v>
      </c>
      <c r="I211" s="5" t="s">
        <v>201</v>
      </c>
      <c r="J211" s="5" t="s">
        <v>169</v>
      </c>
      <c r="K211" s="5" t="s">
        <v>121</v>
      </c>
      <c r="L211" s="5" t="s">
        <v>26</v>
      </c>
      <c r="M211" s="5" t="s">
        <v>218</v>
      </c>
      <c r="N211" s="5" t="s">
        <v>39</v>
      </c>
      <c r="O211" s="5" t="s">
        <v>57</v>
      </c>
      <c r="P211" s="5" t="s">
        <v>30</v>
      </c>
      <c r="Q211" s="5" t="s">
        <v>97</v>
      </c>
      <c r="R211" s="5" t="s">
        <v>57</v>
      </c>
      <c r="S211" s="25">
        <v>46043.658958333333</v>
      </c>
      <c r="T211" s="26">
        <v>46044.452141203707</v>
      </c>
    </row>
    <row r="212" spans="1:20" x14ac:dyDescent="0.3">
      <c r="A212" s="2" t="s">
        <v>636</v>
      </c>
      <c r="B212" s="3">
        <v>5</v>
      </c>
      <c r="C212" s="3">
        <v>3</v>
      </c>
      <c r="D212" s="3" t="s">
        <v>198</v>
      </c>
      <c r="E212" s="3" t="s">
        <v>637</v>
      </c>
      <c r="F212" s="3" t="s">
        <v>817</v>
      </c>
      <c r="G212" s="3" t="s">
        <v>638</v>
      </c>
      <c r="H212" s="3" t="s">
        <v>22</v>
      </c>
      <c r="I212" s="3" t="s">
        <v>201</v>
      </c>
      <c r="J212" s="3" t="s">
        <v>169</v>
      </c>
      <c r="K212" s="3" t="s">
        <v>121</v>
      </c>
      <c r="L212" s="3" t="s">
        <v>26</v>
      </c>
      <c r="M212" s="3" t="s">
        <v>218</v>
      </c>
      <c r="N212" s="3" t="s">
        <v>39</v>
      </c>
      <c r="O212" s="3" t="s">
        <v>57</v>
      </c>
      <c r="P212" s="3" t="s">
        <v>30</v>
      </c>
      <c r="Q212" s="3" t="s">
        <v>97</v>
      </c>
      <c r="R212" s="3" t="s">
        <v>57</v>
      </c>
      <c r="S212" s="23">
        <v>46043.678912037038</v>
      </c>
      <c r="T212" s="24">
        <v>46044.451412037037</v>
      </c>
    </row>
    <row r="213" spans="1:20" x14ac:dyDescent="0.3">
      <c r="A213" s="4" t="s">
        <v>197</v>
      </c>
      <c r="B213" s="5">
        <v>5</v>
      </c>
      <c r="C213" s="5">
        <v>3</v>
      </c>
      <c r="D213" s="5" t="s">
        <v>198</v>
      </c>
      <c r="E213" s="5" t="s">
        <v>639</v>
      </c>
      <c r="F213" s="5" t="s">
        <v>827</v>
      </c>
      <c r="G213" s="5" t="s">
        <v>793</v>
      </c>
      <c r="H213" s="5" t="s">
        <v>22</v>
      </c>
      <c r="I213" s="5" t="s">
        <v>201</v>
      </c>
      <c r="J213" s="5" t="s">
        <v>169</v>
      </c>
      <c r="K213" s="5" t="s">
        <v>121</v>
      </c>
      <c r="L213" s="5" t="s">
        <v>26</v>
      </c>
      <c r="M213" s="5" t="s">
        <v>218</v>
      </c>
      <c r="N213" s="5" t="s">
        <v>88</v>
      </c>
      <c r="O213" s="5" t="s">
        <v>29</v>
      </c>
      <c r="P213" s="5" t="s">
        <v>30</v>
      </c>
      <c r="Q213" s="5" t="s">
        <v>156</v>
      </c>
      <c r="R213" s="5" t="s">
        <v>29</v>
      </c>
      <c r="S213" s="25">
        <v>46043.662349537037</v>
      </c>
      <c r="T213" s="26">
        <v>46044.640127314815</v>
      </c>
    </row>
    <row r="214" spans="1:20" x14ac:dyDescent="0.3">
      <c r="A214" s="2" t="s">
        <v>202</v>
      </c>
      <c r="B214" s="3">
        <v>5</v>
      </c>
      <c r="C214" s="3">
        <v>3</v>
      </c>
      <c r="D214" s="3" t="s">
        <v>203</v>
      </c>
      <c r="E214" s="3" t="s">
        <v>640</v>
      </c>
      <c r="F214" s="3" t="s">
        <v>827</v>
      </c>
      <c r="G214" s="3" t="s">
        <v>792</v>
      </c>
      <c r="H214" s="3" t="s">
        <v>22</v>
      </c>
      <c r="I214" s="3" t="s">
        <v>206</v>
      </c>
      <c r="J214" s="3" t="s">
        <v>206</v>
      </c>
      <c r="K214" s="3" t="s">
        <v>121</v>
      </c>
      <c r="L214" s="3" t="s">
        <v>26</v>
      </c>
      <c r="M214" s="3" t="s">
        <v>218</v>
      </c>
      <c r="N214" s="3" t="s">
        <v>88</v>
      </c>
      <c r="O214" s="3" t="s">
        <v>47</v>
      </c>
      <c r="P214" s="3" t="s">
        <v>121</v>
      </c>
      <c r="Q214" s="3" t="s">
        <v>156</v>
      </c>
      <c r="R214" s="3" t="s">
        <v>48</v>
      </c>
      <c r="S214" s="23">
        <v>46044.71665509259</v>
      </c>
      <c r="T214" s="24">
        <v>46045.581423611111</v>
      </c>
    </row>
    <row r="215" spans="1:20" x14ac:dyDescent="0.3">
      <c r="A215" s="4" t="s">
        <v>641</v>
      </c>
      <c r="B215" s="5">
        <v>5</v>
      </c>
      <c r="C215" s="5">
        <v>3</v>
      </c>
      <c r="D215" s="5" t="s">
        <v>203</v>
      </c>
      <c r="E215" s="5" t="s">
        <v>642</v>
      </c>
      <c r="F215" s="5" t="s">
        <v>817</v>
      </c>
      <c r="G215" s="5" t="s">
        <v>805</v>
      </c>
      <c r="H215" s="5" t="s">
        <v>22</v>
      </c>
      <c r="I215" s="5" t="s">
        <v>206</v>
      </c>
      <c r="J215" s="5" t="s">
        <v>206</v>
      </c>
      <c r="K215" s="5" t="s">
        <v>643</v>
      </c>
      <c r="L215" s="5" t="s">
        <v>26</v>
      </c>
      <c r="M215" s="5" t="s">
        <v>218</v>
      </c>
      <c r="N215" s="5" t="s">
        <v>39</v>
      </c>
      <c r="O215" s="5" t="s">
        <v>47</v>
      </c>
      <c r="P215" s="5" t="s">
        <v>643</v>
      </c>
      <c r="Q215" s="5" t="s">
        <v>31</v>
      </c>
      <c r="R215" s="5" t="s">
        <v>48</v>
      </c>
      <c r="S215" s="25">
        <v>46045.457314814812</v>
      </c>
      <c r="T215" s="26">
        <v>46049.421805555554</v>
      </c>
    </row>
    <row r="216" spans="1:20" x14ac:dyDescent="0.3">
      <c r="A216" s="2" t="s">
        <v>644</v>
      </c>
      <c r="B216" s="3">
        <v>5</v>
      </c>
      <c r="C216" s="3">
        <v>3</v>
      </c>
      <c r="D216" s="3" t="s">
        <v>203</v>
      </c>
      <c r="E216" s="3" t="s">
        <v>645</v>
      </c>
      <c r="F216" s="3" t="s">
        <v>817</v>
      </c>
      <c r="G216" s="3" t="s">
        <v>646</v>
      </c>
      <c r="H216" s="3" t="s">
        <v>22</v>
      </c>
      <c r="I216" s="3" t="s">
        <v>206</v>
      </c>
      <c r="J216" s="3" t="s">
        <v>206</v>
      </c>
      <c r="K216" s="3" t="s">
        <v>643</v>
      </c>
      <c r="L216" s="3" t="s">
        <v>26</v>
      </c>
      <c r="M216" s="3" t="s">
        <v>218</v>
      </c>
      <c r="N216" s="3" t="s">
        <v>39</v>
      </c>
      <c r="O216" s="3" t="s">
        <v>47</v>
      </c>
      <c r="P216" s="3" t="s">
        <v>643</v>
      </c>
      <c r="Q216" s="3" t="s">
        <v>31</v>
      </c>
      <c r="R216" s="3" t="s">
        <v>48</v>
      </c>
      <c r="S216" s="23">
        <v>46045.450104166666</v>
      </c>
      <c r="T216" s="24">
        <v>46045.59443287037</v>
      </c>
    </row>
    <row r="217" spans="1:20" x14ac:dyDescent="0.3">
      <c r="A217" s="4" t="s">
        <v>647</v>
      </c>
      <c r="B217" s="5">
        <v>5</v>
      </c>
      <c r="C217" s="5">
        <v>3</v>
      </c>
      <c r="D217" s="5" t="s">
        <v>648</v>
      </c>
      <c r="E217" s="5" t="s">
        <v>649</v>
      </c>
      <c r="F217" s="5" t="s">
        <v>821</v>
      </c>
      <c r="G217" s="5" t="s">
        <v>650</v>
      </c>
      <c r="H217" s="5" t="s">
        <v>22</v>
      </c>
      <c r="I217" s="5" t="s">
        <v>651</v>
      </c>
      <c r="J217" s="5" t="s">
        <v>652</v>
      </c>
      <c r="K217" s="5" t="s">
        <v>213</v>
      </c>
      <c r="L217" s="5" t="s">
        <v>26</v>
      </c>
      <c r="M217" s="5" t="s">
        <v>218</v>
      </c>
      <c r="N217" s="5" t="s">
        <v>56</v>
      </c>
      <c r="O217" s="5" t="s">
        <v>170</v>
      </c>
      <c r="P217" s="5" t="s">
        <v>651</v>
      </c>
      <c r="Q217" s="5" t="s">
        <v>31</v>
      </c>
      <c r="R217" s="5" t="s">
        <v>170</v>
      </c>
      <c r="S217" s="25">
        <v>46043.716909722221</v>
      </c>
      <c r="T217" s="26">
        <v>46043.716909722221</v>
      </c>
    </row>
    <row r="218" spans="1:20" x14ac:dyDescent="0.3">
      <c r="A218" s="2" t="s">
        <v>653</v>
      </c>
      <c r="B218" s="3">
        <v>5</v>
      </c>
      <c r="C218" s="3">
        <v>3</v>
      </c>
      <c r="D218" s="3" t="s">
        <v>648</v>
      </c>
      <c r="E218" s="3" t="s">
        <v>654</v>
      </c>
      <c r="F218" s="3" t="s">
        <v>825</v>
      </c>
      <c r="G218" s="3" t="s">
        <v>655</v>
      </c>
      <c r="H218" s="3" t="s">
        <v>22</v>
      </c>
      <c r="I218" s="3" t="s">
        <v>651</v>
      </c>
      <c r="J218" s="3" t="s">
        <v>656</v>
      </c>
      <c r="K218" s="3" t="s">
        <v>213</v>
      </c>
      <c r="L218" s="3" t="s">
        <v>68</v>
      </c>
      <c r="M218" s="3" t="s">
        <v>218</v>
      </c>
      <c r="N218" s="3" t="s">
        <v>102</v>
      </c>
      <c r="O218" s="3" t="s">
        <v>57</v>
      </c>
      <c r="P218" s="3" t="s">
        <v>30</v>
      </c>
      <c r="Q218" s="3" t="s">
        <v>31</v>
      </c>
      <c r="R218" s="3" t="s">
        <v>57</v>
      </c>
      <c r="S218" s="23">
        <v>46042.602453703701</v>
      </c>
      <c r="T218" s="24">
        <v>46043.561157407406</v>
      </c>
    </row>
    <row r="219" spans="1:20" x14ac:dyDescent="0.3">
      <c r="A219" s="4" t="s">
        <v>657</v>
      </c>
      <c r="B219" s="5">
        <v>5</v>
      </c>
      <c r="C219" s="5">
        <v>3</v>
      </c>
      <c r="D219" s="5" t="s">
        <v>648</v>
      </c>
      <c r="E219" s="5" t="s">
        <v>658</v>
      </c>
      <c r="F219" s="5" t="s">
        <v>825</v>
      </c>
      <c r="G219" s="5" t="s">
        <v>659</v>
      </c>
      <c r="H219" s="5" t="s">
        <v>22</v>
      </c>
      <c r="I219" s="5" t="s">
        <v>651</v>
      </c>
      <c r="J219" s="5" t="s">
        <v>656</v>
      </c>
      <c r="K219" s="5" t="s">
        <v>213</v>
      </c>
      <c r="L219" s="5" t="s">
        <v>68</v>
      </c>
      <c r="M219" s="5" t="s">
        <v>218</v>
      </c>
      <c r="N219" s="5" t="s">
        <v>102</v>
      </c>
      <c r="O219" s="5" t="s">
        <v>57</v>
      </c>
      <c r="P219" s="5" t="s">
        <v>30</v>
      </c>
      <c r="Q219" s="5" t="s">
        <v>31</v>
      </c>
      <c r="R219" s="5" t="s">
        <v>57</v>
      </c>
      <c r="S219" s="25">
        <v>46042.598796296297</v>
      </c>
      <c r="T219" s="26">
        <v>46043.561782407407</v>
      </c>
    </row>
    <row r="220" spans="1:20" x14ac:dyDescent="0.3">
      <c r="A220" s="2" t="s">
        <v>660</v>
      </c>
      <c r="B220" s="3">
        <v>5</v>
      </c>
      <c r="C220" s="3">
        <v>3</v>
      </c>
      <c r="D220" s="3" t="s">
        <v>648</v>
      </c>
      <c r="E220" s="3" t="s">
        <v>661</v>
      </c>
      <c r="F220" s="3" t="s">
        <v>825</v>
      </c>
      <c r="G220" s="3" t="s">
        <v>662</v>
      </c>
      <c r="H220" s="3" t="s">
        <v>22</v>
      </c>
      <c r="I220" s="3" t="s">
        <v>651</v>
      </c>
      <c r="J220" s="3" t="s">
        <v>656</v>
      </c>
      <c r="K220" s="3" t="s">
        <v>213</v>
      </c>
      <c r="L220" s="3" t="s">
        <v>68</v>
      </c>
      <c r="M220" s="3" t="s">
        <v>218</v>
      </c>
      <c r="N220" s="3" t="s">
        <v>102</v>
      </c>
      <c r="O220" s="3" t="s">
        <v>57</v>
      </c>
      <c r="P220" s="3" t="s">
        <v>30</v>
      </c>
      <c r="Q220" s="3" t="s">
        <v>31</v>
      </c>
      <c r="R220" s="3" t="s">
        <v>57</v>
      </c>
      <c r="S220" s="23">
        <v>46042.600243055553</v>
      </c>
      <c r="T220" s="24">
        <v>46043.560740740744</v>
      </c>
    </row>
    <row r="221" spans="1:20" x14ac:dyDescent="0.3">
      <c r="A221" s="4" t="s">
        <v>663</v>
      </c>
      <c r="B221" s="5">
        <v>5</v>
      </c>
      <c r="C221" s="5">
        <v>3</v>
      </c>
      <c r="D221" s="5" t="s">
        <v>648</v>
      </c>
      <c r="E221" s="5" t="s">
        <v>664</v>
      </c>
      <c r="F221" s="5" t="s">
        <v>825</v>
      </c>
      <c r="G221" s="5" t="s">
        <v>665</v>
      </c>
      <c r="H221" s="5" t="s">
        <v>22</v>
      </c>
      <c r="I221" s="5" t="s">
        <v>651</v>
      </c>
      <c r="J221" s="5" t="s">
        <v>656</v>
      </c>
      <c r="K221" s="5" t="s">
        <v>213</v>
      </c>
      <c r="L221" s="5" t="s">
        <v>68</v>
      </c>
      <c r="M221" s="5" t="s">
        <v>218</v>
      </c>
      <c r="N221" s="5" t="s">
        <v>102</v>
      </c>
      <c r="O221" s="5" t="s">
        <v>57</v>
      </c>
      <c r="P221" s="5" t="s">
        <v>30</v>
      </c>
      <c r="Q221" s="5" t="s">
        <v>31</v>
      </c>
      <c r="R221" s="5" t="s">
        <v>57</v>
      </c>
      <c r="S221" s="25">
        <v>46042.597245370373</v>
      </c>
      <c r="T221" s="26">
        <v>46043.561030092591</v>
      </c>
    </row>
    <row r="222" spans="1:20" x14ac:dyDescent="0.3">
      <c r="A222" s="2" t="s">
        <v>666</v>
      </c>
      <c r="B222" s="3">
        <v>5</v>
      </c>
      <c r="C222" s="3">
        <v>3</v>
      </c>
      <c r="D222" s="3" t="s">
        <v>648</v>
      </c>
      <c r="E222" s="3" t="s">
        <v>667</v>
      </c>
      <c r="F222" s="3" t="s">
        <v>825</v>
      </c>
      <c r="G222" s="3" t="s">
        <v>668</v>
      </c>
      <c r="H222" s="3" t="s">
        <v>22</v>
      </c>
      <c r="I222" s="3" t="s">
        <v>651</v>
      </c>
      <c r="J222" s="3" t="s">
        <v>656</v>
      </c>
      <c r="K222" s="3" t="s">
        <v>213</v>
      </c>
      <c r="L222" s="3" t="s">
        <v>68</v>
      </c>
      <c r="M222" s="3" t="s">
        <v>218</v>
      </c>
      <c r="N222" s="3" t="s">
        <v>102</v>
      </c>
      <c r="O222" s="3" t="s">
        <v>57</v>
      </c>
      <c r="P222" s="3" t="s">
        <v>30</v>
      </c>
      <c r="Q222" s="3" t="s">
        <v>31</v>
      </c>
      <c r="R222" s="3" t="s">
        <v>57</v>
      </c>
      <c r="S222" s="23">
        <v>46042.596168981479</v>
      </c>
      <c r="T222" s="24">
        <v>46043.560555555552</v>
      </c>
    </row>
    <row r="223" spans="1:20" x14ac:dyDescent="0.3">
      <c r="A223" s="4" t="s">
        <v>669</v>
      </c>
      <c r="B223" s="5">
        <v>5</v>
      </c>
      <c r="C223" s="5">
        <v>3</v>
      </c>
      <c r="D223" s="5" t="s">
        <v>648</v>
      </c>
      <c r="E223" s="5" t="s">
        <v>670</v>
      </c>
      <c r="F223" s="5" t="s">
        <v>825</v>
      </c>
      <c r="G223" s="5" t="s">
        <v>671</v>
      </c>
      <c r="H223" s="5" t="s">
        <v>22</v>
      </c>
      <c r="I223" s="5" t="s">
        <v>651</v>
      </c>
      <c r="J223" s="5" t="s">
        <v>656</v>
      </c>
      <c r="K223" s="5" t="s">
        <v>213</v>
      </c>
      <c r="L223" s="5" t="s">
        <v>68</v>
      </c>
      <c r="M223" s="5" t="s">
        <v>218</v>
      </c>
      <c r="N223" s="5" t="s">
        <v>102</v>
      </c>
      <c r="O223" s="5" t="s">
        <v>57</v>
      </c>
      <c r="P223" s="5" t="s">
        <v>30</v>
      </c>
      <c r="Q223" s="5" t="s">
        <v>31</v>
      </c>
      <c r="R223" s="5" t="s">
        <v>57</v>
      </c>
      <c r="S223" s="25">
        <v>46042.435763888891</v>
      </c>
      <c r="T223" s="26">
        <v>46043.476539351854</v>
      </c>
    </row>
    <row r="224" spans="1:20" x14ac:dyDescent="0.3">
      <c r="A224" s="2" t="s">
        <v>672</v>
      </c>
      <c r="B224" s="3">
        <v>5</v>
      </c>
      <c r="C224" s="3">
        <v>3</v>
      </c>
      <c r="D224" s="3" t="s">
        <v>648</v>
      </c>
      <c r="E224" s="3" t="s">
        <v>673</v>
      </c>
      <c r="F224" s="3" t="s">
        <v>825</v>
      </c>
      <c r="G224" s="3" t="s">
        <v>674</v>
      </c>
      <c r="H224" s="3" t="s">
        <v>22</v>
      </c>
      <c r="I224" s="3" t="s">
        <v>651</v>
      </c>
      <c r="J224" s="3" t="s">
        <v>656</v>
      </c>
      <c r="K224" s="3" t="s">
        <v>213</v>
      </c>
      <c r="L224" s="3" t="s">
        <v>68</v>
      </c>
      <c r="M224" s="3" t="s">
        <v>218</v>
      </c>
      <c r="N224" s="3" t="s">
        <v>102</v>
      </c>
      <c r="O224" s="3" t="s">
        <v>57</v>
      </c>
      <c r="P224" s="3" t="s">
        <v>30</v>
      </c>
      <c r="Q224" s="3" t="s">
        <v>31</v>
      </c>
      <c r="R224" s="3" t="s">
        <v>57</v>
      </c>
      <c r="S224" s="23">
        <v>46042.427476851852</v>
      </c>
      <c r="T224" s="24">
        <v>46043.476701388892</v>
      </c>
    </row>
    <row r="225" spans="1:20" x14ac:dyDescent="0.3">
      <c r="A225" s="4" t="s">
        <v>675</v>
      </c>
      <c r="B225" s="5">
        <v>5</v>
      </c>
      <c r="C225" s="5">
        <v>3</v>
      </c>
      <c r="D225" s="5" t="s">
        <v>648</v>
      </c>
      <c r="E225" s="5" t="s">
        <v>676</v>
      </c>
      <c r="F225" s="5" t="s">
        <v>825</v>
      </c>
      <c r="G225" s="5" t="s">
        <v>677</v>
      </c>
      <c r="H225" s="5" t="s">
        <v>22</v>
      </c>
      <c r="I225" s="5" t="s">
        <v>651</v>
      </c>
      <c r="J225" s="5" t="s">
        <v>656</v>
      </c>
      <c r="K225" s="5" t="s">
        <v>213</v>
      </c>
      <c r="L225" s="5" t="s">
        <v>68</v>
      </c>
      <c r="M225" s="5" t="s">
        <v>218</v>
      </c>
      <c r="N225" s="5" t="s">
        <v>102</v>
      </c>
      <c r="O225" s="5" t="s">
        <v>57</v>
      </c>
      <c r="P225" s="5" t="s">
        <v>30</v>
      </c>
      <c r="Q225" s="5" t="s">
        <v>31</v>
      </c>
      <c r="R225" s="5" t="s">
        <v>57</v>
      </c>
      <c r="S225" s="25">
        <v>46042.417303240742</v>
      </c>
      <c r="T225" s="26">
        <v>46043.476979166669</v>
      </c>
    </row>
    <row r="226" spans="1:20" x14ac:dyDescent="0.3">
      <c r="A226" s="2" t="s">
        <v>678</v>
      </c>
      <c r="B226" s="3">
        <v>5</v>
      </c>
      <c r="C226" s="3">
        <v>3</v>
      </c>
      <c r="D226" s="3" t="s">
        <v>648</v>
      </c>
      <c r="E226" s="3" t="s">
        <v>679</v>
      </c>
      <c r="F226" s="3" t="s">
        <v>825</v>
      </c>
      <c r="G226" s="3" t="s">
        <v>680</v>
      </c>
      <c r="H226" s="3" t="s">
        <v>22</v>
      </c>
      <c r="I226" s="3" t="s">
        <v>651</v>
      </c>
      <c r="J226" s="3" t="s">
        <v>656</v>
      </c>
      <c r="K226" s="3" t="s">
        <v>213</v>
      </c>
      <c r="L226" s="3" t="s">
        <v>68</v>
      </c>
      <c r="M226" s="3" t="s">
        <v>218</v>
      </c>
      <c r="N226" s="3" t="s">
        <v>102</v>
      </c>
      <c r="O226" s="3" t="s">
        <v>57</v>
      </c>
      <c r="P226" s="3" t="s">
        <v>30</v>
      </c>
      <c r="Q226" s="3" t="s">
        <v>31</v>
      </c>
      <c r="R226" s="3" t="s">
        <v>57</v>
      </c>
      <c r="S226" s="23">
        <v>46042.45517361111</v>
      </c>
      <c r="T226" s="24">
        <v>46043.476840277777</v>
      </c>
    </row>
    <row r="227" spans="1:20" x14ac:dyDescent="0.3">
      <c r="A227" s="4" t="s">
        <v>681</v>
      </c>
      <c r="B227" s="5">
        <v>5</v>
      </c>
      <c r="C227" s="5">
        <v>3</v>
      </c>
      <c r="D227" s="5" t="s">
        <v>648</v>
      </c>
      <c r="E227" s="5" t="s">
        <v>682</v>
      </c>
      <c r="F227" s="5" t="s">
        <v>825</v>
      </c>
      <c r="G227" s="5" t="s">
        <v>683</v>
      </c>
      <c r="H227" s="5" t="s">
        <v>22</v>
      </c>
      <c r="I227" s="5" t="s">
        <v>651</v>
      </c>
      <c r="J227" s="5" t="s">
        <v>656</v>
      </c>
      <c r="K227" s="5" t="s">
        <v>213</v>
      </c>
      <c r="L227" s="5" t="s">
        <v>68</v>
      </c>
      <c r="M227" s="5" t="s">
        <v>218</v>
      </c>
      <c r="N227" s="5" t="s">
        <v>102</v>
      </c>
      <c r="O227" s="5" t="s">
        <v>57</v>
      </c>
      <c r="P227" s="5" t="s">
        <v>30</v>
      </c>
      <c r="Q227" s="5" t="s">
        <v>31</v>
      </c>
      <c r="R227" s="5" t="s">
        <v>57</v>
      </c>
      <c r="S227" s="25">
        <v>46042.601030092592</v>
      </c>
      <c r="T227" s="26">
        <v>46043.560914351852</v>
      </c>
    </row>
    <row r="228" spans="1:20" x14ac:dyDescent="0.3">
      <c r="A228" s="2" t="s">
        <v>684</v>
      </c>
      <c r="B228" s="3">
        <v>5</v>
      </c>
      <c r="C228" s="3">
        <v>3</v>
      </c>
      <c r="D228" s="3" t="s">
        <v>648</v>
      </c>
      <c r="E228" s="3" t="s">
        <v>685</v>
      </c>
      <c r="F228" s="3" t="s">
        <v>825</v>
      </c>
      <c r="G228" s="3" t="s">
        <v>686</v>
      </c>
      <c r="H228" s="3" t="s">
        <v>22</v>
      </c>
      <c r="I228" s="3" t="s">
        <v>651</v>
      </c>
      <c r="J228" s="3" t="s">
        <v>656</v>
      </c>
      <c r="K228" s="3" t="s">
        <v>213</v>
      </c>
      <c r="L228" s="3" t="s">
        <v>68</v>
      </c>
      <c r="M228" s="3" t="s">
        <v>218</v>
      </c>
      <c r="N228" s="3" t="s">
        <v>102</v>
      </c>
      <c r="O228" s="3" t="s">
        <v>57</v>
      </c>
      <c r="P228" s="3" t="s">
        <v>30</v>
      </c>
      <c r="Q228" s="3" t="s">
        <v>31</v>
      </c>
      <c r="R228" s="3" t="s">
        <v>57</v>
      </c>
      <c r="S228" s="23">
        <v>46042.597928240742</v>
      </c>
      <c r="T228" s="24">
        <v>46043.561944444446</v>
      </c>
    </row>
    <row r="229" spans="1:20" x14ac:dyDescent="0.3">
      <c r="A229" s="4" t="s">
        <v>687</v>
      </c>
      <c r="B229" s="5">
        <v>5</v>
      </c>
      <c r="C229" s="5">
        <v>3</v>
      </c>
      <c r="D229" s="5" t="s">
        <v>648</v>
      </c>
      <c r="E229" s="5" t="s">
        <v>688</v>
      </c>
      <c r="F229" s="5" t="s">
        <v>825</v>
      </c>
      <c r="G229" s="5" t="s">
        <v>689</v>
      </c>
      <c r="H229" s="5" t="s">
        <v>22</v>
      </c>
      <c r="I229" s="5" t="s">
        <v>651</v>
      </c>
      <c r="J229" s="5" t="s">
        <v>656</v>
      </c>
      <c r="K229" s="5" t="s">
        <v>213</v>
      </c>
      <c r="L229" s="5" t="s">
        <v>68</v>
      </c>
      <c r="M229" s="5" t="s">
        <v>218</v>
      </c>
      <c r="N229" s="5" t="s">
        <v>102</v>
      </c>
      <c r="O229" s="5" t="s">
        <v>57</v>
      </c>
      <c r="P229" s="5" t="s">
        <v>30</v>
      </c>
      <c r="Q229" s="5" t="s">
        <v>31</v>
      </c>
      <c r="R229" s="5" t="s">
        <v>57</v>
      </c>
      <c r="S229" s="25">
        <v>46042.565428240741</v>
      </c>
      <c r="T229" s="26">
        <v>46043.562800925924</v>
      </c>
    </row>
    <row r="230" spans="1:20" x14ac:dyDescent="0.3">
      <c r="A230" s="2" t="s">
        <v>690</v>
      </c>
      <c r="B230" s="3">
        <v>5</v>
      </c>
      <c r="C230" s="3">
        <v>3</v>
      </c>
      <c r="D230" s="3" t="s">
        <v>648</v>
      </c>
      <c r="E230" s="3" t="s">
        <v>691</v>
      </c>
      <c r="F230" s="3" t="s">
        <v>825</v>
      </c>
      <c r="G230" s="3" t="s">
        <v>692</v>
      </c>
      <c r="H230" s="3" t="s">
        <v>22</v>
      </c>
      <c r="I230" s="3" t="s">
        <v>651</v>
      </c>
      <c r="J230" s="3" t="s">
        <v>656</v>
      </c>
      <c r="K230" s="3" t="s">
        <v>213</v>
      </c>
      <c r="L230" s="3" t="s">
        <v>68</v>
      </c>
      <c r="M230" s="3" t="s">
        <v>218</v>
      </c>
      <c r="N230" s="3" t="s">
        <v>102</v>
      </c>
      <c r="O230" s="3" t="s">
        <v>57</v>
      </c>
      <c r="P230" s="3" t="s">
        <v>30</v>
      </c>
      <c r="Q230" s="3" t="s">
        <v>31</v>
      </c>
      <c r="R230" s="3" t="s">
        <v>57</v>
      </c>
      <c r="S230" s="23">
        <v>46042.552928240744</v>
      </c>
      <c r="T230" s="24">
        <v>46043.563055555554</v>
      </c>
    </row>
    <row r="231" spans="1:20" x14ac:dyDescent="0.3">
      <c r="A231" s="4" t="s">
        <v>693</v>
      </c>
      <c r="B231" s="5">
        <v>5</v>
      </c>
      <c r="C231" s="5">
        <v>3</v>
      </c>
      <c r="D231" s="5" t="s">
        <v>648</v>
      </c>
      <c r="E231" s="5" t="s">
        <v>694</v>
      </c>
      <c r="F231" s="5" t="s">
        <v>825</v>
      </c>
      <c r="G231" s="5" t="s">
        <v>695</v>
      </c>
      <c r="H231" s="5" t="s">
        <v>22</v>
      </c>
      <c r="I231" s="5" t="s">
        <v>651</v>
      </c>
      <c r="J231" s="5" t="s">
        <v>656</v>
      </c>
      <c r="K231" s="5" t="s">
        <v>213</v>
      </c>
      <c r="L231" s="5" t="s">
        <v>68</v>
      </c>
      <c r="M231" s="5" t="s">
        <v>218</v>
      </c>
      <c r="N231" s="5" t="s">
        <v>102</v>
      </c>
      <c r="O231" s="5" t="s">
        <v>57</v>
      </c>
      <c r="P231" s="5" t="s">
        <v>30</v>
      </c>
      <c r="Q231" s="5" t="s">
        <v>31</v>
      </c>
      <c r="R231" s="5" t="s">
        <v>57</v>
      </c>
      <c r="S231" s="25">
        <v>46042.574965277781</v>
      </c>
      <c r="T231" s="26">
        <v>46043.562685185185</v>
      </c>
    </row>
    <row r="232" spans="1:20" x14ac:dyDescent="0.3">
      <c r="A232" s="2" t="s">
        <v>696</v>
      </c>
      <c r="B232" s="3">
        <v>5</v>
      </c>
      <c r="C232" s="3">
        <v>3</v>
      </c>
      <c r="D232" s="3" t="s">
        <v>648</v>
      </c>
      <c r="E232" s="3" t="s">
        <v>697</v>
      </c>
      <c r="F232" s="3" t="s">
        <v>825</v>
      </c>
      <c r="G232" s="3" t="s">
        <v>698</v>
      </c>
      <c r="H232" s="3" t="s">
        <v>22</v>
      </c>
      <c r="I232" s="3" t="s">
        <v>651</v>
      </c>
      <c r="J232" s="3" t="s">
        <v>656</v>
      </c>
      <c r="K232" s="3" t="s">
        <v>213</v>
      </c>
      <c r="L232" s="3" t="s">
        <v>68</v>
      </c>
      <c r="M232" s="3" t="s">
        <v>218</v>
      </c>
      <c r="N232" s="3" t="s">
        <v>102</v>
      </c>
      <c r="O232" s="3" t="s">
        <v>57</v>
      </c>
      <c r="P232" s="3" t="s">
        <v>30</v>
      </c>
      <c r="Q232" s="3" t="s">
        <v>31</v>
      </c>
      <c r="R232" s="3" t="s">
        <v>57</v>
      </c>
      <c r="S232" s="23">
        <v>46042.572847222225</v>
      </c>
      <c r="T232" s="24">
        <v>46043.5624537037</v>
      </c>
    </row>
    <row r="233" spans="1:20" x14ac:dyDescent="0.3">
      <c r="A233" s="4" t="s">
        <v>699</v>
      </c>
      <c r="B233" s="5">
        <v>5</v>
      </c>
      <c r="C233" s="5">
        <v>3</v>
      </c>
      <c r="D233" s="5" t="s">
        <v>648</v>
      </c>
      <c r="E233" s="5" t="s">
        <v>700</v>
      </c>
      <c r="F233" s="5" t="s">
        <v>825</v>
      </c>
      <c r="G233" s="5" t="s">
        <v>701</v>
      </c>
      <c r="H233" s="5" t="s">
        <v>22</v>
      </c>
      <c r="I233" s="5" t="s">
        <v>651</v>
      </c>
      <c r="J233" s="5" t="s">
        <v>656</v>
      </c>
      <c r="K233" s="5" t="s">
        <v>213</v>
      </c>
      <c r="L233" s="5" t="s">
        <v>68</v>
      </c>
      <c r="M233" s="5" t="s">
        <v>218</v>
      </c>
      <c r="N233" s="5" t="s">
        <v>102</v>
      </c>
      <c r="O233" s="5" t="s">
        <v>57</v>
      </c>
      <c r="P233" s="5" t="s">
        <v>30</v>
      </c>
      <c r="Q233" s="5" t="s">
        <v>31</v>
      </c>
      <c r="R233" s="5" t="s">
        <v>57</v>
      </c>
      <c r="S233" s="25">
        <v>46042.567349537036</v>
      </c>
      <c r="T233" s="26">
        <v>46043.562569444446</v>
      </c>
    </row>
    <row r="234" spans="1:20" x14ac:dyDescent="0.3">
      <c r="A234" s="2" t="s">
        <v>702</v>
      </c>
      <c r="B234" s="3">
        <v>5</v>
      </c>
      <c r="C234" s="3">
        <v>3</v>
      </c>
      <c r="D234" s="3" t="s">
        <v>648</v>
      </c>
      <c r="E234" s="3" t="s">
        <v>703</v>
      </c>
      <c r="F234" s="3" t="s">
        <v>825</v>
      </c>
      <c r="G234" s="3" t="s">
        <v>704</v>
      </c>
      <c r="H234" s="3" t="s">
        <v>22</v>
      </c>
      <c r="I234" s="3" t="s">
        <v>651</v>
      </c>
      <c r="J234" s="3" t="s">
        <v>656</v>
      </c>
      <c r="K234" s="3" t="s">
        <v>213</v>
      </c>
      <c r="L234" s="3" t="s">
        <v>68</v>
      </c>
      <c r="M234" s="3" t="s">
        <v>218</v>
      </c>
      <c r="N234" s="3" t="s">
        <v>102</v>
      </c>
      <c r="O234" s="3" t="s">
        <v>57</v>
      </c>
      <c r="P234" s="3" t="s">
        <v>30</v>
      </c>
      <c r="Q234" s="3" t="s">
        <v>31</v>
      </c>
      <c r="R234" s="3" t="s">
        <v>57</v>
      </c>
      <c r="S234" s="23">
        <v>46042.566134259258</v>
      </c>
      <c r="T234" s="24">
        <v>46043.562951388885</v>
      </c>
    </row>
    <row r="235" spans="1:20" x14ac:dyDescent="0.3">
      <c r="A235" s="4" t="s">
        <v>705</v>
      </c>
      <c r="B235" s="5">
        <v>5</v>
      </c>
      <c r="C235" s="5">
        <v>3</v>
      </c>
      <c r="D235" s="5" t="s">
        <v>648</v>
      </c>
      <c r="E235" s="5" t="s">
        <v>706</v>
      </c>
      <c r="F235" s="5" t="s">
        <v>825</v>
      </c>
      <c r="G235" s="5" t="s">
        <v>707</v>
      </c>
      <c r="H235" s="5" t="s">
        <v>22</v>
      </c>
      <c r="I235" s="5" t="s">
        <v>651</v>
      </c>
      <c r="J235" s="5" t="s">
        <v>656</v>
      </c>
      <c r="K235" s="5" t="s">
        <v>213</v>
      </c>
      <c r="L235" s="5" t="s">
        <v>68</v>
      </c>
      <c r="M235" s="5" t="s">
        <v>218</v>
      </c>
      <c r="N235" s="5" t="s">
        <v>102</v>
      </c>
      <c r="O235" s="5" t="s">
        <v>57</v>
      </c>
      <c r="P235" s="5" t="s">
        <v>30</v>
      </c>
      <c r="Q235" s="5" t="s">
        <v>31</v>
      </c>
      <c r="R235" s="5" t="s">
        <v>57</v>
      </c>
      <c r="S235" s="25">
        <v>46042.602685185186</v>
      </c>
      <c r="T235" s="26">
        <v>46043.561284722222</v>
      </c>
    </row>
    <row r="236" spans="1:20" x14ac:dyDescent="0.3">
      <c r="A236" s="2" t="s">
        <v>708</v>
      </c>
      <c r="B236" s="3">
        <v>5</v>
      </c>
      <c r="C236" s="3">
        <v>3</v>
      </c>
      <c r="D236" s="3" t="s">
        <v>648</v>
      </c>
      <c r="E236" s="3" t="s">
        <v>709</v>
      </c>
      <c r="F236" s="3" t="s">
        <v>825</v>
      </c>
      <c r="G236" s="3" t="s">
        <v>710</v>
      </c>
      <c r="H236" s="3" t="s">
        <v>22</v>
      </c>
      <c r="I236" s="3" t="s">
        <v>651</v>
      </c>
      <c r="J236" s="3" t="s">
        <v>656</v>
      </c>
      <c r="K236" s="3" t="s">
        <v>213</v>
      </c>
      <c r="L236" s="3" t="s">
        <v>68</v>
      </c>
      <c r="M236" s="3" t="s">
        <v>218</v>
      </c>
      <c r="N236" s="3" t="s">
        <v>102</v>
      </c>
      <c r="O236" s="3" t="s">
        <v>57</v>
      </c>
      <c r="P236" s="3" t="s">
        <v>30</v>
      </c>
      <c r="Q236" s="3" t="s">
        <v>31</v>
      </c>
      <c r="R236" s="3" t="s">
        <v>57</v>
      </c>
      <c r="S236" s="23">
        <v>46042.603020833332</v>
      </c>
      <c r="T236" s="24">
        <v>46043.561412037037</v>
      </c>
    </row>
    <row r="237" spans="1:20" x14ac:dyDescent="0.3">
      <c r="A237" s="4" t="s">
        <v>711</v>
      </c>
      <c r="B237" s="5">
        <v>5</v>
      </c>
      <c r="C237" s="5">
        <v>3</v>
      </c>
      <c r="D237" s="5" t="s">
        <v>648</v>
      </c>
      <c r="E237" s="5" t="s">
        <v>712</v>
      </c>
      <c r="F237" s="5" t="s">
        <v>825</v>
      </c>
      <c r="G237" s="5" t="s">
        <v>713</v>
      </c>
      <c r="H237" s="5" t="s">
        <v>22</v>
      </c>
      <c r="I237" s="5" t="s">
        <v>651</v>
      </c>
      <c r="J237" s="5" t="s">
        <v>656</v>
      </c>
      <c r="K237" s="5" t="s">
        <v>213</v>
      </c>
      <c r="L237" s="5" t="s">
        <v>68</v>
      </c>
      <c r="M237" s="5" t="s">
        <v>218</v>
      </c>
      <c r="N237" s="5" t="s">
        <v>102</v>
      </c>
      <c r="O237" s="5" t="s">
        <v>57</v>
      </c>
      <c r="P237" s="5" t="s">
        <v>30</v>
      </c>
      <c r="Q237" s="5" t="s">
        <v>31</v>
      </c>
      <c r="R237" s="5" t="s">
        <v>57</v>
      </c>
      <c r="S237" s="25">
        <v>46042.599664351852</v>
      </c>
      <c r="T237" s="26">
        <v>46043.561666666668</v>
      </c>
    </row>
    <row r="238" spans="1:20" x14ac:dyDescent="0.3">
      <c r="A238" s="2" t="s">
        <v>714</v>
      </c>
      <c r="B238" s="3">
        <v>5</v>
      </c>
      <c r="C238" s="3">
        <v>3</v>
      </c>
      <c r="D238" s="3" t="s">
        <v>648</v>
      </c>
      <c r="E238" s="3" t="s">
        <v>715</v>
      </c>
      <c r="F238" s="3" t="s">
        <v>825</v>
      </c>
      <c r="G238" s="3" t="s">
        <v>716</v>
      </c>
      <c r="H238" s="3" t="s">
        <v>22</v>
      </c>
      <c r="I238" s="3" t="s">
        <v>651</v>
      </c>
      <c r="J238" s="3" t="s">
        <v>656</v>
      </c>
      <c r="K238" s="3" t="s">
        <v>213</v>
      </c>
      <c r="L238" s="3" t="s">
        <v>68</v>
      </c>
      <c r="M238" s="3" t="s">
        <v>218</v>
      </c>
      <c r="N238" s="3" t="s">
        <v>102</v>
      </c>
      <c r="O238" s="3" t="s">
        <v>57</v>
      </c>
      <c r="P238" s="3" t="s">
        <v>30</v>
      </c>
      <c r="Q238" s="3" t="s">
        <v>31</v>
      </c>
      <c r="R238" s="3" t="s">
        <v>57</v>
      </c>
      <c r="S238" s="23">
        <v>46042.603506944448</v>
      </c>
      <c r="T238" s="24">
        <v>46043.561516203707</v>
      </c>
    </row>
    <row r="239" spans="1:20" x14ac:dyDescent="0.3">
      <c r="A239" s="4" t="s">
        <v>717</v>
      </c>
      <c r="B239" s="5">
        <v>5</v>
      </c>
      <c r="C239" s="5">
        <v>3</v>
      </c>
      <c r="D239" s="5" t="s">
        <v>648</v>
      </c>
      <c r="E239" s="5" t="s">
        <v>718</v>
      </c>
      <c r="F239" s="5" t="s">
        <v>817</v>
      </c>
      <c r="G239" s="5" t="s">
        <v>719</v>
      </c>
      <c r="H239" s="5" t="s">
        <v>22</v>
      </c>
      <c r="I239" s="5" t="s">
        <v>651</v>
      </c>
      <c r="J239" s="5" t="s">
        <v>720</v>
      </c>
      <c r="K239" s="5" t="s">
        <v>213</v>
      </c>
      <c r="L239" s="5" t="s">
        <v>26</v>
      </c>
      <c r="M239" s="5" t="s">
        <v>218</v>
      </c>
      <c r="N239" s="5" t="s">
        <v>39</v>
      </c>
      <c r="O239" s="5" t="s">
        <v>29</v>
      </c>
      <c r="P239" s="5" t="s">
        <v>30</v>
      </c>
      <c r="Q239" s="5" t="s">
        <v>31</v>
      </c>
      <c r="R239" s="5" t="s">
        <v>29</v>
      </c>
      <c r="S239" s="25">
        <v>46042.628182870372</v>
      </c>
      <c r="T239" s="26">
        <v>46044.379143518519</v>
      </c>
    </row>
    <row r="240" spans="1:20" x14ac:dyDescent="0.3">
      <c r="A240" s="2" t="s">
        <v>721</v>
      </c>
      <c r="B240" s="3">
        <v>5</v>
      </c>
      <c r="C240" s="3">
        <v>3</v>
      </c>
      <c r="D240" s="3" t="s">
        <v>648</v>
      </c>
      <c r="E240" s="3" t="s">
        <v>722</v>
      </c>
      <c r="F240" s="3" t="s">
        <v>817</v>
      </c>
      <c r="G240" s="3" t="s">
        <v>723</v>
      </c>
      <c r="H240" s="3" t="s">
        <v>22</v>
      </c>
      <c r="I240" s="3" t="s">
        <v>651</v>
      </c>
      <c r="J240" s="3" t="s">
        <v>720</v>
      </c>
      <c r="K240" s="3" t="s">
        <v>213</v>
      </c>
      <c r="L240" s="3" t="s">
        <v>26</v>
      </c>
      <c r="M240" s="3" t="s">
        <v>218</v>
      </c>
      <c r="N240" s="3" t="s">
        <v>724</v>
      </c>
      <c r="O240" s="3" t="s">
        <v>29</v>
      </c>
      <c r="P240" s="3" t="s">
        <v>30</v>
      </c>
      <c r="Q240" s="3" t="s">
        <v>31</v>
      </c>
      <c r="R240" s="3" t="s">
        <v>29</v>
      </c>
      <c r="S240" s="23">
        <v>46041.644988425927</v>
      </c>
      <c r="T240" s="24">
        <v>46043.669733796298</v>
      </c>
    </row>
    <row r="241" spans="1:20" x14ac:dyDescent="0.3">
      <c r="A241" s="4" t="s">
        <v>725</v>
      </c>
      <c r="B241" s="5">
        <v>5</v>
      </c>
      <c r="C241" s="5">
        <v>3</v>
      </c>
      <c r="D241" s="5" t="s">
        <v>648</v>
      </c>
      <c r="E241" s="5" t="s">
        <v>726</v>
      </c>
      <c r="F241" s="5" t="s">
        <v>827</v>
      </c>
      <c r="G241" s="5" t="s">
        <v>727</v>
      </c>
      <c r="H241" s="5" t="s">
        <v>22</v>
      </c>
      <c r="I241" s="5" t="s">
        <v>651</v>
      </c>
      <c r="J241" s="5" t="s">
        <v>720</v>
      </c>
      <c r="K241" s="5" t="s">
        <v>213</v>
      </c>
      <c r="L241" s="5" t="s">
        <v>26</v>
      </c>
      <c r="M241" s="5" t="s">
        <v>218</v>
      </c>
      <c r="N241" s="5" t="s">
        <v>39</v>
      </c>
      <c r="O241" s="5" t="s">
        <v>47</v>
      </c>
      <c r="P241" s="5" t="s">
        <v>213</v>
      </c>
      <c r="Q241" s="5" t="s">
        <v>97</v>
      </c>
      <c r="R241" s="5" t="s">
        <v>48</v>
      </c>
      <c r="S241" s="25">
        <v>46041.71434027778</v>
      </c>
      <c r="T241" s="26">
        <v>46049.397905092592</v>
      </c>
    </row>
    <row r="242" spans="1:20" x14ac:dyDescent="0.3">
      <c r="A242" s="2" t="s">
        <v>728</v>
      </c>
      <c r="B242" s="3">
        <v>5</v>
      </c>
      <c r="C242" s="3">
        <v>3</v>
      </c>
      <c r="D242" s="3" t="s">
        <v>729</v>
      </c>
      <c r="E242" s="3" t="s">
        <v>730</v>
      </c>
      <c r="F242" s="3" t="s">
        <v>817</v>
      </c>
      <c r="G242" s="3" t="s">
        <v>731</v>
      </c>
      <c r="H242" s="3" t="s">
        <v>22</v>
      </c>
      <c r="I242" s="3" t="s">
        <v>212</v>
      </c>
      <c r="J242" s="3" t="s">
        <v>212</v>
      </c>
      <c r="K242" s="3" t="s">
        <v>249</v>
      </c>
      <c r="L242" s="3" t="s">
        <v>26</v>
      </c>
      <c r="M242" s="3" t="s">
        <v>218</v>
      </c>
      <c r="N242" s="3" t="s">
        <v>39</v>
      </c>
      <c r="O242" s="3" t="s">
        <v>47</v>
      </c>
      <c r="P242" s="3" t="s">
        <v>249</v>
      </c>
      <c r="Q242" s="3" t="s">
        <v>31</v>
      </c>
      <c r="R242" s="3" t="s">
        <v>48</v>
      </c>
      <c r="S242" s="23">
        <v>46041.635115740741</v>
      </c>
      <c r="T242" s="24">
        <v>46043.445763888885</v>
      </c>
    </row>
    <row r="243" spans="1:20" x14ac:dyDescent="0.3">
      <c r="A243" s="4" t="s">
        <v>732</v>
      </c>
      <c r="B243" s="5">
        <v>5</v>
      </c>
      <c r="C243" s="5">
        <v>3</v>
      </c>
      <c r="D243" s="5" t="s">
        <v>729</v>
      </c>
      <c r="E243" s="5" t="s">
        <v>733</v>
      </c>
      <c r="F243" s="5" t="s">
        <v>817</v>
      </c>
      <c r="G243" s="5" t="s">
        <v>734</v>
      </c>
      <c r="H243" s="5" t="s">
        <v>22</v>
      </c>
      <c r="I243" s="5" t="s">
        <v>212</v>
      </c>
      <c r="J243" s="5" t="s">
        <v>212</v>
      </c>
      <c r="K243" s="5" t="s">
        <v>249</v>
      </c>
      <c r="L243" s="5" t="s">
        <v>26</v>
      </c>
      <c r="M243" s="5" t="s">
        <v>218</v>
      </c>
      <c r="N243" s="5" t="s">
        <v>39</v>
      </c>
      <c r="O243" s="5" t="s">
        <v>47</v>
      </c>
      <c r="P243" s="5" t="s">
        <v>249</v>
      </c>
      <c r="Q243" s="5" t="s">
        <v>31</v>
      </c>
      <c r="R243" s="5" t="s">
        <v>48</v>
      </c>
      <c r="S243" s="25">
        <v>46041.630370370367</v>
      </c>
      <c r="T243" s="26">
        <v>46043.4455787037</v>
      </c>
    </row>
    <row r="244" spans="1:20" x14ac:dyDescent="0.3">
      <c r="A244" s="2" t="s">
        <v>735</v>
      </c>
      <c r="B244" s="3">
        <v>5</v>
      </c>
      <c r="C244" s="3">
        <v>3</v>
      </c>
      <c r="D244" s="3" t="s">
        <v>208</v>
      </c>
      <c r="E244" s="3" t="s">
        <v>736</v>
      </c>
      <c r="F244" s="3" t="s">
        <v>817</v>
      </c>
      <c r="G244" s="3" t="s">
        <v>737</v>
      </c>
      <c r="H244" s="3" t="s">
        <v>22</v>
      </c>
      <c r="I244" s="3" t="s">
        <v>211</v>
      </c>
      <c r="J244" s="3" t="s">
        <v>214</v>
      </c>
      <c r="K244" s="3" t="s">
        <v>213</v>
      </c>
      <c r="L244" s="3" t="s">
        <v>26</v>
      </c>
      <c r="M244" s="3" t="s">
        <v>218</v>
      </c>
      <c r="N244" s="3" t="s">
        <v>39</v>
      </c>
      <c r="O244" s="3" t="s">
        <v>108</v>
      </c>
      <c r="P244" s="3" t="s">
        <v>214</v>
      </c>
      <c r="Q244" s="3" t="s">
        <v>31</v>
      </c>
      <c r="R244" s="3" t="s">
        <v>108</v>
      </c>
      <c r="S244" s="23">
        <v>46043.605821759258</v>
      </c>
      <c r="T244" s="24">
        <v>46044.678437499999</v>
      </c>
    </row>
    <row r="245" spans="1:20" x14ac:dyDescent="0.3">
      <c r="A245" s="4" t="s">
        <v>738</v>
      </c>
      <c r="B245" s="5">
        <v>5</v>
      </c>
      <c r="C245" s="5">
        <v>3</v>
      </c>
      <c r="D245" s="5" t="s">
        <v>208</v>
      </c>
      <c r="E245" s="5" t="s">
        <v>739</v>
      </c>
      <c r="F245" s="5" t="s">
        <v>827</v>
      </c>
      <c r="G245" s="5" t="s">
        <v>740</v>
      </c>
      <c r="H245" s="5" t="s">
        <v>22</v>
      </c>
      <c r="I245" s="5" t="s">
        <v>211</v>
      </c>
      <c r="J245" s="5" t="s">
        <v>214</v>
      </c>
      <c r="K245" s="5" t="s">
        <v>213</v>
      </c>
      <c r="L245" s="5" t="s">
        <v>26</v>
      </c>
      <c r="M245" s="5" t="s">
        <v>218</v>
      </c>
      <c r="N245" s="5" t="s">
        <v>28</v>
      </c>
      <c r="O245" s="5" t="s">
        <v>108</v>
      </c>
      <c r="P245" s="5" t="s">
        <v>214</v>
      </c>
      <c r="Q245" s="5" t="s">
        <v>31</v>
      </c>
      <c r="R245" s="5" t="s">
        <v>108</v>
      </c>
      <c r="S245" s="25">
        <v>46043.604386574072</v>
      </c>
      <c r="T245" s="26">
        <v>46044.678310185183</v>
      </c>
    </row>
    <row r="246" spans="1:20" x14ac:dyDescent="0.3">
      <c r="A246" s="2" t="s">
        <v>741</v>
      </c>
      <c r="B246" s="3">
        <v>5</v>
      </c>
      <c r="C246" s="3">
        <v>3</v>
      </c>
      <c r="D246" s="3" t="s">
        <v>208</v>
      </c>
      <c r="E246" s="3" t="s">
        <v>742</v>
      </c>
      <c r="F246" s="3" t="s">
        <v>817</v>
      </c>
      <c r="G246" s="3" t="s">
        <v>743</v>
      </c>
      <c r="H246" s="3" t="s">
        <v>22</v>
      </c>
      <c r="I246" s="3" t="s">
        <v>211</v>
      </c>
      <c r="J246" s="3" t="s">
        <v>214</v>
      </c>
      <c r="K246" s="3" t="s">
        <v>213</v>
      </c>
      <c r="L246" s="3" t="s">
        <v>26</v>
      </c>
      <c r="M246" s="3" t="s">
        <v>218</v>
      </c>
      <c r="N246" s="3" t="s">
        <v>39</v>
      </c>
      <c r="O246" s="3" t="s">
        <v>108</v>
      </c>
      <c r="P246" s="3" t="s">
        <v>214</v>
      </c>
      <c r="Q246" s="3" t="s">
        <v>31</v>
      </c>
      <c r="R246" s="3" t="s">
        <v>108</v>
      </c>
      <c r="S246" s="23">
        <v>46043.652997685182</v>
      </c>
      <c r="T246" s="24">
        <v>46044.678888888891</v>
      </c>
    </row>
    <row r="247" spans="1:20" x14ac:dyDescent="0.3">
      <c r="A247" s="4" t="s">
        <v>744</v>
      </c>
      <c r="B247" s="5">
        <v>5</v>
      </c>
      <c r="C247" s="5">
        <v>3</v>
      </c>
      <c r="D247" s="5" t="s">
        <v>208</v>
      </c>
      <c r="E247" s="5" t="s">
        <v>745</v>
      </c>
      <c r="F247" s="5" t="s">
        <v>823</v>
      </c>
      <c r="G247" s="5" t="s">
        <v>746</v>
      </c>
      <c r="H247" s="5" t="s">
        <v>22</v>
      </c>
      <c r="I247" s="5" t="s">
        <v>211</v>
      </c>
      <c r="J247" s="5" t="s">
        <v>214</v>
      </c>
      <c r="K247" s="5" t="s">
        <v>213</v>
      </c>
      <c r="L247" s="5" t="s">
        <v>26</v>
      </c>
      <c r="M247" s="5" t="s">
        <v>218</v>
      </c>
      <c r="N247" s="5" t="s">
        <v>88</v>
      </c>
      <c r="O247" s="5" t="s">
        <v>108</v>
      </c>
      <c r="P247" s="5" t="s">
        <v>214</v>
      </c>
      <c r="Q247" s="5" t="s">
        <v>31</v>
      </c>
      <c r="R247" s="5" t="s">
        <v>108</v>
      </c>
      <c r="S247" s="25">
        <v>46045.466504629629</v>
      </c>
      <c r="T247" s="26">
        <v>46048.408206018517</v>
      </c>
    </row>
    <row r="248" spans="1:20" x14ac:dyDescent="0.3">
      <c r="A248" s="2" t="s">
        <v>747</v>
      </c>
      <c r="B248" s="3">
        <v>5</v>
      </c>
      <c r="C248" s="3">
        <v>3</v>
      </c>
      <c r="D248" s="3" t="s">
        <v>208</v>
      </c>
      <c r="E248" s="3" t="s">
        <v>748</v>
      </c>
      <c r="F248" s="3" t="s">
        <v>817</v>
      </c>
      <c r="G248" s="3" t="s">
        <v>749</v>
      </c>
      <c r="H248" s="3" t="s">
        <v>22</v>
      </c>
      <c r="I248" s="3" t="s">
        <v>211</v>
      </c>
      <c r="J248" s="3" t="s">
        <v>214</v>
      </c>
      <c r="K248" s="3" t="s">
        <v>213</v>
      </c>
      <c r="L248" s="3" t="s">
        <v>26</v>
      </c>
      <c r="M248" s="3" t="s">
        <v>218</v>
      </c>
      <c r="N248" s="3" t="s">
        <v>39</v>
      </c>
      <c r="O248" s="3" t="s">
        <v>108</v>
      </c>
      <c r="P248" s="3" t="s">
        <v>214</v>
      </c>
      <c r="Q248" s="3" t="s">
        <v>31</v>
      </c>
      <c r="R248" s="3" t="s">
        <v>108</v>
      </c>
      <c r="S248" s="23">
        <v>46044.548946759256</v>
      </c>
      <c r="T248" s="24">
        <v>46049.380266203705</v>
      </c>
    </row>
    <row r="249" spans="1:20" x14ac:dyDescent="0.3">
      <c r="A249" s="4" t="s">
        <v>750</v>
      </c>
      <c r="B249" s="5">
        <v>5</v>
      </c>
      <c r="C249" s="5">
        <v>3</v>
      </c>
      <c r="D249" s="5" t="s">
        <v>208</v>
      </c>
      <c r="E249" s="5" t="s">
        <v>751</v>
      </c>
      <c r="F249" s="5" t="s">
        <v>817</v>
      </c>
      <c r="G249" s="5" t="s">
        <v>752</v>
      </c>
      <c r="H249" s="5" t="s">
        <v>22</v>
      </c>
      <c r="I249" s="5" t="s">
        <v>211</v>
      </c>
      <c r="J249" s="5" t="s">
        <v>212</v>
      </c>
      <c r="K249" s="5" t="s">
        <v>213</v>
      </c>
      <c r="L249" s="5" t="s">
        <v>26</v>
      </c>
      <c r="M249" s="5" t="s">
        <v>218</v>
      </c>
      <c r="N249" s="5" t="s">
        <v>39</v>
      </c>
      <c r="O249" s="5" t="s">
        <v>108</v>
      </c>
      <c r="P249" s="5" t="s">
        <v>214</v>
      </c>
      <c r="Q249" s="5" t="s">
        <v>31</v>
      </c>
      <c r="R249" s="5" t="s">
        <v>108</v>
      </c>
      <c r="S249" s="25">
        <v>46044.452604166669</v>
      </c>
      <c r="T249" s="26">
        <v>46044.678738425922</v>
      </c>
    </row>
    <row r="250" spans="1:20" x14ac:dyDescent="0.3">
      <c r="A250" s="2" t="s">
        <v>753</v>
      </c>
      <c r="B250" s="3">
        <v>5</v>
      </c>
      <c r="C250" s="3">
        <v>3</v>
      </c>
      <c r="D250" s="3" t="s">
        <v>208</v>
      </c>
      <c r="E250" s="3" t="s">
        <v>754</v>
      </c>
      <c r="F250" s="3" t="s">
        <v>827</v>
      </c>
      <c r="G250" s="3" t="s">
        <v>755</v>
      </c>
      <c r="H250" s="3" t="s">
        <v>22</v>
      </c>
      <c r="I250" s="3" t="s">
        <v>211</v>
      </c>
      <c r="J250" s="3" t="s">
        <v>214</v>
      </c>
      <c r="K250" s="3" t="s">
        <v>213</v>
      </c>
      <c r="L250" s="3" t="s">
        <v>26</v>
      </c>
      <c r="M250" s="3" t="s">
        <v>218</v>
      </c>
      <c r="N250" s="3" t="s">
        <v>39</v>
      </c>
      <c r="O250" s="3" t="s">
        <v>108</v>
      </c>
      <c r="P250" s="3" t="s">
        <v>214</v>
      </c>
      <c r="Q250" s="3" t="s">
        <v>31</v>
      </c>
      <c r="R250" s="3" t="s">
        <v>108</v>
      </c>
      <c r="S250" s="23">
        <v>46045.438750000001</v>
      </c>
      <c r="T250" s="24">
        <v>46048.407754629632</v>
      </c>
    </row>
    <row r="251" spans="1:20" x14ac:dyDescent="0.3">
      <c r="A251" s="4" t="s">
        <v>756</v>
      </c>
      <c r="B251" s="5">
        <v>5</v>
      </c>
      <c r="C251" s="5">
        <v>3</v>
      </c>
      <c r="D251" s="5" t="s">
        <v>208</v>
      </c>
      <c r="E251" s="5" t="s">
        <v>757</v>
      </c>
      <c r="F251" s="5" t="s">
        <v>823</v>
      </c>
      <c r="G251" s="5" t="s">
        <v>801</v>
      </c>
      <c r="H251" s="5" t="s">
        <v>22</v>
      </c>
      <c r="I251" s="5" t="s">
        <v>211</v>
      </c>
      <c r="J251" s="5" t="s">
        <v>214</v>
      </c>
      <c r="K251" s="5" t="s">
        <v>213</v>
      </c>
      <c r="L251" s="5" t="s">
        <v>26</v>
      </c>
      <c r="M251" s="5" t="s">
        <v>218</v>
      </c>
      <c r="N251" s="5" t="s">
        <v>88</v>
      </c>
      <c r="O251" s="5" t="s">
        <v>108</v>
      </c>
      <c r="P251" s="5" t="s">
        <v>214</v>
      </c>
      <c r="Q251" s="5" t="s">
        <v>31</v>
      </c>
      <c r="R251" s="5" t="s">
        <v>108</v>
      </c>
      <c r="S251" s="25">
        <v>46045.533101851855</v>
      </c>
      <c r="T251" s="26">
        <v>46048.407604166663</v>
      </c>
    </row>
    <row r="252" spans="1:20" x14ac:dyDescent="0.3">
      <c r="A252" s="2" t="s">
        <v>758</v>
      </c>
      <c r="B252" s="3">
        <v>5</v>
      </c>
      <c r="C252" s="3">
        <v>3</v>
      </c>
      <c r="D252" s="3" t="s">
        <v>208</v>
      </c>
      <c r="E252" s="3" t="s">
        <v>759</v>
      </c>
      <c r="F252" s="3" t="s">
        <v>823</v>
      </c>
      <c r="G252" s="3" t="s">
        <v>746</v>
      </c>
      <c r="H252" s="3" t="s">
        <v>22</v>
      </c>
      <c r="I252" s="3" t="s">
        <v>211</v>
      </c>
      <c r="J252" s="3" t="s">
        <v>212</v>
      </c>
      <c r="K252" s="3" t="s">
        <v>213</v>
      </c>
      <c r="L252" s="3" t="s">
        <v>26</v>
      </c>
      <c r="M252" s="3" t="s">
        <v>218</v>
      </c>
      <c r="N252" s="3" t="s">
        <v>88</v>
      </c>
      <c r="O252" s="3" t="s">
        <v>108</v>
      </c>
      <c r="P252" s="3" t="s">
        <v>214</v>
      </c>
      <c r="Q252" s="3" t="s">
        <v>31</v>
      </c>
      <c r="R252" s="3" t="s">
        <v>108</v>
      </c>
      <c r="S252" s="23">
        <v>46045.475300925929</v>
      </c>
      <c r="T252" s="24">
        <v>46048.407465277778</v>
      </c>
    </row>
    <row r="253" spans="1:20" x14ac:dyDescent="0.3">
      <c r="A253" s="4" t="s">
        <v>760</v>
      </c>
      <c r="B253" s="5">
        <v>5</v>
      </c>
      <c r="C253" s="5">
        <v>3</v>
      </c>
      <c r="D253" s="5" t="s">
        <v>208</v>
      </c>
      <c r="E253" s="5" t="s">
        <v>761</v>
      </c>
      <c r="F253" s="5" t="s">
        <v>834</v>
      </c>
      <c r="G253" s="5" t="s">
        <v>762</v>
      </c>
      <c r="H253" s="5" t="s">
        <v>22</v>
      </c>
      <c r="I253" s="5" t="s">
        <v>211</v>
      </c>
      <c r="J253" s="5" t="s">
        <v>214</v>
      </c>
      <c r="K253" s="5" t="s">
        <v>213</v>
      </c>
      <c r="L253" s="5" t="s">
        <v>26</v>
      </c>
      <c r="M253" s="5" t="s">
        <v>218</v>
      </c>
      <c r="N253" s="5" t="s">
        <v>39</v>
      </c>
      <c r="O253" s="5" t="s">
        <v>47</v>
      </c>
      <c r="P253" s="5" t="s">
        <v>213</v>
      </c>
      <c r="Q253" s="5" t="s">
        <v>31</v>
      </c>
      <c r="R253" s="5" t="s">
        <v>48</v>
      </c>
      <c r="S253" s="25">
        <v>46043.607083333336</v>
      </c>
      <c r="T253" s="26">
        <v>46048.419317129628</v>
      </c>
    </row>
    <row r="254" spans="1:20" x14ac:dyDescent="0.3">
      <c r="A254" s="2" t="s">
        <v>763</v>
      </c>
      <c r="B254" s="3">
        <v>5</v>
      </c>
      <c r="C254" s="3">
        <v>3</v>
      </c>
      <c r="D254" s="3" t="s">
        <v>208</v>
      </c>
      <c r="E254" s="3" t="s">
        <v>764</v>
      </c>
      <c r="F254" s="3" t="s">
        <v>823</v>
      </c>
      <c r="G254" s="3" t="s">
        <v>746</v>
      </c>
      <c r="H254" s="3" t="s">
        <v>22</v>
      </c>
      <c r="I254" s="3" t="s">
        <v>211</v>
      </c>
      <c r="J254" s="3" t="s">
        <v>214</v>
      </c>
      <c r="K254" s="3" t="s">
        <v>213</v>
      </c>
      <c r="L254" s="3" t="s">
        <v>26</v>
      </c>
      <c r="M254" s="3" t="s">
        <v>218</v>
      </c>
      <c r="N254" s="3" t="s">
        <v>88</v>
      </c>
      <c r="O254" s="3" t="s">
        <v>47</v>
      </c>
      <c r="P254" s="3" t="s">
        <v>214</v>
      </c>
      <c r="Q254" s="3" t="s">
        <v>31</v>
      </c>
      <c r="R254" s="3" t="s">
        <v>47</v>
      </c>
      <c r="S254" s="23">
        <v>46045.466261574074</v>
      </c>
      <c r="T254" s="24">
        <v>46048.408067129632</v>
      </c>
    </row>
    <row r="255" spans="1:20" x14ac:dyDescent="0.3">
      <c r="A255" s="4" t="s">
        <v>765</v>
      </c>
      <c r="B255" s="5">
        <v>5</v>
      </c>
      <c r="C255" s="5">
        <v>3</v>
      </c>
      <c r="D255" s="5" t="s">
        <v>208</v>
      </c>
      <c r="E255" s="5" t="s">
        <v>766</v>
      </c>
      <c r="F255" s="5" t="s">
        <v>823</v>
      </c>
      <c r="G255" s="5" t="s">
        <v>746</v>
      </c>
      <c r="H255" s="5" t="s">
        <v>22</v>
      </c>
      <c r="I255" s="5" t="s">
        <v>211</v>
      </c>
      <c r="J255" s="5" t="s">
        <v>214</v>
      </c>
      <c r="K255" s="5" t="s">
        <v>213</v>
      </c>
      <c r="L255" s="5" t="s">
        <v>26</v>
      </c>
      <c r="M255" s="5" t="s">
        <v>218</v>
      </c>
      <c r="N255" s="5" t="s">
        <v>88</v>
      </c>
      <c r="O255" s="5" t="s">
        <v>47</v>
      </c>
      <c r="P255" s="5" t="s">
        <v>214</v>
      </c>
      <c r="Q255" s="5" t="s">
        <v>31</v>
      </c>
      <c r="R255" s="5" t="s">
        <v>47</v>
      </c>
      <c r="S255" s="25">
        <v>46045.46607638889</v>
      </c>
      <c r="T255" s="26">
        <v>46048.40792824074</v>
      </c>
    </row>
    <row r="256" spans="1:20" x14ac:dyDescent="0.3">
      <c r="A256" s="2" t="s">
        <v>767</v>
      </c>
      <c r="B256" s="3">
        <v>5</v>
      </c>
      <c r="C256" s="3">
        <v>3</v>
      </c>
      <c r="D256" s="3" t="s">
        <v>116</v>
      </c>
      <c r="E256" s="3" t="s">
        <v>768</v>
      </c>
      <c r="F256" s="3" t="s">
        <v>821</v>
      </c>
      <c r="G256" s="3" t="s">
        <v>769</v>
      </c>
      <c r="H256" s="3" t="s">
        <v>22</v>
      </c>
      <c r="I256" s="3" t="s">
        <v>119</v>
      </c>
      <c r="J256" s="3" t="s">
        <v>120</v>
      </c>
      <c r="K256" s="3" t="s">
        <v>121</v>
      </c>
      <c r="L256" s="3" t="s">
        <v>26</v>
      </c>
      <c r="M256" s="3" t="s">
        <v>770</v>
      </c>
      <c r="N256" s="3" t="s">
        <v>56</v>
      </c>
      <c r="O256" s="3" t="s">
        <v>57</v>
      </c>
      <c r="P256" s="3" t="s">
        <v>30</v>
      </c>
      <c r="Q256" s="3" t="s">
        <v>97</v>
      </c>
      <c r="R256" s="3" t="s">
        <v>57</v>
      </c>
      <c r="S256" s="23">
        <v>46044.749328703707</v>
      </c>
      <c r="T256" s="24">
        <v>46048.390972222223</v>
      </c>
    </row>
    <row r="257" spans="1:20" x14ac:dyDescent="0.3">
      <c r="A257" s="4" t="s">
        <v>771</v>
      </c>
      <c r="B257" s="5">
        <v>5</v>
      </c>
      <c r="C257" s="5">
        <v>3</v>
      </c>
      <c r="D257" s="5" t="s">
        <v>116</v>
      </c>
      <c r="E257" s="5" t="s">
        <v>772</v>
      </c>
      <c r="F257" s="5" t="s">
        <v>821</v>
      </c>
      <c r="G257" s="5" t="s">
        <v>773</v>
      </c>
      <c r="H257" s="5" t="s">
        <v>22</v>
      </c>
      <c r="I257" s="5" t="s">
        <v>119</v>
      </c>
      <c r="J257" s="5" t="s">
        <v>120</v>
      </c>
      <c r="K257" s="5" t="s">
        <v>121</v>
      </c>
      <c r="L257" s="5" t="s">
        <v>26</v>
      </c>
      <c r="M257" s="5" t="s">
        <v>770</v>
      </c>
      <c r="N257" s="5" t="s">
        <v>56</v>
      </c>
      <c r="O257" s="5" t="s">
        <v>57</v>
      </c>
      <c r="P257" s="5" t="s">
        <v>30</v>
      </c>
      <c r="Q257" s="5" t="s">
        <v>97</v>
      </c>
      <c r="R257" s="5" t="s">
        <v>57</v>
      </c>
      <c r="S257" s="25">
        <v>46044.76935185185</v>
      </c>
      <c r="T257" s="26">
        <v>46048.389664351853</v>
      </c>
    </row>
    <row r="258" spans="1:20" x14ac:dyDescent="0.3">
      <c r="A258" s="2" t="s">
        <v>774</v>
      </c>
      <c r="B258" s="3">
        <v>5</v>
      </c>
      <c r="C258" s="3">
        <v>3</v>
      </c>
      <c r="D258" s="3" t="s">
        <v>648</v>
      </c>
      <c r="E258" s="3" t="s">
        <v>775</v>
      </c>
      <c r="F258" s="3" t="s">
        <v>821</v>
      </c>
      <c r="G258" s="3" t="s">
        <v>776</v>
      </c>
      <c r="H258" s="3" t="s">
        <v>22</v>
      </c>
      <c r="I258" s="3" t="s">
        <v>651</v>
      </c>
      <c r="J258" s="3" t="s">
        <v>656</v>
      </c>
      <c r="K258" s="3" t="s">
        <v>213</v>
      </c>
      <c r="L258" s="3" t="s">
        <v>68</v>
      </c>
      <c r="M258" s="3" t="s">
        <v>770</v>
      </c>
      <c r="N258" s="3" t="s">
        <v>56</v>
      </c>
      <c r="O258" s="3" t="s">
        <v>170</v>
      </c>
      <c r="P258" s="3" t="s">
        <v>651</v>
      </c>
      <c r="Q258" s="3" t="s">
        <v>31</v>
      </c>
      <c r="R258" s="3" t="s">
        <v>170</v>
      </c>
      <c r="S258" s="23">
        <v>46042.578831018516</v>
      </c>
      <c r="T258" s="24">
        <v>46042.578831018516</v>
      </c>
    </row>
    <row r="259" spans="1:20" x14ac:dyDescent="0.3">
      <c r="A259" s="4" t="s">
        <v>777</v>
      </c>
      <c r="B259" s="5">
        <v>5</v>
      </c>
      <c r="C259" s="5">
        <v>3</v>
      </c>
      <c r="D259" s="5" t="s">
        <v>648</v>
      </c>
      <c r="E259" s="5" t="s">
        <v>778</v>
      </c>
      <c r="F259" s="5" t="s">
        <v>821</v>
      </c>
      <c r="G259" s="5" t="s">
        <v>779</v>
      </c>
      <c r="H259" s="5" t="s">
        <v>22</v>
      </c>
      <c r="I259" s="5" t="s">
        <v>651</v>
      </c>
      <c r="J259" s="5" t="s">
        <v>652</v>
      </c>
      <c r="K259" s="5" t="s">
        <v>213</v>
      </c>
      <c r="L259" s="5" t="s">
        <v>26</v>
      </c>
      <c r="M259" s="5" t="s">
        <v>770</v>
      </c>
      <c r="N259" s="5" t="s">
        <v>56</v>
      </c>
      <c r="O259" s="5" t="s">
        <v>57</v>
      </c>
      <c r="P259" s="5" t="s">
        <v>30</v>
      </c>
      <c r="Q259" s="5" t="s">
        <v>31</v>
      </c>
      <c r="R259" s="5" t="s">
        <v>57</v>
      </c>
      <c r="S259" s="25">
        <v>46042.632974537039</v>
      </c>
      <c r="T259" s="26">
        <v>46043.475937499999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9C244D-EF0B-4680-9C4C-16373CDA9D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Sheet2</vt:lpstr>
      <vt:lpstr>Sheet5</vt:lpstr>
      <vt:lpstr>Sheet6</vt:lpstr>
      <vt:lpstr>Iteration2_2차_3자_결함</vt:lpstr>
      <vt:lpstr>Sheet8</vt:lpstr>
      <vt:lpstr>Sheet7</vt:lpstr>
      <vt:lpstr>tag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IIS-IDT-N-0063-U</dc:creator>
  <cp:lastModifiedBy>IIS-IDT-N-0063-U</cp:lastModifiedBy>
  <dcterms:created xsi:type="dcterms:W3CDTF">2026-01-28T11:05:43Z</dcterms:created>
  <dcterms:modified xsi:type="dcterms:W3CDTF">2026-01-28T15:00:32Z</dcterms:modified>
</cp:coreProperties>
</file>