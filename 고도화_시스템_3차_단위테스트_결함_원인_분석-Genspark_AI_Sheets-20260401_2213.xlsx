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5. IIAC\3자테스트\"/>
    </mc:Choice>
  </mc:AlternateContent>
  <xr:revisionPtr revIDLastSave="0" documentId="8_{CD089D76-9FB3-4446-A571-D8F813C050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Sheet4" sheetId="7" r:id="rId2"/>
    <sheet name="분석결과" sheetId="6" r:id="rId3"/>
    <sheet name="Sheet2" sheetId="5" r:id="rId4"/>
    <sheet name="Iteration2_3_테스트 결함20260401" sheetId="1" r:id="rId5"/>
    <sheet name="Iteration2_3_테스트 결과20260401" sheetId="2" r:id="rId6"/>
  </sheets>
  <definedNames>
    <definedName name="_xlchart.v1.0" hidden="1">Sheet4!$M$10:$M$14</definedName>
    <definedName name="_xlchart.v1.1" hidden="1">Sheet4!$N$10:$N$14</definedName>
    <definedName name="_xlchart.v1.2" hidden="1">Sheet4!$M$10:$M$14</definedName>
    <definedName name="_xlchart.v1.3" hidden="1">Sheet4!$N$10:$N$14</definedName>
    <definedName name="ExternalData_1" localSheetId="5">'Iteration2_3_테스트 결과20260401'!$A$1:$AF$503</definedName>
    <definedName name="ExternalData_2" localSheetId="4">'Iteration2_3_테스트 결함20260401'!$A$1:$N$638</definedName>
    <definedName name="f_list">Sheet1!$N$85:$T$96</definedName>
    <definedName name="tag">Sheet1!$N$5:$W$20</definedName>
    <definedName name="Test_list">Sheet2!$A$5:$G$19</definedName>
  </definedNames>
  <calcPr calcId="191029"/>
  <pivotCaches>
    <pivotCache cacheId="2" r:id="rId7"/>
    <pivotCache cacheId="7" r:id="rId8"/>
    <pivotCache cacheId="1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3" l="1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80" i="3"/>
  <c r="P4" i="7"/>
  <c r="P5" i="7"/>
  <c r="P6" i="7"/>
  <c r="P3" i="7"/>
  <c r="C42" i="7"/>
  <c r="D42" i="7"/>
  <c r="E42" i="7"/>
  <c r="B42" i="7"/>
  <c r="C90" i="3"/>
  <c r="C87" i="3"/>
  <c r="C82" i="3"/>
  <c r="C83" i="3"/>
  <c r="C84" i="3"/>
  <c r="C85" i="3"/>
  <c r="C86" i="3"/>
  <c r="C88" i="3"/>
  <c r="C89" i="3"/>
  <c r="C92" i="3"/>
  <c r="C93" i="3"/>
  <c r="C94" i="3"/>
  <c r="C95" i="3"/>
  <c r="C80" i="3"/>
  <c r="I69" i="3"/>
  <c r="I58" i="3"/>
  <c r="I59" i="3"/>
  <c r="I60" i="3"/>
  <c r="I61" i="3"/>
  <c r="I62" i="3"/>
  <c r="I63" i="3"/>
  <c r="I64" i="3"/>
  <c r="I65" i="3"/>
  <c r="I66" i="3"/>
  <c r="I67" i="3"/>
  <c r="I68" i="3"/>
  <c r="I57" i="3"/>
  <c r="Q6" i="3"/>
  <c r="R6" i="3"/>
  <c r="P6" i="3"/>
  <c r="H97" i="3" l="1"/>
  <c r="F97" i="3"/>
  <c r="G97" i="3"/>
  <c r="D97" i="3"/>
  <c r="E97" i="3"/>
  <c r="I97" i="3"/>
  <c r="C97" i="3"/>
  <c r="J97" i="3"/>
</calcChain>
</file>

<file path=xl/sharedStrings.xml><?xml version="1.0" encoding="utf-8"?>
<sst xmlns="http://schemas.openxmlformats.org/spreadsheetml/2006/main" count="29742" uniqueCount="3463">
  <si>
    <t>시나리오ID</t>
  </si>
  <si>
    <t>테스트차수</t>
  </si>
  <si>
    <t>업무모듈명</t>
  </si>
  <si>
    <t>결함ID</t>
  </si>
  <si>
    <t>결함내용</t>
  </si>
  <si>
    <t>PL</t>
  </si>
  <si>
    <t>개발자</t>
  </si>
  <si>
    <t>기능유형</t>
  </si>
  <si>
    <t>결함구분</t>
  </si>
  <si>
    <t>결함유형</t>
  </si>
  <si>
    <t>결함상태</t>
  </si>
  <si>
    <t>심각도</t>
  </si>
  <si>
    <t>조치상태</t>
  </si>
  <si>
    <t>결함등록일</t>
  </si>
  <si>
    <t>결함수정일시</t>
  </si>
  <si>
    <t>상세원인</t>
  </si>
  <si>
    <t>결함분류유형</t>
  </si>
  <si>
    <t>UT-AS40201S</t>
  </si>
  <si>
    <t>2-3차</t>
  </si>
  <si>
    <t>항공통계포털(AS)</t>
  </si>
  <si>
    <t>DEF-04628</t>
  </si>
  <si>
    <t>[S_2] 중복되는 순위가 있어 확인 부탁드립니다.</t>
  </si>
  <si>
    <t>장은성</t>
  </si>
  <si>
    <t>임소정</t>
  </si>
  <si>
    <t>3자테스터공통</t>
  </si>
  <si>
    <t>Online</t>
  </si>
  <si>
    <t>결함</t>
  </si>
  <si>
    <t>UI</t>
  </si>
  <si>
    <t>결함검토요청</t>
  </si>
  <si>
    <t>Minor</t>
  </si>
  <si>
    <t>테스트 결과 값 오류</t>
  </si>
  <si>
    <t>값검증</t>
  </si>
  <si>
    <t>UT-SLOTOF005S</t>
  </si>
  <si>
    <t>SLOT관리(SLOT)</t>
  </si>
  <si>
    <t>DEF-04456</t>
  </si>
  <si>
    <t>데이터 업로드 안됨</t>
  </si>
  <si>
    <t>김형진</t>
  </si>
  <si>
    <t>서창민</t>
  </si>
  <si>
    <t>개선/변경</t>
  </si>
  <si>
    <t>기능</t>
  </si>
  <si>
    <t>개선/변경 또는 신규 요청</t>
  </si>
  <si>
    <t>결함아님</t>
  </si>
  <si>
    <t>UT-AS42101S</t>
  </si>
  <si>
    <t>DEF-04648</t>
  </si>
  <si>
    <t>[X_1] Remark = KE + OZ + OAL + G/A + TOTAL로 계산되고 있는데 TOTAL과 Remark가 바뀐 것은 아닌지 확인 부탁드립니다.</t>
  </si>
  <si>
    <t>UT-GO12707S</t>
  </si>
  <si>
    <t>공항운영(GO)</t>
  </si>
  <si>
    <t>DEF-04475</t>
  </si>
  <si>
    <t>네트워크 오류 반복</t>
  </si>
  <si>
    <t>신문호</t>
  </si>
  <si>
    <t>김경준</t>
  </si>
  <si>
    <t>성능</t>
  </si>
  <si>
    <t>화면 로딩 불가</t>
  </si>
  <si>
    <t>환경미비</t>
  </si>
  <si>
    <t>DEF-04506</t>
  </si>
  <si>
    <t>테스트 시나리오의 문서상의 메뉴와 화면이 일치하지 않음</t>
  </si>
  <si>
    <t>기타</t>
  </si>
  <si>
    <t>테스트 결과서 증적 미흡 또는 부재</t>
  </si>
  <si>
    <t>문서</t>
  </si>
  <si>
    <t>UT-GO12707R</t>
  </si>
  <si>
    <t>DEF-04504</t>
  </si>
  <si>
    <t xml:space="preserve">단위테스트 결과서 확인 필요 (시나리오ID : GO12505 중복으로 보임) </t>
  </si>
  <si>
    <t>Report</t>
  </si>
  <si>
    <t>UT-AS38101S</t>
  </si>
  <si>
    <t>DEF-04600</t>
  </si>
  <si>
    <t>[X_1] 페이지 초기 접근 시 운항실적 탭이 default로 선택되어있어 운항실적이 조회될 것으로 기대되나 그리드 영역에 '데이터가 없습니다.'라고 표출되어 데이터가 없는 것으로 오인될 여지가 있습니다.
탭 변경(여객실적 또는 화물실적) 후 운항실적으로 다시 탭 변경 시 정상적으로 데이터가 표출되어 확인 부탁드립니다.</t>
  </si>
  <si>
    <t>프로세스</t>
  </si>
  <si>
    <t>Major</t>
  </si>
  <si>
    <t>테스트 데이터 불충분</t>
  </si>
  <si>
    <t>데이터누락</t>
  </si>
  <si>
    <t>DEF-04598</t>
  </si>
  <si>
    <t xml:space="preserve">[차트설정 공통] [S_13] Y축 최솟값/최댓값, 값표시 체크박스 설정 등 차트설정이 적용되지 않아 확인 부탁드립니다. </t>
  </si>
  <si>
    <t>공통 체크리스트 구현 불충분</t>
  </si>
  <si>
    <t>공통화면</t>
  </si>
  <si>
    <t>DEF-04617</t>
  </si>
  <si>
    <t>[그리드 공통] [S_8] [S_9] 고정된 열의 데이터 영역 z-index가 필터 영역 z-index보다 높아서 필터 영역이 데이터 영역 뒤로 숨겨집니다. 따라서 필터 설정 이후 해당 열 고정은 가능하지만, 열 고정 이후 해당 열 필터 설정은 불가능하여 확인 부탁드립니다.</t>
  </si>
  <si>
    <t>구현 화면 비정상</t>
  </si>
  <si>
    <t>화면</t>
  </si>
  <si>
    <t>DEF-04634</t>
  </si>
  <si>
    <t>[X_2] 그리드 행 ↔ 열 전환 시 ,가 사라집니다(숫자 출력 포맷이 다릅니다).</t>
  </si>
  <si>
    <t>DEF-04635</t>
  </si>
  <si>
    <t>[C_XX] 메뉴 네비게이션 표기 오류
바른표기 : 
HOME &gt; 주제별 통계 &gt; 첨두 &gt; 첨두일 실적</t>
  </si>
  <si>
    <t>데이터</t>
  </si>
  <si>
    <t>UT-AS38102S</t>
  </si>
  <si>
    <t>DEF-04601</t>
  </si>
  <si>
    <t>[C_1] (차트 툴팁 오타) '여객객실적' → '여객실적'</t>
  </si>
  <si>
    <t>UT-AS39101S</t>
  </si>
  <si>
    <t>DEF-04620</t>
  </si>
  <si>
    <t>[C_1] (차트 버튼 툴팁 오타) 첨두'일'실적 → 첨두'주'실적</t>
  </si>
  <si>
    <t>UT-AS40301S</t>
  </si>
  <si>
    <t>DEF-04630</t>
  </si>
  <si>
    <t>[일부 그리드 공통] [S_2] 중복되는 순위가 있어 확인 부탁드립니다.</t>
  </si>
  <si>
    <t>UT-AS40805S</t>
  </si>
  <si>
    <t>DEF-04638</t>
  </si>
  <si>
    <t>[국가별 취항도시 공통(AS40805S, AS40806S, AS40807S)] [S_2] 데이터가 존재하지 않아 확인이 불가능합니다.</t>
  </si>
  <si>
    <t>기타 결함</t>
  </si>
  <si>
    <t>UT-AS41501S</t>
  </si>
  <si>
    <t>DEF-04660</t>
  </si>
  <si>
    <t>[S_1] 증적 누락</t>
  </si>
  <si>
    <t>문서화</t>
  </si>
  <si>
    <t>UT-AS42201S</t>
  </si>
  <si>
    <t>DEF-04649</t>
  </si>
  <si>
    <t>[S_7 관련] 행 ↔ 열 전환 시마다 그리드설정 섹션에 KE 항목이 하나씩 생깁니다.</t>
  </si>
  <si>
    <t>UT-AS42601S</t>
  </si>
  <si>
    <t>DEF-04655</t>
  </si>
  <si>
    <t>[S_2] 기준일자를 제외한 다른 항목으로 검색이 불가능합니다.</t>
  </si>
  <si>
    <t>Critical</t>
  </si>
  <si>
    <t>UT-AS42701S</t>
  </si>
  <si>
    <t>DEF-04661</t>
  </si>
  <si>
    <t>[X_1] 데이터가 존재하지 않아 확인이 어렵습니다.</t>
  </si>
  <si>
    <t>UT-RS-SP81</t>
  </si>
  <si>
    <t>자원배정(RS)</t>
  </si>
  <si>
    <t>DEF-04445</t>
  </si>
  <si>
    <t>[S_1-1] '수치가 부적합합니다' 라는 에러가 발생합니다.</t>
  </si>
  <si>
    <t>유경섭</t>
  </si>
  <si>
    <t>양우창</t>
  </si>
  <si>
    <t>프로시져</t>
  </si>
  <si>
    <t>UT-RS-SP82</t>
  </si>
  <si>
    <t>DEF-04446</t>
  </si>
  <si>
    <t>UT-RS-SP84</t>
  </si>
  <si>
    <t>DEF-04447</t>
  </si>
  <si>
    <t>[S_1-1] '무결성 제약 조건(RSOWN.TN_RS_CKNCT_ALTMNT_EXCN_OPT_PK)에 위배됩니다' 라는 에러가 발생합니다.</t>
  </si>
  <si>
    <t>기능 미동작 또는 오류</t>
  </si>
  <si>
    <t>UT-RS-SP85</t>
  </si>
  <si>
    <t>DEF-04448</t>
  </si>
  <si>
    <t>[S_1-1] 'ORA-00947: 값의 수가 충분하지 않습니다
Error position: line: 1 pos: 12' 라는 에러가 발생합니다.</t>
  </si>
  <si>
    <t>스키마명 보완 또는 DB 권한 필요</t>
  </si>
  <si>
    <t>스키마권한</t>
  </si>
  <si>
    <t>UT-RS-SP87</t>
  </si>
  <si>
    <t>DEF-04449</t>
  </si>
  <si>
    <t>[S_1-1] 'ORA-00904: "CRSL_STAT_CD": 부적합한 식별자' 라는 에러가 발생합니다.</t>
  </si>
  <si>
    <t>UT-RS-SP90</t>
  </si>
  <si>
    <t>DEF-04450</t>
  </si>
  <si>
    <t>[S_0] 쿼리 자체의 에러는 아니지만 '*' 오타가 있습니다.</t>
  </si>
  <si>
    <t>UT-AS-SP11</t>
  </si>
  <si>
    <t>DEF-04763</t>
  </si>
  <si>
    <t>[S_2] 프로시저 호출 시 오류: SQL Error [42000]: JDBC-8052:Invalid object status.
at line 1, column 2 of null:
CALL GOOWN.SP_GO_FIMSACSTDALYOPER_RCV
^</t>
  </si>
  <si>
    <t>UT-AS-SP12</t>
  </si>
  <si>
    <t>DEF-04765</t>
  </si>
  <si>
    <t>[S_2] 프로시저 호출 시 에러 발생: SQL Error [42000]: JDBC-8052:Invalid object status.
at line 1, column 2 of null:
CALL GOOWN.SP_GO_FIMSACSTDALYOPER_RCV
^</t>
  </si>
  <si>
    <t>UT-GO12906S</t>
  </si>
  <si>
    <t>DEF-04514</t>
  </si>
  <si>
    <t>조회조건 시분 입력 시 정상적인 시분이 아닐 경우 오류 발생</t>
  </si>
  <si>
    <t>DEF-04515</t>
  </si>
  <si>
    <t>정상적인 조회 후 시분을 99:99로 변경 후 아래 상세항목 클릭 시 오류 발생
(정상 조회 조건 :
Date : 직접입력
날짜 : 2025-06-10
시분 : 13:00
GRADE : 전체)</t>
  </si>
  <si>
    <t>UT-GO-SP999</t>
  </si>
  <si>
    <t>DEF-04762</t>
  </si>
  <si>
    <t>테스트 결과서 부재</t>
  </si>
  <si>
    <t>신규</t>
  </si>
  <si>
    <t>UT-GO-SP998</t>
  </si>
  <si>
    <t>DEF-04761</t>
  </si>
  <si>
    <t>UT-GO-SP997</t>
  </si>
  <si>
    <t>DEF-04760</t>
  </si>
  <si>
    <t>UT-GO-SP996</t>
  </si>
  <si>
    <t>DEF-04757</t>
  </si>
  <si>
    <t>UT-GO12505S</t>
  </si>
  <si>
    <t>DEF-04501</t>
  </si>
  <si>
    <t>검색조건 기준시간 입력 시 시작 시간이 종료 시간 보다 늦은 시간 입력이 가능함.</t>
  </si>
  <si>
    <t>UT-GO12937S</t>
  </si>
  <si>
    <t>DEF-04530</t>
  </si>
  <si>
    <t>DEF-04531</t>
  </si>
  <si>
    <t>정상적인 조회 후 시분을 99:99로 변경 후 아래 T1 현황에서 38번 클릭 시 오류 발생
(정상 조회 조건
Date : 직접입력
날짜 : 2025-06-10
시분 : 13:00
GRADE : 전체)</t>
  </si>
  <si>
    <t>UT-GO12938S</t>
  </si>
  <si>
    <t>DEF-04534</t>
  </si>
  <si>
    <t>DEF-04535</t>
  </si>
  <si>
    <t>정상적인 조회 후 시분을 99:99로 변경 후 아래 T2 현황에서 247번 클릭 시 오류 발생
(정상 조회 조건
Date : 직접입력
날짜 : 2025-06-15
시분 : 13:00
GRADE : 전체)</t>
  </si>
  <si>
    <t>UT-GO12939S</t>
  </si>
  <si>
    <t>DEF-04537</t>
  </si>
  <si>
    <t>DEF-04540</t>
  </si>
  <si>
    <t>DEF-04541</t>
  </si>
  <si>
    <t>정상적인 조회 후 시분을 99:99로 변경 후 아래 탑승동 현황에서 110번 클릭 시 오류 발생
(정상 조회 조건
Date : 직접입력
날짜 : 2025-06-07
시분 : 13:00
GRADE : 전체)</t>
  </si>
  <si>
    <t>UT-GO12912S</t>
  </si>
  <si>
    <t>DEF-04520</t>
  </si>
  <si>
    <t>DEF-04523</t>
  </si>
  <si>
    <t>정상적인 조회 후 시분을 99:99로 변경 후 아래 화물 화면에서 652클릭 후 650 클릭 시 오류 발생
(정상 조회 조건
Date : 직접입력
날짜 : 2025-06-10
시분 : 13:00
GRADE : 전체)</t>
  </si>
  <si>
    <t>UT-GO12940S</t>
  </si>
  <si>
    <t>DEF-04543</t>
  </si>
  <si>
    <t>UT-GO14001S</t>
  </si>
  <si>
    <t>DEF-04547</t>
  </si>
  <si>
    <t>단위테스트결과서 부재</t>
  </si>
  <si>
    <t>DEF-04624</t>
  </si>
  <si>
    <t>[C_1] (차트 버튼 툴팁 오타) '첨두월 실적' → '첨두일 현황'</t>
  </si>
  <si>
    <t>UT-PM20157S</t>
  </si>
  <si>
    <t>2-2차</t>
  </si>
  <si>
    <t>예측관리(PM)</t>
  </si>
  <si>
    <t>DEF-03396</t>
  </si>
  <si>
    <t>[S_6] 
시뮬레이션 이력이 저장되지 않음</t>
  </si>
  <si>
    <t>염희석</t>
  </si>
  <si>
    <t>노세찬</t>
  </si>
  <si>
    <t>결함등록기각</t>
  </si>
  <si>
    <t/>
  </si>
  <si>
    <t>DEF-03393</t>
  </si>
  <si>
    <t xml:space="preserve">[S_5] 
최초 조회시 (2026-01-19 기준) 그래프 값 정상 확인
2번째 조회시 (2026-01-01 기준) 값이 이전 값 그대로 유지됨, 업데이트가 되지 않음 </t>
  </si>
  <si>
    <t>UT-PM20158S</t>
  </si>
  <si>
    <t>DEF-03410</t>
  </si>
  <si>
    <t>[S_2] 
서편 선택시에도 테이블에 동편 데이터로 나옴</t>
  </si>
  <si>
    <t>DEF-03417</t>
  </si>
  <si>
    <t>[X_2] 
테이블 초기 선택 row가 마지막 행으로 되어있음</t>
  </si>
  <si>
    <t>DEF-03408</t>
  </si>
  <si>
    <t>[X_1] 
1920*1080, 크롬 100% 배율
최초 조회시 그래프 이미지 사이즈가 맞지 않음 (스크롤바도 안보임)
한번 배율 조정후에야 스크롤바 보임</t>
  </si>
  <si>
    <t>UT-PM20159S</t>
  </si>
  <si>
    <t>DEF-03437</t>
  </si>
  <si>
    <t>[C_5] 
시뮬레이션 결과값이 정상적으로 저장되었는지의 메시지 표출이 없음</t>
  </si>
  <si>
    <t>표준</t>
  </si>
  <si>
    <t>DEF-03439</t>
  </si>
  <si>
    <t>DEF-03440</t>
  </si>
  <si>
    <t>DEF-03441</t>
  </si>
  <si>
    <t>DEF-03443</t>
  </si>
  <si>
    <t>[X_3] 
헤더명 결함 추정
동편 -&gt; 선택한 라디오 값 (출국장1/출국장2)</t>
  </si>
  <si>
    <t>UT-PM20160S</t>
  </si>
  <si>
    <t>DEF-03447</t>
  </si>
  <si>
    <t>DEF-03448</t>
  </si>
  <si>
    <t>UT-PM20161M</t>
  </si>
  <si>
    <t>DEF-03444</t>
  </si>
  <si>
    <t>UT-ES-SP127</t>
  </si>
  <si>
    <t>2-1차</t>
  </si>
  <si>
    <t>모바일(WES)</t>
  </si>
  <si>
    <t>DEF-02389</t>
  </si>
  <si>
    <t>[X_1] 단위 테스트 시나리오 및 테스트 데이터 필요
(오 입력입니다. 해당 건은 정상처리 부탁드립니다.)</t>
  </si>
  <si>
    <t>임지훈</t>
  </si>
  <si>
    <t>김용진</t>
  </si>
  <si>
    <t>박상기</t>
  </si>
  <si>
    <t>UT-WESCASY051S</t>
  </si>
  <si>
    <t>DEF-04524</t>
  </si>
  <si>
    <t>[S_1] 페이지 초기 로드 시 예외가 발생하여 아무 데이터도 조회되지 않았지만 하단에 '총 960 건' 이라고 오기되어 있습니다.</t>
  </si>
  <si>
    <t>홍성민</t>
  </si>
  <si>
    <t>DEF-04527</t>
  </si>
  <si>
    <t>[S_2] [S_3] 단위테스트결과서상에는 조회 시작 일자 및 종료 일자가 존재하나 실제론 단일 날짜 조회만 가능합니다(증적과 상이).</t>
  </si>
  <si>
    <t>UT-FPFS092M</t>
  </si>
  <si>
    <t>운항계획(FP)</t>
  </si>
  <si>
    <t>DEF-04621</t>
  </si>
  <si>
    <t>code share check 아이콘 짤림(겹침)</t>
  </si>
  <si>
    <t>장경진</t>
  </si>
  <si>
    <t>현영광</t>
  </si>
  <si>
    <t>DEF-04529</t>
  </si>
  <si>
    <t>[X_001] 테스트 결과서 Create Flight Shere는 시스템 메뉴에는 보이지 않음</t>
  </si>
  <si>
    <t>김승무</t>
  </si>
  <si>
    <t>UT-WESRC001S</t>
  </si>
  <si>
    <t>DEF-04533</t>
  </si>
  <si>
    <t>[S_1] Daily Chart 버튼 클릭 시 404 에러가 발생합니다.</t>
  </si>
  <si>
    <t>UT-WESRC002S</t>
  </si>
  <si>
    <t>DEF-04536</t>
  </si>
  <si>
    <t>[S_2] Monthly Chart 버튼 클릭 시 404 에러가 발생합니다.</t>
  </si>
  <si>
    <t>DEF-04539</t>
  </si>
  <si>
    <t>[S_1] 단위시험시나리오의 시험데이터와 검색 컴포넌트의 입력 가능 항목이 서로 상이합니다.</t>
  </si>
  <si>
    <t>DEF-04542</t>
  </si>
  <si>
    <t>[S_1] 배정정보가 존재하는 row를 선택한 뒤 Multi Chart 버튼을 선택해도 404 에러가 발생합니다.</t>
  </si>
  <si>
    <t>UT-FP-SP189</t>
  </si>
  <si>
    <t>DEF-02465</t>
  </si>
  <si>
    <t>[S_1] 테이블이 존재하지 않음</t>
  </si>
  <si>
    <t>이인용</t>
  </si>
  <si>
    <t>UT-FP-SP188</t>
  </si>
  <si>
    <t>DEF-02464</t>
  </si>
  <si>
    <t>[S_1] 테이블 자체가 존재하지않음</t>
  </si>
  <si>
    <t>UT-FP-SP187</t>
  </si>
  <si>
    <t>DEF-02445</t>
  </si>
  <si>
    <t>[S_1][S_2][S_3] 데이터가 존재하지않음</t>
  </si>
  <si>
    <t>UT-FPMG040M</t>
  </si>
  <si>
    <t>DEF-03497</t>
  </si>
  <si>
    <t>[C_22] Message Details 상세 정보 창이 pendinglist Next를 할 때, 갑자기 가운데로 옮겨지는 현상이 발생함. FLC가 다른 항공사로 변경될 때(ADM Message 종류가 바뀔 때) 발생</t>
  </si>
  <si>
    <t>UT-MESAC016S</t>
  </si>
  <si>
    <t>모바일(MES)</t>
  </si>
  <si>
    <t>DEF-02236</t>
  </si>
  <si>
    <t xml:space="preserve">[S_2-1] 검색 필터링에 아래와 같은 포맷도 문자열이 입력되어야함
예) 5Y531, 5J185
&gt;&gt; [정정] 2025-11-10 // 새로고침 후 재테스트 해보니 정상 확인하였습니다. 바로 조치처리 부탁합니다. </t>
  </si>
  <si>
    <t>이수빈</t>
  </si>
  <si>
    <t>UT-CAMN009M</t>
  </si>
  <si>
    <t>공통관리(FIMS-CA)</t>
  </si>
  <si>
    <t>DEF-04241</t>
  </si>
  <si>
    <t>도움말 아이콘이 비활성화 되어 있음</t>
  </si>
  <si>
    <t>김명준</t>
  </si>
  <si>
    <t>UT-CARF034S</t>
  </si>
  <si>
    <t>DEF-03661</t>
  </si>
  <si>
    <t xml:space="preserve">
[S_3] Countes ID 5자리 이상 값이 들어가면 시스템 오류 , 한글도 입력 됨 
==&gt; check-in Count내용이 잘못 들어감  기각처리 해 주세요. </t>
  </si>
  <si>
    <t>최민지</t>
  </si>
  <si>
    <t>UT-AC-SP51</t>
  </si>
  <si>
    <t>항공기관제(AC)</t>
  </si>
  <si>
    <t>DEF-03565</t>
  </si>
  <si>
    <t>CALL SP_ESB_DEICING_INFO_RCV() ; 실행 시
SQL Error [6576] [65000]: ORA-06576: 함수 또는 프로시저 이름이 부적합합니다</t>
  </si>
  <si>
    <t>조수일</t>
  </si>
  <si>
    <t>이용혁</t>
  </si>
  <si>
    <t>UT-FPFC071M</t>
  </si>
  <si>
    <t>DEF-03746</t>
  </si>
  <si>
    <t>[X_1] 테스트 결과서가 확인되지 않음(FPFC071M, FPFC084M, FPFC106M)</t>
  </si>
  <si>
    <t>UT-FPFA185S</t>
  </si>
  <si>
    <t>DEF-03435</t>
  </si>
  <si>
    <t>[S_8] [SELECT] 버튼 클릭하고 닫은 뒤, 다른 row를 선택하고 [SELECT] 버튼을 누르면 이전 데이터의 팝업이 계속 뜸</t>
  </si>
  <si>
    <t>DEF-03433</t>
  </si>
  <si>
    <t xml:space="preserve">[S_3] Unlink 체크박스 체크 시. 링크 운항편이 즉각적으로 출력되지 않음.
체크박스를 한번 더 미체크/체크 시, 링크 운항편이 출력됨. </t>
  </si>
  <si>
    <t>UT-AC-SP53</t>
  </si>
  <si>
    <t>DEF-03567</t>
  </si>
  <si>
    <t>CALL SP_ESB_DEICINGWORKTIMEKASS_RCV() ; 실행 시
SQL Error [6576] [65000]: ORA-06576: 함수 또는 프로시저 이름이 부적합합니다</t>
  </si>
  <si>
    <t>UT-AC-SP58</t>
  </si>
  <si>
    <t>DEF-03569</t>
  </si>
  <si>
    <t>SP_ESB_ONOFFBLOCKTIMEVDG3_RCV() ; 실행 시
SQL Error [6576] [65000]: ORA-06576: 함수 또는 프로시저 이름이 부적합합니다</t>
  </si>
  <si>
    <t>UT-WESRS013S</t>
  </si>
  <si>
    <t>DEF-04507</t>
  </si>
  <si>
    <t>[S_4] Showup Rate 합이 1 이상일 땐 100인지 아닌지 validation이 정상적으로 동작하지만 합이 0일 땐 동작하지 않습니다(저장 가능합니다).</t>
  </si>
  <si>
    <t>UT-FP-SP190</t>
  </si>
  <si>
    <t>DEF-02466</t>
  </si>
  <si>
    <t>[S_1] 테이블이 존재하지않음</t>
  </si>
  <si>
    <t>UT-CAMN009M(A)</t>
  </si>
  <si>
    <t>공통관리(AOMS-CA)</t>
  </si>
  <si>
    <t>DEF-04242</t>
  </si>
  <si>
    <t>온라인 버튼이 비활성화 되어 있음</t>
  </si>
  <si>
    <t>김태훈</t>
  </si>
  <si>
    <t>UT-CPCR001S</t>
  </si>
  <si>
    <t>비상계획(CP)</t>
  </si>
  <si>
    <t>DEF-04546</t>
  </si>
  <si>
    <t>1.결함아님</t>
  </si>
  <si>
    <t>이영석</t>
  </si>
  <si>
    <t>UT-AC-SP52</t>
  </si>
  <si>
    <t>DEF-03566</t>
  </si>
  <si>
    <t xml:space="preserve">CALL SP_ESB_DEICINGWORKTIMEAAPS_RCV() ; 실행 시
SQL Error [6576] [65000]: ORA-06576: 함수 또는 프로시저 이름이 부적합합니다
</t>
  </si>
  <si>
    <t>UT-AC-SP55</t>
  </si>
  <si>
    <t>DEF-03572</t>
  </si>
  <si>
    <t>SP_ESB_ELECSTRIPDEPARTS_RCV() ; 실행 시
SQL Error [6576] [65000]: ORA-06576: 함수 또는 프로시저 이름이 부적합합니다</t>
  </si>
  <si>
    <t>UT-AC-SP56</t>
  </si>
  <si>
    <t>DEF-03571</t>
  </si>
  <si>
    <t>SP_ESB_ONOFFBLOCKTIME_RCV() ; 실행 시
SQL Error [6576] [65000]: ORA-06576: 함수 또는 프로시저 이름이 부적합합니다</t>
  </si>
  <si>
    <t>UT-AC-SP57</t>
  </si>
  <si>
    <t>DEF-03570</t>
  </si>
  <si>
    <t>SP_ESB_ONOFFBLOCKTIMEVDG1_RCV() ; 실행 시
SQL Error [6576] [65000]: ORA-06576: 함수 또는 프로시저 이름이 부적합합니다</t>
  </si>
  <si>
    <t>UT-AC-SP37</t>
  </si>
  <si>
    <t>DEF-03545</t>
  </si>
  <si>
    <t xml:space="preserve">SQL Error [6550] [65000]: ORA-06550: 줄 29, 열1:PLS-00201: 'SP_AC_FIMSACCOMCD_SND' 식별자가 정의되어야 합니다
ORA-06550: 줄 29, 열1:PL/SQL: Statement ignored
</t>
  </si>
  <si>
    <t>UT-AC-SP38</t>
  </si>
  <si>
    <t>DEF-03547</t>
  </si>
  <si>
    <t>SQL Error [6550] [65000]: ORA-06550: 줄 29, 열1:PLS-00201: 'SP_AC_FIMSCTRLTASKDIARY_SND' 식별자가 정의되어야 합니다
ORA-06550: 줄 29, 열1:PL/SQL: Statement ignored</t>
  </si>
  <si>
    <t>UT-AC-SP39</t>
  </si>
  <si>
    <t>DEF-03548</t>
  </si>
  <si>
    <t>CALL SP_AC_CM_AZRT_DELETE('2025111100000006439615', to_char(CURRENT_TIMESTAMP,'YYYYMMDDHH24MISS.FF3') );
SP 실행 시 오류
SQL Error [6576] [65000]: ORA-06576: 함수 또는 프로시저 이름이 부적합합니다</t>
  </si>
  <si>
    <t>UT-AC-SP40</t>
  </si>
  <si>
    <t>DEF-03549</t>
  </si>
  <si>
    <t>SQL Error [6550] [65000]: ORA-06550: 줄 60, 열1:PLS-00201: 'SP_AC_FIMSELECFLTINFO_SND' 식별자가 정의되어야 합니다
ORA-06550: 줄 60, 열1:PL/SQL: Statement ignored</t>
  </si>
  <si>
    <t>UT-AC-SP43</t>
  </si>
  <si>
    <t>DEF-03553</t>
  </si>
  <si>
    <t>단위테스트결과서 없음</t>
  </si>
  <si>
    <t>UT-AC-SP33</t>
  </si>
  <si>
    <t>DEF-03537</t>
  </si>
  <si>
    <t>SQL Error [6550] [65000]: ORA-06550: 줄 58, 열1:PLS-00201: 'SP_AC_FIMSARCFTAPRCTRL_SND' 식별자가 정의되어야 합니다
ORA-06550: 줄 58, 열1:PL/SQL: Statement ignored</t>
  </si>
  <si>
    <t>UT-AC-SP35</t>
  </si>
  <si>
    <t>DEF-03544</t>
  </si>
  <si>
    <t>SQL Error [6550] [65000]: ORA-06550: 줄 25, 열1:PLS-00201: 'SP_AC_FIMSABNTRFFDSBLTY_SND' 식별자가 정의되어야 합니다
ORA-06550: 줄 25, 열1:PL/SQL: Statement ignored</t>
  </si>
  <si>
    <t>UT-CARF004S</t>
  </si>
  <si>
    <t>DEF-03618</t>
  </si>
  <si>
    <t>[x_001]IATA코드에서  ** 만 조회 할수 없음</t>
  </si>
  <si>
    <t>UT-AC-SP50</t>
  </si>
  <si>
    <t>DEF-03564</t>
  </si>
  <si>
    <t>CALL SP_ESB_ASDESPOTTIME4TH_RCV() ; 실행 시
SQL Error [6576] [65000]: ORA-06576: 함수 또는 프로시저 이름이 부적합합니다</t>
  </si>
  <si>
    <t>UT-AC-SP54</t>
  </si>
  <si>
    <t>DEF-03568</t>
  </si>
  <si>
    <t xml:space="preserve">CALL SP_ESB_ELECSTRIPARRARTS_RCV() ; 실행 시
SQL Error [6576] [65000]: ORA-06576: 함수 또는 프로시저 이름이 부적합합니다
</t>
  </si>
  <si>
    <t>UT-AC-SP29</t>
  </si>
  <si>
    <t>DEF-03518</t>
  </si>
  <si>
    <t xml:space="preserve">SP 실행 시 오류
SQL Error [6576] [65000]: ORA-06576: 함수 또는 프로시저 이름이 부적합합니다
</t>
  </si>
  <si>
    <t>UT-PM-SP48</t>
  </si>
  <si>
    <t>DEF-02356</t>
  </si>
  <si>
    <t xml:space="preserve">[S_2] 테스트결과서 상 데이터 INSERT 후 확인하는 테이블이 달라서 조회 불가 (쿼리 업데이트 필요)
-&gt; 확인 결과 순서 맞는 것으로 확인되었습니다. (해당 내용 무시해도 됩니다.)
</t>
  </si>
  <si>
    <t>UT-PM-SP50</t>
  </si>
  <si>
    <t>DEF-02363</t>
  </si>
  <si>
    <t>[X] 제공된 테스트결과서 파일에 스크립트가 없어서 확인 필요
파일명 : (DELETE)UT-SP_PM_ACTDROPOFFUSG_RCV.xlsx
- 파일명으로만 봐서는 삭제된 SP로 보입니다.</t>
  </si>
  <si>
    <t>UT-PM-SP54</t>
  </si>
  <si>
    <t>DEF-02426</t>
  </si>
  <si>
    <t>[X] 테스트결과서 내용 없음
- DELETE로 명시되어 있어서 실제로 사용하는 프로시저인지 확인 필요</t>
  </si>
  <si>
    <t>DEF-03389</t>
  </si>
  <si>
    <t>DEF-03413</t>
  </si>
  <si>
    <t>UT-RSPK073S</t>
  </si>
  <si>
    <t>DEF-03762</t>
  </si>
  <si>
    <t>[S_2]
검색 결과와 맞지 않음 
(penalty = N, use = ALL)</t>
  </si>
  <si>
    <t>장동혁</t>
  </si>
  <si>
    <t>UT-RSPK074S</t>
  </si>
  <si>
    <t>DEF-03512</t>
  </si>
  <si>
    <t>[C_10]
공통 날짜 형식 yyyy-mm-dd 가 아님</t>
  </si>
  <si>
    <t>UT-RSPK075S</t>
  </si>
  <si>
    <t>DEF-03474</t>
  </si>
  <si>
    <t>[S_1] 
메뉴 진입하자마자 다음 에러가 뜸</t>
  </si>
  <si>
    <t>UT-RSPK076S</t>
  </si>
  <si>
    <t>DEF-03514</t>
  </si>
  <si>
    <t>UT-RSPK094M</t>
  </si>
  <si>
    <t>DEF-03516</t>
  </si>
  <si>
    <t>UT-RSPK059S</t>
  </si>
  <si>
    <t>DEF-03469</t>
  </si>
  <si>
    <t>[X_1]
1920*1080, 크롬 100% 배율
D SOUTH, D NORTH에서 디폴트 사이즈가 하나도 없는것 같이 보임</t>
  </si>
  <si>
    <t>UT-RSCI022S</t>
  </si>
  <si>
    <t>DEF-03578</t>
  </si>
  <si>
    <t>[S_7]
날짜 수정이 자유롭게 되지 않음.
원래 값: 2026-10-29
캘린더에서 변경하고자 하는 날짜를 선택하면 특정날짜 (2026-10-25) 이후만 선택이 됨. 2026-10-25 이전 날짜를 선택하면 2026-10-25로 강제변경됨 
(키보드로 타이핑시 정상 입력됨)</t>
  </si>
  <si>
    <t>이수연</t>
  </si>
  <si>
    <t>DEF-03765</t>
  </si>
  <si>
    <t xml:space="preserve">[S_4]
중복된 행이 있다고 해서 중복되는 행을 삭제 후 저장했을 때
중복된 데이터가 있다는 알림이 뜸
삭제 row는 제외하고 중복여부체크하는게 좋을 것 같습니다
</t>
  </si>
  <si>
    <t>UT-CARF027S</t>
  </si>
  <si>
    <t>DEF-03650</t>
  </si>
  <si>
    <t xml:space="preserve">[S_3]신규입력시 메모리에 남아있는 값이 입력을 하지 않았는데 나타 남
    업무가 그렇게 정의 되었다면 기각 하십시오. </t>
  </si>
  <si>
    <t>UT-AC-SP48</t>
  </si>
  <si>
    <t>DEF-03562</t>
  </si>
  <si>
    <t>CALL SP_ESB_AFSRAMPASDE_RCV(); 실행 시
SQL Error [6576] [65000]: ORA-06576: 함수 또는 프로시저 이름이 부적합합니다</t>
  </si>
  <si>
    <t>UT-AC-SP49</t>
  </si>
  <si>
    <t>DEF-03563</t>
  </si>
  <si>
    <t xml:space="preserve">CALL SP_ESB_ASDESPOTTIME_RCV() ; 실행 시
SQL Error [6576] [65000]: ORA-06576: 함수 또는 프로시저 이름이 부적합합니다
</t>
  </si>
  <si>
    <t>UT-RSCI082S</t>
  </si>
  <si>
    <t>DEF-04440</t>
  </si>
  <si>
    <t xml:space="preserve">[x_003]화면의 첫 째 필드에 커셔가 Set focusc 확인 </t>
  </si>
  <si>
    <t>UT-REPK001S</t>
  </si>
  <si>
    <t>자원배정엔진(RE)</t>
  </si>
  <si>
    <t>DEF-03758</t>
  </si>
  <si>
    <t>[S_4] 배정(CREATE 버튼 클릭) 시 아래와 같은 오류 발생</t>
  </si>
  <si>
    <t>문현희</t>
  </si>
  <si>
    <t>UT-RECR001S</t>
  </si>
  <si>
    <t>DEF-03675</t>
  </si>
  <si>
    <t>[C_1] 조회된 리스트에서 캐러셀 정렬을 할 때, 순서대로 조회되지않음.
한자리 숫자(2, 3)를 두자리 숫자(20, 30)로 인식하는 것 같음</t>
  </si>
  <si>
    <t>UT-REPK004S</t>
  </si>
  <si>
    <t>DEF-03681</t>
  </si>
  <si>
    <t>[C_1] 조회된 리스트에서 Stand 정렬을 할 때, 순서대로 조회되지않음.
두자리 숫자(11)를 세자리 숫자(110)로 인식하는 것 같음</t>
  </si>
  <si>
    <t>UT-CA-SP23(A)</t>
  </si>
  <si>
    <t>DEF-03695</t>
  </si>
  <si>
    <t xml:space="preserve">[s_1] TN_CA_SMS_USER(SMS사용자) 테이블에 INSERT 안됨 </t>
  </si>
  <si>
    <t>정연준</t>
  </si>
  <si>
    <t>UT-CA-SP29(A)</t>
  </si>
  <si>
    <t>DEF-03705</t>
  </si>
  <si>
    <t>[S_1] ) 테이블에 INSERT 안됨	- 
이 테스트 내용은 UT-SP_ESB_SMSRQSTAOMS_SND 내용을 잘못 처리 함. 
SP_CA_SMSRQST_SND,시나리오는 테스티 시나리오와 결과서가 없음</t>
  </si>
  <si>
    <t>프로시져 호출 오류</t>
  </si>
  <si>
    <t>UT-CA-SP32(A)</t>
  </si>
  <si>
    <t>DEF-03772</t>
  </si>
  <si>
    <t>[X_001] 테스트 시나리오 문서 없어 테스트 못함
--&gt; 문서 받아서 테스트 진행 정상 처리 됨 
이건 기각 해 주세요.</t>
  </si>
  <si>
    <t>UT-CASY043S(A)</t>
  </si>
  <si>
    <t>DEF-03391</t>
  </si>
  <si>
    <t>[X_002]테스트 값이 나오지 않아 테스트 하지 못함</t>
  </si>
  <si>
    <t>UT-CARF002S(A)</t>
  </si>
  <si>
    <t>DEF-03539</t>
  </si>
  <si>
    <t xml:space="preserve">[S_2] Use y/n 검색 건수가 다름
전체 472 건 , Yse 291건 , No 115건  472 =/  (291 + 115) = 406 </t>
  </si>
  <si>
    <t>UT-CARF028S(A)</t>
  </si>
  <si>
    <t>DEF-03472</t>
  </si>
  <si>
    <t xml:space="preserve">[x_001]시나리오 6번부터 9번 화면이 달라 테스트 수행 불가
- FOIS Irregular Code Mapping List화면에 입력,수정,삭제 기능 없음 - 시나리오 화면과 다름 </t>
  </si>
  <si>
    <t>UT-CARF029S(A)</t>
  </si>
  <si>
    <t>DEF-03475</t>
  </si>
  <si>
    <t xml:space="preserve">[x_001]Delay List 삭제 및 입력하는 기능 없어 테스트 불가 </t>
  </si>
  <si>
    <t>UT-CARF033S(A)</t>
  </si>
  <si>
    <t>DEF-03501</t>
  </si>
  <si>
    <t>[S_5]일부 우측이동시 다른 cHECK-IN CLUSTER ID에도 같이 반영됨
[S_6]일부 좌측이동시 다른 cHECK-IN CLUSTER ID에 다르게 반영 됨</t>
  </si>
  <si>
    <t>UT-CARF036S(A)</t>
  </si>
  <si>
    <t>DEF-03521</t>
  </si>
  <si>
    <t>[S_2] Airline Code에 * 값이 들어가 있는데 이 값은 조회할 수 없음</t>
  </si>
  <si>
    <t>UT-WESRS019S</t>
  </si>
  <si>
    <t>DEF-03606</t>
  </si>
  <si>
    <t>[X_3]데이터가 없어 테스트 불가</t>
  </si>
  <si>
    <t>UT-WESRS020M</t>
  </si>
  <si>
    <t>DEF-03608</t>
  </si>
  <si>
    <t>UT-WESAC002S</t>
  </si>
  <si>
    <t>DEF-02231</t>
  </si>
  <si>
    <t>[S_002S] SEARCH 버튼 클릭이 안됨.</t>
  </si>
  <si>
    <t>UT-SLOTQM003M</t>
  </si>
  <si>
    <t>DEF-03573</t>
  </si>
  <si>
    <t>[x_1] 화면 조회가 안되고 시스템 오류남</t>
  </si>
  <si>
    <t>UT-SLOTQM004R</t>
  </si>
  <si>
    <t>DEF-03574</t>
  </si>
  <si>
    <t>[x_1] 화면 조회가 안되고 서버 오류남</t>
  </si>
  <si>
    <t>UT-SLOTSM002S</t>
  </si>
  <si>
    <t>DEF-02470</t>
  </si>
  <si>
    <t>[C] 첨부된 스크린샷과 같이 UI 깨짐이 보입니다.</t>
  </si>
  <si>
    <t>UT-MESRS011S</t>
  </si>
  <si>
    <t>DEF-02262</t>
  </si>
  <si>
    <t>[S_7] 로딩 중에 편명 텍스트 입력이 되는 것이 맞는 지 확인부탁드립니다. 이상없으면 그대로 조치처리 부탁드립니다.</t>
  </si>
  <si>
    <t>UT-MESRS023S</t>
  </si>
  <si>
    <t>DEF-03409</t>
  </si>
  <si>
    <t>[S_9]신규 생성후 저장시 저장이 안됨.</t>
  </si>
  <si>
    <t>UT-MESRS031S</t>
  </si>
  <si>
    <t>DEF-03418</t>
  </si>
  <si>
    <t>[C_11]power 수치 입력에대한 제한값이 없음(1~100%)</t>
  </si>
  <si>
    <t>UT-PM-SP41</t>
  </si>
  <si>
    <t>DEF-02423</t>
  </si>
  <si>
    <t>[S_2] 프로시저 실행 실패</t>
  </si>
  <si>
    <t>UT-MESAC038S</t>
  </si>
  <si>
    <t>DEF-02251</t>
  </si>
  <si>
    <t>[S_2] 운항관리정보 탭의 정보가 NOTICE의 날짜 값에 따라 달라지는 데 맞는 건지 확인 부탁드립니다. 이것이 맞으면, 정상 처리 부탁드립니다.
참고) 스크린샷은 11.10일에 생성하였습니다.</t>
  </si>
  <si>
    <t>UT-MESRS052S</t>
  </si>
  <si>
    <t>DEF-04455</t>
  </si>
  <si>
    <t>[S_7] 수정 후 저장 시 '-1 error : 시스템 장애로 인해 서비스가 중단되었습니다.' 라는 alert이 표출됩니다. 증적대로 Remark만 수정했음에도 해당 alert이 표출되며 로그인 화면으로 리다이렉트됩니다.</t>
  </si>
  <si>
    <t>UT-MESRS081S</t>
  </si>
  <si>
    <t>DEF-04459</t>
  </si>
  <si>
    <t>[S_1] 메뉴 접근 시 '-1 error : 데이터 예외사항입니다. 입력하신 데이터를 확인해 주세요.' 라는 alert이 표출되어 조회가 불가능합니다. 테스트했던 계정은 IDTTEST05, IDTTEST06입니다.</t>
  </si>
  <si>
    <t>테스트 요구 권한 누락</t>
  </si>
  <si>
    <t>권한누락</t>
  </si>
  <si>
    <t>UT-MESRS082S</t>
  </si>
  <si>
    <t>DEF-04460</t>
  </si>
  <si>
    <t>[S_1] [DEF-04459와 동일]
메뉴 접근 시 '-1 error : 데이터 예외사항입니다. 입력하신 데이터를 확인해 주세요.' 라는 alert이 표출되어 조회가 불가능합니다. 테스트했던 계정은 IDTTEST05, IDTTEST06입니다.</t>
  </si>
  <si>
    <t>UT-MESMF201S</t>
  </si>
  <si>
    <t>DEF-04586</t>
  </si>
  <si>
    <t>[S_2] 단위테스트결과서의 시험 데이터와 예상 결과 및 증적이 상이합니다. (기능은 정상 동작합니다.)</t>
  </si>
  <si>
    <t>UT-PM-SP44</t>
  </si>
  <si>
    <t>DEF-02424</t>
  </si>
  <si>
    <t xml:space="preserve">[S_2] 프로시저 실행 실패
</t>
  </si>
  <si>
    <t>UT-PM10202S</t>
  </si>
  <si>
    <t>DEF-03494</t>
  </si>
  <si>
    <t>[S_5] 
화면상 검색 데이터와 엑셀다운로드 데이터가 맞지 않음</t>
  </si>
  <si>
    <t>pmtbd1</t>
  </si>
  <si>
    <t>UT-PM10204S</t>
  </si>
  <si>
    <t>DEF-03495</t>
  </si>
  <si>
    <t>pmtbd2</t>
  </si>
  <si>
    <t>UT-PM-SP20</t>
  </si>
  <si>
    <t>DEF-02422</t>
  </si>
  <si>
    <t>[S_2] 프로시저 실행 실패
- 프로시저는 존재하지만 찾을 수 없다고 나옴 (확인 필요)</t>
  </si>
  <si>
    <t>UT-FP-SP84</t>
  </si>
  <si>
    <t>DEF-02463</t>
  </si>
  <si>
    <t xml:space="preserve">[S_1] 제공 쿼리 실행 불가
- 스키마명이 없어서 실행되지 않는 것으로 보임
</t>
  </si>
  <si>
    <t>UT-FP-SP191</t>
  </si>
  <si>
    <t>DEF-02467</t>
  </si>
  <si>
    <t>UT-AC06002S</t>
  </si>
  <si>
    <t>DEF-04699</t>
  </si>
  <si>
    <t xml:space="preserve">snow,del_rslt 외 클릭시 화면 겹침 </t>
  </si>
  <si>
    <t>구혜지</t>
  </si>
  <si>
    <t>UT-AC06005S</t>
  </si>
  <si>
    <t>DEF-04776</t>
  </si>
  <si>
    <t>결함 아님_기각요청</t>
  </si>
  <si>
    <t>안소정</t>
  </si>
  <si>
    <t>DEF-04777</t>
  </si>
  <si>
    <t>결함아님_기각요청</t>
  </si>
  <si>
    <t>UT-AC06006S</t>
  </si>
  <si>
    <t>DEF-04784</t>
  </si>
  <si>
    <t>1.13,14 증적사진_결함아님</t>
  </si>
  <si>
    <t>DEF-04782</t>
  </si>
  <si>
    <t xml:space="preserve">1.13.14시험내용 General Mode 출,도착 지연편 생성시 Delay에 업로드 안됨 </t>
  </si>
  <si>
    <t>인터페이스</t>
  </si>
  <si>
    <t>UT-AC-SP21</t>
  </si>
  <si>
    <t>DEF-03499</t>
  </si>
  <si>
    <t>SP실행 시 함수 또는 프로시저 이름 부적합</t>
  </si>
  <si>
    <t>UT-AC-SP22</t>
  </si>
  <si>
    <t>DEF-03502</t>
  </si>
  <si>
    <t>SP 실행 시 함수 또는 프로시저 이름 부적합</t>
  </si>
  <si>
    <t>UT-AC07001S</t>
  </si>
  <si>
    <t>DEF-04755</t>
  </si>
  <si>
    <t>결함 오등록으로 인하여 기각 부탁드립니다.</t>
  </si>
  <si>
    <t>UT-AC-SP24</t>
  </si>
  <si>
    <t>DEF-03507</t>
  </si>
  <si>
    <t xml:space="preserve">SQL Error [6576] [65000]: ORA-06576: 함수 또는 프로시저 이름이 부적합합니다
</t>
  </si>
  <si>
    <t>UT-AC07003S</t>
  </si>
  <si>
    <t>DEF-04707</t>
  </si>
  <si>
    <t>[S_11] [S_25]
이미 한 번 조회를 수행하여 그리드에 데이터가 표출된 뒤, FROM / TO 값을 수정하고 조회를 수행하지 않은 상태에서(브라우저에서 값만 바꾼 상태에서) PRINT 버튼을 클릭하면 데이터 조회 기간과 표시되는 기간이 불일치한 상태가 됩니다.</t>
  </si>
  <si>
    <t>UT-AC01024S</t>
  </si>
  <si>
    <t>DEF-03600</t>
  </si>
  <si>
    <t>단위테스트 문서 없음</t>
  </si>
  <si>
    <t>UT-FP-SP65</t>
  </si>
  <si>
    <t>DEF-02468</t>
  </si>
  <si>
    <t>[S_1] Circular synonym detected 에러발생</t>
  </si>
  <si>
    <t>UT-FP-SP108</t>
  </si>
  <si>
    <t>DEF-03632</t>
  </si>
  <si>
    <t>[S_2] 적재 확인 불가</t>
  </si>
  <si>
    <t>DEF-03631</t>
  </si>
  <si>
    <t>[S_1] 적재 확인 불가</t>
  </si>
  <si>
    <t>UT-FP-SP109</t>
  </si>
  <si>
    <t>DEF-03639</t>
  </si>
  <si>
    <t>[S_3] 데이터 적재 확인 불가</t>
  </si>
  <si>
    <t>DEF-03640</t>
  </si>
  <si>
    <t>[S_4] 데이터 적재 확인 불가</t>
  </si>
  <si>
    <t>UT-FP-SP111</t>
  </si>
  <si>
    <t>DEF-03635</t>
  </si>
  <si>
    <t>[S_3] 적재 확인 불가</t>
  </si>
  <si>
    <t>UT-FP-SP113</t>
  </si>
  <si>
    <t>DEF-03617</t>
  </si>
  <si>
    <t>[S_3] FOIS_AFSDEP 가 호출되지 않음</t>
  </si>
  <si>
    <t>UT-FP-SP114</t>
  </si>
  <si>
    <t>DEF-03656</t>
  </si>
  <si>
    <t xml:space="preserve">[S_2] 해당 테이블의 호출된 데이터가 없음. 확인 불가. </t>
  </si>
  <si>
    <t>UT-FP-SP116</t>
  </si>
  <si>
    <t>DEF-03615</t>
  </si>
  <si>
    <t>[S_3] SP_ESB_ARTS3RP_FLTPLAN 호출되지 않음</t>
  </si>
  <si>
    <t>UT-FP-SP152</t>
  </si>
  <si>
    <t>DEF-03660</t>
  </si>
  <si>
    <t>[S_1] 데이터의 PUSH_MSG_ID가 null값으로 조회됨</t>
  </si>
  <si>
    <t>UT-FP-SP170</t>
  </si>
  <si>
    <t>DEF-04716</t>
  </si>
  <si>
    <t>[x_001]테스트결과가 없음</t>
  </si>
  <si>
    <t>UT-FP-SP171</t>
  </si>
  <si>
    <t>DEF-04717</t>
  </si>
  <si>
    <t>[x_001] 테스트결과서 문서 없음</t>
  </si>
  <si>
    <t>UT-FP-SP177</t>
  </si>
  <si>
    <t>DEF-04591</t>
  </si>
  <si>
    <t>[S_001] 작업을 실행해도 생성이 되지 않음</t>
  </si>
  <si>
    <t>UT-FP-SP179</t>
  </si>
  <si>
    <t>DEF-04592</t>
  </si>
  <si>
    <t>[S_001]작업을 실행해도 데이터가 생기지 않음</t>
  </si>
  <si>
    <t>UT-CM20032S</t>
  </si>
  <si>
    <t>A-CDM(CM)</t>
  </si>
  <si>
    <t>DEF-01514</t>
  </si>
  <si>
    <t>이지연</t>
  </si>
  <si>
    <t>김은정</t>
  </si>
  <si>
    <t>김단호</t>
  </si>
  <si>
    <t>UT-FPFS086M</t>
  </si>
  <si>
    <t>DEF-04511</t>
  </si>
  <si>
    <t xml:space="preserve">[S_002] APPLY 및 DELETE시 DATA 확인 
AIRLINE KE를 DELETE하였는데 OZ DATA가 삭제 됨 </t>
  </si>
  <si>
    <t>UT-FPFS023S</t>
  </si>
  <si>
    <t>DEF-04516</t>
  </si>
  <si>
    <t xml:space="preserve">[C_001]CodeShere Check 아이콘 짤림 </t>
  </si>
  <si>
    <t>DEF-04623</t>
  </si>
  <si>
    <t xml:space="preserve">Codshare Check 아이콘 짤림 </t>
  </si>
  <si>
    <t>UT-FPFA004R</t>
  </si>
  <si>
    <t>DEF-03744</t>
  </si>
  <si>
    <t>[X_1] 테스트 결과서가 확인되지 않음(FPFA004R, FPFA014S, FPFA015S, FPFA101S, FPFA201S, FPFA211S)</t>
  </si>
  <si>
    <t>UT-FPFA101S</t>
  </si>
  <si>
    <t>DEF-03459</t>
  </si>
  <si>
    <t>[C_12] 검색기간이 2일 이내인데 2일을 초과할 수 없습니다라고 뜸</t>
  </si>
  <si>
    <t>UT-FPMG031M</t>
  </si>
  <si>
    <t>DEF-03467</t>
  </si>
  <si>
    <t>[S_5] 시험데이터가 조회되지 않는 관계로 다른 데이터로 테스트. error log가 존재하는 정보임에도 존재를 error log 버튼이 활성화되지 않음,</t>
  </si>
  <si>
    <t>DEF-03464</t>
  </si>
  <si>
    <t>[C_16] DATE 간격이 3일인데, 3일을 '초과'할 수 없다라는 문구가 뜸</t>
  </si>
  <si>
    <t>UT-CM-SP32</t>
  </si>
  <si>
    <t>DEF-02261</t>
  </si>
  <si>
    <t>[X_1]SQL error</t>
  </si>
  <si>
    <t>UT-CM-SP33</t>
  </si>
  <si>
    <t>DEF-01911</t>
  </si>
  <si>
    <t>스크립트 누락</t>
  </si>
  <si>
    <t>UT-FPMG032M</t>
  </si>
  <si>
    <t>DEF-03465</t>
  </si>
  <si>
    <t>[S_5] 시험 데이터가 조회되지 않는 관계로 다른 데이터로 테스트. error log가 존재하는 정보임에도 존재를 error log 버튼이 활성화되지 않음</t>
  </si>
  <si>
    <t>UT-FPFA066S</t>
  </si>
  <si>
    <t>DEF-03387</t>
  </si>
  <si>
    <t>[S_1] 초기 화면 진입 시, 검색을 하지 않았는데도 '검색된 결과가 없습니다'란 팝업이 뜸</t>
  </si>
  <si>
    <t>UT-CM-SP80</t>
  </si>
  <si>
    <t>DEF-02254</t>
  </si>
  <si>
    <t>[X_1]proc에서 Insert시 PK 위배로 Sql 에러  발생</t>
  </si>
  <si>
    <t>UT-AC01010M</t>
  </si>
  <si>
    <t>DEF-00614</t>
  </si>
  <si>
    <t>테스트 결과서 누락</t>
  </si>
  <si>
    <t>DEF-00888</t>
  </si>
  <si>
    <t>3자 테스트 시 단위 테스트 결과 누락</t>
  </si>
  <si>
    <t>DEF-03684</t>
  </si>
  <si>
    <t>단위 테스트 문서 없음</t>
  </si>
  <si>
    <t>UT-FPMG042M</t>
  </si>
  <si>
    <t>DEF-03500</t>
  </si>
  <si>
    <t>[C_22] Message Details 상세 정보 창이 pendinglist Next를 할 때, 갑자기 가운데로 옮겨지는 현상이 발생함. FLC가 다른 항공사로 변경될 때 발생(ADM Message 종류가 바뀔 때)</t>
  </si>
  <si>
    <t>UT-FPMG048M</t>
  </si>
  <si>
    <t>DEF-04467</t>
  </si>
  <si>
    <t>[X_001]화면 구성시 초기화면에 SUBMIT ALC REJECT 아이콘에 대한 사용여부
49M,50M,51M 공통사항</t>
  </si>
  <si>
    <t>UT-FPMG052M</t>
  </si>
  <si>
    <t>DEF-03523</t>
  </si>
  <si>
    <t>[C_12] 적어도 하나의 운항번호(FNL)를 입력해 주십시오라고 할 때, FNL -&gt; FLN 으로 오타</t>
  </si>
  <si>
    <t>UT-RSCI021S</t>
  </si>
  <si>
    <t>DEF-03581</t>
  </si>
  <si>
    <t>[C_10]
공통 날짜 형식 yyyy-mm-dd 가 아님.</t>
  </si>
  <si>
    <t>DEF-03599</t>
  </si>
  <si>
    <t xml:space="preserve">[C_15]
MQT Active 단일선택으로 보이는데 radio button이 아님 </t>
  </si>
  <si>
    <t>UT-RSCI036M</t>
  </si>
  <si>
    <t>DEF-03589</t>
  </si>
  <si>
    <t>UT-RSPK052S</t>
  </si>
  <si>
    <t>DEF-02265</t>
  </si>
  <si>
    <t xml:space="preserve">[S_1] 초기 로딩 시 날짜가 안 들어간 상태로 로드가 됨. </t>
  </si>
  <si>
    <t>김훈근</t>
  </si>
  <si>
    <t>UT-RSCI080S</t>
  </si>
  <si>
    <t>DEF-04438</t>
  </si>
  <si>
    <t xml:space="preserve">[C_001] 화면의 첫 째 필드에 커셔가 Set focus되어 있지 않음
[x_004]필드 초과시 서버오류  </t>
  </si>
  <si>
    <t>UT-RSCI081S</t>
  </si>
  <si>
    <t>DEF-04439</t>
  </si>
  <si>
    <t xml:space="preserve">[X_001]화면의 첫 째 필드에 커셔가 Set focus </t>
  </si>
  <si>
    <t>UT-RS-SP21</t>
  </si>
  <si>
    <t>DEF-02373</t>
  </si>
  <si>
    <t>[C_1] 프로시져 실행 오류</t>
  </si>
  <si>
    <t>UT-RS-SP24</t>
  </si>
  <si>
    <t>DEF-02374</t>
  </si>
  <si>
    <t>[C_1] 프로시져 실행코드 오류</t>
  </si>
  <si>
    <t>UT-CAMN007M</t>
  </si>
  <si>
    <t>DEF-03725</t>
  </si>
  <si>
    <t>[X_001]테스트 시나리오에 테스트 결과서 없음</t>
  </si>
  <si>
    <t>UT-CASY013S</t>
  </si>
  <si>
    <t>DEF-03727</t>
  </si>
  <si>
    <t>[X_001]테스트 시나리오에 결과서 없음</t>
  </si>
  <si>
    <t>UT-CASY041S</t>
  </si>
  <si>
    <t>DEF-03575</t>
  </si>
  <si>
    <t>[S_2] 전체 조회의 경우 CSDL 연계상태 와 메세지 송신현황 조회기준을 모르겠음.  시스템 id를 클릭하면 그 시스템 id에 해당하는 메세지 송신현황이 보여야 하나 반응이 없음
마스테 메세지송신 에러현황도 반을을 하지 않음
- 메세지 송신형황에서 시스템 id 에 SACP가 보이는데 , 시스템 id 팝업에는 해당 id가 없음</t>
  </si>
  <si>
    <t>UT-CARF003S</t>
  </si>
  <si>
    <t>DEF-03584</t>
  </si>
  <si>
    <t>[S_4] 신규 생성시 
. Other Information 항목에 Aircraft Remark가 300byte까지 입력 가능하나, 100byte 까지만 입력됨.
test 값 : Registration No - B309Q, B309u</t>
  </si>
  <si>
    <t>UT-CARF032S</t>
  </si>
  <si>
    <t>DEF-03658</t>
  </si>
  <si>
    <t xml:space="preserve">[S-3].추가입력시 Airline Code, ICAO코드, Unit  System ID 가  Default로 뜸. list box의 입력 값을 변경할 수 없음 </t>
  </si>
  <si>
    <t>UT-CA-SP22</t>
  </si>
  <si>
    <t>DEF-03688</t>
  </si>
  <si>
    <t xml:space="preserve">[s_2] sql 에러 
TN_CA_SMS_USER(SMS사용자) 테이블에 UPDATE 시 </t>
  </si>
  <si>
    <t>UT-CA-SP29</t>
  </si>
  <si>
    <t>DEF-04228</t>
  </si>
  <si>
    <t>[S_1.3] 결과값이 안 나옴.</t>
  </si>
  <si>
    <t>UT-CA-SP40</t>
  </si>
  <si>
    <t>DEF-03712</t>
  </si>
  <si>
    <t xml:space="preserve">[x_001]테스트 결과서 없음 </t>
  </si>
  <si>
    <t>UT-RSCI016S</t>
  </si>
  <si>
    <t>DEF-02393</t>
  </si>
  <si>
    <t>[S_3] 1년 이상 조회 불가 알림창이 나오지만 검색이 가능함</t>
  </si>
  <si>
    <t>UT-RSCI040S</t>
  </si>
  <si>
    <t>DEF-03519</t>
  </si>
  <si>
    <t>UT-RSFI002S</t>
  </si>
  <si>
    <t>DEF-03626</t>
  </si>
  <si>
    <t>[X_1] 
기본 화면 폰트 및 사이즈가 팝업 켰을때랑 다름
(아이디 찾기, 비밀번호 초기화, 비밀번호 변경 팝업 동일)</t>
  </si>
  <si>
    <t>DEF-03510</t>
  </si>
  <si>
    <t xml:space="preserve">[C_10]
공통 날짜 형식 yyyy-mm-dd 가 아님 </t>
  </si>
  <si>
    <t>DEF-04781</t>
  </si>
  <si>
    <t>1.2조회테스트 직행(조건에 맞는 데이터 부재_코멘트 있음)</t>
  </si>
  <si>
    <t>조치요청</t>
  </si>
  <si>
    <t>UT-AC06010S</t>
  </si>
  <si>
    <t>DEF-04770</t>
  </si>
  <si>
    <t>[S_4] 검색일이 2008-05-16 이전이어도 별도의 오류 메시지가 출력되지 않습니다.</t>
  </si>
  <si>
    <t>UT-AC08018S</t>
  </si>
  <si>
    <t>DEF-04671</t>
  </si>
  <si>
    <t xml:space="preserve">de-icing time history 추가(+) 후 아무것도 입력하지 않고 save 버튼 클릭시 아무 작동도 안함.
한번더 save 클릭시 '변경된 내용이 없습니다' 라는 메세지 창 뜸
</t>
  </si>
  <si>
    <t>UT-AC08012S</t>
  </si>
  <si>
    <t>DEF-04503</t>
  </si>
  <si>
    <t>[C-000]엑셀 다운로드 버튼 클릭시 아무 작동이 안됨</t>
  </si>
  <si>
    <t>UT-RSCI083S</t>
  </si>
  <si>
    <t>DEF-04441</t>
  </si>
  <si>
    <t>[x_003] focus 확인 
[C_001] 신청일자 범위 확인 -- 공통시설 전체 검토 요망</t>
  </si>
  <si>
    <t>UT-CPCI014S</t>
  </si>
  <si>
    <t>DEF-04551</t>
  </si>
  <si>
    <t xml:space="preserve">1.데이터 수정,삽입,사용제한 및 충도정보,삭제,엑셀처리 안됨
</t>
  </si>
  <si>
    <t>DEF-04457</t>
  </si>
  <si>
    <t>[S_9] 삭제 시 '-1 error : 시스템 장애로 인해 서비스가 중단되었습니다.' 라는 alert이 표출됩니다.</t>
  </si>
  <si>
    <t>DEF-04587</t>
  </si>
  <si>
    <t>[S_5] [S_10] '+', '-' 버튼이 보이지 않습니다(표출 선행조건이 있는 것인지 모르겠습니다).</t>
  </si>
  <si>
    <t>DEF-04588</t>
  </si>
  <si>
    <t>[S_7] 단위테스트결과서상에는 '최종' 변경자/변경일시로 기재되어 있으나 실제론 '최초' 변경자/변경일시로 기재되어 있습니다. 확인 부탁드립니다.</t>
  </si>
  <si>
    <t>DEF-04590</t>
  </si>
  <si>
    <t>[S_9] 통계수집 버튼이 동작하지 않는데(클릭 시에도 반응이 없는데), 테스트 환경상 동작하지 않는 것인지 확인 부탁드립니다.</t>
  </si>
  <si>
    <t>UT-WESFP004S</t>
  </si>
  <si>
    <t>DEF-04502</t>
  </si>
  <si>
    <t>[C_9] 조회 시 3분 이상 소요되어 동작하지 않는 것처럼 느껴졌습니다(Chrome, Edge 모두 수 차례 테스트 시에도 동일하게 느렸습니다).</t>
  </si>
  <si>
    <t>UT-AC-SP19</t>
  </si>
  <si>
    <t>DEF-02442</t>
  </si>
  <si>
    <t>[S_1] sql문 실행오류</t>
  </si>
  <si>
    <t xml:space="preserve">최종확인    </t>
  </si>
  <si>
    <t>UT-AC06001S</t>
  </si>
  <si>
    <t>DEF-03461</t>
  </si>
  <si>
    <t>[S_06] order_number가 1부터 시작하지 않고 지정한 페이지당 출력할 숫자 + 1부터 시작. 프린트 결과는 정상.</t>
  </si>
  <si>
    <t>UT-AC07002S</t>
  </si>
  <si>
    <t>DEF-03478</t>
  </si>
  <si>
    <t>[S_12] 캘린더 검색 문법 오류</t>
  </si>
  <si>
    <t>UT-GO-SP59</t>
  </si>
  <si>
    <t>DEF-02435</t>
  </si>
  <si>
    <t>[S_2-1] 데이터가 없음</t>
  </si>
  <si>
    <t>DEF-02436</t>
  </si>
  <si>
    <t>[S_2-1]데이터가 없음</t>
  </si>
  <si>
    <t>UT-GO-SP60</t>
  </si>
  <si>
    <t>DEF-02450</t>
  </si>
  <si>
    <t>[S_2-1] sql 오류발생</t>
  </si>
  <si>
    <t>UT-GO-SP61</t>
  </si>
  <si>
    <t>DEF-02358</t>
  </si>
  <si>
    <t>[S_2-1] 쿼리문 오류</t>
  </si>
  <si>
    <t>UT-FP-SP71</t>
  </si>
  <si>
    <t>DEF-02384</t>
  </si>
  <si>
    <t>UT-FP-SP153</t>
  </si>
  <si>
    <t>DEF-03649</t>
  </si>
  <si>
    <t>[S_1] '실제 인출은 요구된 것보다 많은 행을 추출합니다.' 문구가 뜸</t>
  </si>
  <si>
    <t>UT-FP-SP154</t>
  </si>
  <si>
    <t>DEF-03647</t>
  </si>
  <si>
    <t>[S_7] 선언문 실행시, '실제 인출은 요구된 것보다 많은 행을 추출합니다.' 문구가 뜸</t>
  </si>
  <si>
    <t>UT-CM20009S</t>
  </si>
  <si>
    <t>DEF-02437</t>
  </si>
  <si>
    <t>[X-1] EXCEL 버튼이 작동되지 않음</t>
  </si>
  <si>
    <t>UT-CM20036S</t>
  </si>
  <si>
    <t>DEF-03473</t>
  </si>
  <si>
    <t>[S_1]화면 조회 시 데이터 표기 안되어 테스트 불가
화면 상단 날짜정보 포함 정보 조회 안됩니다.</t>
  </si>
  <si>
    <t>UT-CM20016S</t>
  </si>
  <si>
    <t>DEF-03496</t>
  </si>
  <si>
    <t xml:space="preserve">[S_5]alarm 탭 활성화/비활성화
알람 있는 출발편을 클릭하였다가 없는 항목을 클릭하는 경우 여전히 Alarm 탭은 파란색으로 활성화 되어 있습니다. </t>
  </si>
  <si>
    <t>DEF-03487</t>
  </si>
  <si>
    <t xml:space="preserve">[S_3-1]해더툴팁 표기 오류
Pb 마우스 오버 시 Actual Start Up Request Time 으로 표기됨
</t>
  </si>
  <si>
    <t>DEF-03531</t>
  </si>
  <si>
    <t>[X_1]필터적용 관련 제안
그리드 필터 설정 시 "Alert" 컬럼의 필터 기준을 Alert 있음/없음 혹은 업무적으로 필터링 가능한 조건을 명시해줌이 어떨지 제안드립니다.  
참고로 출발편 운항정보관리(월)  에 적용된 grid 에는 Alert는 필터조건이 없습니다.</t>
  </si>
  <si>
    <t>UT-CM20030S</t>
  </si>
  <si>
    <t>DEF-03520</t>
  </si>
  <si>
    <t>[S_1]Alarm 있는 그리드 선택 후 Alarm 없는 그리드 선택하는 경우 하단  Alarm 이 계속 활성화 되어 있음 
(출발편운항정보관리 와 동일함)</t>
  </si>
  <si>
    <t>UT-CM20034S</t>
  </si>
  <si>
    <t>DEF-03543</t>
  </si>
  <si>
    <t>[S_1]조회조건 변경시에도 화면상단 출발교통량, 터미널 주기장 운영 현황, 지연현황의 데이터 변동이 없음</t>
  </si>
  <si>
    <t>UT-CM30029S</t>
  </si>
  <si>
    <t>DEF-03588</t>
  </si>
  <si>
    <t xml:space="preserve">[X_1]선행 조회에 나온 결과가 있었고, 조회조건을 RESET 하고 새롭게 조회하면 선행 결과에서 선택한 GRID에 커서가 선택되어 있습니다.
즉 새로 조회하면 GRID 첫 라인에 커서가 선택되어 있지 않습니다.
첨부된 케이스는 처음조회 시 
분석유형명에 "활" 입력 후 조회 한다음
모든 조회 조건을 삭제하고 재조회 한 경우 8번라인에 커서가 위치해 있는 경우입니다.
</t>
  </si>
  <si>
    <t>UT-CM40001S</t>
  </si>
  <si>
    <t>DEF-03468</t>
  </si>
  <si>
    <t>[S_5-5]근무자(추가주간 혹은 추가야간) 레코드 삭제 및 정보변경 오류
근무자(추가주간) 혹은 근무자(추가야간) 으로 선택한 경우 해당열 삭제 후 저장하면 반영 안되고, 주/야 구분 변경시에도 변경반영이 안됩니다.
**제가 근무자(추가주간), 근무자(추가야간)의 개념을 몰라서일 수 있으니, 확인 부탁드립니다.</t>
  </si>
  <si>
    <t>UT-CM10102S</t>
  </si>
  <si>
    <t>DEF-03414</t>
  </si>
  <si>
    <t>[S_5-2]그리드 새로고침 오류
'저장되었습니다' 메시지 팝업 후 하단 그리드가 즉시 새로고침 반영이 안되고 "SEARCH" 버튼 클릭 시 변경된 값으로 조회됩니다.</t>
  </si>
  <si>
    <t>DEF-03420</t>
  </si>
  <si>
    <t>[S_6-2]그리드의 "제빙처리용량" 조회 불가 및 변경 반영 안됨
최초 조회 시 그리드에서 표기되지 않으며, "사용불가" 입력 후에도 값 변경 반영 안됩니다.</t>
  </si>
  <si>
    <t>UT-CM10103S</t>
  </si>
  <si>
    <t>DEF-03431</t>
  </si>
  <si>
    <t xml:space="preserve">[S_1]특정일 조회 시 조회 오류 발생
2025-10-01, 2025,10-02 조회 시 첨부된 오류 발생
</t>
  </si>
  <si>
    <t>UT-FPFS012S</t>
  </si>
  <si>
    <t>DEF-02340</t>
  </si>
  <si>
    <t>[S_10] 팝업메뉴 작업중 저장하면 서버 오류로 테스트 불가</t>
  </si>
  <si>
    <t>UT-FPFS013S</t>
  </si>
  <si>
    <t>DEF-02342</t>
  </si>
  <si>
    <t>UT-FPFS071M</t>
  </si>
  <si>
    <t>DEF-02346</t>
  </si>
  <si>
    <t>[S_4] 데이타 입력후 저장되었다고 팝업은 표시되나 데이타를 조회하면 SHARE는 안된것 같음</t>
  </si>
  <si>
    <t>UT-FPFS081M</t>
  </si>
  <si>
    <t>DEF-02347</t>
  </si>
  <si>
    <t>[S_3] 진행과정 팝업이 없어서 상황 파악이 안됨</t>
  </si>
  <si>
    <t>UT-FPFS065M</t>
  </si>
  <si>
    <t>DEF-02350</t>
  </si>
  <si>
    <t>[S_1] FP시스템내 화면과 테스트결과서내에 화면과 내용이 다름</t>
  </si>
  <si>
    <t>UT-FPMG021M</t>
  </si>
  <si>
    <t>DEF-02370</t>
  </si>
  <si>
    <t>[S_3] SUBMIT 버튼 클릭시 서버 오류로 테스트 불가</t>
  </si>
  <si>
    <t>UT-FPFA081M</t>
  </si>
  <si>
    <t>DEF-02328</t>
  </si>
  <si>
    <t>[S_3] 저장시 서버오류로 테스트 불가</t>
  </si>
  <si>
    <t>UT-FPFA082M</t>
  </si>
  <si>
    <t>DEF-02329</t>
  </si>
  <si>
    <t>UT-FPFA083M</t>
  </si>
  <si>
    <t>DEF-02331</t>
  </si>
  <si>
    <t>[S_1] 현 화면 DATA에서는 케로셀 번호가 없어서 테스트 불가</t>
  </si>
  <si>
    <t>UT-FPFA084M</t>
  </si>
  <si>
    <t>DEF-02332</t>
  </si>
  <si>
    <t>UT-FPFA085M</t>
  </si>
  <si>
    <t>DEF-02334</t>
  </si>
  <si>
    <t>[S_2] 날짜, 시간 입력후 저장을 누르면 서버 오류로 테스트 불가</t>
  </si>
  <si>
    <t>DEF-03406</t>
  </si>
  <si>
    <t>[S_4] 엑셀 다운로드시, FLT가 실제 검색 결과대로 출력되지 않음. ex) 7C2606 -&gt; 1, 2 ,3 이렇게 출력됨</t>
  </si>
  <si>
    <t>UT-FPMG013S</t>
  </si>
  <si>
    <t>DEF-02369</t>
  </si>
  <si>
    <t>S_1] 좌측메뉴에서 클릭시 해당 메뉴 제목만 나오고 데이터 부분은 표시되지 않음</t>
  </si>
  <si>
    <t>UT-FP-SP105</t>
  </si>
  <si>
    <t>DEF-02378</t>
  </si>
  <si>
    <t>[X_1] 테스트 결과서내에 결과 내용이 없어 테스트 불가</t>
  </si>
  <si>
    <t>UT-GO-SP121</t>
  </si>
  <si>
    <t>DEF-02297</t>
  </si>
  <si>
    <t>[S_3]
첫행만 LAST_MDFCN_DT가 UPDATE 됨.
(시나리오 상에는 모두 UPDATE)</t>
  </si>
  <si>
    <t>UT-FPMG011S</t>
  </si>
  <si>
    <t>DEF-02368</t>
  </si>
  <si>
    <t>[S_1] 좌측메뉴에서 클릭시 해당 메뉴 제목만 나오고 데이터 부분은 표시되지 않음</t>
  </si>
  <si>
    <t>UT-FPMG054M</t>
  </si>
  <si>
    <t>DEF-03585</t>
  </si>
  <si>
    <t>[C_15] 날짜가 32일도 입력이 됨 날짜 제한 체크 필요</t>
  </si>
  <si>
    <t>DEF-03390</t>
  </si>
  <si>
    <t>[S_4] FLN이 insert할 때, 4자리가 아니라 5자리까지 입력이 가능함</t>
  </si>
  <si>
    <t>DEF-03692</t>
  </si>
  <si>
    <t>[C_11] 엑셀 업로드 시, 유효하지 않은 값(한글, 5자리 이상)이 입력 자체는 가능함. submit 시에 서버 오류 발생</t>
  </si>
  <si>
    <t>UT-CM20023S</t>
  </si>
  <si>
    <t>DEF-03470</t>
  </si>
  <si>
    <t xml:space="preserve">[S_3-1]입력 데이터 미반영
현재활주로 및 ATFM 수정 및 저장하였으나  기존 데이터로 조회됨
DATE를 과거 및 오늘 날짜 기준으로 해보았으나 동일한 현상
</t>
  </si>
  <si>
    <t>UT-CM-SP81</t>
  </si>
  <si>
    <t>DEF-03715</t>
  </si>
  <si>
    <t>[S_1]화면 표기 오류
프로시져 및 데이터는 조회되나 화면 표시되는 내역이 없습니다.</t>
  </si>
  <si>
    <t>DEF-03506</t>
  </si>
  <si>
    <t>[S_2]TYS 값이 readonly가 아니라, reg랑 상관없이 TYS 값을 변경하고 submit 시 서버오류가 발생</t>
  </si>
  <si>
    <t>UT-FPMG043M</t>
  </si>
  <si>
    <t>DEF-03509</t>
  </si>
  <si>
    <t>DEF-03529</t>
  </si>
  <si>
    <t>[S_2] STY가 RAD임에도, 5) FLN 입력 불가</t>
  </si>
  <si>
    <t>UT-FPMG055M</t>
  </si>
  <si>
    <t>DEF-03602</t>
  </si>
  <si>
    <t>[C_15] 날짜포맷에 맞지않은 형식이 들어감, submit도 가능</t>
  </si>
  <si>
    <t>UT-FPMG073M</t>
  </si>
  <si>
    <t>DEF-03670</t>
  </si>
  <si>
    <t>[S_3] 특정 Row를 클릭후 DELETE 버튼을 클릭해도 삭제가 완료되었습니다는 뜨지만, 리스트에서 Row는 남아있음. 총 갯수도 그대로임</t>
  </si>
  <si>
    <t>UT-FPFA184M</t>
  </si>
  <si>
    <t>DEF-03427</t>
  </si>
  <si>
    <t>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</t>
  </si>
  <si>
    <t>UT-RSPK055S</t>
  </si>
  <si>
    <t>DEF-03761</t>
  </si>
  <si>
    <t xml:space="preserve">[S_1]
화물 필드 재정렬시 "가용"이 아니라 "사용"에 마우스 오버시 그리드가 표출됨
 </t>
  </si>
  <si>
    <t>UT-RS-SP26</t>
  </si>
  <si>
    <t>DEF-02454</t>
  </si>
  <si>
    <t>[S_1-1] 권한문제로 인한 오류</t>
  </si>
  <si>
    <t>UT-RS-SP44</t>
  </si>
  <si>
    <t>DEF-03769</t>
  </si>
  <si>
    <t xml:space="preserve">[X_1]
시나리오는 있는데 결과서가 없어 쿼리 테스트 불가 </t>
  </si>
  <si>
    <t>UT-GO12507S</t>
  </si>
  <si>
    <t>DEF-02300</t>
  </si>
  <si>
    <t>[C_1]
필수값 표시누락(아이콘 색: 파란색 -&gt; 주황색)</t>
  </si>
  <si>
    <t>UT-GO12516S</t>
  </si>
  <si>
    <t>DEF-02345</t>
  </si>
  <si>
    <t xml:space="preserve">[X_1-1]1. 테스트 시나리오와 TMS상 시나리오ID와 매칭이 되지 않음.
테스트시나리오 : UT-GO12516R  TMS에는 UT-GO12516S
2. 초기화 아이콘에 대한 테스트 설명이 없음 
3.지연/결항 디폴트값이 전체가 이닌 "정상/지연"  이로 되어 있음
4. GO12507R	항로 및 운항실적_리포트에는 데이터가 있는데, 여기는 데이터가 없다고 나옴.
</t>
  </si>
  <si>
    <t>UT-GO13303S</t>
  </si>
  <si>
    <t>DEF-02253</t>
  </si>
  <si>
    <t>[S_4] 엑셀업로드시 오류 메세지 뜸.</t>
  </si>
  <si>
    <t>UT-GO-SP8</t>
  </si>
  <si>
    <t>DEF-03517</t>
  </si>
  <si>
    <t>[S_1] DECLARE문 실행시 계속 실행되고 종료가 안됨</t>
  </si>
  <si>
    <t>UT-GO-SP9</t>
  </si>
  <si>
    <t>DEF-03515</t>
  </si>
  <si>
    <t>UT-GO-SP17</t>
  </si>
  <si>
    <t>DEF-02349</t>
  </si>
  <si>
    <t>[X_1]쿼리문 오류</t>
  </si>
  <si>
    <t>UT-CAMN006S</t>
  </si>
  <si>
    <t>DEF-02309</t>
  </si>
  <si>
    <t>[X_1]관련 메뉴나 화면으로 갈수 없어서 테스트 불가</t>
  </si>
  <si>
    <t>UT-CASY023S</t>
  </si>
  <si>
    <t>DEF-02404</t>
  </si>
  <si>
    <t>[X_1]사용자 권한문제로 NEW, DELETE 버튼이 활성화 되지 않아 테스트 불가</t>
  </si>
  <si>
    <t>UT-CASY024S</t>
  </si>
  <si>
    <t>DEF-02443</t>
  </si>
  <si>
    <t>[S_6] DELETE 버튼 클릭후 저장시 서버오류 발생</t>
  </si>
  <si>
    <t>DEF-02405</t>
  </si>
  <si>
    <t>UT-CASY043S</t>
  </si>
  <si>
    <t>DEF-03582</t>
  </si>
  <si>
    <t xml:space="preserve">[S_2] 최대 조회기간이 2일을 초과 할수 없는데 Timestamp에 값을 넣지 않으면 전체 Data를 다 가져 옴 </t>
  </si>
  <si>
    <t>UT-CASY046S</t>
  </si>
  <si>
    <t>DEF-03597</t>
  </si>
  <si>
    <t>[S_3]DATA에 값을 넣지 않으면 전체 DATA가 조회 됨</t>
  </si>
  <si>
    <t>UT-CASY047S</t>
  </si>
  <si>
    <t>DEF-03603</t>
  </si>
  <si>
    <t xml:space="preserve">[S_3] DATE값을 넣지 않으면 최대조회기간 8일 초과 할수 없으나 전체가 조회 됨 </t>
  </si>
  <si>
    <t>UT-CASY049S</t>
  </si>
  <si>
    <t>DEF-03627</t>
  </si>
  <si>
    <t xml:space="preserve">[X_001] 현재일로 부터 2일전 데이타는 볼수 없음
업무정의가 그렇게 되어 있다면 기각 해 주세요. </t>
  </si>
  <si>
    <t>UT-CASY052S</t>
  </si>
  <si>
    <t>DEF-03614</t>
  </si>
  <si>
    <t>[S_2] date에 값을 넣지 않을때 오류
[C-3] 화면의 첫 째 필드에 커셔가 Set focus되어 있지 않음</t>
  </si>
  <si>
    <t>DEF-03628</t>
  </si>
  <si>
    <t xml:space="preserve">[S_2]과거일을 조회할 수 없음 </t>
  </si>
  <si>
    <t>UT-CASY053S</t>
  </si>
  <si>
    <t>DEF-03616</t>
  </si>
  <si>
    <t>[c_2]필수입력 오류 
[c_3] 화면의 첫 째 필드에 커셔가 Set focus되어 있지않음
[x_001] 시나리오문서상  메세지 값과 실제 메세지 내용이 다름</t>
  </si>
  <si>
    <t>UT-CARF011S</t>
  </si>
  <si>
    <t>DEF-03633</t>
  </si>
  <si>
    <t xml:space="preserve">[s_3] Runway ID 한글로 입력하면 에레 
[S_6]여러건 입력시 Use Y/N을 1건만 입력하고 다른건은 입력하지 않아도  저장됨
</t>
  </si>
  <si>
    <t>UT-CARF026S</t>
  </si>
  <si>
    <t>DEF-03645</t>
  </si>
  <si>
    <t>[S_3]여러건 동시에 입력시 use yn 및 sort order 입력 하지 않아도 저장 됨</t>
  </si>
  <si>
    <t>UT-CARF029S</t>
  </si>
  <si>
    <t>DEF-03651</t>
  </si>
  <si>
    <t xml:space="preserve">[S_3]여러건 입력시 필수필드 입력 하지 않아도 저장 </t>
  </si>
  <si>
    <t>UT-CARF030S</t>
  </si>
  <si>
    <t>DEF-03652</t>
  </si>
  <si>
    <t xml:space="preserve">[S_3]여러건 입력시 필수필드 누락 되어도 처리 
</t>
  </si>
  <si>
    <t>UT-CARF035S</t>
  </si>
  <si>
    <t>DEF-03662</t>
  </si>
  <si>
    <t>[S_3] Count ID  5자리이상 입력 하면 오류 , 한글도 입력 됨</t>
  </si>
  <si>
    <t>UT-CA-SP17</t>
  </si>
  <si>
    <t>DEF-02303</t>
  </si>
  <si>
    <t>[S_2, S_3] TN_CA_PUSH_MSG_BSD, TN_CA_PUSH_MSG_PRIR 테이블 또는 뷰가 없다고 나와 테스트 불가</t>
  </si>
  <si>
    <t>UT-CA-SP30</t>
  </si>
  <si>
    <t>DEF-04754</t>
  </si>
  <si>
    <t>2번째 시험 시 프로시져 오류 발생.
단위테스트결과에 있는 저장 테이블은 ESBOWN.ESB_CHKINPGTMPLTFID3_RCV 이지만 호출되는 CAOWN.SP_CA_CHKINPGTMPLTFID2_RCV 프로시져에는 ESBOWN.ESB_CHKINPGTMPLTFID2_RCV 테이블에서 조회</t>
  </si>
  <si>
    <t>UT-CA-SP34</t>
  </si>
  <si>
    <t>DEF-02310</t>
  </si>
  <si>
    <t>[X_1, X_2, X_3, X_4, X_5] 테스트 데이터 조회 시 아무것도 나타나지 않음, 테스트 데이터 필요</t>
  </si>
  <si>
    <t>UT-CA-SP38</t>
  </si>
  <si>
    <t>DEF-03709</t>
  </si>
  <si>
    <t>[S_2]  SMS수신테이블에 UPDATE 오류</t>
  </si>
  <si>
    <t>UT-CA-SP39</t>
  </si>
  <si>
    <t>DEF-03711</t>
  </si>
  <si>
    <t xml:space="preserve">[s_2][s_3  'SP_ESB_SMSRPLYFIMS_RCV' 호출 시 인수의 갯수나 유형이 잘못되었습니다
</t>
  </si>
  <si>
    <t>UT-CA-SP41</t>
  </si>
  <si>
    <t>DEF-03722</t>
  </si>
  <si>
    <t>[S_1]'CAOWN.SP_CA_PERS_INFO_CONFF_INSERT' 식별자가 정의되어야 합니다
[S_2] 'CAOWN.SP_CA_PERS_INFO_CONFF_INSERT' 식별자가 정의되어야 합니다</t>
  </si>
  <si>
    <t>UT-CA-SP42</t>
  </si>
  <si>
    <t>DEF-03723</t>
  </si>
  <si>
    <t xml:space="preserve">[S_1]SQL ERROR </t>
  </si>
  <si>
    <t>UT-RSPK031S</t>
  </si>
  <si>
    <t>DEF-02232</t>
  </si>
  <si>
    <t>[S_6] FLT#항목에 특수문자 . - 입력가능</t>
  </si>
  <si>
    <t>UT-RSPK081S</t>
  </si>
  <si>
    <t>DEF-02274</t>
  </si>
  <si>
    <t>[C_1] rb00, rb10만 소문자</t>
  </si>
  <si>
    <t>UT-RSPK069S</t>
  </si>
  <si>
    <t>DEF-02272</t>
  </si>
  <si>
    <t>[S_3] . - 특수문자는 입력가능</t>
  </si>
  <si>
    <t>UT-RSFI001S</t>
  </si>
  <si>
    <t>DEF-03774</t>
  </si>
  <si>
    <t xml:space="preserve">[S_3] 
시작일이 종료일보다 커도 입력/조회가 됨 
</t>
  </si>
  <si>
    <t>DEF-03775</t>
  </si>
  <si>
    <t xml:space="preserve">[X_1]
엔터로 검색이 되면 좋을것같습니다 </t>
  </si>
  <si>
    <t>DEF-03685</t>
  </si>
  <si>
    <t>[X-1] 
데이터가 없어 테스트 불가
(테스트 결과서에서 제시한 2025-05-01, 2025-05-03)</t>
  </si>
  <si>
    <t>DEF-03558</t>
  </si>
  <si>
    <t xml:space="preserve">[S_5] 
엑셀 업로드 오류
1. 2025년에 다운받은 양식 그대로 업로드 함
2. 엑셀에는 2015-10-25, 2016-03-26 인 값이 
   업로드 후 2026-10-25, 2027-03-27이 됨
3. 저장하면 화면에 아무것도 보이지 않음
4. 년도를 2026년으로 변경하면 방금 업로드 했던 데이터 확인 가능
5. 동일하게 2025년으로 업로드하면 3,4번 과정이 반복되며
   중복 업로드도 가능한것으로 확인 </t>
  </si>
  <si>
    <t>DEF-03579</t>
  </si>
  <si>
    <t xml:space="preserve">[X_1]
기본 사이즈에서 요일이 잘려보임 </t>
  </si>
  <si>
    <t>DEF-03756</t>
  </si>
  <si>
    <t xml:space="preserve">[C_11] 
입력값 제한이 필요해 보임 </t>
  </si>
  <si>
    <t>DEF-03561</t>
  </si>
  <si>
    <t>[S_4]
STD 시간 이상하게 입력했을때 다음 에러가 남
- 시간유효성 체크 필요
08:05로 변경하고 저장해도 동일한 제약조건 에러가 남</t>
  </si>
  <si>
    <t>DEF-03550</t>
  </si>
  <si>
    <t>[C_7]
값 수정 후 원복해도 왼쪽 아이콘이 사라지지 않음</t>
  </si>
  <si>
    <t>UT-FSQB084E</t>
  </si>
  <si>
    <t>항공보안(FS)</t>
  </si>
  <si>
    <t>DEF-02379</t>
  </si>
  <si>
    <t>[s_2-1]1. T2 DATA 합계가 맞지 않음 
        2. 조회기간은 범위가 제한 되지 않음</t>
  </si>
  <si>
    <t>UT-FSQB100E</t>
  </si>
  <si>
    <t>DEF-02385</t>
  </si>
  <si>
    <t xml:space="preserve">[X_2-1] 
리포트에 터미널 전체인지, T1,T2인지 표시가 없음. </t>
  </si>
  <si>
    <t>UT-FSQB101E</t>
  </si>
  <si>
    <t>DEF-02387</t>
  </si>
  <si>
    <t xml:space="preserve">[X_1-1]1. 레포트에 전체,T1,T2 구분 필요 
  	  2. T1 + T2 = 전체 가 아님 데이터  확인 필요  (213 + 616 = 829 &lt;&gt; 704 
</t>
  </si>
  <si>
    <t>UT-FSQB091S</t>
  </si>
  <si>
    <t>DEF-02392</t>
  </si>
  <si>
    <t xml:space="preserve">[X_2-1]1. 레포트 확인 필요 
화면에 나타나는 정보중  해더부분은 엑셀에 표시되지 않는데 확인이 필요 함
2. 엑셀저장시 타이틀 없음 
3. 전신검색 월별현황 일자표현도 표준화 준수여부 확인 필요 </t>
  </si>
  <si>
    <t>UT-FSQB092S</t>
  </si>
  <si>
    <t>DEF-02394</t>
  </si>
  <si>
    <t>[X_1-1]테스트 시나리오  수정 필요.  월별현황 시나리오인데 일별 시나리오로 되어 있음.</t>
  </si>
  <si>
    <t>UT-FSEX020L</t>
  </si>
  <si>
    <t>DEF-02400</t>
  </si>
  <si>
    <t xml:space="preserve">[S_2-1]엑셀로 다운로드시  채번번호 보이지 않음 </t>
  </si>
  <si>
    <t>DEF-02249</t>
  </si>
  <si>
    <t>[S_1] 현장출동 결과보고서 조회 창이 로딩안됨</t>
  </si>
  <si>
    <t>UT-FSEX012S</t>
  </si>
  <si>
    <t>DEF-02247</t>
  </si>
  <si>
    <t>[C_17] Reload를 클릭하거나 상단 탭에 x표시를 클릭하면 경고창이 나옴</t>
  </si>
  <si>
    <t>DEF-02399</t>
  </si>
  <si>
    <t>[S_3-1]신규저장을 할수 없음
테스트시나리오데로 진행하면 선택된 신규사용자가 없다고 나옴</t>
  </si>
  <si>
    <t>UT-FSEX040M</t>
  </si>
  <si>
    <t>DEF-02252</t>
  </si>
  <si>
    <t>[S_2,3] 신규로 업무일지 작성을 할 때 주간,야간 근무조 선택을 누르면 해당 알림창이 나옴, 일지일자를 선택해도 똑같이 나옴</t>
  </si>
  <si>
    <t>UT-FSEX050M</t>
  </si>
  <si>
    <t>DEF-02258</t>
  </si>
  <si>
    <t>[S_1] 훈련 시작일자를 선택할 수 없음. 날짜를 선택하면 아래 알림창이 나옴</t>
  </si>
  <si>
    <t>DEF-02257</t>
  </si>
  <si>
    <t>[S_2] 처음 훈련현황 입력관리를 로딩한 후 바로 신규를 눌러 작성 저장하면 저장완료 알림이 나온 후 다시 아래 알림창이 나옴</t>
  </si>
  <si>
    <t>UT-FSEX060S</t>
  </si>
  <si>
    <t>DEF-02260</t>
  </si>
  <si>
    <t>[S_1] 교육일자 선택 불가. 달력에서 날짜 선택 시 아래 알림창 나옴.</t>
  </si>
  <si>
    <t>UT-GO11952M</t>
  </si>
  <si>
    <t>DEF-02250</t>
  </si>
  <si>
    <t>[S_1-1] 2024년7월24,25일자의 일평균 운행거리, 누적운행거리, 일평균 수송실적,누적 수송실적 데이터 나오지 않음</t>
  </si>
  <si>
    <t>UT-CARF036S</t>
  </si>
  <si>
    <t>DEF-03663</t>
  </si>
  <si>
    <t xml:space="preserve">[S_3]여러건 처리시 필수항목 입려하지 않아도 저장 </t>
  </si>
  <si>
    <t>UT-GO21401S</t>
  </si>
  <si>
    <t>DEF-03394</t>
  </si>
  <si>
    <t>[S_6] 저장 버튼 클릭시 저장되지 않음</t>
  </si>
  <si>
    <t>UT-CASY044S</t>
  </si>
  <si>
    <t>DEF-03592</t>
  </si>
  <si>
    <t>[S_2] Timestamp에 값을 넣지 않으면 전체가 조회 됨</t>
  </si>
  <si>
    <t>UT-CASY046S(A)</t>
  </si>
  <si>
    <t>DEF-03402</t>
  </si>
  <si>
    <t>{S_5]메세지는 조회기간 8일을 초과 할구 없다고 나오나 DATE를 입력하지 않으면 전체일자가 모두 조회 됨</t>
  </si>
  <si>
    <t>UT-CM10301S</t>
  </si>
  <si>
    <t>DEF-03401</t>
  </si>
  <si>
    <t>[X_1]영문단어수정필요
Defination -&gt;Definition</t>
  </si>
  <si>
    <t>DEF-03764</t>
  </si>
  <si>
    <t>[S_8]Common Code Detail 의 Code Description 입력 시 자리수 체크 
영문 및 숫자는 입력하는 동안 최대 허용 byte 초과시 입력되지 않고 바로 alert 메시지를 나타내나(정상), 한글을 입력하는 경우 1200자까지 입력이 되고 "저장" 버튼 클릭 시 alert 메시지가 표출됩니다 
*공통업무 체크 지침 상 작성하는 동안 alert 메시지가 표출되는 것이 원칙이라 전달받아 해당내용 남깁니다.</t>
  </si>
  <si>
    <t>UT-CARF001S</t>
  </si>
  <si>
    <t>DEF-03669</t>
  </si>
  <si>
    <t>[S_5] Aircraft Type에 Work List를 추가하거나, Detail을 변경 하면 오류가 남</t>
  </si>
  <si>
    <t>UT-WESRS011S</t>
  </si>
  <si>
    <t>DEF-03596</t>
  </si>
  <si>
    <t>[X_2]데이터가 없어 테스트 불가</t>
  </si>
  <si>
    <t>UT-CARF031S</t>
  </si>
  <si>
    <t>DEF-03654</t>
  </si>
  <si>
    <t>[s_3] 데이터 입력시 알수없는 오류가 남</t>
  </si>
  <si>
    <t>UT-CASY051S</t>
  </si>
  <si>
    <t>DEF-03611</t>
  </si>
  <si>
    <t>[C_7]필수값 일자를 넣지 않을때 정확한 메세지가 나오지 않음
[C_3} 화면의 첫 째 필드에 커셔가 Set focus되어 있지 않음
[X_001]테스트  시나리오에는 조회시작일자,종료일자에 데한 체크시나리오가 있는데, 테스트 화면에 날자는 단일 입력날자로 되어 있음.  테스트시나리오 수정 필요</t>
  </si>
  <si>
    <t>UT-GO11960S</t>
  </si>
  <si>
    <t>DEF-03384</t>
  </si>
  <si>
    <t>[S_4] 운항실적 기준 탭에서 엑셀 다운로드시  승객예약 기준 자료가 다운로드 됨 확인 필요</t>
  </si>
  <si>
    <t>UT-GO11951S</t>
  </si>
  <si>
    <t>DEF-02246</t>
  </si>
  <si>
    <t xml:space="preserve">[S_6-2]삭제를 눌렀을때 없는 데이터가 나타나 표시가 됨 </t>
  </si>
  <si>
    <t>DEF-02242</t>
  </si>
  <si>
    <t xml:space="preserve">[S_6-1]입력필드네 Edit Check 필요 
1) 운행년도 -값 입력 가능
2)값이 크면 오류 메세지 나옴 </t>
  </si>
  <si>
    <t>UT-GO12506R</t>
  </si>
  <si>
    <t>DEF-03400</t>
  </si>
  <si>
    <t>[S_1] 2019년도 하계성수기만 조회 가능함 확인 핗료</t>
  </si>
  <si>
    <t>UT-GO12805R</t>
  </si>
  <si>
    <t>DEF-02353</t>
  </si>
  <si>
    <t xml:space="preserve">[S_1-1] 1. 점유시간을 3시간 이상으로 하였는데 보이는 레포트는 (24시간)이상 이라고 나옴. 
          2. 조회기간 제한 필요 1900.01.01도 입력 됨 </t>
  </si>
  <si>
    <t>UT-GO12903S</t>
  </si>
  <si>
    <t>DEF-03403</t>
  </si>
  <si>
    <t>[C_2] 조회에서 주기장이 필수항목으로 푯되여 있으나 입력없이도 조회됨</t>
  </si>
  <si>
    <t>UT-GO12903R</t>
  </si>
  <si>
    <t>DEF-02361</t>
  </si>
  <si>
    <t>[S_2-1] 타임아웃 에러 남
2025.10.1 ~ 2025.10.7 데이터 엑셀로 다운을 받으려고 하니</t>
  </si>
  <si>
    <t>UT-GO12514R</t>
  </si>
  <si>
    <t>DEF-02348</t>
  </si>
  <si>
    <t>[X_1-1] 1. Radio Button 15분이상, 16분이상 --&gt; 15분이하 16분이상 ?
           2. 레포트제목은 GO12514R	운항편 변경이력_리포트 변경이력레포트 인데 결과서에 나온 내용은  정시성 운영현황_항공사별 리포트(GO12511R) 와 동일 함. 
 변경이력을 볼수 없음</t>
  </si>
  <si>
    <t>UT-GO12808R</t>
  </si>
  <si>
    <t>DEF-02337</t>
  </si>
  <si>
    <t>[S_1] 리포트가 화면에 안 뜨고 오류남</t>
  </si>
  <si>
    <t>UT-GO51230R</t>
  </si>
  <si>
    <t>DEF-02312</t>
  </si>
  <si>
    <t>[S_1]
비율의 합계값이 실제 합계와 다름</t>
  </si>
  <si>
    <t>UT-GO51234S</t>
  </si>
  <si>
    <t>DEF-02306</t>
  </si>
  <si>
    <t>[C_1]
필수값 표시누락 (파랑색 -&gt; 붉은색)</t>
  </si>
  <si>
    <t>UT-GO11901S</t>
  </si>
  <si>
    <t>DEF-02230</t>
  </si>
  <si>
    <t>[S_2-1]GD데이터 기준 실행시 서버오류
상용항공기 선택시만 오류 남</t>
  </si>
  <si>
    <t>UT-GO12106R</t>
  </si>
  <si>
    <t>DEF-02267</t>
  </si>
  <si>
    <t>[S_2-1]전체와 각터미널별 집계가 맞지 않음
운항 , 화물 집계가 서로 다름(묽은색 부분)</t>
  </si>
  <si>
    <t>UT-GO12107R</t>
  </si>
  <si>
    <t>DEF-02275</t>
  </si>
  <si>
    <t>[X_1-1] 레포트 순위에 대한 설명이 없음,
[X_1-2] 8-1-2. 첨두일 운항처리 실적(도착), 8-1-3. 첨두일 운항처리 실적(출발)도 동일한 데이터 인데 순위만 변경 되어 있음    
2025-11-01 ~ 2025-11-10조회시 순위 1이 2025-11-03으로 나오는데 어떤 기준에 의해서 순위가 결정되는지 설명이 없음</t>
  </si>
  <si>
    <t>DEF-02280</t>
  </si>
  <si>
    <t>[S_1-1]터미널 전체집계와 각각의 집계가 맞지 않음 
데이터 2025-11-01 ~ 2025-11-10</t>
  </si>
  <si>
    <t>UT-GO12109R</t>
  </si>
  <si>
    <t>DEF-02290</t>
  </si>
  <si>
    <t>[S_2-1] 전체와 각 터미널 집계가 맞지 않음 
우선순위 기준 필요</t>
  </si>
  <si>
    <t>UT-GO12114R</t>
  </si>
  <si>
    <t>DEF-02301</t>
  </si>
  <si>
    <t>[S_2-1] 1. 전체외 제 1터미널 + 탑승동A + 제 2터미널 합계가 다름 
          2. 순위가 어떤 기준으로 되어 있는지 알수가 없음</t>
  </si>
  <si>
    <t>UT-GO12117R</t>
  </si>
  <si>
    <t>DEF-02308</t>
  </si>
  <si>
    <t xml:space="preserve">[S_5-1]각 터미널별 운항실적과 전체 집계 가 다름
 </t>
  </si>
  <si>
    <t>UT-GO12118R</t>
  </si>
  <si>
    <t>DEF-02311</t>
  </si>
  <si>
    <t xml:space="preserve">[S_4-1] 실적인데 오늘 이후 미래의 실적이 조회 됨
2025년 11월11일 오늘 현재  2025년 11월11일 이후 데이터도 실적으로 나타 남 </t>
  </si>
  <si>
    <t>UT-GO12119R</t>
  </si>
  <si>
    <t>DEF-02315</t>
  </si>
  <si>
    <t>[S_4-1]레포트 제목과 실 데이터가 맞지 않음
지현 현황(~ 2022)는 2022녀나지 지현현황 통계로 생각 되는데
보여주는 데이터는 제목과 상관없이 전 데이터를 다 보여 줌.</t>
  </si>
  <si>
    <t>UT-GO12242R</t>
  </si>
  <si>
    <t>DEF-02314</t>
  </si>
  <si>
    <t xml:space="preserve">[S_4-1] 타이틀이 2023 ~ 지연현황인데  기준일자 2022년 지연현황도 표시가 됨 </t>
  </si>
  <si>
    <t>UT-GO12120R</t>
  </si>
  <si>
    <t>DEF-02317</t>
  </si>
  <si>
    <t xml:space="preserve">[S_4-1] 레포트 제목하고 실 DATA가 맞지 않음 
 제목은 2022년까지 통계이고 실제 보이는 값은 재 값으로 보임
 </t>
  </si>
  <si>
    <t>UT-GO12243R</t>
  </si>
  <si>
    <t>DEF-02316</t>
  </si>
  <si>
    <t>[S_4-1]1. 기준일 미래 데이타도 보임. 오늘일자(2025년11월11일)이후 2025년11월12 ~ 30로 조회 하였는데 결함 DATA가 존재 함. 
2. 2023년 이전 데이타도 조회 됨
3. 기준일자 범위에 대하여 제한을 걸지 않음 1900.0101 ~ 2025.1231도 입력 가능 함</t>
  </si>
  <si>
    <t>UT-GO12121R</t>
  </si>
  <si>
    <t>DEF-02323</t>
  </si>
  <si>
    <t xml:space="preserve">[S_2-1]1. 운항실적이 현재일 보다 미래일 실적이 보임
         2. 전체데이타에는 기술착륙 경항공기 도착,출발 건수가 보이나 각 터미널 별로는 기술착륙 데이터가 없음. </t>
  </si>
  <si>
    <t>UT-GO12122R</t>
  </si>
  <si>
    <t>DEF-02324</t>
  </si>
  <si>
    <t xml:space="preserve">[X_2-1] 미래 데이터 데이터 점검 </t>
  </si>
  <si>
    <t>UT-GO12124R</t>
  </si>
  <si>
    <t>DEF-02333</t>
  </si>
  <si>
    <t xml:space="preserve">[S_2-1] 동일한 항공사가 중복해서 나오고, 일부 항공사는 데이타도 다르게 나옴. 
프랑스항공,아에로맥시여객기 는. 동일한 데이터가 중복되어 나오고, 
중화항공은 여객기로 동일한데 위에는 운항여객에 8, 아래는 6으로 나옴
</t>
  </si>
  <si>
    <t>UT-GO12125R</t>
  </si>
  <si>
    <t>DEF-02338</t>
  </si>
  <si>
    <t xml:space="preserve">[X_1-1] 개선사항 조회 범위를 제한 필요
- 현재는 범위없이 조회 됨 (1900.0101 ~ 2025.12.31
- 데이터 점검 요망 (2025.0101 ~ 0103) 00시간대 화물 출발값 다름
</t>
  </si>
  <si>
    <t>UT-GO12705S</t>
  </si>
  <si>
    <t>DEF-02264</t>
  </si>
  <si>
    <t>결함아님.</t>
  </si>
  <si>
    <t>UT-REPK005S</t>
  </si>
  <si>
    <t>DEF-03737</t>
  </si>
  <si>
    <t>[X_1] 테스트 결과서 확인불가</t>
  </si>
  <si>
    <t>UT-RCPK007L</t>
  </si>
  <si>
    <t>자원배정차트(RC)</t>
  </si>
  <si>
    <t>DEF-02377</t>
  </si>
  <si>
    <t>[S_1] Save to Excel 이 실행안됨. 눌러도 반응 반응 없음.</t>
  </si>
  <si>
    <t>이미라</t>
  </si>
  <si>
    <t>UT-RCCI101L</t>
  </si>
  <si>
    <t>DEF-02344</t>
  </si>
  <si>
    <t>[S_1] 차트화면 프린트를 누르면  페이지가 멈추고 연결이 끊기는 현상 발생</t>
  </si>
  <si>
    <t>UT-CASY023S(A)</t>
  </si>
  <si>
    <t>DEF-02304</t>
  </si>
  <si>
    <t>UT-CA-SP17(A)</t>
  </si>
  <si>
    <t>DEF-02469</t>
  </si>
  <si>
    <t>권한문제로 프로시져 실행안됨</t>
  </si>
  <si>
    <t>UT-CA-SP22(A)</t>
  </si>
  <si>
    <t>DEF-03689</t>
  </si>
  <si>
    <t xml:space="preserve">[s_1] TN_CA_SMS_USER(SMS사용자) 테이블에 INSERT 시 SQL Error [ERRTX]: JDBC-21008:Savepoint 'SVP1' was not found. </t>
  </si>
  <si>
    <t>UT-CA-SP28(A)</t>
  </si>
  <si>
    <t>DEF-03697</t>
  </si>
  <si>
    <t xml:space="preserve">[S_1] SQL ERROR </t>
  </si>
  <si>
    <t>UT-CA-SP30(A)</t>
  </si>
  <si>
    <t>DEF-03767</t>
  </si>
  <si>
    <t>[S_2] SQL Error [ERRPS]: JDBC-15146:PSM compilation error</t>
  </si>
  <si>
    <t>UT-CA-SP33(A)</t>
  </si>
  <si>
    <t>DEF-03720</t>
  </si>
  <si>
    <t xml:space="preserve">[S_1,2,3,4,5]  JDBC-90603:Invalid operation: disconnected from the server.
</t>
  </si>
  <si>
    <t>UT-CASY047S(A)</t>
  </si>
  <si>
    <t>DEF-03404</t>
  </si>
  <si>
    <t>[S_3] 최대조회기간 8일 초과 할수 없으나 전체가 조회 됨
[X_001]테스트 시나리오의 메세지 내용과 테스트시 메세지 내용이 다름</t>
  </si>
  <si>
    <t>UT-CASY048S(A)</t>
  </si>
  <si>
    <t>DEF-03405</t>
  </si>
  <si>
    <t>[C_5] 8일 초과 할수 없다고 메세지는 나오나 데이터 값을 넣지 않으면 전체가 조회 됨
PS : 시나리오에 해당 테스트가 작성 되지 않아 메세지가 적정하게 표출되지 않는 것으로 판단 공통에러로 표기 함</t>
  </si>
  <si>
    <t>UT-CASY052S(A)</t>
  </si>
  <si>
    <t>DEF-03411</t>
  </si>
  <si>
    <t>[C_2] Date 값은 필수입력 값으로 보이나 값을 넣지 않아도 조회가 됨
[C-3] 화면의 첫 째 필드에 커셔가 Set focus되어 있지 않음</t>
  </si>
  <si>
    <t>UT-CASY053S(A)</t>
  </si>
  <si>
    <t>DEF-03416</t>
  </si>
  <si>
    <t>[c_2]필수입력 오루 
[c_3] 화면의 첫 째 필드에 커셔가 Set focus되어 있지않음
[x_001] 시나리오문서상  메세지 값과 실제 메세지 내용이 다</t>
  </si>
  <si>
    <t>UT-CARF001S(A)</t>
  </si>
  <si>
    <t>DEF-03533</t>
  </si>
  <si>
    <t>[S_4]Min Work Time을 3분에서 4분으로 바꾸었더니 서버오류가 남
왜 에러가 났는지  알기 어려움</t>
  </si>
  <si>
    <t>DEF-03546</t>
  </si>
  <si>
    <t xml:space="preserve">[S_4] Average Flight Speed 입력시 5자리 넘으면 서버 오류 메세지 </t>
  </si>
  <si>
    <t>UT-CARF010S(A)</t>
  </si>
  <si>
    <t>DEF-03455</t>
  </si>
  <si>
    <t>[C_3] Set focus가  첫 화면에 위치하지 않음</t>
  </si>
  <si>
    <t>UT-CARF011S(A)</t>
  </si>
  <si>
    <t>DEF-03458</t>
  </si>
  <si>
    <t xml:space="preserve">[C_3] 화면의 첫 째 필드에 커셔가 Set focus되어 있지 않음 </t>
  </si>
  <si>
    <t>UT-CARF031S(A)</t>
  </si>
  <si>
    <t>DEF-03484</t>
  </si>
  <si>
    <t xml:space="preserve">[S_3]Cancel Code 값을 넣지 않고 저장시 오류 </t>
  </si>
  <si>
    <t>UT-CARF032S(A)</t>
  </si>
  <si>
    <t>DEF-03492</t>
  </si>
  <si>
    <t>[s_5]이미지 Upload후 다시 조회 하면 이미지가 보이지 않음</t>
  </si>
  <si>
    <t>UT-CARF038S(A)</t>
  </si>
  <si>
    <t>DEF-03522</t>
  </si>
  <si>
    <t>[S_3] 수정시 오류 
[C_11] 입력항목 값 입력 시 한글필드가 입력 됨</t>
  </si>
  <si>
    <t>UT-CARF039S(A)</t>
  </si>
  <si>
    <t>DEF-03526</t>
  </si>
  <si>
    <t>[[S_3]이름필드에 한글 25자 넘어가면 다음과 같은 에러가 남</t>
  </si>
  <si>
    <t>UT-GO12241R</t>
  </si>
  <si>
    <t>DEF-02336</t>
  </si>
  <si>
    <t>[S_2-1]미래데이터 확인 필요 현재일(2025년11월12일)보다 이후일(2025.11.30)  수송실적이 존재 함</t>
  </si>
  <si>
    <t>UT-WESRS022S</t>
  </si>
  <si>
    <t>DEF-02240</t>
  </si>
  <si>
    <t>[S_WESRS022S] 데이터가 존재하지 않아 테스트 불가</t>
  </si>
  <si>
    <t>UT-GO12513R</t>
  </si>
  <si>
    <t>DEF-02343</t>
  </si>
  <si>
    <t>[C-1] 오류 메세지 뜸</t>
  </si>
  <si>
    <t>UT-GO12123R</t>
  </si>
  <si>
    <t>DEF-02327</t>
  </si>
  <si>
    <t>[S_2-1] 공통사항 : 실행이 완료 되었는데 보고서 호출이 완료되지 않았다는 메세지가 뜸</t>
  </si>
  <si>
    <t>UT-WESRS001S</t>
  </si>
  <si>
    <t>DEF-02237</t>
  </si>
  <si>
    <t>[S_001S] 모든 버튼이 비활성화 되어있음</t>
  </si>
  <si>
    <t>UT-WESRS014S</t>
  </si>
  <si>
    <t>DEF-02238</t>
  </si>
  <si>
    <t>[S_WESRS014S] 조건에 맞는 검색이 이루어지지 않음
ROW더블클릭해도 아무런 이벤트가 발생하지 않음</t>
  </si>
  <si>
    <t>UT-WESRS015S</t>
  </si>
  <si>
    <t>DEF-02239</t>
  </si>
  <si>
    <t>[S_WESRS015S] 아무런 데이터가 조회되지 않아 테스트 불가</t>
  </si>
  <si>
    <t>UT-SLOTMM001S</t>
  </si>
  <si>
    <t>DEF-02226</t>
  </si>
  <si>
    <t>[S_2-1] 로딩 오류로 테스트 불가</t>
  </si>
  <si>
    <t>UT-SLOTMM002S</t>
  </si>
  <si>
    <t>DEF-02227</t>
  </si>
  <si>
    <t>[S_2-1] 서버 오류로 테스트 불가</t>
  </si>
  <si>
    <t>UT-SLOTRM002R</t>
  </si>
  <si>
    <t>DEF-03577</t>
  </si>
  <si>
    <t>[x_1] 초기화면 로딩후 모즌 버튼이 눌러도 작동하지 않음</t>
  </si>
  <si>
    <t>UT-SLOTRM003R</t>
  </si>
  <si>
    <t>DEF-03580</t>
  </si>
  <si>
    <t>[s_1] Season은 필수 항목인데 안넣어도 조회가 됨</t>
  </si>
  <si>
    <t>UT-SLOTSM001S</t>
  </si>
  <si>
    <t>DEF-02228</t>
  </si>
  <si>
    <t>[X_2-1] 단위테스트 결과 누락</t>
  </si>
  <si>
    <t>DEF-02472</t>
  </si>
  <si>
    <t>콤보박스의 초기값이 시나리오상과 달리 안 보임
Season : "선택"
Branch : "선택"
Airline : "전체"
*Branch는 콤보를 열어도 아무 값이 안보임.</t>
  </si>
  <si>
    <t>DEF-02229</t>
  </si>
  <si>
    <t>UT-MESCM111S</t>
  </si>
  <si>
    <t>DEF-02285</t>
  </si>
  <si>
    <t>[S_5] "조회" 버튼이 없음</t>
  </si>
  <si>
    <t>UT-MESCM112S</t>
  </si>
  <si>
    <t>DEF-02286</t>
  </si>
  <si>
    <t>UT-MESCM113S</t>
  </si>
  <si>
    <t>DEF-02287</t>
  </si>
  <si>
    <t>[S_5] "조회"버튼이 없음</t>
  </si>
  <si>
    <t>UT-MESCM114S</t>
  </si>
  <si>
    <t>DEF-02289</t>
  </si>
  <si>
    <t>UT-MESCM163S</t>
  </si>
  <si>
    <t>DEF-02292</t>
  </si>
  <si>
    <t xml:space="preserve">[X_7] TSAT값이 없을 땐 '%'만 있는 게 맞는 지 확인부탁드립니다. 정상이면 조치안하셔도 됩니다. </t>
  </si>
  <si>
    <t>UT-MESAC012S</t>
  </si>
  <si>
    <t>DEF-02233</t>
  </si>
  <si>
    <t>[X_2] Apron 탭 관련 테스트 데이터 필요</t>
  </si>
  <si>
    <t>UT-MESAC013S</t>
  </si>
  <si>
    <t>DEF-02234</t>
  </si>
  <si>
    <t>[X_2] Towing 탭 관련 데이터 필요</t>
  </si>
  <si>
    <t>UT-MESAC014S</t>
  </si>
  <si>
    <t>DEF-02235</t>
  </si>
  <si>
    <t>[X_2] De-icing 관련 데이터 필요</t>
  </si>
  <si>
    <t>UT-MESAC020S</t>
  </si>
  <si>
    <t>DEF-02241</t>
  </si>
  <si>
    <t>[X_2] 테스트 데이터 필요</t>
  </si>
  <si>
    <t>UT-MESAC021S</t>
  </si>
  <si>
    <t>DEF-02243</t>
  </si>
  <si>
    <t>UT-MESFP012M</t>
  </si>
  <si>
    <t>DEF-02259</t>
  </si>
  <si>
    <t>[S_2] 항목의 글씨 크기가 항목에 비해 작아보이는 데 괜찮은 지 궁금합니다.
테스트 환경 : PC(edge)</t>
  </si>
  <si>
    <t>UT-MESRS021S</t>
  </si>
  <si>
    <t>DEF-02266</t>
  </si>
  <si>
    <t>[X_1] 테스트 데이터 필요</t>
  </si>
  <si>
    <t>UT-MESRS022S</t>
  </si>
  <si>
    <t>DEF-03399</t>
  </si>
  <si>
    <t>[S_7]Reason 수정후 저장이 안됨</t>
  </si>
  <si>
    <t>UT-FSQB080S</t>
  </si>
  <si>
    <t>DEF-02383</t>
  </si>
  <si>
    <t xml:space="preserve">[X_2-1] 
리포트에 터미널 전체인지, T1,T2인지 표시가 없음. 
( UT-FSQB100E- 포기물품 검색 월별 현황 조회-근무지 전체  와 중복)
</t>
  </si>
  <si>
    <t>UT-MESMF013S</t>
  </si>
  <si>
    <t>DEF-03503</t>
  </si>
  <si>
    <t>[C_11]제목, 내용 입력란에 길이제한이 없음</t>
  </si>
  <si>
    <t>UT-MESMF031S</t>
  </si>
  <si>
    <t>DEF-03536</t>
  </si>
  <si>
    <t>[X_1]화면깨짐 (와이드 모니터)</t>
  </si>
  <si>
    <t>UT-MESMF041S</t>
  </si>
  <si>
    <t>DEF-03508</t>
  </si>
  <si>
    <t>[S_9]그룹 대상자 목록 수정 후 저장시 변경사항이 없다는 메세지창 뜸.</t>
  </si>
  <si>
    <t>UT-MESMF061S</t>
  </si>
  <si>
    <t>DEF-02471</t>
  </si>
  <si>
    <t>중간관리자 여부에 null 값이 표시됨</t>
  </si>
  <si>
    <t>DEF-02271</t>
  </si>
  <si>
    <t>[X_1] 신청구분 값이 중복됨</t>
  </si>
  <si>
    <t>UT-MESMF082S</t>
  </si>
  <si>
    <t>DEF-02276</t>
  </si>
  <si>
    <t>[S_2] 첨부한 캡처본과 같이 신청권한의 1행을 반복 클릭하면 0과 1이 번갈아가면서 나옴</t>
  </si>
  <si>
    <t>UT-PM10102S</t>
  </si>
  <si>
    <t>DEF-02245</t>
  </si>
  <si>
    <t xml:space="preserve">[S_8] 이미지에 나온 2건의 데이터가 "터미널" 기준으로 조회시 조회가 되지 않음.
* 조건1 : 운영일자(2025-11-10), 터미널(전체), 항공사(OZ) &gt; 조회성공!
* 조건2 : 운영일자(2025-11-10), 터미널(T2), 항공사(OZ) &gt; 조회실패
* 조건3 : 운영일자(2025-11-10), 터미널(T2) &gt; 조회실패
</t>
  </si>
  <si>
    <t>UT-PM10103S</t>
  </si>
  <si>
    <t>DEF-02248</t>
  </si>
  <si>
    <t>[S_5-3] 배정일련번호 최대자릿수가 6개 까지만 입력됨.
- 테스트결과서에는 10자리 까지 입력 가능하다고 기재되어 있음
(유효성검사 기준 재확인 필요)</t>
  </si>
  <si>
    <t>UT-PM10107S</t>
  </si>
  <si>
    <t>DEF-03488</t>
  </si>
  <si>
    <t>[C_19] 
행 수정 후 저장완료하였는데 왼쪽 수정 아이콘이 사라지지 않음</t>
  </si>
  <si>
    <t>pmtbd3</t>
  </si>
  <si>
    <t>DEF-03489</t>
  </si>
  <si>
    <t>[S_6] 
화면: 검색조건에 맞는 데이터가 하나도 나오지 않음
엑셀다운로드: 전체 데이터가 나오는 듯함
(검색조건 다르게 걸어도 화면과 동일하게 엑셀 다운되지 않음)</t>
  </si>
  <si>
    <t>UT-PM20132M</t>
  </si>
  <si>
    <t>DEF-00636</t>
  </si>
  <si>
    <t>팝업창의 제목과 팝업을 호출하는 일치하지 않음.
(게이트 배정정보 조회 -&gt; 입국 게이트 배정정보 조회)
※ 팝업호출 버튼에 대한 시나리오 및 테스트결과서 보완 필요.</t>
  </si>
  <si>
    <t>UT-PM20133M</t>
  </si>
  <si>
    <t>DEF-00637</t>
  </si>
  <si>
    <t>테스트 결과서의 내용과 시나리오의 내용이 다름</t>
  </si>
  <si>
    <t>UT-PM20134M</t>
  </si>
  <si>
    <t>DEF-00639</t>
  </si>
  <si>
    <t xml:space="preserve">테스트결과 증적 보완 필요
(화면의 어디를 클릭해야 팝업이 호출되는지에 대한 설명이 필요)
</t>
  </si>
  <si>
    <t>UT-PM20141M</t>
  </si>
  <si>
    <t>DEF-02318</t>
  </si>
  <si>
    <t>[S_3] Radio 버튼을 선택하더라도 그래프는 EA만 표출됨.
- WA 그래프 표출이 되지 않음</t>
  </si>
  <si>
    <t>UT-PM20144M</t>
  </si>
  <si>
    <t>DEF-02325</t>
  </si>
  <si>
    <t>[S_5] 순번을 지정하여 저장하고 나면 각 환승검색대의 순번이 1인 데이터가 추가되어 저장됨
- 원래 순번이 1인 데이터는 그대로임
- 의도한 기능인지는 모르겠음</t>
  </si>
  <si>
    <t>UT-CASY011S(A)</t>
  </si>
  <si>
    <t>DEF-03760</t>
  </si>
  <si>
    <t>[S_44] 그룹리스트 상위그룹명,상세그룹명  자리수 check 
[s_63] excel Upload시 check 없이 그대로 저장됨 
[S_68] 발송요청일 값을 안넣어도 조회됨
[s_69] 응답일시 시간 체크 필요
[s_70] 요청일시(2차)는 수정이 안됨(display mode)
[s_74] 엑셀 추출권한이 없음</t>
  </si>
  <si>
    <t>DEF-03385</t>
  </si>
  <si>
    <t>[X_001] 관리자 로그인 하면 SMS 통합관리 메뉴가 보이지 않음</t>
  </si>
  <si>
    <t>UT-CA-SP44(A)</t>
  </si>
  <si>
    <t>DEF-02386</t>
  </si>
  <si>
    <t xml:space="preserve">[s_2] CA_APLY_USER_TELNO 테이블 또는 뷰가 존재하지 않음 표시됨 </t>
  </si>
  <si>
    <t>UT-CA-SP44</t>
  </si>
  <si>
    <t>DEF-02425</t>
  </si>
  <si>
    <t xml:space="preserve">[S_3] 조회 되지 않는 문제
- USER_ID 값을 test9091로 테스트함
프로시저 실행 후 조회되지 않음
SELECT * FROM TN_CA_APLY_USER_CNPL WHERE USER_ID = 'test9091';
SELECT * FROM TN_CA_APLY_USER_CNTN_PSBLTY_IP WHERE USER_ID = 'test9091';
</t>
  </si>
  <si>
    <t>DEF-02313</t>
  </si>
  <si>
    <t>[S_2] TN_CA_APLY_USER_TELNO 테이블이 없음
SELECT * FROM TN_CA_APLY_USER_CNTN_PSBLTY_IP WHERE USER_ID = 'test9090' 조회 결과 아무것도 나오지 않음</t>
  </si>
  <si>
    <t>UT-CARF041S</t>
  </si>
  <si>
    <t>DEF-04471</t>
  </si>
  <si>
    <t>신규(+) 버튼을 클릭 후 왼쪽 목록에서 기존에 선택된 행을 클릭하면 오른쪽에 수정 불가 항목(keyword Type, Route Keyword)이 수정 가능하게 됨.</t>
  </si>
  <si>
    <t>UT-CA-SP45</t>
  </si>
  <si>
    <t>DEF-04234</t>
  </si>
  <si>
    <t>[S_1] 테스트 데이터가 조회되지 않음</t>
  </si>
  <si>
    <t>UT-GO-SP122</t>
  </si>
  <si>
    <t>DEF-02298</t>
  </si>
  <si>
    <t>[S_3]
LAST_MDFCN_DT가 NULL 임.</t>
  </si>
  <si>
    <t>UT-GO-SP123</t>
  </si>
  <si>
    <t>DEF-02321</t>
  </si>
  <si>
    <t>[S_1] 오류메세지 뜸</t>
  </si>
  <si>
    <t>UT-GO-SP133</t>
  </si>
  <si>
    <t>DEF-03504</t>
  </si>
  <si>
    <t>[S_2-1] SQL 실행 에러</t>
  </si>
  <si>
    <t>UT-GO-SP124</t>
  </si>
  <si>
    <t>DEF-02326</t>
  </si>
  <si>
    <t>[S_1] 오류 메세지 뜸.</t>
  </si>
  <si>
    <t>UT-FPMG059M</t>
  </si>
  <si>
    <t>DEF-03605</t>
  </si>
  <si>
    <t>[C_15] 날짜 포맷에 맞지 않는 형식이 저장됨</t>
  </si>
  <si>
    <t>UT-GO-SP120</t>
  </si>
  <si>
    <t>DEF-02295</t>
  </si>
  <si>
    <t>[S_3]
LAST_MDFCN_DT의 첫행만 오늘 날짜로 UPDATE 됨.
(시나리오 상에서는 모두 UPDATE된다고 나옴)</t>
  </si>
  <si>
    <t>UT-GO-SP207</t>
  </si>
  <si>
    <t>DEF-02429</t>
  </si>
  <si>
    <t>UT-CASY024S(A)</t>
  </si>
  <si>
    <t>DEF-02305</t>
  </si>
  <si>
    <t>DEF-02444</t>
  </si>
  <si>
    <t>[S_6] DELETE버튼 클릭하여 저장시 서버 오류 발생</t>
  </si>
  <si>
    <t>UT-CASY048S</t>
  </si>
  <si>
    <t>DEF-03609</t>
  </si>
  <si>
    <t>[S_2] Date값을 넣지 않으면 최대조회기간 8일 초과 할수 없으나 전체가 조회 됨</t>
  </si>
  <si>
    <t>UT-CM10103R</t>
  </si>
  <si>
    <t>DEF-03766</t>
  </si>
  <si>
    <t xml:space="preserve">[S_1]리포트 "저장" 시 리포트 포맷 확인, 조회 및 저장 시 표기 방식 확인 필요
1.리포트 "저장" 버튼 클릭으로 나타나는 각종 형식의 파일(PDF, EXCEL 등등)로 저장후 파일 확인을 해보면, ETC 부분이 하위 테이블에 겹쳐져 표기됩니다.
2. 화면 조회 및 저장 시 
상단 우측 ETC 셀의 경우 값표기가 
0/0, 1/98 등의 형식이 아닌 0/, 1/ 로 모수가 표기되지 않습니다. 
 </t>
  </si>
  <si>
    <t>DEF-03423</t>
  </si>
  <si>
    <t>[S_1]조회 시 오류 발생
기준일자 2025-10-01, 2025-10-02로 조회 시 오류 발생(첨부참조)
그외 몇개 일자 조회시 정상 조회됨</t>
  </si>
  <si>
    <t>UT-CAMN006S(A)</t>
  </si>
  <si>
    <t>DEF-02307</t>
  </si>
  <si>
    <t xml:space="preserve">[X_1]관련 메뉴 및 화면으로 갈수 없어서 테스트 불가  </t>
  </si>
  <si>
    <t>UT-REPK003S</t>
  </si>
  <si>
    <t>DEF-03677</t>
  </si>
  <si>
    <t>[C_7] 실행결과 행 선택할 때, Stand 값이 0일 경우, '검색 결과가 없습니다' 대신 갯수가 0이라는 의미의 문구를 명시적으로 보여주는게 적절할 것 같음</t>
  </si>
  <si>
    <t>DEF-03676</t>
  </si>
  <si>
    <t>[C_1] Search 버튼이 겹쳐서 가려짐</t>
  </si>
  <si>
    <t>UT-RCCR002L</t>
  </si>
  <si>
    <t>DEF-03739</t>
  </si>
  <si>
    <t>[C_4] 검색 결과가 없을 때도 조회 건수가 0건으로 표기하는 것이 명확할 듯 함</t>
  </si>
  <si>
    <t>DEF-03738</t>
  </si>
  <si>
    <t>[C_9] 아이콘이 'Alarm' 메뉴 겹쳐져 있어, 깨진 현상이 발생. MicroSoft edge 에서 테스트</t>
  </si>
  <si>
    <t>UT-AS85104M</t>
  </si>
  <si>
    <t>DEF-02293</t>
  </si>
  <si>
    <t>[S_2] 노출순서 팝업에 표기되는 순서가 기존에 지정했던 순서와 다름</t>
  </si>
  <si>
    <t>UT-RSPK082S</t>
  </si>
  <si>
    <t>DEF-02281</t>
  </si>
  <si>
    <t>UT-FSEX080S</t>
  </si>
  <si>
    <t>DEF-03454</t>
  </si>
  <si>
    <t>[S_4] 행추가 저장시 오류 발생</t>
  </si>
  <si>
    <t>UT-FSEX080M</t>
  </si>
  <si>
    <t>DEF-03452</t>
  </si>
  <si>
    <t>[S_4] 저장시 저장 오류가 남</t>
  </si>
  <si>
    <t>UT-CA-SP47(A)</t>
  </si>
  <si>
    <t>DEF-04626</t>
  </si>
  <si>
    <t>단위 테스트 결과서 부재</t>
  </si>
  <si>
    <t>UT-AS77104S</t>
  </si>
  <si>
    <t>DEF-03665</t>
  </si>
  <si>
    <t>작성 목적 미입력 후 저장 시 발생하는 ALERT 텍스트 오타</t>
  </si>
  <si>
    <t>UT-AS80101S</t>
  </si>
  <si>
    <t>DEF-02255</t>
  </si>
  <si>
    <t>[S_5] 게시일 기준으로 조회 시 결과 값이 틀림.
- 첨부한 이미지의 데이터는 아래 게시일 기준으로 조회하면 조회 불가
 : 게시일 (2025-09-11 ~ 2025-09-12)</t>
  </si>
  <si>
    <t>DEF-02256</t>
  </si>
  <si>
    <t>[S_6] 초기화 버튼 클릭 시 결과서대로 날짜가 초기화 되지 않음
* 결과서 : 현재일 기준 2일전
* 테스트 결과 : 현재일+1일 ~ 2일전
ex) 예를들어 현재일자가 2025-11-10 인데 "초기화" 버튼을 클릭하면
2025-11-08 ~ 2025-11-11 로 초기화가 됨.
(2025-11-08 ~ 2025-11-10 으로 되어야 함.)</t>
  </si>
  <si>
    <t>UT-AS81101S</t>
  </si>
  <si>
    <t>DEF-02268</t>
  </si>
  <si>
    <t>[S_6] 리포트명 클릭 or 더블클릭해도 반응 없음.
- 결과서에는 팝업이 떠야 한다고 명시되어 있음.</t>
  </si>
  <si>
    <t>UT-AS82101S</t>
  </si>
  <si>
    <t>DEF-02269</t>
  </si>
  <si>
    <t xml:space="preserve">[S_1] 화면 진입시 작성일자 초기 값이 "현재날짜"가 아님
</t>
  </si>
  <si>
    <t>DEF-02270</t>
  </si>
  <si>
    <t>[S_8] "초기화" 버튼 클릭시 종료일자가 오늘날짜가 아님</t>
  </si>
  <si>
    <t>UT-AS83101S</t>
  </si>
  <si>
    <t>DEF-02273</t>
  </si>
  <si>
    <t>[S_8] "초기화" 버튼 선택 시 "상태" 값은 초기화가 되지 않음
- 결과서에 명시된 바와같이 상태값이 "전체"로 초기화 되어야 함.</t>
  </si>
  <si>
    <t>UT-AS84101S</t>
  </si>
  <si>
    <t>DEF-02277</t>
  </si>
  <si>
    <t>[S_5] 리스트에서 "답변일" 데이터 확인 필요</t>
  </si>
  <si>
    <t>DEF-02279</t>
  </si>
  <si>
    <t xml:space="preserve">[S_7] "초기화" 버튼 선택 시 "상태" 값이 "전체"로 초기화 되지 않음
</t>
  </si>
  <si>
    <t>UT-AS84102S</t>
  </si>
  <si>
    <t>DEF-02474</t>
  </si>
  <si>
    <t>제목입력 란에 문자길이 제한이 없음.</t>
  </si>
  <si>
    <t>DEF-02475</t>
  </si>
  <si>
    <t>노트북에서 저장 버튼 안 보임.</t>
  </si>
  <si>
    <t>DEF-02284</t>
  </si>
  <si>
    <t>[S_1] 답변하기 테스트를 위하여 개선의견을 등록하는 메뉴를 여기저기 찾아보았으나 찾지 못함. 결국 테스트 데이터가 없어서 테스트 진행 불가</t>
  </si>
  <si>
    <t>UT-AS85101S</t>
  </si>
  <si>
    <t>DEF-02288</t>
  </si>
  <si>
    <t>[S_8] "초기화"버튼 선택 시 "검색어"와 "연관검색어" 입력창이 초기화 되지 않음.</t>
  </si>
  <si>
    <t>UT-AS86102S</t>
  </si>
  <si>
    <t>DEF-02294</t>
  </si>
  <si>
    <t>[S_6] 필수 값인 "이벤트 일자"를 공란으로 두고 저장버튼을 누르면 유효성 체크를 하지 않고 진행됨. 
저장은 되는 것으로 보이나, "이벤트 일자"가 없기 때문에 절대 조회할 수 없는 경우가 발생함.</t>
  </si>
  <si>
    <t>DEF-02473</t>
  </si>
  <si>
    <t>노트북 해상도에서 저장 버튼이 보이지 않음.</t>
  </si>
  <si>
    <t>UT-AS86103S</t>
  </si>
  <si>
    <t>DEF-02296</t>
  </si>
  <si>
    <t>[S_7] 내용 수정 후, "등록일"이 리스트의 맨 첫번째 정보의 등록일로 노출됨. 다른 리스트를 클릭한 다음에 다시 클릭하면 정상임</t>
  </si>
  <si>
    <t>UT-AC50010S</t>
  </si>
  <si>
    <t>DEF-03595</t>
  </si>
  <si>
    <t>[S_38] 제빙종료시간 입력 시 입력한 값이 반영되지 않음</t>
  </si>
  <si>
    <t>UT-AC50015S</t>
  </si>
  <si>
    <t>DEF-02397</t>
  </si>
  <si>
    <t>[C_1] 사용여부 선택칸에 아무 정보도 없습니다.</t>
  </si>
  <si>
    <t>UT-CPCI015S</t>
  </si>
  <si>
    <t>DEF-04544</t>
  </si>
  <si>
    <t>화면 로딩안됨</t>
  </si>
  <si>
    <t>UT-CP-SP13</t>
  </si>
  <si>
    <t>DEF-03686</t>
  </si>
  <si>
    <t>[S_2] SQL 오류남</t>
  </si>
  <si>
    <t>UT-CARF007S(A)</t>
  </si>
  <si>
    <t>DEF-02278</t>
  </si>
  <si>
    <t>[S_7] 삭제 처리 버튼 클릭후 저장했으나 삭제되지 않고 그대로 표시됨(사용여부도 그대로 YES 임)</t>
  </si>
  <si>
    <t>UT-CARF003S(A)</t>
  </si>
  <si>
    <t>DEF-03551</t>
  </si>
  <si>
    <t xml:space="preserve">[S_4] Aircraft Crew Count 4자리 이상 입력 경우 오류 </t>
  </si>
  <si>
    <t>UT-PM10201S</t>
  </si>
  <si>
    <t>DEF-03717</t>
  </si>
  <si>
    <t>[C_11]
"메모" 입력 자리수 제한 필요
(출국장운영시간설정관리 페이지 동일)</t>
  </si>
  <si>
    <t>DEF-03721</t>
  </si>
  <si>
    <t>[X_1] 
오후 2시 -&gt;  14시로 표시되면 좋을것같습니다
(출국장 페이지 동일)</t>
  </si>
  <si>
    <t>DEF-03719</t>
  </si>
  <si>
    <t xml:space="preserve">[S_2]
운영여부 변경후 완료버튼 누르면 서버오류 알림이 뜸 </t>
  </si>
  <si>
    <t>UT-CASY051S(A)</t>
  </si>
  <si>
    <t>DEF-03407</t>
  </si>
  <si>
    <t>UT-RS-SP73</t>
  </si>
  <si>
    <t>DEF-03666</t>
  </si>
  <si>
    <t xml:space="preserve">[S_1]
1번 ESB 샘플데이터 INSERT후, ESB수신 테이블 조회시
테스트 결과서는 2건인데, 총 12건이 조회됨
이후 무시하고 진행해도 결국 프로시저 
(CALL SP_RS_WESGAPADREQ_RCV()) 실행시 다음 에러가 남
SQL Error [30926] [99999]: ORA-30926: 원본 테이블의 고정 행 집합을 가져올 수 없습니다
ORA-06512: "RSOWN.SP_RS_WESGAPADREQ_RCV",  155행
ORA-06512: "RSOWN.SP_RS_WESGAPADREQ_RCV",  45행
https://docs.oracle.com/error-help/db/ora-30926/
</t>
  </si>
  <si>
    <t>UT-RSPK048S</t>
  </si>
  <si>
    <t>DEF-02263</t>
  </si>
  <si>
    <t>[S_2] 맨 처음 사진 상태에서 NEW를 누르고 Day를 체크한 후 Night를 체크하면 두번째 사진처럼 '중복된 항목이 있습니다' 알림창이 나옴.
확인을 눌러 알림창을 내리면 맨 왼쪽 목록에 같은날 야간이 두개 생김</t>
  </si>
  <si>
    <t>UT-RS-SP53</t>
  </si>
  <si>
    <t>DEF-03729</t>
  </si>
  <si>
    <t>[S_1] 
체크인카운터 신규데이터를 인서트시 무결성제약조건 에러가 발생</t>
  </si>
  <si>
    <t>UT-RS-SP66</t>
  </si>
  <si>
    <t>DEF-03736</t>
  </si>
  <si>
    <t>[S_2] 
프로시저 실행 후 데이터 반영 (SELECT ) 확인시 0건 조회됨
SP_RS_WESCKNCTSSNPRESCH_RCV
(체크인카운터 가스케쥴입력 데이터 수신)
프로시저 테스트시에도 동일하게 0건 조회됨</t>
  </si>
  <si>
    <t>UT-RS-SP68</t>
  </si>
  <si>
    <t>DEF-03747</t>
  </si>
  <si>
    <t xml:space="preserve">[S_2]
샘플데이터 생성 후 프로시저 실행시 다음 무결성제약에러가 발생 </t>
  </si>
  <si>
    <t>UT-RS-SP69</t>
  </si>
  <si>
    <t>DEF-03768</t>
  </si>
  <si>
    <t xml:space="preserve">[S_2]
프로시저 실행시 무결성 에러 남 </t>
  </si>
  <si>
    <t>UT-RS-SP70</t>
  </si>
  <si>
    <t>DEF-03750</t>
  </si>
  <si>
    <t xml:space="preserve">[S_2]
샘플데이터 생성후 프로시저 실행시 다음 에러가 남
</t>
  </si>
  <si>
    <t>UT-RS-SP71</t>
  </si>
  <si>
    <t>DEF-03671</t>
  </si>
  <si>
    <t>[S_2] 
테스트 결과서의 기대결과값과 다르게 나옴
45-&gt; 90</t>
  </si>
  <si>
    <t>UT-ES-SP7</t>
  </si>
  <si>
    <t>DEF-02419</t>
  </si>
  <si>
    <t>[X_1]프로시져 호출시 오류남.</t>
  </si>
  <si>
    <t>UT-ES-SP8</t>
  </si>
  <si>
    <t>DEF-02446</t>
  </si>
  <si>
    <t xml:space="preserve">[S_1] 결과서 쿼리에 스키마명 추가 보완 필요
</t>
  </si>
  <si>
    <t>UT-ES-SP10</t>
  </si>
  <si>
    <t>DEF-02319</t>
  </si>
  <si>
    <t>[S_3]단위 테스트 결과대로 아래의 순서로 실행하였으나 DEAL_STAT값은 여전히 'N'임
CALL ESOWN.SP_ES_METREPORT_RCV('FIMS', 'FIMSARTSComp', '20170802090156.979', 'ESB_METREPORT_RC');
SELECT * FROM CAOWN.TN_CA_TRCE_LOG
WHERE PROC_ID ='SP_ES_METREPORT_RCV'
AND TRRC_JOB_DT = '20170802090156.979'
ORDER BY FRST_REG_DT desc;
SELECT * FROM CAOWN.TN_CA_ERR_LOG
WHERE PROC_ID ='SP_ES_METREPORT_RCV'
AND TRRC_JOB_DT = '20170802090156.979'
ORDER BY FRST_REG_DT desc;
SELECT * FROM ESOWN.ESB_METREPORT_RCV
WHERE DATEANDTIME = '20170802090156.979';</t>
  </si>
  <si>
    <t>UT-ES-SP12</t>
  </si>
  <si>
    <t>DEF-02375</t>
  </si>
  <si>
    <t xml:space="preserve">[X_1] 테스트 데이터가 필요
(트레이스 로그 중 어떻게 하면 정상호출하는 지 과정 기술 필요)
</t>
  </si>
  <si>
    <t>UT-ES-SP14</t>
  </si>
  <si>
    <t>DEF-02396</t>
  </si>
  <si>
    <t>UT-PM-SP46</t>
  </si>
  <si>
    <t>DEF-02351</t>
  </si>
  <si>
    <t>[S_2] 테스트 결과서의 샘플쿼리가 INSERT한 테이블과 확인하는 테이블이 다릅니다. (결과서 쿼리 업데이트 필요)
- 확인결과, 쿼리는 맞으나 테스트결과서에 나오는 화면이 잘못된 것 같습니다.
- 프로시저 실행 전이니 아무 결과가 없는 것으로 문서 업데이트가 필요한 것으로 보입니다.</t>
  </si>
  <si>
    <t>DEF-02354</t>
  </si>
  <si>
    <t>[S_3] 프로시저 실행 불가
- 프로시저는 존재하는 것으로 확인되는데 실행되지 않음</t>
  </si>
  <si>
    <t>UT-PM-SP51</t>
  </si>
  <si>
    <t>DEF-02364</t>
  </si>
  <si>
    <t>[S_3] 프로시저 실행 불가
- 프로시저는 존재하는 것으로 보이나 실행되지 않음.</t>
  </si>
  <si>
    <t>UT-PM-SP55</t>
  </si>
  <si>
    <t>DEF-02427</t>
  </si>
  <si>
    <t>[S_3] 프로시저 실행 문법 수정 필요
- 제공된 프로시저 구문 실행 시 PMOWN이 명시되어 있지 않아 실행이 되지 않음. 결과서 업데이트 필요</t>
  </si>
  <si>
    <t>UT-PM20155S</t>
  </si>
  <si>
    <t>DEF-02330</t>
  </si>
  <si>
    <t>[S_3] 시뮬레이션쪽은 한 번 더 클릭하면 펼쳐졌던 시간대가 닫히는데, 기존 Config쪽은 다시 클릭해도 닫히지 않음.</t>
  </si>
  <si>
    <t>UT-PM20156S</t>
  </si>
  <si>
    <t>DEF-03381</t>
  </si>
  <si>
    <t>[X_1] 
1920*1080, 크롬 100% 배율
최초 조회시 그래프 이미지 사이즈가 맞지 않음 (스크롤바도 안보임)
한번 배율 조정후에야 스크롤바 보임
(동일건들은 기각하셔도 됩니다!)</t>
  </si>
  <si>
    <t>DEF-03412</t>
  </si>
  <si>
    <t>DEF-03388</t>
  </si>
  <si>
    <t>DEF-03383</t>
  </si>
  <si>
    <t>DEF-03434</t>
  </si>
  <si>
    <t>DEF-03436</t>
  </si>
  <si>
    <t>DEF-03446</t>
  </si>
  <si>
    <t>[S_5]
선택한 라디오와 전체 값을 비교했을때
헤더도 다르고, 숫자값도 다름</t>
  </si>
  <si>
    <t>UT-ES-SP56</t>
  </si>
  <si>
    <t>DEF-02441</t>
  </si>
  <si>
    <t xml:space="preserve">[S_1][S_2][S_3][S_4]ESOWN.ESB_WESSSNCSHRFLTAPLY_RCV 테이블이 존재하지 않음
</t>
  </si>
  <si>
    <t>UT-ES-SP64</t>
  </si>
  <si>
    <t>DEF-02418</t>
  </si>
  <si>
    <t>[S_5] 프로시져 호출에러</t>
  </si>
  <si>
    <t>UT-ES-SP71</t>
  </si>
  <si>
    <t>DEF-02428</t>
  </si>
  <si>
    <t xml:space="preserve">[S_1] 제시된 쿼리 실행 시 실행 불가
- "CAOWN"등의 스키마명 명시 필요
</t>
  </si>
  <si>
    <t>UT-ES-SP72</t>
  </si>
  <si>
    <t>DEF-02430</t>
  </si>
  <si>
    <t xml:space="preserve">[S_1] 주어진 쿼리 실행 시 실행 불가
- 테이블명 앞에 스키마명 명시 필요
</t>
  </si>
  <si>
    <t>UT-ES-SP73</t>
  </si>
  <si>
    <t>DEF-02431</t>
  </si>
  <si>
    <t>[S_1] 주어진 쿼리 실행 불가
- 테이블 명 앞에 스키마 명 명시 필요</t>
  </si>
  <si>
    <t>UT-ES-SP74</t>
  </si>
  <si>
    <t>DEF-02432</t>
  </si>
  <si>
    <t>[S_1] 주어진 쿼리 실행 시 실행 불가
- 테이블 명 앞에 스키마 명 명시 필요</t>
  </si>
  <si>
    <t>UT-ES-SP75</t>
  </si>
  <si>
    <t>DEF-02433</t>
  </si>
  <si>
    <t xml:space="preserve">[S_1] 주어진 쿼리 실행 시 실행 불가
- 테이블 명 앞에 스키마 명 명시 필요
</t>
  </si>
  <si>
    <t>UT-ES-SP76</t>
  </si>
  <si>
    <t>DEF-02434</t>
  </si>
  <si>
    <t>UT-ES-SP77</t>
  </si>
  <si>
    <t>DEF-02438</t>
  </si>
  <si>
    <t xml:space="preserve">[S_1] 조건에 맞는 데이터 없음
- 테스터가 직접 DEAL_STAT을 N 값으로 바꿔서 해도 되는 것인지?
- 아니라면 결과서에 쿼리 제공이 필요 </t>
  </si>
  <si>
    <t>UT-ES-SP78</t>
  </si>
  <si>
    <t>DEF-02439</t>
  </si>
  <si>
    <t xml:space="preserve">[S_1] DEAL_STAT 값 확인 시 데이터 없음
- 값을 변경하거나 입력해야 한다면 해당 쿼리 제공 필요
</t>
  </si>
  <si>
    <t>UT-ES-SP142</t>
  </si>
  <si>
    <t>DEF-02412</t>
  </si>
  <si>
    <t>[X_1] SP_ES_FIMSACSTALRM_RCV 단위 테스트 결과 및 문서 필요</t>
  </si>
  <si>
    <t>UT-GO12108R</t>
  </si>
  <si>
    <t>DEF-02282</t>
  </si>
  <si>
    <t>[X_1-1]우선순위 기준이 없음
여객실적(도착), 여객실적(출발) 데이터는 같은데 순위만 다름 순위가 맞는지 확인이 안됨(테스트 시나리오에 표기 필요)</t>
  </si>
  <si>
    <t>UT-ES-SP79</t>
  </si>
  <si>
    <t>DEF-02440</t>
  </si>
  <si>
    <t>[S_1] 테이블에 조건에 맞는 데이터 없음
- 결과서에 테스트를 위하여 값을 초기화하는 쿼리 필요</t>
  </si>
  <si>
    <t>UT-ES-SP80</t>
  </si>
  <si>
    <t>DEF-02447</t>
  </si>
  <si>
    <t>[S-1] 프로시저 및 쿼리 샘플 데이터에 스키마명 명시 필요
- 스키마명이 없어서 호출 불가</t>
  </si>
  <si>
    <t>UT-ES-SP84</t>
  </si>
  <si>
    <t>DEF-02448</t>
  </si>
  <si>
    <t xml:space="preserve">[S_1] 쿼리 호출 불가 (스키마명이 잘못된 것으로 보임)
</t>
  </si>
  <si>
    <t>UT-ES-SP85</t>
  </si>
  <si>
    <t>DEF-02449</t>
  </si>
  <si>
    <t xml:space="preserve">[S_1] 테스트 데이터 없음
- 테스트 데이터를 생성할 수 있는 쿼리문을 결과서에 추가 필요
</t>
  </si>
  <si>
    <t>UT-ES-SP86</t>
  </si>
  <si>
    <t>DEF-02451</t>
  </si>
  <si>
    <t xml:space="preserve">[S_1] 제공되는 쿼리에 스키마명 명시 필요 (조회 불가)
</t>
  </si>
  <si>
    <t>UT-ES-SP88</t>
  </si>
  <si>
    <t>DEF-02452</t>
  </si>
  <si>
    <t>[S_1] 쿼리 조회 불가
- 스키마명 및 테이블명 확인 필요</t>
  </si>
  <si>
    <t>UT-ES-SP89</t>
  </si>
  <si>
    <t>DEF-02453</t>
  </si>
  <si>
    <t>[S_1] 쿼리 실행 불가
- 스키마명 및 테이블명 확인 필요</t>
  </si>
  <si>
    <t>UT-ES-SP90</t>
  </si>
  <si>
    <t>DEF-02455</t>
  </si>
  <si>
    <t>[S_1] 쿼리 실행 불가
- 스키마명 명시 필요</t>
  </si>
  <si>
    <t>UT-ES-SP92</t>
  </si>
  <si>
    <t>DEF-02456</t>
  </si>
  <si>
    <t xml:space="preserve">[S_1] 쿼리 실행 불가
- 스키마명 및 테이블명 확인 필요
</t>
  </si>
  <si>
    <t>UT-ES-SP93</t>
  </si>
  <si>
    <t>DEF-02457</t>
  </si>
  <si>
    <t xml:space="preserve">[S_1] 쿼리 실행 불가
- 스키마명 확인 필요
</t>
  </si>
  <si>
    <t>UT-ES-SP94</t>
  </si>
  <si>
    <t>DEF-02458</t>
  </si>
  <si>
    <t xml:space="preserve">[S_1] 쿼리 조회 불가
- 스키마명 확인 필요
</t>
  </si>
  <si>
    <t>UT-ES-SP96</t>
  </si>
  <si>
    <t>DEF-02459</t>
  </si>
  <si>
    <t>UT-ES-SP97</t>
  </si>
  <si>
    <t>DEF-02460</t>
  </si>
  <si>
    <t>[S_1] 쿼리 실행 불가
- 스키마명 확인 필요</t>
  </si>
  <si>
    <t>UT-ES-SP98</t>
  </si>
  <si>
    <t>DEF-02461</t>
  </si>
  <si>
    <t>UT-ES-SP100</t>
  </si>
  <si>
    <t>DEF-02320</t>
  </si>
  <si>
    <t>[S_1] ESOWN.ESB_WESCKNCTALOT_RCV 조회하면 테이블 또는 뷰가 없다고 나와 테스트 불가</t>
  </si>
  <si>
    <t>UT-ES-SP101</t>
  </si>
  <si>
    <t>DEF-02322</t>
  </si>
  <si>
    <t>[X_1] "기초데이터가 있는 경우"를 테스트 불가
다른 테스트 방법 또는 기초데이터 삽입 필요</t>
  </si>
  <si>
    <t>UT-ES-SP102</t>
  </si>
  <si>
    <t>DEF-02352</t>
  </si>
  <si>
    <t>[X_1] 테스트 데이터 필요 또는 DEAL_STAT 값이 N으로 초기화</t>
  </si>
  <si>
    <t>UT-ES-SP104</t>
  </si>
  <si>
    <t>DEF-02355</t>
  </si>
  <si>
    <t xml:space="preserve">[X_1]
- TI_ES_CKNCT_CHG_APLY 테이블은 데이터가 필요
- 이 쿼리는 테이블 또는 뷰가 없다고 나옴
SELECT * FROM ESOWN.ESB_WESCKNCTCHGAPLY_RCV
WHERE DEAL_STAT = 'N';
</t>
  </si>
  <si>
    <t>UT-ES-SP105</t>
  </si>
  <si>
    <t>DEF-02357</t>
  </si>
  <si>
    <t>[X_1] 테스트 데이터 필요
- 아래의 쿼리는 0건임
SELECT * FROM ESOWN.ESB_FIMSCKNCTCHGAPLY_RCV
WHERE DEAL_STAT = 'N';</t>
  </si>
  <si>
    <t>UT-ES-SP106</t>
  </si>
  <si>
    <t>DEF-02359</t>
  </si>
  <si>
    <t>[X_1] 데이터를 저장하는 단위테스트 결과 필요</t>
  </si>
  <si>
    <t>UT-ES-SP108</t>
  </si>
  <si>
    <t>DEF-02360</t>
  </si>
  <si>
    <t>[X_1] 테이블 또는 뷰가 없다고 나옴
SELECT * FROM ESOWN.ESB_WESCKNCTSSNAPLY_RCV WHERE DEAL_STAT = 'N';</t>
  </si>
  <si>
    <t>UT-ES-SP109</t>
  </si>
  <si>
    <t>DEF-02362</t>
  </si>
  <si>
    <t>[X_1] 테스트 데이터 필요
- 아래의 쿼리는 0건임
SELECT * FROM ESOWN.ESB_FIMSCKNCTSSNAPLY_RCV
WHERE DEAL_STAT = 'N';</t>
  </si>
  <si>
    <t>UT-ES-SP110</t>
  </si>
  <si>
    <t>DEF-02365</t>
  </si>
  <si>
    <t>[X_1] 테스트 데이터가 필요
(트레이스 로그 중 어떻게 하면 정상호출하는 지 과정 기술 필요)</t>
  </si>
  <si>
    <t>UT-ES-SP112</t>
  </si>
  <si>
    <t>DEF-02366</t>
  </si>
  <si>
    <t>[X_1] 테이블 또는 뷰가 없다고 나옴
SELECT * FROM ESOWN.ESB_WESCKNCTSSNPRESCH_RCV
WHERE DEAL_STAT = 'N';</t>
  </si>
  <si>
    <t>UT-ES-SP113</t>
  </si>
  <si>
    <t>DEF-02371</t>
  </si>
  <si>
    <t>[X_1] 아래의 쿼리를 실행하면 테이블 또는 뷰가 존재하지 않는다고 나옴
SELECT * FROM ESOWN.ESB_WESCKNCTCHGAPLY_RCV WHERE DEAL_STAT = 'N';</t>
  </si>
  <si>
    <t>UT-ES-SP114</t>
  </si>
  <si>
    <t>DEF-02367</t>
  </si>
  <si>
    <t>UT-ES-SP116</t>
  </si>
  <si>
    <t>DEF-02372</t>
  </si>
  <si>
    <t>[X_1] 단위 테스트 수행 결과 문서 필요</t>
  </si>
  <si>
    <t>UT-ES-SP120</t>
  </si>
  <si>
    <t>DEF-02376</t>
  </si>
  <si>
    <t>[X_1] 단위테스트 결과 필요</t>
  </si>
  <si>
    <t>UT-ES-SP122</t>
  </si>
  <si>
    <t>DEF-02380</t>
  </si>
  <si>
    <t>UT-ES-SP124</t>
  </si>
  <si>
    <t>DEF-02381</t>
  </si>
  <si>
    <t>[X_1] 프로시저 실행 중 제약조건 걸림, 추가 테스트 데이터 필요</t>
  </si>
  <si>
    <t>UT-ES-SP126</t>
  </si>
  <si>
    <t>DEF-02382</t>
  </si>
  <si>
    <t>[X_1] 제약조건 위반이라고 나옴, 추가 테스트 데이터 필요
테스트 방법 : DEAL_STAT 값을 N으로 바꾼후 프로시저 실행</t>
  </si>
  <si>
    <t>DEF-02388</t>
  </si>
  <si>
    <t>[X_1] 단위 테스트 시나리오 및 테스트 데이터 필요</t>
  </si>
  <si>
    <t>UT-ES-SP128</t>
  </si>
  <si>
    <t>DEF-02390</t>
  </si>
  <si>
    <t>UT-ES-SP129</t>
  </si>
  <si>
    <t>DEF-02391</t>
  </si>
  <si>
    <t>UT-ES-SP130</t>
  </si>
  <si>
    <t>DEF-02395</t>
  </si>
  <si>
    <t>UT-ES-SP133</t>
  </si>
  <si>
    <t>DEF-02403</t>
  </si>
  <si>
    <t>[X_1] SP_ESB_FIMSRSRCGROUPMPNG_RCV 단위 테스트 문서 필요</t>
  </si>
  <si>
    <t>UT-ES-SP134</t>
  </si>
  <si>
    <t>DEF-02401</t>
  </si>
  <si>
    <t>DEF-02402</t>
  </si>
  <si>
    <t>[X_1] SP_ESB_FIMSRSRCGROUPMPNG_RCV 단위 테스트 문서 필요
(오입력된 결함입니다. 해당 결함은 정상처리부탁드립니다.)</t>
  </si>
  <si>
    <t>UT-ES-SP135</t>
  </si>
  <si>
    <t>DEF-02406</t>
  </si>
  <si>
    <t>[X_1] SP_ESB_FIMSCMFCTY_RCV 단위 테스트 결과 및 문서 필요</t>
  </si>
  <si>
    <t>UT-ES-SP136</t>
  </si>
  <si>
    <t>DEF-02407</t>
  </si>
  <si>
    <t>UT-ES-SP137</t>
  </si>
  <si>
    <t>DEF-02408</t>
  </si>
  <si>
    <t>[X_1] SP_ESB_FIMSCMFCTYOPER_RCV 단위 테스트 결과 및 문서 필요</t>
  </si>
  <si>
    <t>UT-ES-SP138</t>
  </si>
  <si>
    <t>DEF-02409</t>
  </si>
  <si>
    <t>UT-ES-SP140</t>
  </si>
  <si>
    <t>DEF-02410</t>
  </si>
  <si>
    <t>UT-ES-SP141</t>
  </si>
  <si>
    <t>DEF-02411</t>
  </si>
  <si>
    <t>UT-ES-SP143</t>
  </si>
  <si>
    <t>DEF-02413</t>
  </si>
  <si>
    <t>[X_1] SP_ESB_FIMSCKNCTALTMNTEXCNOPT_RCV 단위 테스트 결과 및 문서 필요</t>
  </si>
  <si>
    <t>UT-ES-SP144</t>
  </si>
  <si>
    <t>DEF-02414</t>
  </si>
  <si>
    <t>UT-ES-SP145</t>
  </si>
  <si>
    <t>DEF-02415</t>
  </si>
  <si>
    <t>[X_1] SP_ESB_FIMSCKNCTUSELMT_RCV 단위 테스트 결과 및 문서 필요</t>
  </si>
  <si>
    <t>UT-ES-SP146</t>
  </si>
  <si>
    <t>DEF-02416</t>
  </si>
  <si>
    <t>UT-ES-SP156</t>
  </si>
  <si>
    <t>DEF-02335</t>
  </si>
  <si>
    <t>[S_1][S_2][S_3] 에러</t>
  </si>
  <si>
    <t>UT-ES-SP166</t>
  </si>
  <si>
    <t>DEF-03629</t>
  </si>
  <si>
    <t>[S_1] sql 오류발생</t>
  </si>
  <si>
    <t>UT-ES-SP167</t>
  </si>
  <si>
    <t>DEF-03630</t>
  </si>
  <si>
    <t>UT-WESCASY021S</t>
  </si>
  <si>
    <t>DEF-02283</t>
  </si>
  <si>
    <t>[S_4] SAVE버튼클릭 시 아무런 이벤트가 나타나지 않음
수정이 안됨 save버튼이 보이지 않음</t>
  </si>
  <si>
    <t>UT-WESCASY024S</t>
  </si>
  <si>
    <t>DEF-02299</t>
  </si>
  <si>
    <t>[S_5] SAVE버튼이 활성화가 안되어있음
[S_7],[S_8] 개별적으로 체크박스가 존재하지 않음</t>
  </si>
  <si>
    <t>UT-WESCASY025S</t>
  </si>
  <si>
    <t>DEF-02302</t>
  </si>
  <si>
    <t>[S_5] save버튼이 비활성화되어 신규등록이 안됨</t>
  </si>
  <si>
    <t>UT-GO12516R</t>
  </si>
  <si>
    <t>DEF-02291</t>
  </si>
  <si>
    <t>UT-GO12126R</t>
  </si>
  <si>
    <t>DEF-02339</t>
  </si>
  <si>
    <t>[X_2-1] 1. 기준일자 범위 설정 필요
          2. 실행중이면 실행중이라는 메세지로 처리 --&gt; 다른항목을 실행 하려면 보고서호출이 완료되지 않았습니다 라는 메세지가 나옴.</t>
  </si>
  <si>
    <t>UT-FPFA091S</t>
  </si>
  <si>
    <t>DEF-03398</t>
  </si>
  <si>
    <t>[C_18] FOIS에 없는 운항편 삭제 후에 삭제된 행이 그대로 남아있음. 기능/데이터상으론 문제없이 삭제된 것으로 보임. 다른 화면처럼 즉각적으로 화면이 업데이트가 되었으면 함</t>
  </si>
  <si>
    <t>UT-CARF009S(A)</t>
  </si>
  <si>
    <t>DEF-03450</t>
  </si>
  <si>
    <t>[C_5]오류에대한 메세지가 정확하지 않</t>
  </si>
  <si>
    <t>UT-CARF024S(A)</t>
  </si>
  <si>
    <t>DEF-03466</t>
  </si>
  <si>
    <t>[C_3] 화면의 첫 째 필드에 커셔가 Set focus되어 있지 않음</t>
  </si>
  <si>
    <t>UT-WESCASY048S</t>
  </si>
  <si>
    <t>DEF-04517</t>
  </si>
  <si>
    <t>[S_1] 단위테스트결과서의 증적에는 Date의 초기값이 "테스트 당일 - 7일 ~ 테스트 당일"이라고 기재되어 있으나 화면 초기 로딩 시 테스트 당일 - 1년 ~ 테스트 당일로 동작하고 있습니다.</t>
  </si>
  <si>
    <t>확인요청</t>
  </si>
  <si>
    <t>확인대기</t>
  </si>
  <si>
    <t>UT-AS72102S</t>
  </si>
  <si>
    <t>DEF-03673</t>
  </si>
  <si>
    <t>[S_03] 첨부파일 다운로드 실패</t>
  </si>
  <si>
    <t>DEF-03397</t>
  </si>
  <si>
    <t>UT-RS-SP91</t>
  </si>
  <si>
    <t>DEF-04451</t>
  </si>
  <si>
    <t xml:space="preserve">[S_0] 'ORA-00942: 테이블 또는 뷰가 존재하지 않습니다' 라는 에러가 발생합니다.
</t>
  </si>
  <si>
    <t>UT-AS13101S</t>
  </si>
  <si>
    <t>DEF-03734</t>
  </si>
  <si>
    <t>[주제별 통계], [리포트 관리], [Notice], [New Report], [개선의견] 클릭 이동 후 뒤로가기 불가</t>
  </si>
  <si>
    <t>UT-AS11101S</t>
  </si>
  <si>
    <t>DEF-03699</t>
  </si>
  <si>
    <t>[S_02]비로그인 상태에서 상단 메뉴 DW 클릭 시, Alert 발생 후 DW 페이지로 이동</t>
  </si>
  <si>
    <t>UT-AS78101S</t>
  </si>
  <si>
    <t>DEF-03667</t>
  </si>
  <si>
    <t>"리포트명" 입력 후 검색 시 서버 오류 ALERT</t>
  </si>
  <si>
    <t>UT-FPFS003R</t>
  </si>
  <si>
    <t>DEF-04484</t>
  </si>
  <si>
    <t>[X_001]테스트 결과서가 Season Arrival/Departure Flight Schedule List 인데 Seasonal Arrive  내용으로 되어 있음</t>
  </si>
  <si>
    <t>UT-FPFS091S</t>
  </si>
  <si>
    <t>DEF-04528</t>
  </si>
  <si>
    <t xml:space="preserve">[C_001] STATUS LIST BOX 상단 전체 표기 </t>
  </si>
  <si>
    <t>UT-PM10308S</t>
  </si>
  <si>
    <t>DEF-04741</t>
  </si>
  <si>
    <t>터미널을 바꾸고 검색해도 차트 모양이 변하지 않음.</t>
  </si>
  <si>
    <t>DEF-03527</t>
  </si>
  <si>
    <t>[S_3] STY가 NEW이지만, 5) via 입력 불가능</t>
  </si>
  <si>
    <t>DEF-03524</t>
  </si>
  <si>
    <t>[S_2] 4) TYS 수정 시, REG 빈값으로 바뀌는지 확인 불가</t>
  </si>
  <si>
    <t>UT-RSPK012S</t>
  </si>
  <si>
    <t>DEF-04444</t>
  </si>
  <si>
    <t>[X_005]메세지가 부정확함
NAME 혹은 vALUE를 입력하지 않으면 서버오류라고 메세지 처리 됨
--&gt; 필수항목 오류로 표기</t>
  </si>
  <si>
    <t>UT-RSPK029M</t>
  </si>
  <si>
    <t>DEF-04622</t>
  </si>
  <si>
    <t xml:space="preserve">[X_001] 차트네 자체 구현으로 표기가 되고 테스트 시나리오 결과서 문서 별도로 없어 테스트 못함 </t>
  </si>
  <si>
    <t>UT-RSPK035M</t>
  </si>
  <si>
    <t>DEF-04443</t>
  </si>
  <si>
    <t>[C_001] Date 범위 제한 필요
 1900-01-01 ~ 2026-03-24로 조회 하였더니 5분이 지나도 계속 loading상태</t>
  </si>
  <si>
    <t>UT-CARF002S</t>
  </si>
  <si>
    <t>DEF-03601</t>
  </si>
  <si>
    <t>[C_11] Aircraft Type Description 입력란이 500byte 까지 인데 500byte 이상 입력이 가능함. 단, 500byte 이상 입력 후 저장 시 오류메세지 뜸</t>
  </si>
  <si>
    <t>UT-RCCR008L</t>
  </si>
  <si>
    <t>DEF-03751</t>
  </si>
  <si>
    <t>[S_11] Print 클릭시 출력화면이 나오지 않음</t>
  </si>
  <si>
    <t>재조치요청</t>
  </si>
  <si>
    <t>UT-PM10311S</t>
  </si>
  <si>
    <t>DEF-04742</t>
  </si>
  <si>
    <t>UT-MESCA401S</t>
  </si>
  <si>
    <t>DEF-04464</t>
  </si>
  <si>
    <t>[S_4] '선택적 개인정보 수집 이용내역' 이 '필수'가 아닌 '선택' 항목으로 동작하지만 같은 '[필수]' section 하에 존재하여 '필수'로 느껴집니다. 선택 항목이라면 section을 분리하거나, (선택) 등으로 명확히 분리하면 좋을 것 같습니다.</t>
  </si>
  <si>
    <t>UT-RSPK034M</t>
  </si>
  <si>
    <t>DEF-04442</t>
  </si>
  <si>
    <t>[C_001]Date 범위 제한이 필요 함</t>
  </si>
  <si>
    <t>UT-RCCR009M</t>
  </si>
  <si>
    <t>DEF-03752</t>
  </si>
  <si>
    <t>[S_2] Terminal 선택후 조회하면 모든 터미날 조회됨</t>
  </si>
  <si>
    <t>UT-CA-SP31(A)</t>
  </si>
  <si>
    <t>DEF-03771</t>
  </si>
  <si>
    <t>[S_1]SQL Error [23000]: JDBC-10007:UNIQUE constraint violation ('CAOWN'.'PK_TN_CA_USER_SESS').
[S_2] SQL Error [ERRPS]: JDBC-15146:PSM compilation error.</t>
  </si>
  <si>
    <t>UT-WESCM005S</t>
  </si>
  <si>
    <t>DEF-04477</t>
  </si>
  <si>
    <t>[S_1] 테스트 시점의 데이터가 존재하지 않는 것인지 화면상에 아무 것도 표시되지 않습니다.</t>
  </si>
  <si>
    <t>UT-WESCM006S</t>
  </si>
  <si>
    <t>DEF-04481</t>
  </si>
  <si>
    <t>[S_3] 헤더 위에 커서를 가져다 대도 툴팁이 표시되지 않습니다.</t>
  </si>
  <si>
    <t>DEF-04480</t>
  </si>
  <si>
    <t>[S_1] 단위테스트 결과서상으론 초기값 중 '종료편옵션'이 '종료편제외' 라고 기재되어 있으나 실제론 초기값이 '전체'입니다.</t>
  </si>
  <si>
    <t>DEF-04522</t>
  </si>
  <si>
    <t>[S_1] [S_2] Date가 '2026-03-19' 이후일 땐 데이터 예외사항이라는 alert이 표출됩니다.</t>
  </si>
  <si>
    <t>DEF-04513</t>
  </si>
  <si>
    <t>[C-000] 엑셀버튼 클릭시 아무 작동 안함.</t>
  </si>
  <si>
    <t>UT-WESFP003S</t>
  </si>
  <si>
    <t>DEF-04495</t>
  </si>
  <si>
    <t>[S_2] [C_1] (오타) '자'연실제시간존재여부 → '지'연실제시간존재여부</t>
  </si>
  <si>
    <t>UT-SLOT00003B</t>
  </si>
  <si>
    <t>DEF-03963</t>
  </si>
  <si>
    <t xml:space="preserve">1. 시스템 컬럼 등록자, 등록자IP, 등록일시 및 수정자 컬럼은
배치 실행시 배치 작업의 기준으로 등록 되어야함.
2. 배치 실행 여부 확인 요청 드립니다.
2026년 생성 데이터 없음.
</t>
  </si>
  <si>
    <t>송희영</t>
  </si>
  <si>
    <t>Batch</t>
  </si>
  <si>
    <t>UT-SLOTOF004S</t>
  </si>
  <si>
    <t>DEF-04452</t>
  </si>
  <si>
    <t>시험내용3_저장 안됨  
시험내용4_수정 안됨
시험내용5_삭제 안됨</t>
  </si>
  <si>
    <t>UT-FP-SP162</t>
  </si>
  <si>
    <t>DEF-04553</t>
  </si>
  <si>
    <t>[S_001]테스트 결과서에는 EMP_FLT_STTS_CD 및 PSG_FLT_STTS_CD 값이 ㅜNULL에서 OPEN으로 변경 되는데, 실행시 그 값은 바뀌지 않음</t>
  </si>
  <si>
    <t>UT-FP-SP174</t>
  </si>
  <si>
    <t>DEF-04584</t>
  </si>
  <si>
    <t>[X_001]테스트 결과서에 실행 프로시져가 없어 테스트 안됨</t>
  </si>
  <si>
    <t>UT-PM10305S</t>
  </si>
  <si>
    <t>DEF-04723</t>
  </si>
  <si>
    <t>터미널 및 구역을 바꾸고 검색을 해도 차트 모양이 바뀌지 않음</t>
  </si>
  <si>
    <t>UT-PM10307S</t>
  </si>
  <si>
    <t>DEF-04739</t>
  </si>
  <si>
    <t>터미널을 바꾸고 검색해도 표 내용이 변하지 않음.</t>
  </si>
  <si>
    <t>UT-CARF041S(A)</t>
  </si>
  <si>
    <t>DEF-04473</t>
  </si>
  <si>
    <t>UT-AS78102M</t>
  </si>
  <si>
    <t>DEF-03668</t>
  </si>
  <si>
    <t>실제 값과 다른 그래프</t>
  </si>
  <si>
    <t>UT-FP-SP203</t>
  </si>
  <si>
    <t>DEF-04613</t>
  </si>
  <si>
    <t>[s_002] ESB_FIMSDALYACLFLTRSLT_SND 테이블에 데이터가 적재되는지
          확인이 안됨(데이터 없음) .</t>
  </si>
  <si>
    <t>UT-AS33201S</t>
  </si>
  <si>
    <t>DEF-03706</t>
  </si>
  <si>
    <t>관계형 그래프로 보기 클릭 시 페이지 로드 에러</t>
  </si>
  <si>
    <t>UT-AS31801S</t>
  </si>
  <si>
    <t>DEF-03757</t>
  </si>
  <si>
    <t>검색 UI 미구현</t>
  </si>
  <si>
    <t>UT-AS31901S</t>
  </si>
  <si>
    <t>DEF-03759</t>
  </si>
  <si>
    <t>검색 조건 UI 없음</t>
  </si>
  <si>
    <t>UT-AS33302S</t>
  </si>
  <si>
    <t>DEF-03749</t>
  </si>
  <si>
    <t>검색일자 임의 설정 후 검색 시 항상 데이터 없음 출력
Default(1일 전 ~ 현재일자)일자로 검색 시 데이터 정상 출력</t>
  </si>
  <si>
    <t>UT-AS37401S</t>
  </si>
  <si>
    <t>DEF-03753</t>
  </si>
  <si>
    <t>UT-AS37501S</t>
  </si>
  <si>
    <t>DEF-03754</t>
  </si>
  <si>
    <t>UT-AS37701S</t>
  </si>
  <si>
    <t>DEF-03755</t>
  </si>
  <si>
    <t>UT-MESRS083S</t>
  </si>
  <si>
    <t>DEF-04461</t>
  </si>
  <si>
    <t>UT-PM10106S</t>
  </si>
  <si>
    <t>DEF-03485</t>
  </si>
  <si>
    <t>[C_13] 
종료일이 시작일보다 과거여도 아무 알림이 뜨지 않고 검색도 되지 않음</t>
  </si>
  <si>
    <t>UT-PM10105S</t>
  </si>
  <si>
    <t>DEF-03486</t>
  </si>
  <si>
    <t>UT-WESFP009M</t>
  </si>
  <si>
    <t>DEF-04491</t>
  </si>
  <si>
    <t>[S_3] 찾아보기 버튼 클릭 시에도 아무 반응이 없습니다.</t>
  </si>
  <si>
    <t>DEF-04490</t>
  </si>
  <si>
    <t>[S_2] 양식 다운로드 옆의 엑셀파일 다운로드 버튼을 눌러도 아무 반응이 없습니다.</t>
  </si>
  <si>
    <t>UT-AC08014S</t>
  </si>
  <si>
    <t>DEF-04677</t>
  </si>
  <si>
    <t>next controller 수정후 'change' 버트 클릭시 아래와 같이 서버 오류남.</t>
  </si>
  <si>
    <t>DEF-04696</t>
  </si>
  <si>
    <t xml:space="preserve">contract end date  날짜 크기가 다름 </t>
  </si>
  <si>
    <t>DEF-04780</t>
  </si>
  <si>
    <t>1.19시험내용 2008.05.16이후 날짜도 검색됨</t>
  </si>
  <si>
    <t>UT-ACST019S</t>
  </si>
  <si>
    <t>DEF-04706</t>
  </si>
  <si>
    <t>time 입력값 표기 결함</t>
  </si>
  <si>
    <t>업무</t>
  </si>
  <si>
    <t>업무분류1</t>
  </si>
  <si>
    <t>업무분류2</t>
  </si>
  <si>
    <t>프로그램ID</t>
  </si>
  <si>
    <t>프로그램명</t>
  </si>
  <si>
    <t>개발완료계획일</t>
  </si>
  <si>
    <t>개발완료일</t>
  </si>
  <si>
    <t>UT_SN_ID</t>
  </si>
  <si>
    <t>차수</t>
  </si>
  <si>
    <t>순번</t>
  </si>
  <si>
    <t>3자테스트완료일</t>
  </si>
  <si>
    <t>3자TEST결과</t>
  </si>
  <si>
    <t>순수결함건수</t>
  </si>
  <si>
    <t>3자테스터명</t>
  </si>
  <si>
    <t>3자최종결과</t>
  </si>
  <si>
    <t>공사테스트완료계획일</t>
  </si>
  <si>
    <t>공사테스트완료일</t>
  </si>
  <si>
    <t>공사테스트결과</t>
  </si>
  <si>
    <t>순수결함건수(공사)</t>
  </si>
  <si>
    <t>공사테스터명</t>
  </si>
  <si>
    <t>공사최종결과</t>
  </si>
  <si>
    <t>현업테스트완료계획일</t>
  </si>
  <si>
    <t>현업테스트완료일</t>
  </si>
  <si>
    <t>현업테스트결과</t>
  </si>
  <si>
    <t>순수결함건수(현업)</t>
  </si>
  <si>
    <t>현업테스터명</t>
  </si>
  <si>
    <t>현업최종결과</t>
  </si>
  <si>
    <t>감리테스트완료일</t>
  </si>
  <si>
    <t>감리테스트결과</t>
  </si>
  <si>
    <t>순수결함건수(감리)</t>
  </si>
  <si>
    <t>화면구성</t>
  </si>
  <si>
    <t>CAMN009M(A)</t>
  </si>
  <si>
    <t>도움말</t>
  </si>
  <si>
    <t>2차</t>
  </si>
  <si>
    <t>P</t>
  </si>
  <si>
    <t>장수정</t>
  </si>
  <si>
    <t>현업테스터</t>
  </si>
  <si>
    <t>참조정보</t>
  </si>
  <si>
    <t>운항정보</t>
  </si>
  <si>
    <t>CARF041S(A)</t>
  </si>
  <si>
    <t>AFTN IFR Route 리마크 정보</t>
  </si>
  <si>
    <t>F</t>
  </si>
  <si>
    <t>공사테스터</t>
  </si>
  <si>
    <t>CA00002B</t>
  </si>
  <si>
    <t>SMS 그룹 매핑 사용자 정보 갱신 배치</t>
  </si>
  <si>
    <t>UT-CA00002B</t>
  </si>
  <si>
    <t>CA-SP47</t>
  </si>
  <si>
    <t>SP_ESB_ACNTRQSTCIP_RCV, 계정생성정보수신처리</t>
  </si>
  <si>
    <t>UT-CA-SP47</t>
  </si>
  <si>
    <t>FP-SP159</t>
  </si>
  <si>
    <t>SP_FP_RSMAIN_FLD_HST,자원배정 주요필드 변경 이력 생성</t>
  </si>
  <si>
    <t>UT-FP-SP159</t>
  </si>
  <si>
    <t>FP-SP160</t>
  </si>
  <si>
    <t>SP_FP_AC_SPOTTIME_ATA_ATD,관제정보 Spot time 반영</t>
  </si>
  <si>
    <t>UT-FP-SP160</t>
  </si>
  <si>
    <t>FP-SP164</t>
  </si>
  <si>
    <t>SP_FP_DLY_RSN_UPDATE,FOIS 지연사유 업데이트</t>
  </si>
  <si>
    <t>UT-FP-SP164</t>
  </si>
  <si>
    <t>FP-SP168</t>
  </si>
  <si>
    <t>SP_FP_PBB_BDGS_RCV,보딩브릿지 상태정보 메시지 업무 반영</t>
  </si>
  <si>
    <t>UT-FP-SP168</t>
  </si>
  <si>
    <t>FP-SP181</t>
  </si>
  <si>
    <t>SP_FP_SSN_CSHR_DELETE_ALN,항공사별 시즌코드쉐어편 삭제</t>
  </si>
  <si>
    <t>UT-FP-SP181</t>
  </si>
  <si>
    <t>Interface</t>
  </si>
  <si>
    <t>FP-IF2</t>
  </si>
  <si>
    <t>afsDep_api,FP_현행운항출발정보연계</t>
  </si>
  <si>
    <t>UT-FP-IF2</t>
  </si>
  <si>
    <t>FP-SP201</t>
  </si>
  <si>
    <t>SP_ESB_WES_DALYLINKFLTAPLY_RCV,외부 현행연결편 신청정보 메시지수신</t>
  </si>
  <si>
    <t>UT-FP-SP201</t>
  </si>
  <si>
    <t>FP-SP194</t>
  </si>
  <si>
    <t>SP_FP_ARRDEPVIPINFO_PROC,VIP 데이터 저장</t>
  </si>
  <si>
    <t>UT-FP-SP194</t>
  </si>
  <si>
    <t>FP-SP203</t>
  </si>
  <si>
    <t>SP_FP_DALY_ACLINK_RESULT_SND,외부 신청 현행연결편 처리 결과 메시지 송신</t>
  </si>
  <si>
    <t>FP-SP202</t>
  </si>
  <si>
    <t>SP_FP_WES_DALYLINKFLTAPLY_PROC,외부 현행연결편 신청정보 데이터 저장</t>
  </si>
  <si>
    <t>UT-FP-SP202</t>
  </si>
  <si>
    <t>FP-SP215</t>
  </si>
  <si>
    <t>SP_ESB_JNA_ASM,ESB 현행JNA ASM 메시지수신</t>
  </si>
  <si>
    <t>UT-FP-SP215</t>
  </si>
  <si>
    <t>FP-SP220</t>
  </si>
  <si>
    <t>SP_FP_TRNSP_PRFMNC_SND,운송실적정보 메시지 송신</t>
  </si>
  <si>
    <t>UT-FP-SP220</t>
  </si>
  <si>
    <t>CP-SP29</t>
  </si>
  <si>
    <t>SP_ESB_FIMSARCFTAPRCTRL_RCV,항공기 이동시간정보 메시지 수신처리</t>
  </si>
  <si>
    <t>UT-CP-SP29</t>
  </si>
  <si>
    <t>CP-SP23</t>
  </si>
  <si>
    <t>SP_CP_DALY_SCHDL_CHGREQ_SND,현행운항편 변경정보 요청 메시지 송신</t>
  </si>
  <si>
    <t>UT-CP-SP23</t>
  </si>
  <si>
    <t>CP-SP24</t>
  </si>
  <si>
    <t>SP_CP_ACST_DALYOPER_CHGREQ_SND,주기장 변경정보 요청 메시지 송신</t>
  </si>
  <si>
    <t>UT-CP-SP24</t>
  </si>
  <si>
    <t>CM-SP34</t>
  </si>
  <si>
    <t>SP_CM_OUTBOUND_MLSTN_UPDATE_ADI,출발편 제빙마일스톤 운영-제빙장진입</t>
  </si>
  <si>
    <t>UT-CM-SP34</t>
  </si>
  <si>
    <t>장세민</t>
  </si>
  <si>
    <t>CM-SP37</t>
  </si>
  <si>
    <t>SP_CM_OUTBOUND_MLSTN_UPDATE_ADO,출발편 제빙마일스톤 운영-제빙장진출</t>
  </si>
  <si>
    <t>UT-CM-SP37</t>
  </si>
  <si>
    <t>CM-SP60</t>
  </si>
  <si>
    <t>SP_CM_ACDM_OPR_STS_MTLY,A-CDM 운영현황(월별) 생성</t>
  </si>
  <si>
    <t>UT-CM-SP60</t>
  </si>
  <si>
    <t>CM-SP67</t>
  </si>
  <si>
    <t>SP_CM_ACDM_OPR_STS_CGO_QRT,A-CDM 운영현황(화물/분기별) 생성</t>
  </si>
  <si>
    <t>UT-CM-SP67</t>
  </si>
  <si>
    <t>CM-SP75</t>
  </si>
  <si>
    <t>SP_CM_ACDM_OPR_STS_PAX_YRLY,A-CDM 운영현황(여객/연도별) 생성</t>
  </si>
  <si>
    <t>UT-CM-SP75</t>
  </si>
  <si>
    <t>CM-IF1</t>
  </si>
  <si>
    <t>FltAcdmMlstnDepAPI,출발편 마일스톤 송신 API</t>
  </si>
  <si>
    <t>UT-CM-IF1</t>
  </si>
  <si>
    <t>CM-SP117</t>
  </si>
  <si>
    <t>SP_CM_FLTACDMMLSTNDEPMOBILE_SND,운항편별 모바일용 A-CDM 출발마일스톤정보 송신</t>
  </si>
  <si>
    <t>UT-CM-SP117</t>
  </si>
  <si>
    <t>CM-IF4</t>
  </si>
  <si>
    <t>API_CM_IIF_FLT_RSC_RCV, 출/도착편 자원배정 내부인터페이스 수신 API</t>
  </si>
  <si>
    <t>UT-CM-IF4</t>
  </si>
  <si>
    <t>계류장관제</t>
  </si>
  <si>
    <t>CONTROL MANAGEMENT</t>
  </si>
  <si>
    <t>AC01025S</t>
  </si>
  <si>
    <t>Pad Mode</t>
  </si>
  <si>
    <t>UT-AC01025S</t>
  </si>
  <si>
    <t>정진성</t>
  </si>
  <si>
    <t>최기현</t>
  </si>
  <si>
    <t>관제업무설정</t>
  </si>
  <si>
    <t>Setting</t>
  </si>
  <si>
    <t>AC08014S</t>
  </si>
  <si>
    <t>DUTY TIME</t>
  </si>
  <si>
    <t>예측정보관리</t>
  </si>
  <si>
    <t>사용자 정의 시뮬레이션 입력 관리</t>
  </si>
  <si>
    <t>PM10402S</t>
  </si>
  <si>
    <t>사용자 시뮬레이션 운항 정보 변경 관리</t>
  </si>
  <si>
    <t>UT-PM10402S</t>
  </si>
  <si>
    <t>PM10401S</t>
  </si>
  <si>
    <t>사용자 시뮬레이션 기준일자/터미널 관리</t>
  </si>
  <si>
    <t>UT-PM10401S</t>
  </si>
  <si>
    <t>PM10405S</t>
  </si>
  <si>
    <t>사용자 시뮬레이션 보안검색대 정보 변경 관리</t>
  </si>
  <si>
    <t>UT-PM10405S</t>
  </si>
  <si>
    <t>PM00003B</t>
  </si>
  <si>
    <t>전월시뮬레이션 결과 정리</t>
  </si>
  <si>
    <t>UT-PM00003B</t>
  </si>
  <si>
    <t>항공보안</t>
  </si>
  <si>
    <t>EOD 현장관리</t>
  </si>
  <si>
    <t>FSEY080S</t>
  </si>
  <si>
    <t>근무자별 출동현황 조회</t>
  </si>
  <si>
    <t>UT-FSEY080S</t>
  </si>
  <si>
    <t>부서별업무</t>
  </si>
  <si>
    <t>계류장운영팀</t>
  </si>
  <si>
    <t>GO12510S</t>
  </si>
  <si>
    <t>LCC 균등배정실적</t>
  </si>
  <si>
    <t>UT-GO12510S</t>
  </si>
  <si>
    <t>홍석일</t>
  </si>
  <si>
    <t>GO-SP202</t>
  </si>
  <si>
    <t>SP_GO_PREACMVT_RCV, 항공기의 예상 지상 이동 수신메시지 처리</t>
  </si>
  <si>
    <t>UT-GO-SP202</t>
  </si>
  <si>
    <t>공식통계</t>
  </si>
  <si>
    <t>운항</t>
  </si>
  <si>
    <t>AS21501S</t>
  </si>
  <si>
    <t>항공기 지연현황(~2022년)</t>
  </si>
  <si>
    <t>UT-AS21501S</t>
  </si>
  <si>
    <t>AS21602S</t>
  </si>
  <si>
    <t>항공기 결항현황(2023년~)</t>
  </si>
  <si>
    <t>UT-AS21602S</t>
  </si>
  <si>
    <t>여객</t>
  </si>
  <si>
    <t>AS22301S</t>
  </si>
  <si>
    <t>환승여객(내항기 환승 제외)</t>
  </si>
  <si>
    <t>UT-AS22301S</t>
  </si>
  <si>
    <t>세부분류</t>
  </si>
  <si>
    <t>AS25104S</t>
  </si>
  <si>
    <t>항공사별 실적(환승객)</t>
  </si>
  <si>
    <t>UT-AS25104S</t>
  </si>
  <si>
    <t>AS24102S</t>
  </si>
  <si>
    <t>지역별 실적(여객) - 경유지 기준</t>
  </si>
  <si>
    <t>UT-AS24102S</t>
  </si>
  <si>
    <t>AS24103S</t>
  </si>
  <si>
    <t>지역별 실적(항공화물) -경유지 기준</t>
  </si>
  <si>
    <t>UT-AS24103S</t>
  </si>
  <si>
    <t>AS26103S</t>
  </si>
  <si>
    <t>LCC 실적 - 항공화물</t>
  </si>
  <si>
    <t>UT-AS26103S</t>
  </si>
  <si>
    <t>AS27103S</t>
  </si>
  <si>
    <t>터미널별 실적(환승)</t>
  </si>
  <si>
    <t>UT-AS27103S</t>
  </si>
  <si>
    <t>주제별 통계</t>
  </si>
  <si>
    <t>첨두</t>
  </si>
  <si>
    <t>AS38103S</t>
  </si>
  <si>
    <t>첨두일 실적(화물실적)</t>
  </si>
  <si>
    <t>UT-AS38103S</t>
  </si>
  <si>
    <t>AS39103S</t>
  </si>
  <si>
    <t>첨두주 실적(화물실적)</t>
  </si>
  <si>
    <t>UT-AS39103S</t>
  </si>
  <si>
    <t>AS40704S</t>
  </si>
  <si>
    <t>첨두일 여객 실적(출발)</t>
  </si>
  <si>
    <t>UT-AS40704S</t>
  </si>
  <si>
    <t>취항</t>
  </si>
  <si>
    <t>AS40807S</t>
  </si>
  <si>
    <t>취항실적 - 국가별취항도시(화물)</t>
  </si>
  <si>
    <t>UT-AS40807S</t>
  </si>
  <si>
    <t>AS40901S</t>
  </si>
  <si>
    <t>운휴,단항,복항 현황(취항 공항 기준)</t>
  </si>
  <si>
    <t>UT-AS40901S</t>
  </si>
  <si>
    <t>AS41301S</t>
  </si>
  <si>
    <t>취항도시별 운송실적(경유지)</t>
  </si>
  <si>
    <t>UT-AS41301S</t>
  </si>
  <si>
    <t>AS41302S</t>
  </si>
  <si>
    <t>취항도시별 운송실적(목적지)</t>
  </si>
  <si>
    <t>UT-AS41302S</t>
  </si>
  <si>
    <t>주기장/캐로셀</t>
  </si>
  <si>
    <t>AS42101S</t>
  </si>
  <si>
    <t>주기장 현황</t>
  </si>
  <si>
    <t>AS42301S</t>
  </si>
  <si>
    <t>기간별 주기장 변경실적</t>
  </si>
  <si>
    <t>UT-AS42301S</t>
  </si>
  <si>
    <t>보고서</t>
  </si>
  <si>
    <t>AS51101S</t>
  </si>
  <si>
    <t>통계설명</t>
  </si>
  <si>
    <t>UT-AS51101S</t>
  </si>
  <si>
    <t>AS-SP7</t>
  </si>
  <si>
    <t>SP_ESB_SFSARR_RCV,반기 운항스케줄 도착편 ESB 테이블 조회</t>
  </si>
  <si>
    <t>UT-AS-SP7</t>
  </si>
  <si>
    <t>AS-SP19</t>
  </si>
  <si>
    <t>SP_ESB_FIMSCRSLDALYOPER_RCV,캐로셀 일일운영 정보 ESB 테이블 조회</t>
  </si>
  <si>
    <t>UT-AS-SP19</t>
  </si>
  <si>
    <t>운항현황</t>
  </si>
  <si>
    <t>공항기상정보조회</t>
  </si>
  <si>
    <t>WESCM005S</t>
  </si>
  <si>
    <t>운항계획</t>
  </si>
  <si>
    <t>Active Arrive/Departure Flight Schedule List</t>
  </si>
  <si>
    <t>WESFP005R</t>
  </si>
  <si>
    <t>UT-WESFP005R</t>
  </si>
  <si>
    <t>자원배정</t>
  </si>
  <si>
    <t>CIC FLT schedule(Pre-schedule input)</t>
  </si>
  <si>
    <t>WESRS013S</t>
  </si>
  <si>
    <t>공통관리</t>
  </si>
  <si>
    <t>WESCAMN009M</t>
  </si>
  <si>
    <t>UT-WESCAMN009M</t>
  </si>
  <si>
    <t>WESCASY101S</t>
  </si>
  <si>
    <t>외부 FIMS_CA 공지사항 첨부파일 메시지 수신 및 데이터 저장</t>
  </si>
  <si>
    <t>UT-WESCASY101S</t>
  </si>
  <si>
    <t>ES-SP180</t>
  </si>
  <si>
    <t>SP_ESB_FIMSACDMDWUSGKPI_RCV,외부 FIMS_CM DW용도KPI 메시지 수신</t>
  </si>
  <si>
    <t>UT-ES-SP180</t>
  </si>
  <si>
    <t>ES00003B</t>
  </si>
  <si>
    <t>CTOT 입력 PUSH</t>
  </si>
  <si>
    <t>UT-ES00003B</t>
  </si>
  <si>
    <t>ES00007B</t>
  </si>
  <si>
    <t>제방빙 존 배정 PUSH</t>
  </si>
  <si>
    <t>UT-ES00007B</t>
  </si>
  <si>
    <t>ES00008B</t>
  </si>
  <si>
    <t>제방빙 패드 배정 PUSH</t>
  </si>
  <si>
    <t>UT-ES00008B</t>
  </si>
  <si>
    <t>알림</t>
  </si>
  <si>
    <t>MESCA106M</t>
  </si>
  <si>
    <t>푸시알림</t>
  </si>
  <si>
    <t>UT-MESCA106M</t>
  </si>
  <si>
    <t>Check In Counter</t>
  </si>
  <si>
    <t>Planning</t>
  </si>
  <si>
    <t>RSCI023S</t>
  </si>
  <si>
    <t>CIC Forecasting (by FLT schedule)</t>
  </si>
  <si>
    <t>UT-RSCI023S</t>
  </si>
  <si>
    <t>공용용품</t>
  </si>
  <si>
    <t>RSCI081S</t>
  </si>
  <si>
    <t>공용물품신청</t>
  </si>
  <si>
    <t>Stand Chart</t>
  </si>
  <si>
    <t>Rules</t>
  </si>
  <si>
    <t>RSPK012S</t>
  </si>
  <si>
    <t xml:space="preserve">Stand Assign Variable </t>
  </si>
  <si>
    <t>RS90004B</t>
  </si>
  <si>
    <t>체크인카운터 배정내역 전송</t>
  </si>
  <si>
    <t>UT-RS90004B</t>
  </si>
  <si>
    <t>RS90021B</t>
  </si>
  <si>
    <t>체크인카운터 마감처리</t>
  </si>
  <si>
    <t>UT-RS90021B</t>
  </si>
  <si>
    <t>RS-SP77</t>
  </si>
  <si>
    <t xml:space="preserve">SP_RS_FIMSACSTUSELMT_SND,주기장 사용제한 정보  </t>
  </si>
  <si>
    <t>UT-RS-SP77</t>
  </si>
  <si>
    <t>RS-SP82</t>
  </si>
  <si>
    <t xml:space="preserve">SP_RS_FIMSFLTRSRC_SND,운항편자원 정보  </t>
  </si>
  <si>
    <t>RS-SP89</t>
  </si>
  <si>
    <t>SP_RS_CPACSTDALYOPERCHGREQ_RCV,주기장 변경정보 요청</t>
  </si>
  <si>
    <t>UT-RS-SP89</t>
  </si>
  <si>
    <t>Daily Operation</t>
  </si>
  <si>
    <t>RE-030201-01C-02</t>
  </si>
  <si>
    <t>체크인카운터 배정엔진(2차)</t>
  </si>
  <si>
    <t>UT-RE-030201-01C-02</t>
  </si>
  <si>
    <t>시스템운영관리</t>
  </si>
  <si>
    <t>시스템관리</t>
  </si>
  <si>
    <t>CASY070M(A)</t>
  </si>
  <si>
    <t>테이블제너레이터/자바편집기</t>
  </si>
  <si>
    <t>UT-CASY070M(A)</t>
  </si>
  <si>
    <t>이력관리</t>
  </si>
  <si>
    <t>CASY039S(A)</t>
  </si>
  <si>
    <t>EAI 인터페이스 송신 이력</t>
  </si>
  <si>
    <t>UT-CASY039S(A)</t>
  </si>
  <si>
    <t>CASY040S(A)</t>
  </si>
  <si>
    <t>EAI 메시지 모니터링</t>
  </si>
  <si>
    <t>UT-CASY040S(A)</t>
  </si>
  <si>
    <t>CASY038S</t>
  </si>
  <si>
    <t>EAI 인터페이스 수신 이력</t>
  </si>
  <si>
    <t>UT-CASY038S</t>
  </si>
  <si>
    <t>CASY040S</t>
  </si>
  <si>
    <t>UT-CASY040S</t>
  </si>
  <si>
    <t>CARF041S</t>
  </si>
  <si>
    <t>CA-SP31</t>
  </si>
  <si>
    <t>SP_CA_F_CHKINPGTMPLTFID3_RCV, FIDS#3 체크인페이지 메시지 수신 처리</t>
  </si>
  <si>
    <t>UT-CA-SP31</t>
  </si>
  <si>
    <t>CA-SP45</t>
  </si>
  <si>
    <t>SP_ESB_AOMSREFINFO_RCV, AOMS 참조정보 수신처리</t>
  </si>
  <si>
    <t>CA-SP29</t>
  </si>
  <si>
    <t>SP_ESB_CHKINPGTMPLTFID2_CSDL_RCV, FIDS#2 CSDL 체크인페이지 메시지 수신 처리</t>
  </si>
  <si>
    <t>Daily schedule</t>
  </si>
  <si>
    <t>Interface Message</t>
  </si>
  <si>
    <t>FPMG050M</t>
  </si>
  <si>
    <t>ASM JNA Message Details</t>
  </si>
  <si>
    <t>UT-FPMG050M</t>
  </si>
  <si>
    <t>FP-SP196</t>
  </si>
  <si>
    <t>SP_FP_SSN_PRD_SND,반기기간 정보 메시지 송신</t>
  </si>
  <si>
    <t>UT-FP-SP196</t>
  </si>
  <si>
    <t>Seasonal schedule</t>
  </si>
  <si>
    <t>Seasonal Flight List</t>
  </si>
  <si>
    <t>FPFS002R</t>
  </si>
  <si>
    <t>Seasonal Departure Flight Schedule List</t>
  </si>
  <si>
    <t>UT-FPFS002R</t>
  </si>
  <si>
    <t>Option</t>
  </si>
  <si>
    <t>FPFS014S</t>
  </si>
  <si>
    <t>SFS to AFS Convert</t>
  </si>
  <si>
    <t>UT-FPFS014S</t>
  </si>
  <si>
    <t>Carousel Chart</t>
  </si>
  <si>
    <t>Chart</t>
  </si>
  <si>
    <t>CPCR004M</t>
  </si>
  <si>
    <t>CRS Find Flight</t>
  </si>
  <si>
    <t>UT-CPCR004M</t>
  </si>
  <si>
    <t>CIC Chart</t>
  </si>
  <si>
    <t>CPCI100S</t>
  </si>
  <si>
    <t>CIC Operation – Gantt chart(Single)</t>
  </si>
  <si>
    <t>UT-CPCI100S</t>
  </si>
  <si>
    <t>CM-SP20</t>
  </si>
  <si>
    <t>SP_CM_IIF_ACMOVE_RCV,출/도착편 지상이동 내부인터페이스 수신</t>
  </si>
  <si>
    <t>UT-CM-SP20</t>
  </si>
  <si>
    <t>CM-SP21</t>
  </si>
  <si>
    <t>SP_CM_ACMOVE_ARR_UPDATE,도착편 지상이동 내부인터페이스 수신</t>
  </si>
  <si>
    <t>UT-CM-SP21</t>
  </si>
  <si>
    <t>CM-SP36</t>
  </si>
  <si>
    <t>SP_CM_OUTBOUND_MLSTN_UPDATE_ADE,출발편 제빙마일스톤 운영-제빙종료</t>
  </si>
  <si>
    <t>UT-CM-SP36</t>
  </si>
  <si>
    <t>CM-SP62</t>
  </si>
  <si>
    <t>SP_CM_ACDM_OPR_STS_SSN,A-CDM 운영현황(반기별) 생성</t>
  </si>
  <si>
    <t>UT-CM-SP62</t>
  </si>
  <si>
    <t>CM-SP66</t>
  </si>
  <si>
    <t>SP_CM_ACDM_OPR_STS_CGO_MTLY,A-CDM 운영현황(화물/월별) 생성</t>
  </si>
  <si>
    <t>UT-CM-SP66</t>
  </si>
  <si>
    <t>CM-SP72</t>
  </si>
  <si>
    <t>SP_CM_ACDM_OPR_STS_PAX_MTLY,A-CDM 운영현황(여객/월별) 생성</t>
  </si>
  <si>
    <t>UT-CM-SP72</t>
  </si>
  <si>
    <t>CM-SP73</t>
  </si>
  <si>
    <t>SP_CM_ACDM_OPR_STS_PAX_QRT,A-CDM 운영현황(여객/분기별) 생성</t>
  </si>
  <si>
    <t>UT-CM-SP73</t>
  </si>
  <si>
    <t>CM93031B</t>
  </si>
  <si>
    <t>오염물질 배출절감량 집계</t>
  </si>
  <si>
    <t>UT-CM93031B</t>
  </si>
  <si>
    <t>CM-SP140</t>
  </si>
  <si>
    <t>SP_CM_FIMSACDMGRDTXNGHRCRTR_SND, A-CDM 지상유도시간 기준정보 ESB송신</t>
  </si>
  <si>
    <t>UT-CM-SP140</t>
  </si>
  <si>
    <t>관제현황관리</t>
  </si>
  <si>
    <t>MOVEMENT MANAGEMENT</t>
  </si>
  <si>
    <t>AC03003E</t>
  </si>
  <si>
    <t>계류장 지상이동현황</t>
  </si>
  <si>
    <t>UT-AC03003E</t>
  </si>
  <si>
    <t>Reports</t>
  </si>
  <si>
    <t>AC04014S</t>
  </si>
  <si>
    <t>DE-ICING Forecast</t>
  </si>
  <si>
    <t>UT-AC04014S</t>
  </si>
  <si>
    <t>Traffic Flow</t>
  </si>
  <si>
    <t>AC05003S</t>
  </si>
  <si>
    <t>TOTAL</t>
  </si>
  <si>
    <t>UT-AC05003S</t>
  </si>
  <si>
    <t>Personal Data</t>
  </si>
  <si>
    <t>AC07001S</t>
  </si>
  <si>
    <t>TRAFFIC VOLUME</t>
  </si>
  <si>
    <t>일일 시뮬레이션 결과 관리</t>
  </si>
  <si>
    <t>PM10307S</t>
  </si>
  <si>
    <t>일일 시뮬레이션 결과 셀프체크인/백드롭 혼잡도 상세 조회</t>
  </si>
  <si>
    <t>사용자 정의 시뮬레이션 결과 관리</t>
  </si>
  <si>
    <t>PM10503S</t>
  </si>
  <si>
    <t>사용자 시뮬레이션 결과 체크인카운터 혼잡도 조회</t>
  </si>
  <si>
    <t>UT-PM10503S</t>
  </si>
  <si>
    <t>PM10506S</t>
  </si>
  <si>
    <t>사용자 시뮬레이션 결과 셀프체크인/백드롭 혼잡도 조회</t>
  </si>
  <si>
    <t>UT-PM10506S</t>
  </si>
  <si>
    <t>GO12506S</t>
  </si>
  <si>
    <t>하계특별수송대책기간보</t>
  </si>
  <si>
    <t>UT-GO12506S</t>
  </si>
  <si>
    <t>GO12505S</t>
  </si>
  <si>
    <t>도착지연현황</t>
  </si>
  <si>
    <t>통합운영센터</t>
  </si>
  <si>
    <t>GO12906S</t>
  </si>
  <si>
    <t>주기장운영현황_전체</t>
  </si>
  <si>
    <t>GO12939S</t>
  </si>
  <si>
    <t>주기장운영현황_탑승동</t>
  </si>
  <si>
    <t>GO-SP209</t>
  </si>
  <si>
    <t>SP_GO_ABN_TRFF_DSBLTY_RCV, 비정상교통장애 수신메시지 처리</t>
  </si>
  <si>
    <t>UT-GO-SP209</t>
  </si>
  <si>
    <t>GO-SP999</t>
  </si>
  <si>
    <t>SP_GO_GD_DATA_RS_CRS, GO_GD_DATA 생성-RS 케로셀 정보 반영</t>
  </si>
  <si>
    <t>AS21101S</t>
  </si>
  <si>
    <t>항공통계요약</t>
  </si>
  <si>
    <t>UT-AS21101S</t>
  </si>
  <si>
    <t>AS21201S</t>
  </si>
  <si>
    <t>항공기 운항 통계</t>
  </si>
  <si>
    <t>UT-AS21201S</t>
  </si>
  <si>
    <t>화물</t>
  </si>
  <si>
    <t>AS23301S</t>
  </si>
  <si>
    <t>총화물(수화물 포함)</t>
  </si>
  <si>
    <t>UT-AS23301S</t>
  </si>
  <si>
    <t>AS24104S</t>
  </si>
  <si>
    <t>지역별 실적(환승객) - 경유지 기준</t>
  </si>
  <si>
    <t>UT-AS24104S</t>
  </si>
  <si>
    <t>AS28101S</t>
  </si>
  <si>
    <t>얼라이언스별 실적(운항)</t>
  </si>
  <si>
    <t>UT-AS28101S</t>
  </si>
  <si>
    <t>AS40101S</t>
  </si>
  <si>
    <t>첨두월 실적(운항실적)</t>
  </si>
  <si>
    <t>UT-AS40101S</t>
  </si>
  <si>
    <t>AS40501S</t>
  </si>
  <si>
    <t>첨두시 상세 실적</t>
  </si>
  <si>
    <t>UT-AS40501S</t>
  </si>
  <si>
    <t>AS40601S</t>
  </si>
  <si>
    <t>첨두시 여객수요</t>
  </si>
  <si>
    <t>UT-AS40601S</t>
  </si>
  <si>
    <t>AS40806S</t>
  </si>
  <si>
    <t>취항실적 - 국가별취항도시(여객)</t>
  </si>
  <si>
    <t>UT-AS40806S</t>
  </si>
  <si>
    <t>AS40804S</t>
  </si>
  <si>
    <t>취항실적 - 취항국가실적(부정기)</t>
  </si>
  <si>
    <t>UT-AS40804S</t>
  </si>
  <si>
    <t>AS42401S</t>
  </si>
  <si>
    <t>항공기 구간별 이동시간 현황</t>
  </si>
  <si>
    <t>UT-AS42401S</t>
  </si>
  <si>
    <t>AS42801S</t>
  </si>
  <si>
    <t>주기장관리</t>
  </si>
  <si>
    <t>UT-AS42801S</t>
  </si>
  <si>
    <t>AS43201S</t>
  </si>
  <si>
    <t>캐로셀/주기장</t>
  </si>
  <si>
    <t>UT-AS43201S</t>
  </si>
  <si>
    <t>AS-SP8</t>
  </si>
  <si>
    <t>SP_AS_SFSARR_RCV,반기 운항스케줄 도착편 ESB 테이블 이관</t>
  </si>
  <si>
    <t>UT-AS-SP8</t>
  </si>
  <si>
    <t>AS-SP3</t>
  </si>
  <si>
    <t>SP_ESB_FIMSINARR_RCV,현행 운항스케쥴 도착편 ESB 테이블 조회</t>
  </si>
  <si>
    <t>UT-AS-SP3</t>
  </si>
  <si>
    <t>AS-SP21</t>
  </si>
  <si>
    <t>SP_ESB_FIMSGATEIDDMSG_RCV,게이트 출력 메시지 ESB 테이블 조회</t>
  </si>
  <si>
    <t>UT-AS-SP21</t>
  </si>
  <si>
    <t>AS-SP22</t>
  </si>
  <si>
    <t>SP_AS_FIMSGATEIDDMSG_RCV,게이트 출력 메시지 ESB 테이블 이관</t>
  </si>
  <si>
    <t>UT-AS-SP22</t>
  </si>
  <si>
    <t>Airport Operation</t>
  </si>
  <si>
    <t>WESFP003S</t>
  </si>
  <si>
    <t>ES-SP29</t>
  </si>
  <si>
    <t>SP_ESB_FIMSREFINFOES_RCV,외부 FIMS_CA 참조정보 메시지 수신</t>
  </si>
  <si>
    <t>UT-ES-SP29</t>
  </si>
  <si>
    <t>ES-SP182</t>
  </si>
  <si>
    <t>SP_ESB_FIMSCHARTEXPENV_RCV,외부 FIMS_RS 도표표출환경 메시지 수신</t>
  </si>
  <si>
    <t>UT-ES-SP182</t>
  </si>
  <si>
    <t>ES00002B</t>
  </si>
  <si>
    <t>EOBT 변경 PUSH</t>
  </si>
  <si>
    <t>UT-ES00002B</t>
  </si>
  <si>
    <t>ES00004B</t>
  </si>
  <si>
    <t>TSAT 입력 PUSH</t>
  </si>
  <si>
    <t>UT-ES00004B</t>
  </si>
  <si>
    <t>시스템 점검</t>
  </si>
  <si>
    <t>MESCA208S</t>
  </si>
  <si>
    <t>UT-MESCA208S</t>
  </si>
  <si>
    <t>현행배정 변경/삭제 신청 - 조회</t>
  </si>
  <si>
    <t>MESRS051S</t>
  </si>
  <si>
    <t>현행배정 변경/삭제 조회</t>
  </si>
  <si>
    <t>UT-MESRS051S</t>
  </si>
  <si>
    <t>현행배정 변경/삭제 신청 - 상세</t>
  </si>
  <si>
    <t>MESRS052S</t>
  </si>
  <si>
    <t>현행배정 변경/삭제 상세</t>
  </si>
  <si>
    <t>메인</t>
  </si>
  <si>
    <t>MESCA101S</t>
  </si>
  <si>
    <t>UT-MESCA101S</t>
  </si>
  <si>
    <t>매뉴얼</t>
  </si>
  <si>
    <t>MESCA103S</t>
  </si>
  <si>
    <t>UT-MESCA103S</t>
  </si>
  <si>
    <t>이용약관</t>
  </si>
  <si>
    <t>MESCA104S</t>
  </si>
  <si>
    <t>UT-MESCA104S</t>
  </si>
  <si>
    <t>전체메뉴</t>
  </si>
  <si>
    <t>MESCA121S</t>
  </si>
  <si>
    <t>UT-MESCA121S</t>
  </si>
  <si>
    <t>RSCI024S</t>
  </si>
  <si>
    <t>CIC Departure Gate Forecast</t>
  </si>
  <si>
    <t>UT-RSCI024S</t>
  </si>
  <si>
    <t>RS-SP87</t>
  </si>
  <si>
    <t xml:space="preserve">SP_RS_FIMSCRSLDALYOPER_SND,캐로셀 일일운영 정보  </t>
  </si>
  <si>
    <t>CA-SP47(A)</t>
  </si>
  <si>
    <t>SP_ESB_ACNTRQSTCIP_RCV, 업무신청포털계정정보생성정보메시지수신처리</t>
  </si>
  <si>
    <t>Active Flight List</t>
  </si>
  <si>
    <t>FPFA001R</t>
  </si>
  <si>
    <t>Active Arrive Flight Schedule List</t>
  </si>
  <si>
    <t>UT-FPFA001R</t>
  </si>
  <si>
    <t>FP-SP165</t>
  </si>
  <si>
    <t>SP_ESB_BOARDBRDGSTAT_RCV,ESB PBB#3 보딩브릿지 접이현 메시지수신</t>
  </si>
  <si>
    <t>UT-FP-SP165</t>
  </si>
  <si>
    <t>FP-SP167</t>
  </si>
  <si>
    <t>SP_ESB_BOARDBRDGSTATPBB2_RCV,ESB PBB#2 보딩브릿지 접이현 메시지수신</t>
  </si>
  <si>
    <t>UT-FP-SP167</t>
  </si>
  <si>
    <t>FP-SP169</t>
  </si>
  <si>
    <t>SP_ESB_FLTPAXCNTSPS_RCV,여객운항 승객수 메시지수신</t>
  </si>
  <si>
    <t>UT-FP-SP169</t>
  </si>
  <si>
    <t>FP-SP172</t>
  </si>
  <si>
    <t>SP_FP_DALY_ASMREQ_LINK,신청 ASM 처리</t>
  </si>
  <si>
    <t>UT-FP-SP172</t>
  </si>
  <si>
    <t>FP-SP174</t>
  </si>
  <si>
    <t>SP_FP_SSN_CSHR_MAKE_FLT,시즌 코드쉐어편 운항편별 복사</t>
  </si>
  <si>
    <t>FP-SP178</t>
  </si>
  <si>
    <t>SP_FP_DELETE_PLN,미래플랜 삭제</t>
  </si>
  <si>
    <t>UT-FP-SP178</t>
  </si>
  <si>
    <t>FP-SP180</t>
  </si>
  <si>
    <t>SP_FP_FOIS_CURR_CHECK,FOIS AFS vs FIMS AFS Reason 점검</t>
  </si>
  <si>
    <t>UT-FP-SP180</t>
  </si>
  <si>
    <t>FP-SP183</t>
  </si>
  <si>
    <t>SP_FP_ARTS_COMP_MAKE,ARTS수신 데이터 저장</t>
  </si>
  <si>
    <t>UT-FP-SP183</t>
  </si>
  <si>
    <t>FP-SP199</t>
  </si>
  <si>
    <t>SP_ESB_WES_SSNCSHRFLTAPLY_RCV,외부 시즌코드쉐어 신청정보 메시지수신</t>
  </si>
  <si>
    <t>UT-FP-SP199</t>
  </si>
  <si>
    <t>FP-SP197</t>
  </si>
  <si>
    <t>TAU_TN_FP_SSN_OTSD_CSHR_APLY,외부 시즌코드쉐어 신청정보 변경후 트리거</t>
  </si>
  <si>
    <t>UT-FP-SP197</t>
  </si>
  <si>
    <t>FP-SP195</t>
  </si>
  <si>
    <t>TAIUD_TC_FP_SSN_PRD,반기기간 정보 변경후 트리거</t>
  </si>
  <si>
    <t>UT-FP-SP195</t>
  </si>
  <si>
    <t>FP-SP209</t>
  </si>
  <si>
    <t>SP_FP_FID_SEL,현행 FID 조회</t>
  </si>
  <si>
    <t>UT-FP-SP209</t>
  </si>
  <si>
    <t>FP-SP216</t>
  </si>
  <si>
    <t>SP_ESB_AIHS_ASM,ESB 현행AIHS ASM 메시지수신</t>
  </si>
  <si>
    <t>UT-FP-SP216</t>
  </si>
  <si>
    <t>FP-SP217</t>
  </si>
  <si>
    <t>SP_FP_JNA_ASM_RCV,현행JNA ASM 메시지처리</t>
  </si>
  <si>
    <t>UT-FP-SP217</t>
  </si>
  <si>
    <t>FP-SP218</t>
  </si>
  <si>
    <t>SP_FP_AIHS_ASM_RCV,현행AIHS ASM 메시지처리</t>
  </si>
  <si>
    <t>UT-FP-SP218</t>
  </si>
  <si>
    <t>FPFS001R</t>
  </si>
  <si>
    <t>Seasonal Arrive Flight Schedule List</t>
  </si>
  <si>
    <t>UT-FPFS001R</t>
  </si>
  <si>
    <t>Seasonal Codeshare flight</t>
  </si>
  <si>
    <t>FPFS092M</t>
  </si>
  <si>
    <t>Create Flight Share</t>
  </si>
  <si>
    <t>FPFS023S</t>
  </si>
  <si>
    <t>SFS Codshare Check</t>
  </si>
  <si>
    <t>Bar</t>
  </si>
  <si>
    <t>CPCR016M</t>
  </si>
  <si>
    <t>CRS Flight Info</t>
  </si>
  <si>
    <t>UT-CPCR016M</t>
  </si>
  <si>
    <t>CP-SP32</t>
  </si>
  <si>
    <t>SP_ESB_FIMSTRNSPPRFMNC_RCV,운송실적정보 메시지 수신처리</t>
  </si>
  <si>
    <t>UT-CP-SP32</t>
  </si>
  <si>
    <t>Change Info</t>
  </si>
  <si>
    <t>CPFA070M</t>
  </si>
  <si>
    <t>Change Info History</t>
  </si>
  <si>
    <t>UT-CPFA070M</t>
  </si>
  <si>
    <t>CM-SP63</t>
  </si>
  <si>
    <t>SP_CM_ACDM_OPR_STS_YRLY,A-CDM 운영현황(연도별) 생성</t>
  </si>
  <si>
    <t>UT-CM-SP63</t>
  </si>
  <si>
    <t>CM90005B</t>
  </si>
  <si>
    <t>ACGT Update</t>
  </si>
  <si>
    <t>UT-CM90005B</t>
  </si>
  <si>
    <t>CM93027B</t>
  </si>
  <si>
    <t>출발정시성 성과집계</t>
  </si>
  <si>
    <t>UT-CM93027B</t>
  </si>
  <si>
    <t>CM93034B</t>
  </si>
  <si>
    <t>항공사자원관리 성과집계</t>
  </si>
  <si>
    <t>UT-CM93034B</t>
  </si>
  <si>
    <t>CM-SP64</t>
  </si>
  <si>
    <t>SP_CM_ACDM_OPR_STS_CGO,A-CDM 운영현황(화물/일별) 생성</t>
  </si>
  <si>
    <t>UT-CM-SP64</t>
  </si>
  <si>
    <t>CM-IF5</t>
  </si>
  <si>
    <t>API_CM_IIF_ACMOVE_RCV, 출/도착편 지상이동 내부인터페이스 수신 API</t>
  </si>
  <si>
    <t>UT-CM-IF5</t>
  </si>
  <si>
    <t>CM-SP141</t>
  </si>
  <si>
    <t>FN_CM_GET_MI_DIFF, 시간 차 계산</t>
  </si>
  <si>
    <t>UT-CM-SP141</t>
  </si>
  <si>
    <t>기준정보관리</t>
  </si>
  <si>
    <t>코드관리</t>
  </si>
  <si>
    <t>CM10005S</t>
  </si>
  <si>
    <t>출발편VTT관리</t>
  </si>
  <si>
    <t>UT-CM10005S</t>
  </si>
  <si>
    <t>AC08012S</t>
  </si>
  <si>
    <t>MULTIPLE HANDLER</t>
  </si>
  <si>
    <t>PM10311S</t>
  </si>
  <si>
    <t>일일 시뮬레이션 결과 출국장 혼잡도 차트 조회</t>
  </si>
  <si>
    <t>PM10404S</t>
  </si>
  <si>
    <t>사용자 시뮬레이션 셀프체크인/백드롭 정보 변경 관리</t>
  </si>
  <si>
    <t>UT-PM10404S</t>
  </si>
  <si>
    <t>PM10505S</t>
  </si>
  <si>
    <t>사용자 시뮬레이션 결과 체크인카운터 혼잡도 차트 조회</t>
  </si>
  <si>
    <t>UT-PM10505S</t>
  </si>
  <si>
    <t>PM10511S</t>
  </si>
  <si>
    <t>사용자 시뮬레이션 결과 출국장 혼잡도 차트 조회</t>
  </si>
  <si>
    <t>UT-PM10511S</t>
  </si>
  <si>
    <t>FSEY042E</t>
  </si>
  <si>
    <t>점검 세부현황 조회</t>
  </si>
  <si>
    <t>UT-FSEY042E</t>
  </si>
  <si>
    <t>GO12937S</t>
  </si>
  <si>
    <t>주기장운영현황_T1</t>
  </si>
  <si>
    <t>A-CDM</t>
  </si>
  <si>
    <t>GO12707S</t>
  </si>
  <si>
    <t>항공기 운항현황(NEW)</t>
  </si>
  <si>
    <t>경영전략팀</t>
  </si>
  <si>
    <t>GO12910S</t>
  </si>
  <si>
    <t>주간항공운송현황</t>
  </si>
  <si>
    <t>UT-GO12910S</t>
  </si>
  <si>
    <t>대시보드</t>
  </si>
  <si>
    <t>GO14002S</t>
  </si>
  <si>
    <t>공항운영 대시보드 - 운항</t>
  </si>
  <si>
    <t>UT-GO14002S</t>
  </si>
  <si>
    <t>AS21303S</t>
  </si>
  <si>
    <t>운항(여객/화물기) - 합계</t>
  </si>
  <si>
    <t>UT-AS21303S</t>
  </si>
  <si>
    <t>AS22302S</t>
  </si>
  <si>
    <t>환승여객(내항기 환승 포함)</t>
  </si>
  <si>
    <t>UT-AS22302S</t>
  </si>
  <si>
    <t>AS26104S</t>
  </si>
  <si>
    <t>LCC 실적 - 환승여객</t>
  </si>
  <si>
    <t>UT-AS26104S</t>
  </si>
  <si>
    <t>AS25103S</t>
  </si>
  <si>
    <t>항공사별 실적(항공화물)</t>
  </si>
  <si>
    <t>UT-AS25103S</t>
  </si>
  <si>
    <t>AS27101S</t>
  </si>
  <si>
    <t>터미널별 실적(운항)</t>
  </si>
  <si>
    <t>UT-AS27101S</t>
  </si>
  <si>
    <t>AS38101S</t>
  </si>
  <si>
    <t>첨두일 실적(운항실적)</t>
  </si>
  <si>
    <t>AS39101S</t>
  </si>
  <si>
    <t>첨두주 실적(운항실적)</t>
  </si>
  <si>
    <t>AS40201S</t>
  </si>
  <si>
    <t>첨두일 현황</t>
  </si>
  <si>
    <t>AS41101S</t>
  </si>
  <si>
    <t>항공화물 국가별 실적</t>
  </si>
  <si>
    <t>UT-AS41101S</t>
  </si>
  <si>
    <t>AS45101S</t>
  </si>
  <si>
    <t>공항운영실적보고서 실적 - 항공기 운영 현황</t>
  </si>
  <si>
    <t>UT-AS45101S</t>
  </si>
  <si>
    <t>AS45102S</t>
  </si>
  <si>
    <t>공항운영실적보고서 실적 - 여객 현황</t>
  </si>
  <si>
    <t>UT-AS45102S</t>
  </si>
  <si>
    <t>AS45103S</t>
  </si>
  <si>
    <t>공항운영실적보고서 실적 - 항공화물 운송 현황</t>
  </si>
  <si>
    <t>UT-AS45103S</t>
  </si>
  <si>
    <t>AS46101S</t>
  </si>
  <si>
    <t>월별항공운송실적보고</t>
  </si>
  <si>
    <t>UT-AS46101S</t>
  </si>
  <si>
    <t>AS-SP17</t>
  </si>
  <si>
    <t>SP_ESB_FIMSCRSLDALYCHG_RCV,캐로셀 일일변경 정보 ESB 테이블 조회</t>
  </si>
  <si>
    <t>UT-AS-SP17</t>
  </si>
  <si>
    <t>WESCASY038S</t>
  </si>
  <si>
    <t>UT-WESCASY038S</t>
  </si>
  <si>
    <t>WESCASY046S</t>
  </si>
  <si>
    <t>계정변경 이력</t>
  </si>
  <si>
    <t>UT-WESCASY046S</t>
  </si>
  <si>
    <t>WESCASY050S</t>
  </si>
  <si>
    <t>접속자 현황</t>
  </si>
  <si>
    <t>UT-WESCASY050S</t>
  </si>
  <si>
    <t>ES-SP174</t>
  </si>
  <si>
    <t>SP_ESB_FIMSDEICEHDLRSTNG_RCV,외부 FIMS_AC 제빙조업사설정정보 메시지 수신</t>
  </si>
  <si>
    <t>UT-ES-SP174</t>
  </si>
  <si>
    <t>ES-SP179</t>
  </si>
  <si>
    <t>FN_AC_GET_TIME_FORMAT, 시간형식 변환</t>
  </si>
  <si>
    <t>UT-ES-SP179</t>
  </si>
  <si>
    <t>ES-SP183</t>
  </si>
  <si>
    <t>SP_ES_FIMSCHARTEXPENV_RCV,외부 FIMS_RS 도표표출환경 데이터 저장</t>
  </si>
  <si>
    <t>UT-ES-SP183</t>
  </si>
  <si>
    <t>자원배청차트</t>
  </si>
  <si>
    <t>CIC Daily Chart</t>
  </si>
  <si>
    <t>WESRC001S</t>
  </si>
  <si>
    <t>CIC Daily Chart View</t>
  </si>
  <si>
    <t>ES00016B</t>
  </si>
  <si>
    <t>SOBT, EOBT 1시간이상 차이 PUSH</t>
  </si>
  <si>
    <t>UT-ES00016B</t>
  </si>
  <si>
    <t>ES00014B</t>
  </si>
  <si>
    <t>지연사유 미입력 항공편 PUSH</t>
  </si>
  <si>
    <t>UT-ES00014B</t>
  </si>
  <si>
    <t>현행배정 변경/삭제 신청</t>
  </si>
  <si>
    <t>MESRS053S</t>
  </si>
  <si>
    <t>UT-MESRS053S</t>
  </si>
  <si>
    <t>RS90031B</t>
  </si>
  <si>
    <t>알람 등록 반영</t>
  </si>
  <si>
    <t>UT-RS90031B</t>
  </si>
  <si>
    <t>RS-SP81</t>
  </si>
  <si>
    <t xml:space="preserve">SP_RS_FIMSNEARBYACSTGRADE_SND,인접주기장 등급정보  </t>
  </si>
  <si>
    <t>RS-SP88</t>
  </si>
  <si>
    <t xml:space="preserve">SP_RS_FIMSCRSLUSELMT_SND,캐로셀 사용제한 정보  </t>
  </si>
  <si>
    <t>UT-RS-SP88</t>
  </si>
  <si>
    <t>RS-SP91</t>
  </si>
  <si>
    <t>SP_RS_CPCKNCTDALYOPERCHGREQ_RCV,체크인카운터 변경정보 요청</t>
  </si>
  <si>
    <t>공항정보 관리</t>
  </si>
  <si>
    <t>사용자 설정 정보 관리</t>
  </si>
  <si>
    <t>SLOTAI005M</t>
  </si>
  <si>
    <t>작업 세션 정보 등록 팝업</t>
  </si>
  <si>
    <t>UT-SLOTAI005M</t>
  </si>
  <si>
    <t>CAMN009M</t>
  </si>
  <si>
    <t>FPFA003R</t>
  </si>
  <si>
    <t>UT-FPFA003R</t>
  </si>
  <si>
    <t>FPFA002R</t>
  </si>
  <si>
    <t>Active Departure Flight Schedule List</t>
  </si>
  <si>
    <t>UT-FPFA002R</t>
  </si>
  <si>
    <t>FPMG048M</t>
  </si>
  <si>
    <t>ADM JNA Message Details</t>
  </si>
  <si>
    <t>FP-SP162</t>
  </si>
  <si>
    <t>SP_FP_RS_REMARK_UPDATE,게이트 상태 변경시 운항계획 REMARK 변경</t>
  </si>
  <si>
    <t>FP-SP176</t>
  </si>
  <si>
    <t>SP_FP_CSHR_CONVERT,시즌코드쉐어편 현행 동기화</t>
  </si>
  <si>
    <t>UT-FP-SP176</t>
  </si>
  <si>
    <t>FP00001B</t>
  </si>
  <si>
    <t>현행도착출발일괄생성</t>
  </si>
  <si>
    <t>UT-FP00001B</t>
  </si>
  <si>
    <t>FP-SP198</t>
  </si>
  <si>
    <t>SP_FP_SSN_OTSD_CSHR_RESULT_SND,외부 신청 시즌코드쉐어 처리 결과 메시지 송신</t>
  </si>
  <si>
    <t>UT-FP-SP198</t>
  </si>
  <si>
    <t>FPFS091S</t>
  </si>
  <si>
    <t>Confirm Seasonal Codeshare Flight</t>
  </si>
  <si>
    <t>CP-SP31</t>
  </si>
  <si>
    <t>SP_ESB_FIMSSSNPRD_RCV, 시즌기간정보 메시지 수신처리</t>
  </si>
  <si>
    <t>UT-CP-SP31</t>
  </si>
  <si>
    <t>CP-SP33</t>
  </si>
  <si>
    <t>SP_ESB_FIMSGATEIDDMSG_RCV,게이트 상태정보 메시지 수신처리</t>
  </si>
  <si>
    <t>UT-CP-SP33</t>
  </si>
  <si>
    <t>CM-SP74</t>
  </si>
  <si>
    <t>SP_CM_ACDM_OPR_STS_PAX_SSN,A-CDM 운영현황(여객/반기별) 생성</t>
  </si>
  <si>
    <t>UT-CM-SP74</t>
  </si>
  <si>
    <t>CM-SP77</t>
  </si>
  <si>
    <t>SP_CM_OPR_TAXI_TIME_UPDATE,신규VTT정보관리</t>
  </si>
  <si>
    <t>UT-CM-SP77</t>
  </si>
  <si>
    <t>CM90008B</t>
  </si>
  <si>
    <t>TOBT 30분전 A-VDGS 송신</t>
  </si>
  <si>
    <t>UT-CM90008B</t>
  </si>
  <si>
    <t>Statistics Data</t>
  </si>
  <si>
    <t>AC06006S</t>
  </si>
  <si>
    <t>DELAY</t>
  </si>
  <si>
    <t>AC06002S</t>
  </si>
  <si>
    <t>DE-ICING</t>
  </si>
  <si>
    <t>AC-SP36</t>
  </si>
  <si>
    <t>SP_AC_ASDESPOTTIME4TH_AUTO_RCV,지상이동시간정보 자동수신처리</t>
  </si>
  <si>
    <t>UT-AC-SP36</t>
  </si>
  <si>
    <t>PM10304S</t>
  </si>
  <si>
    <t>일일 시뮬레이션 결과 체크인카운터 혼잡도 상세 조회</t>
  </si>
  <si>
    <t>UT-PM10304S</t>
  </si>
  <si>
    <t>PM10310S</t>
  </si>
  <si>
    <t>일일 시뮬레이션 결과 출국장 혼잡도 상세 조회</t>
  </si>
  <si>
    <t>UT-PM10310S</t>
  </si>
  <si>
    <t>PM10507S</t>
  </si>
  <si>
    <t>사용자 시뮬레이션 결과 셀프체크인/백드롭 혼잡도 상세 조회</t>
  </si>
  <si>
    <t>UT-PM10507S</t>
  </si>
  <si>
    <t>FSEX090S</t>
  </si>
  <si>
    <t>검측지원현황 입력관리</t>
  </si>
  <si>
    <t>UT-FSEX090S</t>
  </si>
  <si>
    <t>FSEY053E</t>
  </si>
  <si>
    <t>출동시간 상세 현황</t>
  </si>
  <si>
    <t>UT-FSEY053E</t>
  </si>
  <si>
    <t>GO12910R</t>
  </si>
  <si>
    <t>주간항공운송현황_리포트</t>
  </si>
  <si>
    <t>UT-GO12910R</t>
  </si>
  <si>
    <t>GO-SP205</t>
  </si>
  <si>
    <t>SP_GO_BDGGATE_RCV, 게이트 상태 정보 수신메시지 처리</t>
  </si>
  <si>
    <t>UT-GO-SP205</t>
  </si>
  <si>
    <t>AS21302S</t>
  </si>
  <si>
    <t>운항(여객/화물기) - 부정기</t>
  </si>
  <si>
    <t>UT-AS21302S</t>
  </si>
  <si>
    <t>AS23101S</t>
  </si>
  <si>
    <t>항공화물(수화물제외)</t>
  </si>
  <si>
    <t>UT-AS23101S</t>
  </si>
  <si>
    <t>AS24101S</t>
  </si>
  <si>
    <t>지역별 실적(운항) - 목적지 기준</t>
  </si>
  <si>
    <t>UT-AS24101S</t>
  </si>
  <si>
    <t>AS26101S</t>
  </si>
  <si>
    <t>LCC 실적 - 운항</t>
  </si>
  <si>
    <t>UT-AS26101S</t>
  </si>
  <si>
    <t>AS40103S</t>
  </si>
  <si>
    <t>첨두월 실적(화물실적)</t>
  </si>
  <si>
    <t>UT-AS40103S</t>
  </si>
  <si>
    <t>AS45105S</t>
  </si>
  <si>
    <t>공항운영실적보고서 실적 - 내외국인 여객 현황</t>
  </si>
  <si>
    <t>UT-AS45105S</t>
  </si>
  <si>
    <t>AS-SP12</t>
  </si>
  <si>
    <t>SP_AS_FIMSACSTDALYOPER_RCV,주기장 일일운영 데이터 ESB 테이블 이관</t>
  </si>
  <si>
    <t>AS-SP15</t>
  </si>
  <si>
    <t>SP_ESB_FIMSCKNCTALOT_RCV,체크인카운터 할당데이터 ESB 테이블 조회</t>
  </si>
  <si>
    <t>UT-AS-SP15</t>
  </si>
  <si>
    <t>AS-SP23</t>
  </si>
  <si>
    <t>SP_ESB_FIMSRSRCGROUPMPNG_RCV,자원그룹매핑정보 ESB 테이블 조회</t>
  </si>
  <si>
    <t>UT-AS-SP23</t>
  </si>
  <si>
    <t>출발편 운항정보관리(월)</t>
  </si>
  <si>
    <t>WESCM006S</t>
  </si>
  <si>
    <t>Request Seasonal Codeshare Flight</t>
  </si>
  <si>
    <t>WESFP008S</t>
  </si>
  <si>
    <t>Airline SFS Codeshare Compare</t>
  </si>
  <si>
    <t>UT-WESFP008S</t>
  </si>
  <si>
    <t>Airport Operation Report</t>
  </si>
  <si>
    <t>WESFP006R</t>
  </si>
  <si>
    <t>UT-WESFP006R</t>
  </si>
  <si>
    <t>WESCASY040S</t>
  </si>
  <si>
    <t>UT-WESCASY040S</t>
  </si>
  <si>
    <t>RSCI082S</t>
  </si>
  <si>
    <t>공용물품승인</t>
  </si>
  <si>
    <t>Etc</t>
  </si>
  <si>
    <t>RSPK034M</t>
  </si>
  <si>
    <t>Stand Lock list</t>
  </si>
  <si>
    <t>RS-SP45</t>
  </si>
  <si>
    <t>SP_RS_CMUSEFCLT_MAKE_DALY, 공용시설 재고 정산</t>
  </si>
  <si>
    <t>UT-RS-SP45</t>
  </si>
  <si>
    <t>RS-SP90</t>
  </si>
  <si>
    <t>SP_RS_CPCRSLDALYOPERCHGREQ_RCV,캐로셀 변경정보 요청</t>
  </si>
  <si>
    <t>CASY070M</t>
  </si>
  <si>
    <t>UT-CASY070M</t>
  </si>
  <si>
    <t>CA-SP30</t>
  </si>
  <si>
    <t>SP_CA_F_CHKINPGTMPLTFID2_RCV, FIDS#2 체크인페이지 메시지 수신 처리</t>
  </si>
  <si>
    <t>공통</t>
  </si>
  <si>
    <t>FPFC051M</t>
  </si>
  <si>
    <t>Save Workspace</t>
  </si>
  <si>
    <t>UT-FPFC051M</t>
  </si>
  <si>
    <t>FP-SP161</t>
  </si>
  <si>
    <t>SP_FP_DALY_DAILY_CLOSEOUT,현행운항정보 일일 마감처리</t>
  </si>
  <si>
    <t>UT-FP-SP161</t>
  </si>
  <si>
    <t>FP-SP175</t>
  </si>
  <si>
    <t>SP_FP_SSN_CSHR_MAKE_ALN,시즌코드쉐어편 항공사별 복사</t>
  </si>
  <si>
    <t>UT-FP-SP175</t>
  </si>
  <si>
    <t>FP-SP193</t>
  </si>
  <si>
    <t>SP_ESB_ARRDEPVIPINFO_RCV,VIP정보 메시지수신</t>
  </si>
  <si>
    <t>UT-FP-SP193</t>
  </si>
  <si>
    <t>FP-SP208</t>
  </si>
  <si>
    <t>SP_ESB_CP_DALYSCHDCHGREQ_RCV,외부 현행스케줄 변경 정보 메시지수신</t>
  </si>
  <si>
    <t>UT-FP-SP208</t>
  </si>
  <si>
    <t>FP-SP219</t>
  </si>
  <si>
    <t>TAIUD_TN_TRNSP_PRFMNC,운송실적정보 변경 트리거</t>
  </si>
  <si>
    <t>UT-FP-SP219</t>
  </si>
  <si>
    <t>FP-SP177</t>
  </si>
  <si>
    <t>SP_FP_SSN_ARR_DEP_ROLLPLN,현행운항계획 스케줄 자동생성</t>
  </si>
  <si>
    <t>FPFS086M</t>
  </si>
  <si>
    <t>Copy Seasonal Codeshare Flight</t>
  </si>
  <si>
    <t>CM-SP58</t>
  </si>
  <si>
    <t>SP_CM_ACDM_OPR_STS,A-CDM 운영현황(일별) 생성</t>
  </si>
  <si>
    <t>UT-CM-SP58</t>
  </si>
  <si>
    <t>CM-SP61</t>
  </si>
  <si>
    <t>SP_CM_ACDM_OPR_STS_QRT,A-CDM 운영현황(분기별) 생성</t>
  </si>
  <si>
    <t>UT-CM-SP61</t>
  </si>
  <si>
    <t>CM-SP65</t>
  </si>
  <si>
    <t>SP_CM_ACDM_OPR_STS_CGO_WKLY,A-CDM 운영현황(화물/주별) 생성</t>
  </si>
  <si>
    <t>UT-CM-SP65</t>
  </si>
  <si>
    <t>CM-SP69</t>
  </si>
  <si>
    <t>SP_CM_ACDM_OPR_STS_CGO_YRLY,A-CDM 운영현황(화물/연도별) 생성</t>
  </si>
  <si>
    <t>UT-CM-SP69</t>
  </si>
  <si>
    <t>CM90002B</t>
  </si>
  <si>
    <t>공항현황집계</t>
  </si>
  <si>
    <t>UT-CM90002B</t>
  </si>
  <si>
    <t>CM93032B</t>
  </si>
  <si>
    <t>활주로별 유도시간 성과집계</t>
  </si>
  <si>
    <t>UT-CM93032B</t>
  </si>
  <si>
    <t>CM90007B</t>
  </si>
  <si>
    <t>FP/RS/AC 실적데이터 Sync</t>
  </si>
  <si>
    <t>UT-CM90007B</t>
  </si>
  <si>
    <t>마일스톤시간관리</t>
  </si>
  <si>
    <t>출발편마일스톤관리</t>
  </si>
  <si>
    <t>CM20018M</t>
  </si>
  <si>
    <t xml:space="preserve">출도착편 마일스톤 상황관리 </t>
  </si>
  <si>
    <t>UT-CM20018M</t>
  </si>
  <si>
    <t>PM10306S</t>
  </si>
  <si>
    <t>일일 시뮬레이션 결과 셀프체크인/백드롭 혼잡도 조회</t>
  </si>
  <si>
    <t>UT-PM10306S</t>
  </si>
  <si>
    <t>PM10403S</t>
  </si>
  <si>
    <t>사용자 시뮬레이션 체크인카운터 정보 변경 관리</t>
  </si>
  <si>
    <t>UT-PM10403S</t>
  </si>
  <si>
    <t>PM10501S</t>
  </si>
  <si>
    <t>사용자 시뮬레이션 결과 조회</t>
  </si>
  <si>
    <t>UT-PM10501S</t>
  </si>
  <si>
    <t>PM10502S</t>
  </si>
  <si>
    <t>사용자 시뮬레이션 결과 맵형태 조회</t>
  </si>
  <si>
    <t>UT-PM10502S</t>
  </si>
  <si>
    <t>PM10510S</t>
  </si>
  <si>
    <t>사용자 시뮬레이션 결과 출국장 혼잡도 상세 조회</t>
  </si>
  <si>
    <t>UT-PM10510S</t>
  </si>
  <si>
    <t>GO12912S</t>
  </si>
  <si>
    <t>주기장운영현황_화물</t>
  </si>
  <si>
    <t>GO14001S</t>
  </si>
  <si>
    <t>공항운영 대시보드 - 공항</t>
  </si>
  <si>
    <t>GO14003S</t>
  </si>
  <si>
    <t>공항운영 대시보드 - 공항 + 운항</t>
  </si>
  <si>
    <t>UT-GO14003S</t>
  </si>
  <si>
    <t>GO-SP206</t>
  </si>
  <si>
    <t>SP_GO_CHKALLOC_RCV, 체크인 할당 정보 수신메시지 처리</t>
  </si>
  <si>
    <t>UT-GO-SP206</t>
  </si>
  <si>
    <t>AS21601S</t>
  </si>
  <si>
    <t>항공기 결항현황(~2022년)</t>
  </si>
  <si>
    <t>UT-AS21601S</t>
  </si>
  <si>
    <t>AS24106S</t>
  </si>
  <si>
    <t>지역별 실적(탑승률) - 경유지 기준</t>
  </si>
  <si>
    <t>UT-AS24106S</t>
  </si>
  <si>
    <t>AS40301S</t>
  </si>
  <si>
    <t>첨두시 현황</t>
  </si>
  <si>
    <t>AS40402S</t>
  </si>
  <si>
    <t>첨두일 상세현황(화물운송)</t>
  </si>
  <si>
    <t>UT-AS40402S</t>
  </si>
  <si>
    <t>AS40702S</t>
  </si>
  <si>
    <t>첨두일 운항 실적(출발)</t>
  </si>
  <si>
    <t>UT-AS40702S</t>
  </si>
  <si>
    <t>AS40703S</t>
  </si>
  <si>
    <t>첨두일 여객 실적(도착)</t>
  </si>
  <si>
    <t>UT-AS40703S</t>
  </si>
  <si>
    <t>AS40801S</t>
  </si>
  <si>
    <t>취항실적 - 취항항공사(정기)</t>
  </si>
  <si>
    <t>UT-AS40801S</t>
  </si>
  <si>
    <t>AS40802S</t>
  </si>
  <si>
    <t>취항실적 - 취항국가실적(정기)</t>
  </si>
  <si>
    <t>UT-AS40802S</t>
  </si>
  <si>
    <t>AS41201S</t>
  </si>
  <si>
    <t>국가별 운항 현황</t>
  </si>
  <si>
    <t>UT-AS41201S</t>
  </si>
  <si>
    <t>AS41401S</t>
  </si>
  <si>
    <t>취항항공사 실적</t>
  </si>
  <si>
    <t>UT-AS41401S</t>
  </si>
  <si>
    <t>AS43401S</t>
  </si>
  <si>
    <t>캐로셀관리</t>
  </si>
  <si>
    <t>UT-AS43401S</t>
  </si>
  <si>
    <t>AS43301S</t>
  </si>
  <si>
    <t>캐로셀/버스게이트</t>
  </si>
  <si>
    <t>UT-AS43301S</t>
  </si>
  <si>
    <t>AS45104S</t>
  </si>
  <si>
    <t>공항운영실적보고서 실적 - 노선별 현황(목적지)</t>
  </si>
  <si>
    <t>UT-AS45104S</t>
  </si>
  <si>
    <t>AS45106S</t>
  </si>
  <si>
    <t>공항운영실적보고서 실적 - 지연결항 현황(요약)</t>
  </si>
  <si>
    <t>UT-AS45106S</t>
  </si>
  <si>
    <t>AS-SP10</t>
  </si>
  <si>
    <t>SP_AS_SFSDEP_RCV,반기 운항스케줄 출발편 ESB 테이블 이관</t>
  </si>
  <si>
    <t>UT-AS-SP10</t>
  </si>
  <si>
    <t>AS-SP14</t>
  </si>
  <si>
    <t>SP_AS_FIMSACSTLATERALALARM_RCV,주기장 레터럴 변경정보 ESB 테이블 이관</t>
  </si>
  <si>
    <t>UT-AS-SP14</t>
  </si>
  <si>
    <t>AS-SP2</t>
  </si>
  <si>
    <t>SP_AS_FIMSARCFTMVMN_RCV,항공기이동 ESB 테이블 이관</t>
  </si>
  <si>
    <t>UT-AS-SP2</t>
  </si>
  <si>
    <t>AS-SP5</t>
  </si>
  <si>
    <t>SP_ESB_FIMSINDEP_RCV,현행 운항스케쥴 출발편 ESB 테이블 조회</t>
  </si>
  <si>
    <t>UT-AS-SP5</t>
  </si>
  <si>
    <t>WESCAMN007M</t>
  </si>
  <si>
    <t>내 메뉴 관리</t>
  </si>
  <si>
    <t>UT-WESCAMN007M</t>
  </si>
  <si>
    <t>WESCASY039S</t>
  </si>
  <si>
    <t>UT-WESCASY039S</t>
  </si>
  <si>
    <t>WESCASY043S</t>
  </si>
  <si>
    <t>내부 인터페이스 이력</t>
  </si>
  <si>
    <t>UT-WESCASY043S</t>
  </si>
  <si>
    <t>WESCASY051S</t>
  </si>
  <si>
    <t>프로그램 사용 이력</t>
  </si>
  <si>
    <t>WESCASY053S</t>
  </si>
  <si>
    <t>개인정보 접속 이력</t>
  </si>
  <si>
    <t>UT-WESCASY053S</t>
  </si>
  <si>
    <t>ES-SP175</t>
  </si>
  <si>
    <t>SP_ES_FIMSDEICEHDLRSTNG_RCV,외부 FIMS_AC 제빙조업사설정정보 데이터 저장</t>
  </si>
  <si>
    <t>UT-ES-SP175</t>
  </si>
  <si>
    <t>ES-SP176</t>
  </si>
  <si>
    <t>SP_ESB_FIMSELECFLTINFO_RCV,외부 FIMS_AC 전자운항정보 메시지 수신</t>
  </si>
  <si>
    <t>UT-ES-SP176</t>
  </si>
  <si>
    <t>ES-SP181</t>
  </si>
  <si>
    <t>SP_ES_FIMSACDMDWUSGKPI_RCV,외부 FIMS_CM DW용도KPI 데이터 저장</t>
  </si>
  <si>
    <t>UT-ES-SP181</t>
  </si>
  <si>
    <t>ES00009B</t>
  </si>
  <si>
    <t>EPIT 변경 PUSH</t>
  </si>
  <si>
    <t>UT-ES00009B</t>
  </si>
  <si>
    <t>ES00018B</t>
  </si>
  <si>
    <t>특별운항 신청 결과 PUSH</t>
  </si>
  <si>
    <t>UT-ES00018B</t>
  </si>
  <si>
    <t>ES00020B</t>
  </si>
  <si>
    <t>공용시설 신청 결과 PUSH</t>
  </si>
  <si>
    <t>UT-ES00020B</t>
  </si>
  <si>
    <t>ES00023B</t>
  </si>
  <si>
    <t>제방빙 단계발령(시작/종료)시 PUSH</t>
  </si>
  <si>
    <t>UT-ES00023B</t>
  </si>
  <si>
    <t>Change Request Monitoring - 조회</t>
  </si>
  <si>
    <t>MESRS061S</t>
  </si>
  <si>
    <t>Change Request Monitoring 조회</t>
  </si>
  <si>
    <t>UT-MESRS061S</t>
  </si>
  <si>
    <t>공용시설 신청관리</t>
  </si>
  <si>
    <t>MESRS081S</t>
  </si>
  <si>
    <t>공용시설 신청관리 조회</t>
  </si>
  <si>
    <t>공용시설 신청관리 - 상세</t>
  </si>
  <si>
    <t>MESRS082S</t>
  </si>
  <si>
    <t>공용시설 신청관리 상세</t>
  </si>
  <si>
    <t>이용가이드</t>
  </si>
  <si>
    <t>MESCA102S</t>
  </si>
  <si>
    <t>UT-MESCA102S</t>
  </si>
  <si>
    <t>계정신청</t>
  </si>
  <si>
    <t>MESCA403M</t>
  </si>
  <si>
    <t>자주 묻는 질문</t>
  </si>
  <si>
    <t>UT-MESCA403M</t>
  </si>
  <si>
    <t>RSCI083S</t>
  </si>
  <si>
    <t>공용물품재고</t>
  </si>
  <si>
    <t>RS-SP83</t>
  </si>
  <si>
    <t xml:space="preserve">SP_RS_FIMSCHARTEXPENV_SND,차트표현환경 정보  </t>
  </si>
  <si>
    <t>UT-RS-SP83</t>
  </si>
  <si>
    <t>RS-SP84</t>
  </si>
  <si>
    <t xml:space="preserve">SP_RS_FIMSCKNCTALTMNTEXCNOPT_SND,체크인 배정실행옵션 정보  </t>
  </si>
  <si>
    <t>RS-SP85</t>
  </si>
  <si>
    <t xml:space="preserve">SP_RS_FIMSCKNCTUSELMT_SND,체크인 사용제한 정보  </t>
  </si>
  <si>
    <t>기타기능</t>
  </si>
  <si>
    <t>기타 설정 관리</t>
  </si>
  <si>
    <t>SLOTOF004S</t>
  </si>
  <si>
    <t>사용자 정의 필터 조건식 관리 및 파싱</t>
  </si>
  <si>
    <t>CASY038S(A)</t>
  </si>
  <si>
    <t>UT-CASY038S(A)</t>
  </si>
  <si>
    <t>CA00002B(A)</t>
  </si>
  <si>
    <t>UT-CA00002B(A)</t>
  </si>
  <si>
    <t>CASY039S</t>
  </si>
  <si>
    <t>UT-CASY039S</t>
  </si>
  <si>
    <t>CASY042S</t>
  </si>
  <si>
    <t>인터페이스 메시지 통합 모니터링</t>
  </si>
  <si>
    <t>UT-CASY042S</t>
  </si>
  <si>
    <t>FPMG051M</t>
  </si>
  <si>
    <t>ASM AIHS Message Details</t>
  </si>
  <si>
    <t>UT-FPMG051M</t>
  </si>
  <si>
    <t>FP-SP155</t>
  </si>
  <si>
    <t>SP_FP_AC_SYNCDATA_ONBLOCK,관제정보 현행운항에 반영</t>
  </si>
  <si>
    <t>UT-FP-SP155</t>
  </si>
  <si>
    <t>FP-SP158</t>
  </si>
  <si>
    <t>SP_FP_DALY_CIC_RANGE_MODIFY,Check In Range 반영</t>
  </si>
  <si>
    <t>UT-FP-SP158</t>
  </si>
  <si>
    <t>FP-SP173</t>
  </si>
  <si>
    <t>SP_FP_SSN_CSHR_MAKE_FULL,시즌코드쉐어편 일괄 복사</t>
  </si>
  <si>
    <t>UT-FP-SP173</t>
  </si>
  <si>
    <t>FP-SP179</t>
  </si>
  <si>
    <t>SP_FP_SSN_COPY_TO_DALY,시즌코드쉐어편 현행 생성</t>
  </si>
  <si>
    <t>FP-SP200</t>
  </si>
  <si>
    <t>SP_FP_WES_SSNCSHRFLTAPLY_PROC,외부 시즌코드쉐어 신청정보 데이터 저장</t>
  </si>
  <si>
    <t>UT-FP-SP200</t>
  </si>
  <si>
    <t>Daily operation</t>
  </si>
  <si>
    <t>CPCI014S</t>
  </si>
  <si>
    <t>CIC Change request</t>
  </si>
  <si>
    <t>CP-SP28</t>
  </si>
  <si>
    <t>SP_ESB_FIMSACCOMCD_RCV,AC 코드정보 메시지 수신처리</t>
  </si>
  <si>
    <t>UT-CP-SP28</t>
  </si>
  <si>
    <t>CM-SP35</t>
  </si>
  <si>
    <t>SP_CM_OUTBOUND_MLSTN_UPDATE_ADS,출발편 제빙마일스톤 운영-제빙시작</t>
  </si>
  <si>
    <t>UT-CM-SP35</t>
  </si>
  <si>
    <t>CM-SP38</t>
  </si>
  <si>
    <t>SP_CM_ACDMMLSTNARRATFMS_SND,ATFMS용 도착마일스톤 메시지 송신</t>
  </si>
  <si>
    <t>UT-CM-SP38</t>
  </si>
  <si>
    <t>CM-SP39</t>
  </si>
  <si>
    <t>SP_CM_ACDMMLSTNDEPATFMS_SND,ATFMS용 출발마일스톤 메시지 송신</t>
  </si>
  <si>
    <t>UT-CM-SP39</t>
  </si>
  <si>
    <t>CM-SP71</t>
  </si>
  <si>
    <t>SP_CM_ACDM_OPR_STS_PAX_WKLY,A-CDM 운영현황(여객/주별) 생성</t>
  </si>
  <si>
    <t>UT-CM-SP71</t>
  </si>
  <si>
    <t>CM93035B</t>
  </si>
  <si>
    <t>DW용 KPI자료 집계</t>
  </si>
  <si>
    <t>UT-CM93035B</t>
  </si>
  <si>
    <t>CM-SP56</t>
  </si>
  <si>
    <t>SP_CM_FLTACDMMLSTNDEPCOLOR_SND,마일스톤 색상정보 송신</t>
  </si>
  <si>
    <t>UT-CM-SP56</t>
  </si>
  <si>
    <t>CM-SP22</t>
  </si>
  <si>
    <t>SP_CM_ACMOVE_DEP_UPDATE,출발편 지상이동 내부인터페이스 수신</t>
  </si>
  <si>
    <t>UT-CM-SP22</t>
  </si>
  <si>
    <t>AC07003S</t>
  </si>
  <si>
    <t>ABNORMAL DATA 현황</t>
  </si>
  <si>
    <t>관리자 기능</t>
  </si>
  <si>
    <t>PM10205S</t>
  </si>
  <si>
    <t>환승장 운영시간 설정 관리</t>
  </si>
  <si>
    <t>양우상</t>
  </si>
  <si>
    <t>UT-PM10205S</t>
  </si>
  <si>
    <t>PM10206S</t>
  </si>
  <si>
    <t>환승장 운영시간 조회</t>
  </si>
  <si>
    <t>UT-PM10206S</t>
  </si>
  <si>
    <t>PM10301S</t>
  </si>
  <si>
    <t>일일 시뮬레이션 결과 조회</t>
  </si>
  <si>
    <t>UT-PM10301S</t>
  </si>
  <si>
    <t>PM10302S</t>
  </si>
  <si>
    <t>일일 시뮬레이션 결과 맵형태 조회</t>
  </si>
  <si>
    <t>UT-PM10302S</t>
  </si>
  <si>
    <t>PM10305S</t>
  </si>
  <si>
    <t>일일 시뮬레이션 결과 체크인카운터 혼잡도 차트 조회</t>
  </si>
  <si>
    <t>PM10508S</t>
  </si>
  <si>
    <t>사용자 시뮬레이션 결과 셀프체크인/백드롭 혼잡도 차트 조회</t>
  </si>
  <si>
    <t>UT-PM10508S</t>
  </si>
  <si>
    <t>GO12512S</t>
  </si>
  <si>
    <t>운항편목록비교 및 이력</t>
  </si>
  <si>
    <t>UT-GO12512S</t>
  </si>
  <si>
    <t>운항계획팀</t>
  </si>
  <si>
    <t>GO51230S</t>
  </si>
  <si>
    <t>지연현황</t>
  </si>
  <si>
    <t>UT-GO51230S</t>
  </si>
  <si>
    <t>GO12707R</t>
  </si>
  <si>
    <t>항공기 운항현황(NEW)_리포트</t>
  </si>
  <si>
    <t>GO-SP998</t>
  </si>
  <si>
    <t>SP_GO_GD_DATA_RS_STND, GO_GO_DATA 생성-RS 주기장 정보 반영</t>
  </si>
  <si>
    <t>AS21401S</t>
  </si>
  <si>
    <t>정기/부정기 운항 현황</t>
  </si>
  <si>
    <t>UT-AS21401S</t>
  </si>
  <si>
    <t>AS21701S</t>
  </si>
  <si>
    <t>GD실적조회</t>
  </si>
  <si>
    <t>UT-AS21701S</t>
  </si>
  <si>
    <t>AS22101S</t>
  </si>
  <si>
    <t>여객 수송 통계</t>
  </si>
  <si>
    <t>UT-AS22101S</t>
  </si>
  <si>
    <t>AS23401S</t>
  </si>
  <si>
    <t>화물 세부분류</t>
  </si>
  <si>
    <t>UT-AS23401S</t>
  </si>
  <si>
    <t>AS26102S</t>
  </si>
  <si>
    <t>LCC 실적 - 여객</t>
  </si>
  <si>
    <t>UT-AS26102S</t>
  </si>
  <si>
    <t>AS28103S</t>
  </si>
  <si>
    <t>얼라이언스별 실적(항공화물)</t>
  </si>
  <si>
    <t>UT-AS28103S</t>
  </si>
  <si>
    <t>AS40401S</t>
  </si>
  <si>
    <t>첨두일 상세현황(여객운송)</t>
  </si>
  <si>
    <t>UT-AS40401S</t>
  </si>
  <si>
    <t>AS39102S</t>
  </si>
  <si>
    <t>첨두주 실적(여객실적)</t>
  </si>
  <si>
    <t>UT-AS39102S</t>
  </si>
  <si>
    <t>AS40805S</t>
  </si>
  <si>
    <t>취항실적 - 국가별취항도시</t>
  </si>
  <si>
    <t>AS41501S</t>
  </si>
  <si>
    <t>취항항공사별 취항도시 실적</t>
  </si>
  <si>
    <t>AS42201S</t>
  </si>
  <si>
    <t>기간별 주기장 사용실적</t>
  </si>
  <si>
    <t>AS42501S</t>
  </si>
  <si>
    <t>주기장별 등급별 실적</t>
  </si>
  <si>
    <t>UT-AS42501S</t>
  </si>
  <si>
    <t>AS43501S</t>
  </si>
  <si>
    <t>게이트이력보고</t>
  </si>
  <si>
    <t>UT-AS43501S</t>
  </si>
  <si>
    <t>AS-SP11</t>
  </si>
  <si>
    <t>SP_ESB_FIMSACSTDALYOPER_RCV</t>
  </si>
  <si>
    <t>AS-SP1</t>
  </si>
  <si>
    <t>SP_ESB_FIMSARCFTMVMN_RCV, 항공기이동 ESB 테이블 조회</t>
  </si>
  <si>
    <t>UT-AS-SP1</t>
  </si>
  <si>
    <t>AS-SP16</t>
  </si>
  <si>
    <t>SP_AS_FIMSCKNCTALOT_RCV,체크인카운터 할당데이터 ESB 테이블 이관</t>
  </si>
  <si>
    <t>UT-AS-SP16</t>
  </si>
  <si>
    <t>AS-SP18</t>
  </si>
  <si>
    <t>SP_AS_FIMSCRSLDALYCHG_RCV,캐로셀 일일변경 정보 ESB 테이블 이관</t>
  </si>
  <si>
    <t>UT-AS-SP18</t>
  </si>
  <si>
    <t>일반정보 현황조회</t>
  </si>
  <si>
    <t>WESCM001S</t>
  </si>
  <si>
    <t>UT-WESCM001S</t>
  </si>
  <si>
    <t>WESFP008M</t>
  </si>
  <si>
    <t>Create Seasonal Codeshare Flight</t>
  </si>
  <si>
    <t>UT-WESFP008M</t>
  </si>
  <si>
    <t>WESCASY048S</t>
  </si>
  <si>
    <t>역할변경 이력</t>
  </si>
  <si>
    <t>CIC Monthly Chart</t>
  </si>
  <si>
    <t>WESRC002S</t>
  </si>
  <si>
    <t>CIC Monthly Chart View</t>
  </si>
  <si>
    <t>ES00010B</t>
  </si>
  <si>
    <t>TOBT 변경 PUSH</t>
  </si>
  <si>
    <t>UT-ES00010B</t>
  </si>
  <si>
    <t>ES00015B</t>
  </si>
  <si>
    <t>A-CDM 통계 데이터 생성</t>
  </si>
  <si>
    <t>UT-ES00015B</t>
  </si>
  <si>
    <t>ES00017B</t>
  </si>
  <si>
    <t>게이트 변경 PUSH</t>
  </si>
  <si>
    <t>UT-ES00017B</t>
  </si>
  <si>
    <t>ES00021B</t>
  </si>
  <si>
    <t>런업 주기장 신청 결과 PUSH</t>
  </si>
  <si>
    <t>UT-ES00021B</t>
  </si>
  <si>
    <t>ES00022B</t>
  </si>
  <si>
    <t>정비 주기장 신청 결과 PUSH</t>
  </si>
  <si>
    <t>UT-ES00022B</t>
  </si>
  <si>
    <t>현행배정 조회</t>
  </si>
  <si>
    <t>MESRS071S</t>
  </si>
  <si>
    <t>UT-MESRS071S</t>
  </si>
  <si>
    <t>현행배정 조회 - 상세</t>
  </si>
  <si>
    <t>MESRS072S</t>
  </si>
  <si>
    <t>현행배정 조회 상세</t>
  </si>
  <si>
    <t>UT-MESRS072S</t>
  </si>
  <si>
    <t>공용시설 신청관리 - 신청</t>
  </si>
  <si>
    <t>MESRS083S</t>
  </si>
  <si>
    <t>공용시설 신청</t>
  </si>
  <si>
    <t>로그인</t>
  </si>
  <si>
    <t>MESCA041M</t>
  </si>
  <si>
    <t>개인정보 처리방침</t>
  </si>
  <si>
    <t>UT-MESCA041M</t>
  </si>
  <si>
    <t>RSCI084M</t>
  </si>
  <si>
    <t>공용물품 입고/폐기</t>
  </si>
  <si>
    <t>UT-RSCI084M</t>
  </si>
  <si>
    <t>RS90003B</t>
  </si>
  <si>
    <t>체크인카운터 할당내역 전송</t>
  </si>
  <si>
    <t>UT-RS90003B</t>
  </si>
  <si>
    <t>RS90091B</t>
  </si>
  <si>
    <t>공용시설 재고 정산</t>
  </si>
  <si>
    <t>UT-RS90091B</t>
  </si>
  <si>
    <t>RS-SP80</t>
  </si>
  <si>
    <t xml:space="preserve">SP_RS_FIMSACSTMNTRFLT_SND,주기장 모니터링 항공편정보  </t>
  </si>
  <si>
    <t>UT-RS-SP80</t>
  </si>
  <si>
    <t>FPMG049M</t>
  </si>
  <si>
    <t>ADM AIHS Message Details</t>
  </si>
  <si>
    <t>UT-FPMG049M</t>
  </si>
  <si>
    <t>FPFC052M</t>
  </si>
  <si>
    <t>Load Workspace</t>
  </si>
  <si>
    <t>UT-FPFC052M</t>
  </si>
  <si>
    <t>FP-SP171</t>
  </si>
  <si>
    <t>SP_FP_GD_DATA_PROC,현행운항편 운송실적 메시지처리</t>
  </si>
  <si>
    <t>FP-SP156</t>
  </si>
  <si>
    <t>SP_FP_RS_SYNCDATA_TER,자원배정정보 현행운항에 반영</t>
  </si>
  <si>
    <t>UT-FP-SP156</t>
  </si>
  <si>
    <t>FP-SP166</t>
  </si>
  <si>
    <t>SP_ESB_BOARDBRDGSTATPBB1_RCV,ESB PBB#1 보딩브릿지 접이현 메시지수신</t>
  </si>
  <si>
    <t>UT-FP-SP166</t>
  </si>
  <si>
    <t>FP00003B</t>
  </si>
  <si>
    <t>DAILY CHECK작업</t>
  </si>
  <si>
    <t>UT-FP00003B</t>
  </si>
  <si>
    <t>FP-SP211</t>
  </si>
  <si>
    <t>SP_ESB_JNA_ADM,ESB 현행JNA ADM 메시지수신</t>
  </si>
  <si>
    <t>UT-FP-SP211</t>
  </si>
  <si>
    <t>FP-SP212</t>
  </si>
  <si>
    <t>SP_ESB_AIHS_ADM,ESB 현행AIHS ADM 메시지수신</t>
  </si>
  <si>
    <t>UT-FP-SP212</t>
  </si>
  <si>
    <t>Carousel</t>
  </si>
  <si>
    <t>CPCR001S</t>
  </si>
  <si>
    <t>Carousel Operation - Gantt Chart</t>
  </si>
  <si>
    <t>CPCI015S</t>
  </si>
  <si>
    <t>CIC Change request monitoring</t>
  </si>
  <si>
    <t>CP-SP25</t>
  </si>
  <si>
    <t>SP_CP_CRSL_DALYOPER_CHGREQ_SND,캐로셀 변경정보 요청 메시지 송신</t>
  </si>
  <si>
    <t>UT-CP-SP25</t>
  </si>
  <si>
    <t>CP-SP26</t>
  </si>
  <si>
    <t>SP_CP_CKNCT_DALYOPER_CHGREQ_SND,체크인카운터 변경정보 요청 메시지 송신</t>
  </si>
  <si>
    <t>UT-CP-SP26</t>
  </si>
  <si>
    <t>CM-SP59</t>
  </si>
  <si>
    <t>SP_CM_ACDM_OPR_STS_WKLY,A-CDM 운영현황(주별) 생성</t>
  </si>
  <si>
    <t>UT-CM-SP59</t>
  </si>
  <si>
    <t>CM-SP68</t>
  </si>
  <si>
    <t>SP_CM_ACDM_OPR_STS_CGO_SSN,A-CDM 운영현황(화물/반기별) 생성</t>
  </si>
  <si>
    <t>UT-CM-SP68</t>
  </si>
  <si>
    <t>CM-SP70</t>
  </si>
  <si>
    <t>SP_CM_ACDM_OPR_STS_PAX,A-CDM 운영현황(여객/일별) 생성</t>
  </si>
  <si>
    <t>UT-CM-SP70</t>
  </si>
  <si>
    <t>CM93026B</t>
  </si>
  <si>
    <t>주기장 운용성과 집계</t>
  </si>
  <si>
    <t>UT-CM93026B</t>
  </si>
  <si>
    <t>CM93033B</t>
  </si>
  <si>
    <t>SLOT운용 성과집계</t>
  </si>
  <si>
    <t>UT-CM93033B</t>
  </si>
  <si>
    <t>CM10007M</t>
  </si>
  <si>
    <t xml:space="preserve">지상유도시간관리 </t>
  </si>
  <si>
    <t>UT-CM10007M</t>
  </si>
  <si>
    <t>AC06010S</t>
  </si>
  <si>
    <t>DAILY CLOSING 현황 관리</t>
  </si>
  <si>
    <t>ACST019S</t>
  </si>
  <si>
    <t>Total Taxi Time</t>
  </si>
  <si>
    <t>AC00001B</t>
  </si>
  <si>
    <t>제빙 정보 누락 알림</t>
  </si>
  <si>
    <t>UT-AC00001B</t>
  </si>
  <si>
    <t>AC-SP28</t>
  </si>
  <si>
    <t>SP_AC_DEICING_PHASE_RCV, 강설단계발령정보 수신처리</t>
  </si>
  <si>
    <t>UT-AC-SP28</t>
  </si>
  <si>
    <t>PM10309S</t>
  </si>
  <si>
    <t>일일 시뮬레이션 결과 출국장 혼잡도 조회</t>
  </si>
  <si>
    <t>UT-PM10309S</t>
  </si>
  <si>
    <t>PM10504S</t>
  </si>
  <si>
    <t>사용자 시뮬레이션 결과 체크인카운터 혼잡도 상세 조회</t>
  </si>
  <si>
    <t>UT-PM10504S</t>
  </si>
  <si>
    <t>GO12940S</t>
  </si>
  <si>
    <t>주기장운영현황_원격/기타</t>
  </si>
  <si>
    <t>AS21301S</t>
  </si>
  <si>
    <t>운항(여객/화물기) - 정기</t>
  </si>
  <si>
    <t>UT-AS21301S</t>
  </si>
  <si>
    <t>AS21502S</t>
  </si>
  <si>
    <t>항공기 지연현황(2023년~)</t>
  </si>
  <si>
    <t>UT-AS21502S</t>
  </si>
  <si>
    <t>AS24105S</t>
  </si>
  <si>
    <t>지역별 실적(환적화물) - 경유지 기준</t>
  </si>
  <si>
    <t>UT-AS24105S</t>
  </si>
  <si>
    <t>AS25101S</t>
  </si>
  <si>
    <t>항공사별 실적(운항)</t>
  </si>
  <si>
    <t>UT-AS25101S</t>
  </si>
  <si>
    <t>AS25102S</t>
  </si>
  <si>
    <t>항공사별 실적(여객)</t>
  </si>
  <si>
    <t>UT-AS25102S</t>
  </si>
  <si>
    <t>AS27102S</t>
  </si>
  <si>
    <t>터미널별 실적(여객)</t>
  </si>
  <si>
    <t>UT-AS27102S</t>
  </si>
  <si>
    <t>AS28102S</t>
  </si>
  <si>
    <t>얼라이언스별 실적(여객)</t>
  </si>
  <si>
    <t>UT-AS28102S</t>
  </si>
  <si>
    <t>AS38102S</t>
  </si>
  <si>
    <t>첨두일 실적(여객실적)</t>
  </si>
  <si>
    <t>AS40701S</t>
  </si>
  <si>
    <t>첨두일 운항 실적(도착)</t>
  </si>
  <si>
    <t>UT-AS40701S</t>
  </si>
  <si>
    <t>AS40803S</t>
  </si>
  <si>
    <t>취항실적 - 취항항공사(부정기)</t>
  </si>
  <si>
    <t>UT-AS40803S</t>
  </si>
  <si>
    <t>AS42701S</t>
  </si>
  <si>
    <t>주기장 이용횟수</t>
  </si>
  <si>
    <t>AS42901S</t>
  </si>
  <si>
    <t>주기장별 여객(화물기) 운항횟수</t>
  </si>
  <si>
    <t>UT-AS42901S</t>
  </si>
  <si>
    <t>AS43101S</t>
  </si>
  <si>
    <t>화물 주기장별 항공사별 평균주기시간</t>
  </si>
  <si>
    <t>UT-AS43101S</t>
  </si>
  <si>
    <t>AS-SP4</t>
  </si>
  <si>
    <t>SP_AS_FIMSINARR_RCV,현행 운항스케쥴 도착편 ESB 테이블 이관</t>
  </si>
  <si>
    <t>UT-AS-SP4</t>
  </si>
  <si>
    <t>AS-SP20</t>
  </si>
  <si>
    <t>SP_AS_FIMSCRSLDALYOPER_RCV,캐로셀 일일운영 정보 ESB 테이블 이관</t>
  </si>
  <si>
    <t>UT-AS-SP20</t>
  </si>
  <si>
    <t>출발편 운항정보관리(New)</t>
  </si>
  <si>
    <t>WESCM011S</t>
  </si>
  <si>
    <t>UT-WESCM011S</t>
  </si>
  <si>
    <t>WESCASY044S</t>
  </si>
  <si>
    <t>푸시 메시지 이력</t>
  </si>
  <si>
    <t>UT-WESCASY044S</t>
  </si>
  <si>
    <t>WESCASY049S</t>
  </si>
  <si>
    <t>접속자 이력</t>
  </si>
  <si>
    <t>UT-WESCASY049S</t>
  </si>
  <si>
    <t>WESCASY052S</t>
  </si>
  <si>
    <t>보고서 출력 이력</t>
  </si>
  <si>
    <t>UT-WESCASY052S</t>
  </si>
  <si>
    <t>ES-SP30</t>
  </si>
  <si>
    <t>SP_ES_FIMSREFINFOES_RCV,외부 FIMS_CA 참조정보 데이터 저장</t>
  </si>
  <si>
    <t>UT-ES-SP30</t>
  </si>
  <si>
    <t>ES-SP178</t>
  </si>
  <si>
    <t>FN_AC_GET_TIME_DIFF, 시간차이 조회</t>
  </si>
  <si>
    <t>UT-ES-SP178</t>
  </si>
  <si>
    <t>Change Request Monitoring - 상세</t>
  </si>
  <si>
    <t>MESRS062S</t>
  </si>
  <si>
    <t>Change Request Monitoring 상세</t>
  </si>
  <si>
    <t>UT-MESRS062S</t>
  </si>
  <si>
    <t>MESCA401S</t>
  </si>
  <si>
    <t>사용자 계정 신청</t>
  </si>
  <si>
    <t>RSCI080S</t>
  </si>
  <si>
    <t>공용물품관리</t>
  </si>
  <si>
    <t>RSPK035M</t>
  </si>
  <si>
    <t>Restricted Aircraft list</t>
  </si>
  <si>
    <t>RS-SP46</t>
  </si>
  <si>
    <t>SP_RS_CRS_ASN_APPLY, 캐로셀 자동배정 결과 반영</t>
  </si>
  <si>
    <t>UT-RS-SP46</t>
  </si>
  <si>
    <t>RS-SP78</t>
  </si>
  <si>
    <t xml:space="preserve">SP_RS_FIMSACSTMEMO_SND,주기장 메모데이터  </t>
  </si>
  <si>
    <t>UT-RS-SP78</t>
  </si>
  <si>
    <t>RS-SP79</t>
  </si>
  <si>
    <t xml:space="preserve">SP_RS_FIMSACSTALNMPNG_SND,주기장 항공사 매핑정보  </t>
  </si>
  <si>
    <t>UT-RS-SP79</t>
  </si>
  <si>
    <t>RS-SP86</t>
  </si>
  <si>
    <t xml:space="preserve">SP_RS_FIMSCRSLDALYCHG_SND,캐로셀 일일변경 정보  </t>
  </si>
  <si>
    <t>UT-RS-SP86</t>
  </si>
  <si>
    <t>SLOTOF005S</t>
  </si>
  <si>
    <t>코디네이터별 접근 권한 관리 기능</t>
  </si>
  <si>
    <t>CA-SP28</t>
  </si>
  <si>
    <t>SP_ESB_CHKINPGTMPLTFID2_RCV, FIDS#2 ESB 체크인페이지 메시지 수신 처리</t>
  </si>
  <si>
    <t>UT-CA-SP28</t>
  </si>
  <si>
    <t>FP-SP157</t>
  </si>
  <si>
    <t>SP_FP_DALY_DAILY_CHECK,현행운항정보 실시간 변경</t>
  </si>
  <si>
    <t>UT-FP-SP157</t>
  </si>
  <si>
    <t>FP-SP170</t>
  </si>
  <si>
    <t>SP_ESB_GD_DATA_RCV,현행운항편 운송실적 메시지수신</t>
  </si>
  <si>
    <t>FP00002B</t>
  </si>
  <si>
    <t>현행도착출발마감</t>
  </si>
  <si>
    <t>UT-FP00002B</t>
  </si>
  <si>
    <t>FP-IF1</t>
  </si>
  <si>
    <t>afsArr_api,FP_현행운항도착정보연계</t>
  </si>
  <si>
    <t>UT-FP-IF1</t>
  </si>
  <si>
    <t>FP-SP192</t>
  </si>
  <si>
    <t>SP_ESB_BOARDBRDGSTATPBB4_RCV,ESB PBB#4 보딩브릿지 접이현 메시지수신</t>
  </si>
  <si>
    <t>UT-FP-SP192</t>
  </si>
  <si>
    <t>FP-SP213</t>
  </si>
  <si>
    <t>SP_FP_JNA_ADM_RCV,현행JNA ADM 메시지처리</t>
  </si>
  <si>
    <t>UT-FP-SP213</t>
  </si>
  <si>
    <t>FP-SP214</t>
  </si>
  <si>
    <t>SP_FP_AIHS_ADM_RCV,현행AIHS ADM 메시지처리</t>
  </si>
  <si>
    <t>UT-FP-SP214</t>
  </si>
  <si>
    <t>FPFS003R</t>
  </si>
  <si>
    <t>Season Arrival/Departure Flight Schedule List</t>
  </si>
  <si>
    <t>CPCR017M</t>
  </si>
  <si>
    <t>Register Monitoring Flight</t>
  </si>
  <si>
    <t>UT-CPCR017M</t>
  </si>
  <si>
    <t>CP-SP30</t>
  </si>
  <si>
    <t>SP_ESB_FIMSACDMGRNDTXNGHRCRTR_RCV,지상유도시간기준정보 메시지 수신처리</t>
  </si>
  <si>
    <t>UT-CP-SP30</t>
  </si>
  <si>
    <t>CP-SP34</t>
  </si>
  <si>
    <t>SP_CP_CKNCTDALYALOTCHGREQ_SND,체크인현행할당변경요청 메시지송신</t>
  </si>
  <si>
    <t>UT-CP-SP34</t>
  </si>
  <si>
    <t>CP-SP22</t>
  </si>
  <si>
    <t>SP_ESB_FIMSREFINFOES_RCV,FIMS 공통코드 참조 정보 메시지 메시지 수신처리</t>
  </si>
  <si>
    <t>UT-CP-SP22</t>
  </si>
  <si>
    <t>CP-SP27</t>
  </si>
  <si>
    <t>SP_CP_ARCFTMVMN_CHGREQ_SND,항공기 이동시간 변경정보 요청 메시지 송신</t>
  </si>
  <si>
    <t>UT-CP-SP27</t>
  </si>
  <si>
    <t>CM-IF2</t>
  </si>
  <si>
    <t>FltAcdmMlstnArrAPI,도착편 마일스톤 송신 API</t>
  </si>
  <si>
    <t>UT-CM-IF2</t>
  </si>
  <si>
    <t>CM-IF3</t>
  </si>
  <si>
    <t>API_CM_IIF_AFS_RCV, 출/도착편 운항정보 내부인터페이스 수신 API</t>
  </si>
  <si>
    <t>UT-CM-IF3</t>
  </si>
  <si>
    <t>CM20026M</t>
  </si>
  <si>
    <t>SMS전송관리(CM)</t>
  </si>
  <si>
    <t>UT-CM20026M</t>
  </si>
  <si>
    <t>AC08018S</t>
  </si>
  <si>
    <t>DE-ICING PHASE TIME</t>
  </si>
  <si>
    <t>AC06005S</t>
  </si>
  <si>
    <t>RUN-UP</t>
  </si>
  <si>
    <t>AC06009S</t>
  </si>
  <si>
    <t>ROUTE SEPARATION</t>
  </si>
  <si>
    <t>UT-AC06009S</t>
  </si>
  <si>
    <t>PM10303S</t>
  </si>
  <si>
    <t>일일 시뮬레이션 결과 체크인카운터 혼잡도 조회</t>
  </si>
  <si>
    <t>UT-PM10303S</t>
  </si>
  <si>
    <t>PM10308S</t>
  </si>
  <si>
    <t>일일 시뮬레이션 결과 셀프체크인/백드롭 혼잡도 차트 조회</t>
  </si>
  <si>
    <t>PM10509S</t>
  </si>
  <si>
    <t>사용자 시뮬레이션 결과 출국장 혼잡도 조회</t>
  </si>
  <si>
    <t>UT-PM10509S</t>
  </si>
  <si>
    <t>FSEX090M</t>
  </si>
  <si>
    <t>검측지원현황 등록</t>
  </si>
  <si>
    <t>UT-FSEX090M</t>
  </si>
  <si>
    <t>FSEY043E</t>
  </si>
  <si>
    <t>검측현황 조회</t>
  </si>
  <si>
    <t>UT-FSEY043E</t>
  </si>
  <si>
    <t>GO12805S</t>
  </si>
  <si>
    <t>주기장 장기점유</t>
  </si>
  <si>
    <t>UT-GO12805S</t>
  </si>
  <si>
    <t>GO12902S</t>
  </si>
  <si>
    <t>노선별운항편정보</t>
  </si>
  <si>
    <t>UT-GO12902S</t>
  </si>
  <si>
    <t>GO12938S</t>
  </si>
  <si>
    <t>주기장운영현황_T2</t>
  </si>
  <si>
    <t>GO-SP996</t>
  </si>
  <si>
    <t>SP_GO_GD_DATA_FP_FIMSIArr, GO_GD_DATA 생성-FP FIMSInArr 운항계획정보 반영</t>
  </si>
  <si>
    <t>GO-SP997</t>
  </si>
  <si>
    <t>SP_GO_GD_DATA_FP_FIMSInDep, GO_GD_DATA 생성-FP FIMSInDep 운항계획정보 반영</t>
  </si>
  <si>
    <t>AS22201S</t>
  </si>
  <si>
    <t>내외국인(법무부자료)</t>
  </si>
  <si>
    <t>UT-AS22201S</t>
  </si>
  <si>
    <t>AS23201S</t>
  </si>
  <si>
    <t>환적화물</t>
  </si>
  <si>
    <t>UT-AS23201S</t>
  </si>
  <si>
    <t>AS29101S</t>
  </si>
  <si>
    <t>김포공항실적</t>
  </si>
  <si>
    <t>UT-AS29101S</t>
  </si>
  <si>
    <t>AS25105S</t>
  </si>
  <si>
    <t>항공사별 실적(환적화물)</t>
  </si>
  <si>
    <t>UT-AS25105S</t>
  </si>
  <si>
    <t>AS40102S</t>
  </si>
  <si>
    <t>첨두월 실적(여객실적)</t>
  </si>
  <si>
    <t>UT-AS40102S</t>
  </si>
  <si>
    <t>AS40902S</t>
  </si>
  <si>
    <t>운휴,단항,복항 현황(취항 항공사 기준)</t>
  </si>
  <si>
    <t>UT-AS40902S</t>
  </si>
  <si>
    <t>AS42601S</t>
  </si>
  <si>
    <t>주기장별 실적</t>
  </si>
  <si>
    <t>AS-SP13</t>
  </si>
  <si>
    <t>SP_ESB_FIMSACSTLATERALALARM_RCV,주기장 레터럴 변경정보 ESB 테이블 조회</t>
  </si>
  <si>
    <t>UT-AS-SP13</t>
  </si>
  <si>
    <t>AS-SP6</t>
  </si>
  <si>
    <t>SP_AS_FIMSINDEP_RCV,현행 운항스케쥴 출발편 ESB 테이블 이관</t>
  </si>
  <si>
    <t>UT-AS-SP6</t>
  </si>
  <si>
    <t>AS-SP9</t>
  </si>
  <si>
    <t>SP_ESB_SFSDEP_RCV,반기 운항스케줄 출발편 ESB 테이블 조회</t>
  </si>
  <si>
    <t>UT-AS-SP9</t>
  </si>
  <si>
    <t>AS-SP24</t>
  </si>
  <si>
    <t>SP_AS_FIMSRSRCGROUPMPNG_RCV,자원그룹매핑정보 ESB 테이블 이관</t>
  </si>
  <si>
    <t>UT-AS-SP24</t>
  </si>
  <si>
    <t>WESFP001S</t>
  </si>
  <si>
    <t>UT-WESFP001S</t>
  </si>
  <si>
    <t>WESFP009M</t>
  </si>
  <si>
    <t>Upload Seasonal Codeshare flight</t>
  </si>
  <si>
    <t>Request Airline ASM Link</t>
  </si>
  <si>
    <t>WESFP002S</t>
  </si>
  <si>
    <t>UT-WESFP002S</t>
  </si>
  <si>
    <t>Active Flight Schedule for others</t>
  </si>
  <si>
    <t>WESFP004S</t>
  </si>
  <si>
    <t>WESRS018S</t>
  </si>
  <si>
    <t>UT-WESRS018S</t>
  </si>
  <si>
    <t>ES-SP177</t>
  </si>
  <si>
    <t>SP_ES_FIMSELECFLTINFO_RCV,외부 FIMS_AC 전자운항정보 데이터 저장</t>
  </si>
  <si>
    <t>UT-ES-SP177</t>
  </si>
  <si>
    <t>ES00005B</t>
  </si>
  <si>
    <t>TSAT 취소 PUSH</t>
  </si>
  <si>
    <t>UT-ES00005B</t>
  </si>
  <si>
    <t>ES00006B</t>
  </si>
  <si>
    <t>TSAT 5분전 PUSH</t>
  </si>
  <si>
    <t>UT-ES00006B</t>
  </si>
  <si>
    <t>ES00011B</t>
  </si>
  <si>
    <t>TOBT 확인 PUSH</t>
  </si>
  <si>
    <t>UT-ES00011B</t>
  </si>
  <si>
    <t>ES00012B</t>
  </si>
  <si>
    <t>TOBT 취소 PUSH</t>
  </si>
  <si>
    <t>UT-ES00012B</t>
  </si>
  <si>
    <t>ES00013B</t>
  </si>
  <si>
    <t>EEZT 취소 PUSH</t>
  </si>
  <si>
    <t>UT-ES00013B</t>
  </si>
  <si>
    <t>ES00019B</t>
  </si>
  <si>
    <t>현행배정 신청 결과 PUSH</t>
  </si>
  <si>
    <t>UT-ES00019B</t>
  </si>
  <si>
    <t>ES00001B</t>
  </si>
  <si>
    <t>TOBT 40분전 PUSH</t>
  </si>
  <si>
    <t>UT-ES00001B</t>
  </si>
  <si>
    <t>관리기능</t>
  </si>
  <si>
    <t>A-CDM 통계관리</t>
  </si>
  <si>
    <t>MESMF201S</t>
  </si>
  <si>
    <t>A-CDM 통계</t>
  </si>
  <si>
    <t>MESCA402S</t>
  </si>
  <si>
    <t>사용자 계정 조회/변경/해지신청</t>
  </si>
  <si>
    <t>UT-MESCA402S</t>
  </si>
  <si>
    <t>Stand</t>
  </si>
  <si>
    <t>Operation</t>
  </si>
  <si>
    <t>RSPK064S</t>
  </si>
  <si>
    <t>Stand Congestion Alert</t>
  </si>
  <si>
    <t>UT-RSPK064S</t>
  </si>
  <si>
    <t>RSPK044S</t>
  </si>
  <si>
    <t>Daily Operation Report</t>
  </si>
  <si>
    <t>UT-RSPK044S</t>
  </si>
  <si>
    <t>Plan</t>
  </si>
  <si>
    <t>RSPK029M</t>
  </si>
  <si>
    <t>Stand Opertation History</t>
  </si>
  <si>
    <t>SLOTAI006S</t>
  </si>
  <si>
    <t>작업 세션 정보 관리</t>
  </si>
  <si>
    <t>UT-SLOTAI006S</t>
  </si>
  <si>
    <t>SLOTAI007S</t>
  </si>
  <si>
    <t>사용자 정의 화면 뷰 관리</t>
  </si>
  <si>
    <t>UT-SLOTAI007S</t>
  </si>
  <si>
    <t>기타 스케쥴 관리</t>
  </si>
  <si>
    <t>SLOTOF003M</t>
  </si>
  <si>
    <t>베이스라인 및 라이브 스케쥴 압축</t>
  </si>
  <si>
    <t>UT-SLOTOF003M</t>
  </si>
  <si>
    <t>행 레이블</t>
  </si>
  <si>
    <t>총합계</t>
  </si>
  <si>
    <t>(다중 항목)</t>
  </si>
  <si>
    <t>열 레이블</t>
  </si>
  <si>
    <t>개수 : 결함ID</t>
  </si>
  <si>
    <t>기각</t>
    <phoneticPr fontId="5" type="noConversion"/>
  </si>
  <si>
    <t>유효</t>
    <phoneticPr fontId="5" type="noConversion"/>
  </si>
  <si>
    <t>계</t>
    <phoneticPr fontId="5" type="noConversion"/>
  </si>
  <si>
    <t>차수별 기각율</t>
    <phoneticPr fontId="5" type="noConversion"/>
  </si>
  <si>
    <t>업무영역</t>
    <phoneticPr fontId="7" type="noConversion"/>
  </si>
  <si>
    <t>총 대상</t>
  </si>
  <si>
    <t>계</t>
    <phoneticPr fontId="7" type="noConversion"/>
  </si>
  <si>
    <t>공항운영관리
AOMS</t>
    <phoneticPr fontId="7" type="noConversion"/>
  </si>
  <si>
    <t>운항정보관리
FIMS</t>
    <phoneticPr fontId="7" type="noConversion"/>
  </si>
  <si>
    <t>상용</t>
    <phoneticPr fontId="7" type="noConversion"/>
  </si>
  <si>
    <t>푸시SW(PUSH)</t>
  </si>
  <si>
    <t>개수 : 프로그램ID</t>
  </si>
  <si>
    <t>기능 미동작</t>
  </si>
  <si>
    <t>기능 미동작</t>
    <phoneticPr fontId="5" type="noConversion"/>
  </si>
  <si>
    <t>기능</t>
    <phoneticPr fontId="5" type="noConversion"/>
  </si>
  <si>
    <t>공통 체크리스트 구현 불충분</t>
    <phoneticPr fontId="5" type="noConversion"/>
  </si>
  <si>
    <t>공통화면</t>
    <phoneticPr fontId="5" type="noConversion"/>
  </si>
  <si>
    <t>기능이 부절적하게 동작</t>
  </si>
  <si>
    <t>기능이 부절적하게 동작</t>
    <phoneticPr fontId="5" type="noConversion"/>
  </si>
  <si>
    <t>문서</t>
    <phoneticPr fontId="5" type="noConversion"/>
  </si>
  <si>
    <t>테스트 결과서 증적 미흡 또는 부재</t>
    <phoneticPr fontId="5" type="noConversion"/>
  </si>
  <si>
    <t>기능 미동작 또는 오류</t>
    <phoneticPr fontId="5" type="noConversion"/>
  </si>
  <si>
    <t>데이터누락</t>
    <phoneticPr fontId="5" type="noConversion"/>
  </si>
  <si>
    <t>테스트 데이터 불충분</t>
    <phoneticPr fontId="5" type="noConversion"/>
  </si>
  <si>
    <t>결함아님</t>
    <phoneticPr fontId="5" type="noConversion"/>
  </si>
  <si>
    <t>오기입</t>
  </si>
  <si>
    <t>오기입</t>
    <phoneticPr fontId="5" type="noConversion"/>
  </si>
  <si>
    <t>프로세스</t>
    <phoneticPr fontId="5" type="noConversion"/>
  </si>
  <si>
    <t>[X_001] 테스트 결과서 Create Flight Shere는 시스템 메뉴에는 보이지 않음</t>
    <phoneticPr fontId="5" type="noConversion"/>
  </si>
  <si>
    <t>[C-000]엑셀 다운로드 버튼 클릭시 아무 작동이 안됨</t>
    <phoneticPr fontId="5" type="noConversion"/>
  </si>
  <si>
    <t>[C_9] 조회 시 3분 이상 소요되어 동작하지 않는 것처럼 느껴졌습니다(Chrome, Edge 모두 수 차례 테스트 시에도 동일하게 느렸습니다).</t>
    <phoneticPr fontId="5" type="noConversion"/>
  </si>
  <si>
    <t>터미널을 바꾸고 검색해도 차트 모양이 변하지 않음.</t>
    <phoneticPr fontId="5" type="noConversion"/>
  </si>
  <si>
    <t>[S_5] [S_10] '+', '-' 버튼이 보이지 않습니다(표출 선행조건이 있는 것인지 모르겠습니다).</t>
    <phoneticPr fontId="5" type="noConversion"/>
  </si>
  <si>
    <t>next controller 수정후 'change' 버트 클릭시 아래와 같이 서버 오류남.</t>
    <phoneticPr fontId="5" type="noConversion"/>
  </si>
  <si>
    <t xml:space="preserve">contract end date  날짜 크기가 다름 </t>
    <phoneticPr fontId="5" type="noConversion"/>
  </si>
  <si>
    <t>1.19시험내용 2008.05.16이후 날짜도 검색됨</t>
    <phoneticPr fontId="5" type="noConversion"/>
  </si>
  <si>
    <t xml:space="preserve">[C_001] STATUS LIST BOX 상단 전체 표기 </t>
    <phoneticPr fontId="5" type="noConversion"/>
  </si>
  <si>
    <t>[X_005]메세지가 부정확함
NAME 혹은 vALUE를 입력하지 않으면 서버오류라고 메세지 처리 됨
--&gt; 필수항목 오류로 표기</t>
    <phoneticPr fontId="5" type="noConversion"/>
  </si>
  <si>
    <t>110건</t>
  </si>
  <si>
    <t>17건</t>
  </si>
  <si>
    <t>13건</t>
  </si>
  <si>
    <t>표준/기타</t>
  </si>
  <si>
    <t>21건</t>
  </si>
  <si>
    <t>합계</t>
  </si>
  <si>
    <t>161건</t>
  </si>
  <si>
    <t>문서화</t>
    <phoneticPr fontId="5" type="noConversion"/>
  </si>
  <si>
    <t>기타</t>
    <phoneticPr fontId="5" type="noConversion"/>
  </si>
  <si>
    <t>공통</t>
    <phoneticPr fontId="5" type="noConversion"/>
  </si>
  <si>
    <t>화면/공통</t>
    <phoneticPr fontId="5" type="noConversion"/>
  </si>
  <si>
    <t>결함 유형 구분</t>
  </si>
  <si>
    <t>설명</t>
  </si>
  <si>
    <t>1차</t>
  </si>
  <si>
    <t>환경적</t>
  </si>
  <si>
    <t>이슈</t>
  </si>
  <si>
    <t>스키마 권한</t>
  </si>
  <si>
    <t>결과서 쿼리에 스키마명 보완, 스키마 권한 필요</t>
  </si>
  <si>
    <t>프로시저 호출 오류</t>
  </si>
  <si>
    <t>테스트 결과서 내 증적이 미흡</t>
  </si>
  <si>
    <t>기능적</t>
  </si>
  <si>
    <t>시나리오 내 테스트 케이스 비정상 동작</t>
  </si>
  <si>
    <t xml:space="preserve">구현 화면의 비정상 </t>
  </si>
  <si>
    <t>테스트를 위한 테이터가 불충분</t>
  </si>
  <si>
    <t>테스트를 위한 요구 권한 누락</t>
  </si>
  <si>
    <t>공통 체크리스트의 구현 불충분</t>
  </si>
  <si>
    <t>결함아</t>
  </si>
  <si>
    <t>결함이 아님 → 테스터 오기입 또는 로직 이해 부족</t>
  </si>
  <si>
    <t>3차</t>
    <phoneticPr fontId="5" type="noConversion"/>
  </si>
  <si>
    <t>구분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</si>
</sst>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1" formatCode="0_ "/>
  </numFmts>
  <fonts count="12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Aptos Narrow"/>
      <family val="2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KoPub돋움체 Medium"/>
      <charset val="129"/>
    </font>
    <font>
      <b/>
      <sz val="12"/>
      <color rgb="FF000000"/>
      <name val="KoPub돋움체 Medium"/>
      <family val="3"/>
      <charset val="129"/>
    </font>
    <font>
      <sz val="12"/>
      <color rgb="FF000000"/>
      <name val="KoPub돋움체 Medium"/>
      <family val="3"/>
      <charset val="129"/>
    </font>
    <font>
      <b/>
      <sz val="12"/>
      <color rgb="FFFF0000"/>
      <name val="KoPub돋움체 Medium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7E7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9" tint="0.19998779259620961"/>
      </left>
      <right/>
      <top style="thin">
        <color theme="9" tint="0.19998779259620961"/>
      </top>
      <bottom style="thin">
        <color theme="9" tint="0.19998779259620961"/>
      </bottom>
      <diagonal/>
    </border>
    <border>
      <left/>
      <right/>
      <top style="thin">
        <color theme="9" tint="0.19998779259620961"/>
      </top>
      <bottom style="thin">
        <color theme="9" tint="0.19998779259620961"/>
      </bottom>
      <diagonal/>
    </border>
    <border>
      <left/>
      <right style="thin">
        <color theme="9" tint="0.19998779259620961"/>
      </right>
      <top style="thin">
        <color theme="9" tint="0.19998779259620961"/>
      </top>
      <bottom style="thin">
        <color theme="9" tint="0.1999877925962096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>
      <alignment vertical="center"/>
    </xf>
    <xf numFmtId="9" fontId="4" fillId="0" borderId="0" applyFont="0" applyFill="0" applyBorder="0" applyAlignment="0" applyProtection="0">
      <alignment vertical="center"/>
    </xf>
  </cellStyleXfs>
  <cellXfs count="62">
    <xf numFmtId="0" fontId="0" fillId="0" borderId="1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>
      <alignment vertical="center"/>
    </xf>
    <xf numFmtId="0" fontId="3" fillId="3" borderId="3" xfId="0" applyFont="1" applyFill="1" applyBorder="1">
      <alignment vertical="center"/>
    </xf>
    <xf numFmtId="0" fontId="3" fillId="0" borderId="3" xfId="0" applyFont="1" applyBorder="1">
      <alignment vertical="center"/>
    </xf>
    <xf numFmtId="22" fontId="3" fillId="3" borderId="4" xfId="0" applyNumberFormat="1" applyFont="1" applyFill="1" applyBorder="1">
      <alignment vertical="center"/>
    </xf>
    <xf numFmtId="22" fontId="3" fillId="0" borderId="4" xfId="0" applyNumberFormat="1" applyFont="1" applyBorder="1">
      <alignment vertical="center"/>
    </xf>
    <xf numFmtId="0" fontId="0" fillId="0" borderId="1" xfId="0" pivotButton="1">
      <alignment vertical="center"/>
    </xf>
    <xf numFmtId="0" fontId="0" fillId="0" borderId="1" xfId="0" applyAlignment="1">
      <alignment horizontal="left" vertical="center"/>
    </xf>
    <xf numFmtId="0" fontId="6" fillId="4" borderId="6" xfId="0" applyFont="1" applyFill="1" applyBorder="1">
      <alignment vertical="center"/>
    </xf>
    <xf numFmtId="0" fontId="6" fillId="4" borderId="7" xfId="0" applyFont="1" applyFill="1" applyBorder="1">
      <alignment vertical="center"/>
    </xf>
    <xf numFmtId="9" fontId="0" fillId="0" borderId="1" xfId="1" applyFont="1" applyBorder="1">
      <alignment vertical="center"/>
    </xf>
    <xf numFmtId="0" fontId="3" fillId="5" borderId="3" xfId="0" applyFont="1" applyFill="1" applyBorder="1">
      <alignment vertical="center"/>
    </xf>
    <xf numFmtId="22" fontId="3" fillId="5" borderId="4" xfId="0" applyNumberFormat="1" applyFont="1" applyFill="1" applyBorder="1">
      <alignment vertical="center"/>
    </xf>
    <xf numFmtId="22" fontId="3" fillId="5" borderId="5" xfId="0" applyNumberFormat="1" applyFont="1" applyFill="1" applyBorder="1">
      <alignment vertical="center"/>
    </xf>
    <xf numFmtId="0" fontId="0" fillId="5" borderId="1" xfId="0" applyFill="1">
      <alignment vertical="center"/>
    </xf>
    <xf numFmtId="0" fontId="3" fillId="6" borderId="3" xfId="0" applyFont="1" applyFill="1" applyBorder="1">
      <alignment vertical="center"/>
    </xf>
    <xf numFmtId="22" fontId="3" fillId="6" borderId="4" xfId="0" applyNumberFormat="1" applyFont="1" applyFill="1" applyBorder="1">
      <alignment vertical="center"/>
    </xf>
    <xf numFmtId="22" fontId="3" fillId="6" borderId="5" xfId="0" applyNumberFormat="1" applyFont="1" applyFill="1" applyBorder="1">
      <alignment vertical="center"/>
    </xf>
    <xf numFmtId="0" fontId="0" fillId="6" borderId="1" xfId="0" applyFill="1">
      <alignment vertical="center"/>
    </xf>
    <xf numFmtId="0" fontId="3" fillId="7" borderId="3" xfId="0" applyFont="1" applyFill="1" applyBorder="1">
      <alignment vertical="center"/>
    </xf>
    <xf numFmtId="22" fontId="3" fillId="7" borderId="4" xfId="0" applyNumberFormat="1" applyFont="1" applyFill="1" applyBorder="1">
      <alignment vertical="center"/>
    </xf>
    <xf numFmtId="22" fontId="3" fillId="7" borderId="5" xfId="0" applyNumberFormat="1" applyFont="1" applyFill="1" applyBorder="1">
      <alignment vertical="center"/>
    </xf>
    <xf numFmtId="0" fontId="0" fillId="7" borderId="1" xfId="0" applyFill="1">
      <alignment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 readingOrder="1"/>
    </xf>
    <xf numFmtId="0" fontId="9" fillId="9" borderId="10" xfId="0" applyFont="1" applyFill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0" xfId="0" applyFont="1" applyFill="1" applyBorder="1">
      <alignment vertical="center"/>
    </xf>
    <xf numFmtId="0" fontId="6" fillId="6" borderId="10" xfId="0" applyFont="1" applyFill="1" applyBorder="1" applyAlignment="1">
      <alignment horizontal="right" vertical="center"/>
    </xf>
    <xf numFmtId="0" fontId="0" fillId="0" borderId="1" xfId="0" applyNumberFormat="1">
      <alignment vertical="center"/>
    </xf>
    <xf numFmtId="0" fontId="1" fillId="5" borderId="1" xfId="0" applyFont="1" applyFill="1">
      <alignment vertical="center"/>
    </xf>
    <xf numFmtId="176" fontId="0" fillId="0" borderId="1" xfId="1" applyNumberFormat="1" applyFont="1" applyBorder="1">
      <alignment vertical="center"/>
    </xf>
    <xf numFmtId="0" fontId="1" fillId="0" borderId="1" xfId="0" applyFont="1" applyAlignment="1">
      <alignment vertical="center" wrapText="1"/>
    </xf>
    <xf numFmtId="0" fontId="10" fillId="0" borderId="11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0" fontId="10" fillId="0" borderId="1" xfId="0" applyFont="1" applyFill="1" applyBorder="1" applyAlignment="1">
      <alignment horizontal="center" vertical="center" wrapText="1" readingOrder="1"/>
    </xf>
    <xf numFmtId="181" fontId="0" fillId="0" borderId="10" xfId="0" applyNumberFormat="1" applyBorder="1" applyAlignment="1">
      <alignment horizontal="right" vertical="center"/>
    </xf>
    <xf numFmtId="181" fontId="0" fillId="0" borderId="10" xfId="0" applyNumberFormat="1" applyBorder="1">
      <alignment vertical="center"/>
    </xf>
    <xf numFmtId="0" fontId="10" fillId="10" borderId="11" xfId="0" applyFont="1" applyFill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 wrapText="1" readingOrder="1"/>
    </xf>
    <xf numFmtId="0" fontId="10" fillId="0" borderId="15" xfId="0" applyFont="1" applyBorder="1" applyAlignment="1">
      <alignment horizontal="center" vertical="center" wrapText="1" readingOrder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 readingOrder="1"/>
    </xf>
    <xf numFmtId="0" fontId="10" fillId="0" borderId="11" xfId="0" applyFont="1" applyBorder="1" applyAlignment="1">
      <alignment horizontal="right" vertical="center" wrapText="1" readingOrder="1"/>
    </xf>
    <xf numFmtId="0" fontId="11" fillId="0" borderId="11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left" vertical="center" wrapText="1" readingOrder="1"/>
    </xf>
    <xf numFmtId="0" fontId="11" fillId="0" borderId="11" xfId="0" applyFont="1" applyBorder="1" applyAlignment="1">
      <alignment horizontal="right" vertical="center" wrapText="1" readingOrder="1"/>
    </xf>
    <xf numFmtId="0" fontId="10" fillId="0" borderId="14" xfId="0" applyFont="1" applyBorder="1" applyAlignment="1">
      <alignment horizontal="left" vertical="center" wrapText="1" readingOrder="1"/>
    </xf>
    <xf numFmtId="0" fontId="10" fillId="0" borderId="14" xfId="0" applyFont="1" applyBorder="1" applyAlignment="1">
      <alignment horizontal="right" vertical="center" wrapText="1" readingOrder="1"/>
    </xf>
    <xf numFmtId="0" fontId="10" fillId="10" borderId="12" xfId="0" applyFont="1" applyFill="1" applyBorder="1" applyAlignment="1">
      <alignment horizontal="center" vertical="center" wrapText="1" readingOrder="1"/>
    </xf>
    <xf numFmtId="0" fontId="10" fillId="10" borderId="13" xfId="0" applyFont="1" applyFill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 wrapText="1" readingOrder="1"/>
    </xf>
    <xf numFmtId="0" fontId="10" fillId="0" borderId="15" xfId="0" applyFont="1" applyBorder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7"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Sheet1!$O$6</c:f>
              <c:strCache>
                <c:ptCount val="1"/>
                <c:pt idx="0">
                  <c:v>유효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Sheet1!$P$5:$R$5</c:f>
              <c:strCache>
                <c:ptCount val="3"/>
                <c:pt idx="0">
                  <c:v>2-1차</c:v>
                </c:pt>
                <c:pt idx="1">
                  <c:v>2-2차</c:v>
                </c:pt>
                <c:pt idx="2">
                  <c:v>2-3차</c:v>
                </c:pt>
              </c:strCache>
            </c:strRef>
          </c:cat>
          <c:val>
            <c:numRef>
              <c:f>Sheet1!$P$6:$R$6</c:f>
              <c:numCache>
                <c:formatCode>General</c:formatCode>
                <c:ptCount val="3"/>
                <c:pt idx="0">
                  <c:v>220</c:v>
                </c:pt>
                <c:pt idx="1">
                  <c:v>155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A-493B-A306-D6C63C23F107}"/>
            </c:ext>
          </c:extLst>
        </c:ser>
        <c:ser>
          <c:idx val="1"/>
          <c:order val="1"/>
          <c:tx>
            <c:strRef>
              <c:f>Sheet1!$O$7</c:f>
              <c:strCache>
                <c:ptCount val="1"/>
                <c:pt idx="0">
                  <c:v>기각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Sheet1!$P$5:$R$5</c:f>
              <c:strCache>
                <c:ptCount val="3"/>
                <c:pt idx="0">
                  <c:v>2-1차</c:v>
                </c:pt>
                <c:pt idx="1">
                  <c:v>2-2차</c:v>
                </c:pt>
                <c:pt idx="2">
                  <c:v>2-3차</c:v>
                </c:pt>
              </c:strCache>
            </c:strRef>
          </c:cat>
          <c:val>
            <c:numRef>
              <c:f>Sheet1!$P$7:$R$7</c:f>
              <c:numCache>
                <c:formatCode>General</c:formatCode>
                <c:ptCount val="3"/>
                <c:pt idx="0">
                  <c:v>26</c:v>
                </c:pt>
                <c:pt idx="1">
                  <c:v>107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A-493B-A306-D6C63C23F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5489743"/>
        <c:axId val="1085488303"/>
      </c:barChart>
      <c:catAx>
        <c:axId val="10854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5488303"/>
        <c:crosses val="autoZero"/>
        <c:auto val="1"/>
        <c:lblAlgn val="ctr"/>
        <c:lblOffset val="100"/>
        <c:noMultiLvlLbl val="0"/>
      </c:catAx>
      <c:valAx>
        <c:axId val="10854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54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[고도화_시스템_3차_단위테스트_결함_원인_분석-Genspark_AI_Sheets-20260401_2213.xlsx]Sheet1!피벗 테이블11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342943169290981E-2"/>
          <c:y val="0.22248209072875791"/>
          <c:w val="0.84088121960608064"/>
          <c:h val="0.45706851000060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Sheet1!$B$32:$B$33</c:f>
              <c:strCache>
                <c:ptCount val="1"/>
                <c:pt idx="0">
                  <c:v>2-1차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Sheet1!$A$34:$A$46</c:f>
              <c:strCache>
                <c:ptCount val="12"/>
                <c:pt idx="0">
                  <c:v>A-CDM(CM)</c:v>
                </c:pt>
                <c:pt idx="1">
                  <c:v>SLOT관리(SLOT)</c:v>
                </c:pt>
                <c:pt idx="2">
                  <c:v>공통관리(AOMS-CA)</c:v>
                </c:pt>
                <c:pt idx="3">
                  <c:v>공통관리(FIMS-CA)</c:v>
                </c:pt>
                <c:pt idx="4">
                  <c:v>모바일(MES)</c:v>
                </c:pt>
                <c:pt idx="5">
                  <c:v>모바일(WES)</c:v>
                </c:pt>
                <c:pt idx="6">
                  <c:v>비상계획(CP)</c:v>
                </c:pt>
                <c:pt idx="7">
                  <c:v>예측관리(PM)</c:v>
                </c:pt>
                <c:pt idx="8">
                  <c:v>운항계획(FP)</c:v>
                </c:pt>
                <c:pt idx="9">
                  <c:v>자원배정(RS)</c:v>
                </c:pt>
                <c:pt idx="10">
                  <c:v>자원배정엔진(RE)</c:v>
                </c:pt>
                <c:pt idx="11">
                  <c:v>항공기관제(AC)</c:v>
                </c:pt>
              </c:strCache>
            </c:strRef>
          </c:cat>
          <c:val>
            <c:numRef>
              <c:f>Sheet1!$B$34:$B$46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4">
                  <c:v>3</c:v>
                </c:pt>
                <c:pt idx="5">
                  <c:v>2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A-4984-ABEB-3625B449A881}"/>
            </c:ext>
          </c:extLst>
        </c:ser>
        <c:ser>
          <c:idx val="1"/>
          <c:order val="1"/>
          <c:tx>
            <c:strRef>
              <c:f>Sheet1!$C$32:$C$33</c:f>
              <c:strCache>
                <c:ptCount val="1"/>
                <c:pt idx="0">
                  <c:v>2-2차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Sheet1!$A$34:$A$46</c:f>
              <c:strCache>
                <c:ptCount val="12"/>
                <c:pt idx="0">
                  <c:v>A-CDM(CM)</c:v>
                </c:pt>
                <c:pt idx="1">
                  <c:v>SLOT관리(SLOT)</c:v>
                </c:pt>
                <c:pt idx="2">
                  <c:v>공통관리(AOMS-CA)</c:v>
                </c:pt>
                <c:pt idx="3">
                  <c:v>공통관리(FIMS-CA)</c:v>
                </c:pt>
                <c:pt idx="4">
                  <c:v>모바일(MES)</c:v>
                </c:pt>
                <c:pt idx="5">
                  <c:v>모바일(WES)</c:v>
                </c:pt>
                <c:pt idx="6">
                  <c:v>비상계획(CP)</c:v>
                </c:pt>
                <c:pt idx="7">
                  <c:v>예측관리(PM)</c:v>
                </c:pt>
                <c:pt idx="8">
                  <c:v>운항계획(FP)</c:v>
                </c:pt>
                <c:pt idx="9">
                  <c:v>자원배정(RS)</c:v>
                </c:pt>
                <c:pt idx="10">
                  <c:v>자원배정엔진(RE)</c:v>
                </c:pt>
                <c:pt idx="11">
                  <c:v>항공기관제(AC)</c:v>
                </c:pt>
              </c:strCache>
            </c:strRef>
          </c:cat>
          <c:val>
            <c:numRef>
              <c:f>Sheet1!$C$34:$C$46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7">
                  <c:v>17</c:v>
                </c:pt>
                <c:pt idx="8">
                  <c:v>21</c:v>
                </c:pt>
                <c:pt idx="9">
                  <c:v>14</c:v>
                </c:pt>
                <c:pt idx="10">
                  <c:v>3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A-4984-ABEB-3625B449A881}"/>
            </c:ext>
          </c:extLst>
        </c:ser>
        <c:ser>
          <c:idx val="2"/>
          <c:order val="2"/>
          <c:tx>
            <c:strRef>
              <c:f>Sheet1!$D$32:$D$33</c:f>
              <c:strCache>
                <c:ptCount val="1"/>
                <c:pt idx="0">
                  <c:v>2-3차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Sheet1!$A$34:$A$46</c:f>
              <c:strCache>
                <c:ptCount val="12"/>
                <c:pt idx="0">
                  <c:v>A-CDM(CM)</c:v>
                </c:pt>
                <c:pt idx="1">
                  <c:v>SLOT관리(SLOT)</c:v>
                </c:pt>
                <c:pt idx="2">
                  <c:v>공통관리(AOMS-CA)</c:v>
                </c:pt>
                <c:pt idx="3">
                  <c:v>공통관리(FIMS-CA)</c:v>
                </c:pt>
                <c:pt idx="4">
                  <c:v>모바일(MES)</c:v>
                </c:pt>
                <c:pt idx="5">
                  <c:v>모바일(WES)</c:v>
                </c:pt>
                <c:pt idx="6">
                  <c:v>비상계획(CP)</c:v>
                </c:pt>
                <c:pt idx="7">
                  <c:v>예측관리(PM)</c:v>
                </c:pt>
                <c:pt idx="8">
                  <c:v>운항계획(FP)</c:v>
                </c:pt>
                <c:pt idx="9">
                  <c:v>자원배정(RS)</c:v>
                </c:pt>
                <c:pt idx="10">
                  <c:v>자원배정엔진(RE)</c:v>
                </c:pt>
                <c:pt idx="11">
                  <c:v>항공기관제(AC)</c:v>
                </c:pt>
              </c:strCache>
            </c:strRef>
          </c:cat>
          <c:val>
            <c:numRef>
              <c:f>Sheet1!$D$34:$D$46</c:f>
              <c:numCache>
                <c:formatCode>General</c:formatCode>
                <c:ptCount val="12"/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1</c:v>
                </c:pt>
                <c:pt idx="8">
                  <c:v>10</c:v>
                </c:pt>
                <c:pt idx="9">
                  <c:v>3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A-4984-ABEB-3625B449A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204911"/>
        <c:axId val="1398205391"/>
      </c:barChart>
      <c:catAx>
        <c:axId val="13982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8205391"/>
        <c:crosses val="autoZero"/>
        <c:auto val="1"/>
        <c:lblAlgn val="ctr"/>
        <c:lblOffset val="100"/>
        <c:noMultiLvlLbl val="0"/>
      </c:catAx>
      <c:valAx>
        <c:axId val="13982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820491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Sheet1!$N$110</c:f>
              <c:strCache>
                <c:ptCount val="1"/>
                <c:pt idx="0">
                  <c:v>1차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Sheet1!$M$111:$M$121</c:f>
              <c:strCache>
                <c:ptCount val="11"/>
                <c:pt idx="0">
                  <c:v>환경미비</c:v>
                </c:pt>
                <c:pt idx="1">
                  <c:v>스키마 권한</c:v>
                </c:pt>
                <c:pt idx="2">
                  <c:v>프로세스</c:v>
                </c:pt>
                <c:pt idx="3">
                  <c:v>문서</c:v>
                </c:pt>
                <c:pt idx="4">
                  <c:v>기능</c:v>
                </c:pt>
                <c:pt idx="5">
                  <c:v>값검증</c:v>
                </c:pt>
                <c:pt idx="6">
                  <c:v>화면</c:v>
                </c:pt>
                <c:pt idx="7">
                  <c:v>데이터누락</c:v>
                </c:pt>
                <c:pt idx="8">
                  <c:v>권한누락</c:v>
                </c:pt>
                <c:pt idx="9">
                  <c:v>공통화면</c:v>
                </c:pt>
                <c:pt idx="10">
                  <c:v>결함아</c:v>
                </c:pt>
              </c:strCache>
            </c:strRef>
          </c:cat>
          <c:val>
            <c:numRef>
              <c:f>Sheet1!$N$111:$N$121</c:f>
              <c:numCache>
                <c:formatCode>General</c:formatCode>
                <c:ptCount val="11"/>
                <c:pt idx="0">
                  <c:v>2</c:v>
                </c:pt>
                <c:pt idx="1">
                  <c:v>34</c:v>
                </c:pt>
                <c:pt idx="2">
                  <c:v>18</c:v>
                </c:pt>
                <c:pt idx="3">
                  <c:v>32</c:v>
                </c:pt>
                <c:pt idx="4">
                  <c:v>99</c:v>
                </c:pt>
                <c:pt idx="5">
                  <c:v>9</c:v>
                </c:pt>
                <c:pt idx="6">
                  <c:v>3</c:v>
                </c:pt>
                <c:pt idx="7">
                  <c:v>26</c:v>
                </c:pt>
                <c:pt idx="8">
                  <c:v>6</c:v>
                </c:pt>
                <c:pt idx="9">
                  <c:v>9</c:v>
                </c:pt>
                <c:pt idx="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2-4618-8A5B-91C633047677}"/>
            </c:ext>
          </c:extLst>
        </c:ser>
        <c:ser>
          <c:idx val="1"/>
          <c:order val="1"/>
          <c:tx>
            <c:strRef>
              <c:f>Sheet1!$O$110</c:f>
              <c:strCache>
                <c:ptCount val="1"/>
                <c:pt idx="0">
                  <c:v>2차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Sheet1!$M$111:$M$121</c:f>
              <c:strCache>
                <c:ptCount val="11"/>
                <c:pt idx="0">
                  <c:v>환경미비</c:v>
                </c:pt>
                <c:pt idx="1">
                  <c:v>스키마 권한</c:v>
                </c:pt>
                <c:pt idx="2">
                  <c:v>프로세스</c:v>
                </c:pt>
                <c:pt idx="3">
                  <c:v>문서</c:v>
                </c:pt>
                <c:pt idx="4">
                  <c:v>기능</c:v>
                </c:pt>
                <c:pt idx="5">
                  <c:v>값검증</c:v>
                </c:pt>
                <c:pt idx="6">
                  <c:v>화면</c:v>
                </c:pt>
                <c:pt idx="7">
                  <c:v>데이터누락</c:v>
                </c:pt>
                <c:pt idx="8">
                  <c:v>권한누락</c:v>
                </c:pt>
                <c:pt idx="9">
                  <c:v>공통화면</c:v>
                </c:pt>
                <c:pt idx="10">
                  <c:v>결함아</c:v>
                </c:pt>
              </c:strCache>
            </c:strRef>
          </c:cat>
          <c:val>
            <c:numRef>
              <c:f>Sheet1!$O$111:$O$121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4</c:v>
                </c:pt>
                <c:pt idx="4">
                  <c:v>87</c:v>
                </c:pt>
                <c:pt idx="5">
                  <c:v>6</c:v>
                </c:pt>
                <c:pt idx="6">
                  <c:v>8</c:v>
                </c:pt>
                <c:pt idx="7">
                  <c:v>2</c:v>
                </c:pt>
                <c:pt idx="8">
                  <c:v>0</c:v>
                </c:pt>
                <c:pt idx="9">
                  <c:v>39</c:v>
                </c:pt>
                <c:pt idx="10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F2-4618-8A5B-91C633047677}"/>
            </c:ext>
          </c:extLst>
        </c:ser>
        <c:ser>
          <c:idx val="2"/>
          <c:order val="2"/>
          <c:tx>
            <c:strRef>
              <c:f>Sheet1!$P$110</c:f>
              <c:strCache>
                <c:ptCount val="1"/>
                <c:pt idx="0">
                  <c:v>3차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Sheet1!$M$111:$M$121</c:f>
              <c:strCache>
                <c:ptCount val="11"/>
                <c:pt idx="0">
                  <c:v>환경미비</c:v>
                </c:pt>
                <c:pt idx="1">
                  <c:v>스키마 권한</c:v>
                </c:pt>
                <c:pt idx="2">
                  <c:v>프로세스</c:v>
                </c:pt>
                <c:pt idx="3">
                  <c:v>문서</c:v>
                </c:pt>
                <c:pt idx="4">
                  <c:v>기능</c:v>
                </c:pt>
                <c:pt idx="5">
                  <c:v>값검증</c:v>
                </c:pt>
                <c:pt idx="6">
                  <c:v>화면</c:v>
                </c:pt>
                <c:pt idx="7">
                  <c:v>데이터누락</c:v>
                </c:pt>
                <c:pt idx="8">
                  <c:v>권한누락</c:v>
                </c:pt>
                <c:pt idx="9">
                  <c:v>공통화면</c:v>
                </c:pt>
                <c:pt idx="10">
                  <c:v>결함아</c:v>
                </c:pt>
              </c:strCache>
            </c:strRef>
          </c:cat>
          <c:val>
            <c:numRef>
              <c:f>Sheet1!$P$111:$P$121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12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33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F2-4618-8A5B-91C633047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315199"/>
        <c:axId val="1745315679"/>
      </c:lineChart>
      <c:catAx>
        <c:axId val="174531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5315679"/>
        <c:crosses val="autoZero"/>
        <c:auto val="1"/>
        <c:lblAlgn val="ctr"/>
        <c:lblOffset val="100"/>
        <c:noMultiLvlLbl val="0"/>
      </c:catAx>
      <c:valAx>
        <c:axId val="17453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53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/>
    <cx:plotArea>
      <cx:plotAreaRegion>
        <cx:series layoutId="treemap" uniqueId="{66CF0E27-4BE0-4025-8A8A-2B082650D1DB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195261</xdr:colOff>
      <xdr:row>10</xdr:row>
      <xdr:rowOff>9525</xdr:rowOff>
    </xdr:from>
    <xdr:to>
      <xdr:col>20</xdr:col>
      <xdr:colOff>657224</xdr:colOff>
      <xdr:row>22</xdr:row>
      <xdr:rowOff>9525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89D235D-5BA2-0D70-02EA-905B29236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</xdr:colOff>
      <xdr:row>33</xdr:row>
      <xdr:rowOff>28574</xdr:rowOff>
    </xdr:from>
    <xdr:to>
      <xdr:col>18</xdr:col>
      <xdr:colOff>504825</xdr:colOff>
      <xdr:row>46</xdr:row>
      <xdr:rowOff>190499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11EE8BA-FCE4-96D7-DCFA-C47D4343B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627122</xdr:colOff>
      <xdr:row>98</xdr:row>
      <xdr:rowOff>204965</xdr:rowOff>
    </xdr:from>
    <xdr:to>
      <xdr:col>19</xdr:col>
      <xdr:colOff>612046</xdr:colOff>
      <xdr:row>112</xdr:row>
      <xdr:rowOff>257531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FF68759-3E76-63EB-CD1D-FD9B513CC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</xdr:colOff>
      <xdr:row>16</xdr:row>
      <xdr:rowOff>198120</xdr:rowOff>
    </xdr:from>
    <xdr:to>
      <xdr:col>15</xdr:col>
      <xdr:colOff>621030</xdr:colOff>
      <xdr:row>29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A179E6E9-533E-863C-5381-A62CD8BD0A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4090" y="39090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invalid="1" refreshedBy="christal yang" refreshedDate="46113.930064930559" createdVersion="8" refreshedVersion="8" minRefreshableVersion="3" recordCount="637" xr:uid="{8415BDBE-CBDA-4F8C-BA89-C202FB8D5E54}">
  <cacheSource type="worksheet">
    <worksheetSource ref="A1:P638" sheet="Iteration2_3_테스트 결함20260401"/>
  </cacheSource>
  <cacheFields count="16">
    <cacheField name="시나리오ID" numFmtId="0">
      <sharedItems/>
    </cacheField>
    <cacheField name="테스트차수" numFmtId="0">
      <sharedItems count="3">
        <s v="2-1차"/>
        <s v="2-2차"/>
        <s v="2-3차"/>
      </sharedItems>
    </cacheField>
    <cacheField name="업무모듈명" numFmtId="0">
      <sharedItems count="16">
        <s v="모바일(WES)"/>
        <s v="운항계획(FP)"/>
        <s v="모바일(MES)"/>
        <s v="예측관리(PM)"/>
        <s v="SLOT관리(SLOT)"/>
        <s v="A-CDM(CM)"/>
        <s v="자원배정(RS)"/>
        <s v="항공기관제(AC)"/>
        <s v="공항운영(GO)"/>
        <s v="공통관리(FIMS-CA)"/>
        <s v="항공보안(FS)"/>
        <s v="자원배정차트(RC)"/>
        <s v="공통관리(AOMS-CA)"/>
        <s v="항공통계포털(AS)"/>
        <s v="자원배정엔진(RE)"/>
        <s v="비상계획(CP)"/>
      </sharedItems>
    </cacheField>
    <cacheField name="결함ID" numFmtId="0">
      <sharedItems/>
    </cacheField>
    <cacheField name="결함내용" numFmtId="0">
      <sharedItems longText="1"/>
    </cacheField>
    <cacheField name="PL" numFmtId="0">
      <sharedItems/>
    </cacheField>
    <cacheField name="기능유형" numFmtId="0">
      <sharedItems count="4">
        <s v="프로시져"/>
        <s v="Online"/>
        <s v="Report"/>
        <s v="Batch"/>
      </sharedItems>
    </cacheField>
    <cacheField name="결함구분" numFmtId="0">
      <sharedItems/>
    </cacheField>
    <cacheField name="결함유형" numFmtId="0">
      <sharedItems/>
    </cacheField>
    <cacheField name="결함상태" numFmtId="0">
      <sharedItems/>
    </cacheField>
    <cacheField name="심각도" numFmtId="0">
      <sharedItems/>
    </cacheField>
    <cacheField name="조치상태" numFmtId="0">
      <sharedItems count="6">
        <s v="결함등록기각"/>
        <s v="최종확인    "/>
        <s v="확인대기"/>
        <s v="확인요청"/>
        <s v="결함검토요청"/>
        <s v="조치요청"/>
      </sharedItems>
    </cacheField>
    <cacheField name="결함등록일" numFmtId="22">
      <sharedItems containsSemiMixedTypes="0" containsNonDate="0" containsDate="1" containsString="0" minDate="2025-07-03T09:15:52" maxDate="2026-03-27T15:47:52"/>
    </cacheField>
    <cacheField name="결함수정일시" numFmtId="22">
      <sharedItems containsSemiMixedTypes="0" containsNonDate="0" containsDate="1" containsString="0" minDate="2025-07-07T09:06:08" maxDate="2026-04-01T14:16:11"/>
    </cacheField>
    <cacheField name="상세원인" numFmtId="0">
      <sharedItems/>
    </cacheField>
    <cacheField name="결함분류유형" numFmtId="0">
      <sharedItems count="12">
        <s v="값검증"/>
        <s v="결함아님"/>
        <s v="환경미비"/>
        <s v="문서"/>
        <s v="데이터누락"/>
        <s v="공통화면"/>
        <s v="화면"/>
        <s v="기타"/>
        <s v="기능"/>
        <s v="스키마권한"/>
        <s v="프로세스"/>
        <s v="권한누락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al" refreshedDate="46114.415442361111" createdVersion="8" refreshedVersion="8" minRefreshableVersion="3" recordCount="502" xr:uid="{1A505900-702A-4A34-AB1C-775D249484CB}">
  <cacheSource type="worksheet">
    <worksheetSource name="Iteration2_3_테스트_결과20260401"/>
  </cacheSource>
  <cacheFields count="32">
    <cacheField name="업무" numFmtId="0">
      <sharedItems count="15">
        <s v="공통관리(AOMS-CA)"/>
        <s v="공통관리(FIMS-CA)"/>
        <s v="운항계획(FP)"/>
        <s v="비상계획(CP)"/>
        <s v="A-CDM(CM)"/>
        <s v="항공기관제(AC)"/>
        <s v="예측관리(PM)"/>
        <s v="항공보안(FS)"/>
        <s v="공항운영(GO)"/>
        <s v="항공통계포털(AS)"/>
        <s v="모바일(WES)"/>
        <s v="모바일(MES)"/>
        <s v="자원배정(RS)"/>
        <s v="자원배정엔진(RE)"/>
        <s v="SLOT관리(SLOT)"/>
      </sharedItems>
    </cacheField>
    <cacheField name="업무분류1" numFmtId="0">
      <sharedItems/>
    </cacheField>
    <cacheField name="업무분류2" numFmtId="0">
      <sharedItems/>
    </cacheField>
    <cacheField name="기능유형" numFmtId="0">
      <sharedItems count="5">
        <s v="Online"/>
        <s v="Batch"/>
        <s v="프로시져"/>
        <s v="Interface"/>
        <s v="Report"/>
      </sharedItems>
    </cacheField>
    <cacheField name="프로그램ID" numFmtId="0">
      <sharedItems/>
    </cacheField>
    <cacheField name="프로그램명" numFmtId="0">
      <sharedItems/>
    </cacheField>
    <cacheField name="개발자" numFmtId="0">
      <sharedItems/>
    </cacheField>
    <cacheField name="개발완료계획일" numFmtId="22">
      <sharedItems containsSemiMixedTypes="0" containsNonDate="0" containsDate="1" containsString="0" minDate="2025-05-09T00:00:00" maxDate="2029-01-10T00:00:00"/>
    </cacheField>
    <cacheField name="개발완료일" numFmtId="22">
      <sharedItems containsNonDate="0" containsDate="1" containsString="0" containsBlank="1" minDate="2025-05-09T00:00:00" maxDate="2026-03-27T09:59:46"/>
    </cacheField>
    <cacheField name="UT_SN_ID" numFmtId="0">
      <sharedItems/>
    </cacheField>
    <cacheField name="차수" numFmtId="0">
      <sharedItems/>
    </cacheField>
    <cacheField name="순번" numFmtId="0">
      <sharedItems containsSemiMixedTypes="0" containsString="0" containsNumber="1" containsInteger="1" minValue="6" maxValue="6"/>
    </cacheField>
    <cacheField name="3자테스트완료일" numFmtId="22">
      <sharedItems containsNonDate="0" containsDate="1" containsString="0" containsBlank="1" minDate="2025-06-13T00:00:00" maxDate="2026-03-28T00:00:00"/>
    </cacheField>
    <cacheField name="3자TEST결과" numFmtId="0">
      <sharedItems/>
    </cacheField>
    <cacheField name="순수결함건수" numFmtId="0">
      <sharedItems containsSemiMixedTypes="0" containsString="0" containsNumber="1" containsInteger="1" minValue="0" maxValue="0"/>
    </cacheField>
    <cacheField name="3자테스터명" numFmtId="0">
      <sharedItems/>
    </cacheField>
    <cacheField name="3자최종결과" numFmtId="0">
      <sharedItems/>
    </cacheField>
    <cacheField name="공사테스트완료계획일" numFmtId="22">
      <sharedItems containsSemiMixedTypes="0" containsNonDate="0" containsDate="1" containsString="0" minDate="2026-01-30T00:00:00" maxDate="2026-05-01T00:00:00"/>
    </cacheField>
    <cacheField name="공사테스트완료일" numFmtId="0">
      <sharedItems/>
    </cacheField>
    <cacheField name="공사테스트결과" numFmtId="0">
      <sharedItems/>
    </cacheField>
    <cacheField name="순수결함건수(공사)" numFmtId="0">
      <sharedItems containsSemiMixedTypes="0" containsString="0" containsNumber="1" containsInteger="1" minValue="0" maxValue="4"/>
    </cacheField>
    <cacheField name="공사테스터명" numFmtId="0">
      <sharedItems/>
    </cacheField>
    <cacheField name="공사최종결과" numFmtId="0">
      <sharedItems/>
    </cacheField>
    <cacheField name="현업테스트완료계획일" numFmtId="22">
      <sharedItems containsSemiMixedTypes="0" containsNonDate="0" containsDate="1" containsString="0" minDate="2026-01-30T00:00:00" maxDate="2026-05-16T00:00:00"/>
    </cacheField>
    <cacheField name="현업테스트완료일" numFmtId="0">
      <sharedItems/>
    </cacheField>
    <cacheField name="현업테스트결과" numFmtId="0">
      <sharedItems/>
    </cacheField>
    <cacheField name="순수결함건수(현업)" numFmtId="0">
      <sharedItems containsSemiMixedTypes="0" containsString="0" containsNumber="1" containsInteger="1" minValue="0" maxValue="0"/>
    </cacheField>
    <cacheField name="현업테스터명" numFmtId="0">
      <sharedItems/>
    </cacheField>
    <cacheField name="현업최종결과" numFmtId="0">
      <sharedItems/>
    </cacheField>
    <cacheField name="감리테스트완료일" numFmtId="0">
      <sharedItems/>
    </cacheField>
    <cacheField name="감리테스트결과" numFmtId="0">
      <sharedItems/>
    </cacheField>
    <cacheField name="순수결함건수(감리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al" refreshedDate="46114.451587731484" createdVersion="8" refreshedVersion="8" minRefreshableVersion="3" recordCount="637" xr:uid="{0FF4F763-BDC0-40C4-82D3-18DE7583BA1E}">
  <cacheSource type="worksheet">
    <worksheetSource ref="A1:N638" sheet="분석결과"/>
  </cacheSource>
  <cacheFields count="14">
    <cacheField name="시나리오ID" numFmtId="0">
      <sharedItems/>
    </cacheField>
    <cacheField name="테스트차수" numFmtId="0">
      <sharedItems count="3">
        <s v="2-1차"/>
        <s v="2-2차"/>
        <s v="2-3차"/>
      </sharedItems>
    </cacheField>
    <cacheField name="업무모듈명" numFmtId="0">
      <sharedItems count="16">
        <s v="모바일(WES)"/>
        <s v="운항계획(FP)"/>
        <s v="모바일(MES)"/>
        <s v="예측관리(PM)"/>
        <s v="SLOT관리(SLOT)"/>
        <s v="A-CDM(CM)"/>
        <s v="자원배정(RS)"/>
        <s v="항공기관제(AC)"/>
        <s v="공항운영(GO)"/>
        <s v="공통관리(FIMS-CA)"/>
        <s v="항공보안(FS)"/>
        <s v="자원배정차트(RC)"/>
        <s v="공통관리(AOMS-CA)"/>
        <s v="항공통계포털(AS)"/>
        <s v="자원배정엔진(RE)"/>
        <s v="비상계획(CP)"/>
      </sharedItems>
    </cacheField>
    <cacheField name="결함ID" numFmtId="0">
      <sharedItems/>
    </cacheField>
    <cacheField name="결함내용" numFmtId="0">
      <sharedItems longText="1"/>
    </cacheField>
    <cacheField name="PL" numFmtId="0">
      <sharedItems/>
    </cacheField>
    <cacheField name="기능유형" numFmtId="0">
      <sharedItems count="4">
        <s v="프로시져"/>
        <s v="Online"/>
        <s v="Report"/>
        <s v="Batch"/>
      </sharedItems>
    </cacheField>
    <cacheField name="결함구분" numFmtId="0">
      <sharedItems/>
    </cacheField>
    <cacheField name="결함유형" numFmtId="0">
      <sharedItems/>
    </cacheField>
    <cacheField name="결함상태" numFmtId="0">
      <sharedItems/>
    </cacheField>
    <cacheField name="심각도" numFmtId="0">
      <sharedItems count="3">
        <s v="Major"/>
        <s v="Minor"/>
        <s v="Critical"/>
      </sharedItems>
    </cacheField>
    <cacheField name="조치상태" numFmtId="0">
      <sharedItems count="6">
        <s v="결함등록기각"/>
        <s v="최종확인    "/>
        <s v="확인대기"/>
        <s v="확인요청"/>
        <s v="결함검토요청"/>
        <s v="조치요청"/>
      </sharedItems>
    </cacheField>
    <cacheField name="상세원인" numFmtId="0">
      <sharedItems/>
    </cacheField>
    <cacheField name="결함분류유형" numFmtId="0">
      <sharedItems count="12">
        <s v="값검증"/>
        <s v="결함아님"/>
        <s v="환경미비"/>
        <s v="문서"/>
        <s v="데이터누락"/>
        <s v="공통화면"/>
        <s v="화면"/>
        <s v="기타"/>
        <s v="기능"/>
        <s v="스키마권한"/>
        <s v="프로세스"/>
        <s v="권한누락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 standalone="yes"?>
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x v="0"/>
    <s v="화면구성"/>
    <s v="화면구성"/>
    <x v="0"/>
    <s v="CAMN009M(A)"/>
    <s v="도움말"/>
    <s v="김태훈"/>
    <d v="2026-02-03T00:00:00"/>
    <d v="2026-02-06T14:51:49"/>
    <s v="UT-CAMN009M(A)"/>
    <s v="2차"/>
    <n v="6"/>
    <d v="2026-03-24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0"/>
    <s v="참조정보"/>
    <s v="운항정보"/>
    <x v="0"/>
    <s v="CARF041S(A)"/>
    <s v="AFTN IFR Route 리마크 정보"/>
    <s v="정연준"/>
    <d v="2026-01-15T00:00:00"/>
    <d v="2026-01-15T17:24:03"/>
    <s v="UT-CARF041S(A)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"/>
    <s v="기타"/>
    <s v="기타"/>
    <x v="1"/>
    <s v="CA00002B"/>
    <s v="SMS 그룹 매핑 사용자 정보 갱신 배치"/>
    <s v="김명준"/>
    <d v="2026-02-27T00:00:00"/>
    <d v="2026-02-24T08:53:03"/>
    <s v="UT-CA00002B"/>
    <s v="2차"/>
    <n v="6"/>
    <d v="2026-03-23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1"/>
    <s v="기타"/>
    <s v="기타"/>
    <x v="2"/>
    <s v="CA-SP47"/>
    <s v="SP_ESB_ACNTRQSTCIP_RCV, 계정생성정보수신처리"/>
    <s v="최민지"/>
    <d v="2026-03-25T00:00:00"/>
    <d v="2026-03-25T13:14:14"/>
    <s v="UT-CA-SP47"/>
    <s v="2차"/>
    <n v="6"/>
    <d v="2026-03-27T00:00:00"/>
    <s v="P"/>
    <n v="0"/>
    <s v="3자테스터공통"/>
    <s v="P"/>
    <d v="2026-03-31T00:00:00"/>
    <s v=""/>
    <s v=""/>
    <n v="0"/>
    <s v="공사테스터"/>
    <s v=""/>
    <d v="2026-03-31T00:00:00"/>
    <s v=""/>
    <s v=""/>
    <n v="0"/>
    <s v="현업테스터"/>
    <s v=""/>
    <s v=""/>
    <s v=""/>
    <s v=""/>
  </r>
  <r>
    <x v="2"/>
    <s v="기타"/>
    <s v="기타"/>
    <x v="2"/>
    <s v="FP-SP159"/>
    <s v="SP_FP_RSMAIN_FLD_HST,자원배정 주요필드 변경 이력 생성"/>
    <s v="이인용"/>
    <d v="2026-01-30T00:00:00"/>
    <d v="2026-01-28T10:13:09"/>
    <s v="UT-FP-SP159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60"/>
    <s v="SP_FP_AC_SPOTTIME_ATA_ATD,관제정보 Spot time 반영"/>
    <s v="이인용"/>
    <d v="2026-01-30T00:00:00"/>
    <d v="2026-01-28T10:13:18"/>
    <s v="UT-FP-SP160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64"/>
    <s v="SP_FP_DLY_RSN_UPDATE,FOIS 지연사유 업데이트"/>
    <s v="이인용"/>
    <d v="2026-02-06T00:00:00"/>
    <d v="2026-01-29T10:57:45"/>
    <s v="UT-FP-SP164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68"/>
    <s v="SP_FP_PBB_BDGS_RCV,보딩브릿지 상태정보 메시지 업무 반영"/>
    <s v="이인용"/>
    <d v="2026-02-06T00:00:00"/>
    <d v="2026-01-29T11:03:38"/>
    <s v="UT-FP-SP168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81"/>
    <s v="SP_FP_SSN_CSHR_DELETE_ALN,항공사별 시즌코드쉐어편 삭제"/>
    <s v="이인용"/>
    <d v="2026-02-20T00:00:00"/>
    <d v="2026-02-06T09:29:23"/>
    <s v="UT-FP-SP181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3"/>
    <s v="FP-IF2"/>
    <s v="afsDep_api,FP_현행운항출발정보연계"/>
    <s v="현영광"/>
    <d v="2026-02-13T00:00:00"/>
    <d v="2026-03-12T09:19:02"/>
    <s v="UT-FP-IF2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01"/>
    <s v="SP_ESB_WES_DALYLINKFLTAPLY_RCV,외부 현행연결편 신청정보 메시지수신"/>
    <s v="이인용"/>
    <d v="2026-02-13T00:00:00"/>
    <d v="2026-02-05T13:19:52"/>
    <s v="UT-FP-SP201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194"/>
    <s v="SP_FP_ARRDEPVIPINFO_PROC,VIP 데이터 저장"/>
    <s v="이인용"/>
    <d v="2026-02-06T00:00:00"/>
    <d v="2026-01-29T11:00:29"/>
    <s v="UT-FP-SP194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203"/>
    <s v="SP_FP_DALY_ACLINK_RESULT_SND,외부 신청 현행연결편 처리 결과 메시지 송신"/>
    <s v="이인용"/>
    <d v="2026-02-13T00:00:00"/>
    <d v="2026-02-05T13:20:31"/>
    <s v="UT-FP-SP203"/>
    <s v="2차"/>
    <n v="6"/>
    <d v="2026-03-25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202"/>
    <s v="SP_FP_WES_DALYLINKFLTAPLY_PROC,외부 현행연결편 신청정보 데이터 저장"/>
    <s v="이인용"/>
    <d v="2026-02-13T00:00:00"/>
    <d v="2026-02-05T13:20:19"/>
    <s v="UT-FP-SP202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215"/>
    <s v="SP_ESB_JNA_ASM,ESB 현행JNA ASM 메시지수신"/>
    <s v="이인용"/>
    <d v="2026-03-13T00:00:00"/>
    <d v="2026-03-06T18:06:42"/>
    <s v="UT-FP-SP215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20"/>
    <s v="SP_FP_TRNSP_PRFMNC_SND,운송실적정보 메시지 송신"/>
    <s v="이인용"/>
    <d v="2026-03-13T00:00:00"/>
    <d v="2026-03-12T15:45:00"/>
    <s v="UT-FP-SP220"/>
    <s v="2차"/>
    <n v="6"/>
    <d v="2026-03-26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3"/>
    <s v="기타"/>
    <s v="기타"/>
    <x v="2"/>
    <s v="CP-SP29"/>
    <s v="SP_ESB_FIMSARCFTAPRCTRL_RCV,항공기 이동시간정보 메시지 수신처리"/>
    <s v="이인용"/>
    <d v="2026-03-13T00:00:00"/>
    <d v="2026-03-12T15:42:47"/>
    <s v="UT-CP-SP29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23"/>
    <s v="SP_CP_DALY_SCHDL_CHGREQ_SND,현행운항편 변경정보 요청 메시지 송신"/>
    <s v="이인용"/>
    <d v="2026-02-27T00:00:00"/>
    <d v="2026-02-11T09:13:36"/>
    <s v="UT-CP-SP23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24"/>
    <s v="SP_CP_ACST_DALYOPER_CHGREQ_SND,주기장 변경정보 요청 메시지 송신"/>
    <s v="이인용"/>
    <d v="2026-02-27T00:00:00"/>
    <d v="2026-02-11T09:13:51"/>
    <s v="UT-CP-SP24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34"/>
    <s v="SP_CM_OUTBOUND_MLSTN_UPDATE_ADI,출발편 제빙마일스톤 운영-제빙장진입"/>
    <s v="이지연"/>
    <d v="2026-02-20T00:00:00"/>
    <d v="2026-02-02T17:54:37"/>
    <s v="UT-CM-SP34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37"/>
    <s v="SP_CM_OUTBOUND_MLSTN_UPDATE_ADO,출발편 제빙마일스톤 운영-제빙장진출"/>
    <s v="이지연"/>
    <d v="2026-02-20T00:00:00"/>
    <d v="2026-02-02T17:55:40"/>
    <s v="UT-CM-SP37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0"/>
    <s v="SP_CM_ACDM_OPR_STS_MTLY,A-CDM 운영현황(월별) 생성"/>
    <s v="이용혁"/>
    <d v="2026-02-13T00:00:00"/>
    <d v="2025-12-29T10:31:41"/>
    <s v="UT-CM-SP60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7"/>
    <s v="SP_CM_ACDM_OPR_STS_CGO_QRT,A-CDM 운영현황(화물/분기별) 생성"/>
    <s v="이용혁"/>
    <d v="2026-02-28T00:00:00"/>
    <d v="2025-12-29T10:31:55"/>
    <s v="UT-CM-SP67"/>
    <s v="2차"/>
    <n v="6"/>
    <d v="2026-03-24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75"/>
    <s v="SP_CM_ACDM_OPR_STS_PAX_YRLY,A-CDM 운영현황(여객/연도별) 생성"/>
    <s v="이용혁"/>
    <d v="2026-02-28T00:00:00"/>
    <d v="2025-12-29T10:32:11"/>
    <s v="UT-CM-SP75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3"/>
    <s v="CM-IF1"/>
    <s v="FltAcdmMlstnDepAPI,출발편 마일스톤 송신 API"/>
    <s v="김단호"/>
    <d v="2026-02-28T00:00:00"/>
    <d v="2026-03-17T17:04:29"/>
    <s v="UT-CM-IF1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117"/>
    <s v="SP_CM_FLTACDMMLSTNDEPMOBILE_SND,운항편별 모바일용 A-CDM 출발마일스톤정보 송신"/>
    <s v="이지연"/>
    <d v="2026-03-06T00:00:00"/>
    <d v="2026-02-13T15:54:38"/>
    <s v="UT-CM-SP117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3"/>
    <s v="CM-IF4"/>
    <s v="API_CM_IIF_FLT_RSC_RCV, 출/도착편 자원배정 내부인터페이스 수신 API"/>
    <s v="김단호"/>
    <d v="2026-01-23T00:00:00"/>
    <d v="2026-02-09T15:25:31"/>
    <s v="UT-CM-IF4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5"/>
    <s v="계류장관제"/>
    <s v="CONTROL MANAGEMENT"/>
    <x v="0"/>
    <s v="AC01025S"/>
    <s v="Pad Mode"/>
    <s v="안소정"/>
    <d v="2026-01-09T00:00:00"/>
    <d v="2026-02-26T13:30:35"/>
    <s v="UT-AC01025S"/>
    <s v="2차"/>
    <n v="6"/>
    <d v="2026-03-25T00:00:00"/>
    <s v="P"/>
    <n v="0"/>
    <s v="3자테스터공통"/>
    <s v="P"/>
    <d v="2026-04-06T00:00:00"/>
    <s v=""/>
    <s v=""/>
    <n v="4"/>
    <s v="정진성"/>
    <s v=""/>
    <d v="2026-04-20T00:00:00"/>
    <s v=""/>
    <s v=""/>
    <n v="0"/>
    <s v="최기현"/>
    <s v=""/>
    <s v=""/>
    <s v=""/>
    <s v=""/>
  </r>
  <r>
    <x v="5"/>
    <s v="관제업무설정"/>
    <s v="Setting"/>
    <x v="0"/>
    <s v="AC08014S"/>
    <s v="DUTY TIME"/>
    <s v="안소정"/>
    <d v="2026-02-27T00:00:00"/>
    <d v="2025-12-02T15:40:21"/>
    <s v="UT-AC08014S"/>
    <s v="2차"/>
    <n v="6"/>
    <d v="2026-03-26T00:00:00"/>
    <s v="F"/>
    <n v="0"/>
    <s v="3자테스터공통"/>
    <s v="F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6"/>
    <s v="예측정보관리"/>
    <s v="사용자 정의 시뮬레이션 입력 관리"/>
    <x v="0"/>
    <s v="PM10402S"/>
    <s v="사용자 시뮬레이션 운항 정보 변경 관리"/>
    <s v="pmtbd3"/>
    <d v="2026-01-09T00:00:00"/>
    <d v="2026-03-27T09:59:38"/>
    <s v="UT-PM10402S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입력 관리"/>
    <x v="0"/>
    <s v="PM10401S"/>
    <s v="사용자 시뮬레이션 기준일자/터미널 관리"/>
    <s v="pmtbd3"/>
    <d v="2026-01-09T00:00:00"/>
    <d v="2026-03-27T09:59:33"/>
    <s v="UT-PM10401S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입력 관리"/>
    <x v="0"/>
    <s v="PM10405S"/>
    <s v="사용자 시뮬레이션 보안검색대 정보 변경 관리"/>
    <s v="pmtbd1"/>
    <d v="2026-01-23T00:00:00"/>
    <d v="2026-03-27T09:59:46"/>
    <s v="UT-PM10405S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기타"/>
    <s v="기타"/>
    <x v="1"/>
    <s v="PM00003B"/>
    <s v="전월시뮬레이션 결과 정리"/>
    <s v="노세찬"/>
    <d v="2026-02-20T00:00:00"/>
    <m/>
    <s v="UT-PM00003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7"/>
    <s v="항공보안"/>
    <s v="EOD 현장관리"/>
    <x v="0"/>
    <s v="FSEY080S"/>
    <s v="근무자별 출동현황 조회"/>
    <s v="임소정"/>
    <d v="2026-04-03T00:00:00"/>
    <m/>
    <s v="UT-FSEY080S"/>
    <s v="2차"/>
    <n v="6"/>
    <m/>
    <s v=""/>
    <n v="0"/>
    <s v="3자테스터공통"/>
    <s v=""/>
    <d v="2026-04-08T00:00:00"/>
    <s v=""/>
    <s v=""/>
    <n v="0"/>
    <s v="장수정"/>
    <s v=""/>
    <d v="2026-04-09T00:00:00"/>
    <s v=""/>
    <s v=""/>
    <n v="0"/>
    <s v="현업테스터"/>
    <s v=""/>
    <s v=""/>
    <s v=""/>
    <s v=""/>
  </r>
  <r>
    <x v="8"/>
    <s v="부서별업무"/>
    <s v="계류장운영팀"/>
    <x v="0"/>
    <s v="GO12510S"/>
    <s v="LCC 균등배정실적"/>
    <s v="김경준"/>
    <d v="2026-01-09T00:00:00"/>
    <d v="2026-01-05T09:06:39"/>
    <s v="UT-GO12510S"/>
    <s v="2차"/>
    <n v="6"/>
    <d v="2026-03-24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기타"/>
    <s v="기타"/>
    <x v="2"/>
    <s v="GO-SP202"/>
    <s v="SP_GO_PREACMVT_RCV, 항공기의 예상 지상 이동 수신메시지 처리"/>
    <s v="신문호"/>
    <d v="2026-01-09T00:00:00"/>
    <d v="2026-01-09T09:19:28"/>
    <s v="UT-GO-SP202"/>
    <s v="2차"/>
    <n v="6"/>
    <d v="2026-03-25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501S"/>
    <s v="항공기 지연현황(~2022년)"/>
    <s v="김경준"/>
    <d v="2026-02-06T00:00:00"/>
    <d v="2026-02-06T00:00:00"/>
    <s v="UT-AS215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602S"/>
    <s v="항공기 결항현황(2023년~)"/>
    <s v="김경준"/>
    <d v="2026-02-06T00:00:00"/>
    <d v="2026-02-06T00:00:00"/>
    <s v="UT-AS216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여객"/>
    <x v="0"/>
    <s v="AS22301S"/>
    <s v="환승여객(내항기 환승 제외)"/>
    <s v="임소정"/>
    <d v="2026-02-06T00:00:00"/>
    <d v="2026-02-06T00:00:00"/>
    <s v="UT-AS223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5104S"/>
    <s v="항공사별 실적(환승객)"/>
    <s v="김경준"/>
    <d v="2026-02-13T00:00:00"/>
    <d v="2026-02-06T00:00:00"/>
    <s v="UT-AS25104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4102S"/>
    <s v="지역별 실적(여객) - 경유지 기준"/>
    <s v="임소정"/>
    <d v="2026-02-13T00:00:00"/>
    <d v="2026-02-06T00:00:00"/>
    <s v="UT-AS241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4103S"/>
    <s v="지역별 실적(항공화물) -경유지 기준"/>
    <s v="임소정"/>
    <d v="2026-02-13T00:00:00"/>
    <d v="2026-02-06T00:00:00"/>
    <s v="UT-AS24103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6103S"/>
    <s v="LCC 실적 - 항공화물"/>
    <s v="김경준"/>
    <d v="2026-02-24T00:00:00"/>
    <d v="2026-02-27T13:41:37"/>
    <s v="UT-AS26103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7103S"/>
    <s v="터미널별 실적(환승)"/>
    <s v="김경준"/>
    <d v="2026-02-24T00:00:00"/>
    <m/>
    <s v="UT-AS27103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38103S"/>
    <s v="첨두일 실적(화물실적)"/>
    <s v="임소정"/>
    <d v="2026-01-09T00:00:00"/>
    <d v="2026-02-06T00:00:00"/>
    <s v="UT-AS38103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39103S"/>
    <s v="첨두주 실적(화물실적)"/>
    <s v="임소정"/>
    <d v="2026-01-09T00:00:00"/>
    <d v="2026-02-06T00:00:00"/>
    <s v="UT-AS39103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704S"/>
    <s v="첨두일 여객 실적(출발)"/>
    <s v="김경준"/>
    <d v="2026-01-09T00:00:00"/>
    <d v="2026-02-06T00:00:00"/>
    <s v="UT-AS40704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807S"/>
    <s v="취항실적 - 국가별취항도시(화물)"/>
    <s v="임소정"/>
    <d v="2026-01-16T00:00:00"/>
    <d v="2026-02-06T00:00:00"/>
    <s v="UT-AS40807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901S"/>
    <s v="운휴,단항,복항 현황(취항 공항 기준)"/>
    <s v="임소정"/>
    <d v="2026-01-16T00:00:00"/>
    <d v="2026-02-06T00:00:00"/>
    <s v="UT-AS409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1301S"/>
    <s v="취항도시별 운송실적(경유지)"/>
    <s v="김경준"/>
    <d v="2026-01-16T00:00:00"/>
    <d v="2026-02-06T00:00:00"/>
    <s v="UT-AS413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1302S"/>
    <s v="취항도시별 운송실적(목적지)"/>
    <s v="김경준"/>
    <d v="2026-01-16T00:00:00"/>
    <d v="2026-02-06T00:00:00"/>
    <s v="UT-AS41302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101S"/>
    <s v="주기장 현황"/>
    <s v="임소정"/>
    <d v="2026-01-23T00:00:00"/>
    <d v="2026-02-06T00:00:00"/>
    <s v="UT-AS42101S"/>
    <s v="2차"/>
    <n v="6"/>
    <d v="2026-03-25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301S"/>
    <s v="기간별 주기장 변경실적"/>
    <s v="임소정"/>
    <d v="2026-01-23T00:00:00"/>
    <d v="2026-02-06T00:00:00"/>
    <s v="UT-AS423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보고서"/>
    <x v="0"/>
    <s v="AS51101S"/>
    <s v="통계설명"/>
    <s v="김경준"/>
    <d v="2026-01-09T00:00:00"/>
    <d v="2026-02-06T00:00:00"/>
    <s v="UT-AS51101S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7"/>
    <s v="SP_ESB_SFSARR_RCV,반기 운항스케줄 도착편 ESB 테이블 조회"/>
    <s v="김경준"/>
    <d v="2026-02-06T00:00:00"/>
    <d v="2026-02-10T15:50:56"/>
    <s v="UT-AS-SP7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9"/>
    <s v="SP_ESB_FIMSCRSLDALYOPER_RCV,캐로셀 일일운영 정보 ESB 테이블 조회"/>
    <s v="임소정"/>
    <d v="2026-02-24T00:00:00"/>
    <m/>
    <s v="UT-AS-SP19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현황"/>
    <s v="공항기상정보조회"/>
    <x v="0"/>
    <s v="WESCM005S"/>
    <s v="공항기상정보조회"/>
    <s v="김용진"/>
    <d v="2025-11-27T00:00:00"/>
    <d v="2025-11-27T10:09:44"/>
    <s v="UT-WESCM005S"/>
    <s v="2차"/>
    <n v="6"/>
    <d v="2026-03-23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Active Arrive/Departure Flight Schedule List"/>
    <x v="0"/>
    <s v="WESFP005R"/>
    <s v="Active Arrive/Departure Flight Schedule List"/>
    <s v="김용진"/>
    <d v="2026-02-27T00:00:00"/>
    <d v="2026-02-25T09:41:42"/>
    <s v="UT-WESFP005R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자원배정"/>
    <s v="CIC FLT schedule(Pre-schedule input)"/>
    <x v="0"/>
    <s v="WESRS013S"/>
    <s v="CIC FLT schedule(Pre-schedule input)"/>
    <s v="홍성민"/>
    <d v="2026-01-09T00:00:00"/>
    <d v="2026-01-12T17:40:12"/>
    <s v="UT-WESRS013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화면구성"/>
    <x v="0"/>
    <s v="WESCAMN009M"/>
    <s v="도움말"/>
    <s v="홍성민"/>
    <d v="2026-01-29T00:00:00"/>
    <d v="2026-02-12T12:06:08"/>
    <s v="UT-WESCAMN009M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0"/>
    <s v="WESCASY101S"/>
    <s v="외부 FIMS_CA 공지사항 첨부파일 메시지 수신 및 데이터 저장"/>
    <s v="홍성민"/>
    <d v="2026-02-26T00:00:00"/>
    <d v="2026-03-10T14:58:13"/>
    <s v="UT-WESCASY101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80"/>
    <s v="SP_ESB_FIMSACDMDWUSGKPI_RCV,외부 FIMS_CM DW용도KPI 메시지 수신"/>
    <s v="김용진"/>
    <d v="2026-01-29T00:00:00"/>
    <d v="2026-01-28T14:18:55"/>
    <s v="UT-ES-SP180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3B"/>
    <s v="CTOT 입력 PUSH"/>
    <s v="임지훈"/>
    <d v="2026-02-13T00:00:00"/>
    <d v="2026-02-12T11:57:20"/>
    <s v="UT-ES00003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7B"/>
    <s v="제방빙 존 배정 PUSH"/>
    <s v="임지훈"/>
    <d v="2026-02-13T00:00:00"/>
    <d v="2026-02-12T11:57:29"/>
    <s v="UT-ES00007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8B"/>
    <s v="제방빙 패드 배정 PUSH"/>
    <s v="임지훈"/>
    <d v="2026-02-13T00:00:00"/>
    <d v="2026-02-12T11:57:32"/>
    <s v="UT-ES00008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공통관리"/>
    <s v="알림"/>
    <x v="3"/>
    <s v="MESCA106M"/>
    <s v="푸시알림"/>
    <s v="이수빈"/>
    <d v="2025-11-07T00:00:00"/>
    <d v="2026-02-12T00:00:00"/>
    <s v="UT-MESCA106M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Check In Counter"/>
    <s v="Planning"/>
    <x v="0"/>
    <s v="RSCI023S"/>
    <s v="CIC Forecasting (by FLT schedule)"/>
    <s v="이수연"/>
    <d v="2026-01-14T00:00:00"/>
    <d v="2026-01-15T08:35:43"/>
    <s v="UT-RSCI023S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Check In Counter"/>
    <s v="공용용품"/>
    <x v="0"/>
    <s v="RSCI081S"/>
    <s v="공용물품신청"/>
    <s v="이수연"/>
    <d v="2026-01-29T00:00:00"/>
    <d v="2026-01-16T08:45:42"/>
    <s v="UT-RSCI081S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Stand Chart"/>
    <s v="Rules"/>
    <x v="0"/>
    <s v="RSPK012S"/>
    <s v="Stand Assign Variable "/>
    <s v="장동혁"/>
    <d v="2026-01-15T00:00:00"/>
    <d v="2026-01-15T13:03:27"/>
    <s v="UT-RSPK012S"/>
    <s v="2차"/>
    <n v="6"/>
    <d v="2026-03-23T00:00:00"/>
    <s v="F"/>
    <n v="0"/>
    <s v="3자테스터공통"/>
    <s v="F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1"/>
    <s v="RS90004B"/>
    <s v="체크인카운터 배정내역 전송"/>
    <s v="김훈근"/>
    <d v="2026-01-29T00:00:00"/>
    <d v="2026-01-27T15:52:47"/>
    <s v="UT-RS90004B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1"/>
    <s v="RS90021B"/>
    <s v="체크인카운터 마감처리"/>
    <s v="김훈근"/>
    <d v="2026-02-26T00:00:00"/>
    <d v="2026-02-25T14:25:48"/>
    <s v="UT-RS90021B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77"/>
    <s v="SP_RS_FIMSACSTUSELMT_SND,주기장 사용제한 정보  "/>
    <s v="양우창"/>
    <d v="2026-01-30T00:00:00"/>
    <d v="2026-01-26T10:13:57"/>
    <s v="UT-RS-SP77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2"/>
    <s v="RS-SP82"/>
    <s v="SP_RS_FIMSFLTRSRC_SND,운항편자원 정보  "/>
    <s v="양우창"/>
    <d v="2026-01-30T00:00:00"/>
    <d v="2026-01-26T10:17:27"/>
    <s v="UT-RS-SP82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2"/>
    <s v="RS-SP89"/>
    <s v="SP_RS_CPACSTDALYOPERCHGREQ_RCV,주기장 변경정보 요청"/>
    <s v="양우창"/>
    <d v="2026-01-30T00:00:00"/>
    <d v="2026-01-26T10:25:42"/>
    <s v="UT-RS-SP89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3"/>
    <s v="Check In Counter"/>
    <s v="Daily Operation"/>
    <x v="0"/>
    <s v="RE-030201-01C-02"/>
    <s v="체크인카운터 배정엔진(2차)"/>
    <s v="이수연"/>
    <d v="2026-01-02T00:00:00"/>
    <d v="2025-05-09T00:00:00"/>
    <s v="UT-RE-030201-01C-02"/>
    <s v="2차"/>
    <n v="6"/>
    <d v="2026-03-24T00:00:00"/>
    <s v="P"/>
    <n v="0"/>
    <s v="김승무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0"/>
    <s v="시스템운영관리"/>
    <s v="시스템관리"/>
    <x v="0"/>
    <s v="CASY070M(A)"/>
    <s v="테이블제너레이터/자바편집기"/>
    <s v="정연준"/>
    <d v="2029-01-09T00:00:00"/>
    <d v="2026-01-08T13:30:06"/>
    <s v="UT-CASY070M(A)"/>
    <s v="2차"/>
    <n v="6"/>
    <d v="2026-02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0"/>
    <s v="시스템운영관리"/>
    <s v="이력관리"/>
    <x v="0"/>
    <s v="CASY039S(A)"/>
    <s v="EAI 인터페이스 송신 이력"/>
    <s v="김태훈"/>
    <d v="2026-01-16T00:00:00"/>
    <d v="2026-01-26T15:24:50"/>
    <s v="UT-CASY039S(A)"/>
    <s v="2차"/>
    <n v="6"/>
    <d v="2026-03-25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0"/>
    <s v="시스템운영관리"/>
    <s v="이력관리"/>
    <x v="0"/>
    <s v="CASY040S(A)"/>
    <s v="EAI 메시지 모니터링"/>
    <s v="김태훈"/>
    <d v="2026-01-23T00:00:00"/>
    <d v="2026-01-26T15:24:53"/>
    <s v="UT-CASY040S(A)"/>
    <s v="2차"/>
    <n v="6"/>
    <d v="2026-03-24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1"/>
    <s v="시스템운영관리"/>
    <s v="이력관리"/>
    <x v="0"/>
    <s v="CASY038S"/>
    <s v="EAI 인터페이스 수신 이력"/>
    <s v="김명준"/>
    <d v="2026-01-09T00:00:00"/>
    <d v="2026-01-26T15:23:09"/>
    <s v="UT-CASY038S"/>
    <s v="2차"/>
    <n v="6"/>
    <d v="2026-03-25T00:00:00"/>
    <s v="P"/>
    <n v="0"/>
    <s v="3자테스터공통"/>
    <s v="P"/>
    <d v="2026-02-02T00:00:00"/>
    <s v=""/>
    <s v=""/>
    <n v="0"/>
    <s v="장수정"/>
    <s v=""/>
    <d v="2026-03-03T00:00:00"/>
    <s v=""/>
    <s v=""/>
    <n v="0"/>
    <s v="현업테스터"/>
    <s v=""/>
    <s v=""/>
    <s v=""/>
    <s v=""/>
  </r>
  <r>
    <x v="1"/>
    <s v="시스템운영관리"/>
    <s v="이력관리"/>
    <x v="0"/>
    <s v="CASY040S"/>
    <s v="EAI 메시지 모니터링"/>
    <s v="김명준"/>
    <d v="2026-01-23T00:00:00"/>
    <d v="2026-01-26T15:23:46"/>
    <s v="UT-CASY040S"/>
    <s v="2차"/>
    <n v="6"/>
    <d v="2026-02-26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1"/>
    <s v="참조정보"/>
    <s v="운항정보"/>
    <x v="0"/>
    <s v="CARF041S"/>
    <s v="AFTN IFR Route 리마크 정보"/>
    <s v="정연준"/>
    <d v="2026-01-15T00:00:00"/>
    <d v="2026-01-15T17:23:56"/>
    <s v="UT-CARF041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"/>
    <s v="기타"/>
    <s v="기타"/>
    <x v="2"/>
    <s v="CA-SP31"/>
    <s v="SP_CA_F_CHKINPGTMPLTFID3_RCV, FIDS#3 체크인페이지 메시지 수신 처리"/>
    <s v="김명준"/>
    <d v="2025-12-29T00:00:00"/>
    <d v="2026-01-08T15:34:47"/>
    <s v="UT-CA-SP31"/>
    <s v="2차"/>
    <n v="6"/>
    <d v="2026-03-27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1"/>
    <s v="기타"/>
    <s v="기타"/>
    <x v="2"/>
    <s v="CA-SP45"/>
    <s v="SP_ESB_AOMSREFINFO_RCV, AOMS 참조정보 수신처리"/>
    <s v="최민지"/>
    <d v="2026-01-09T00:00:00"/>
    <d v="2026-01-12T17:52:31"/>
    <s v="UT-CA-SP45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"/>
    <s v="기타"/>
    <s v="기타"/>
    <x v="2"/>
    <s v="CA-SP29"/>
    <s v="SP_ESB_CHKINPGTMPLTFID2_CSDL_RCV, FIDS#2 CSDL 체크인페이지 메시지 수신 처리"/>
    <s v="김명준"/>
    <d v="2025-12-15T00:00:00"/>
    <d v="2026-01-08T15:34:15"/>
    <s v="UT-CA-SP29"/>
    <s v="2차"/>
    <n v="6"/>
    <d v="2026-03-27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2"/>
    <s v="Daily schedule"/>
    <s v="Interface Message"/>
    <x v="0"/>
    <s v="FPMG050M"/>
    <s v="ASM JNA Message Details"/>
    <s v="현영광"/>
    <d v="2026-03-13T00:00:00"/>
    <d v="2026-03-11T15:54:22"/>
    <s v="UT-FPMG050M"/>
    <s v="2차"/>
    <n v="6"/>
    <d v="2026-03-23T00:00:00"/>
    <s v="P"/>
    <n v="0"/>
    <s v="3자테스터공통"/>
    <s v="P"/>
    <d v="2026-03-31T00:00:00"/>
    <s v=""/>
    <s v=""/>
    <n v="0"/>
    <s v="송희영"/>
    <s v=""/>
    <d v="2026-04-10T00:00:00"/>
    <s v=""/>
    <s v=""/>
    <n v="0"/>
    <s v="현업테스터"/>
    <s v=""/>
    <s v=""/>
    <s v=""/>
    <s v=""/>
  </r>
  <r>
    <x v="2"/>
    <s v="기타"/>
    <s v="기타"/>
    <x v="2"/>
    <s v="FP-SP196"/>
    <s v="SP_FP_SSN_PRD_SND,반기기간 정보 메시지 송신"/>
    <s v="이인용"/>
    <d v="2026-01-16T00:00:00"/>
    <d v="2026-01-20T09:58:43"/>
    <s v="UT-FP-SP196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Seasonal schedule"/>
    <s v="Seasonal Flight List"/>
    <x v="0"/>
    <s v="FPFS002R"/>
    <s v="Seasonal Departure Flight Schedule List"/>
    <s v="현영광"/>
    <d v="2026-02-20T00:00:00"/>
    <d v="2026-02-11T08:59:03"/>
    <s v="UT-FPFS002R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Seasonal schedule"/>
    <s v="Option"/>
    <x v="0"/>
    <s v="FPFS014S"/>
    <s v="SFS to AFS Convert"/>
    <s v="현영광"/>
    <d v="2026-01-09T00:00:00"/>
    <d v="2026-01-09T11:19:43"/>
    <s v="UT-FPFS014S"/>
    <s v="2차"/>
    <n v="6"/>
    <d v="2026-03-24T00:00:00"/>
    <s v="F"/>
    <n v="0"/>
    <s v="3자테스터공통"/>
    <s v="P"/>
    <d v="2026-04-06T00:00:00"/>
    <s v=""/>
    <s v=""/>
    <n v="1"/>
    <s v="송희영"/>
    <s v=""/>
    <d v="2026-04-20T00:00:00"/>
    <s v=""/>
    <s v=""/>
    <n v="0"/>
    <s v="현업테스터"/>
    <s v=""/>
    <s v=""/>
    <s v=""/>
    <s v=""/>
  </r>
  <r>
    <x v="3"/>
    <s v="Carousel Chart"/>
    <s v="Chart"/>
    <x v="0"/>
    <s v="CPCR004M"/>
    <s v="CRS Find Flight"/>
    <s v="이영석"/>
    <d v="2026-01-09T00:00:00"/>
    <d v="2026-01-09T15:52:31"/>
    <s v="UT-CPCR004M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Check In Counter"/>
    <s v="CIC Chart"/>
    <x v="0"/>
    <s v="CPCI100S"/>
    <s v="CIC Operation – Gantt chart(Single)"/>
    <s v="이영석"/>
    <d v="2026-02-27T00:00:00"/>
    <d v="2026-03-24T17:21:21"/>
    <s v="UT-CPCI100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20"/>
    <s v="SP_CM_IIF_ACMOVE_RCV,출/도착편 지상이동 내부인터페이스 수신"/>
    <s v="이지연"/>
    <d v="2025-10-17T00:00:00"/>
    <d v="2025-07-25T15:14:05"/>
    <s v="UT-CM-SP20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21"/>
    <s v="SP_CM_ACMOVE_ARR_UPDATE,도착편 지상이동 내부인터페이스 수신"/>
    <s v="이지연"/>
    <d v="2025-10-17T00:00:00"/>
    <d v="2025-11-20T21:15:40"/>
    <s v="UT-CM-SP21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36"/>
    <s v="SP_CM_OUTBOUND_MLSTN_UPDATE_ADE,출발편 제빙마일스톤 운영-제빙종료"/>
    <s v="이지연"/>
    <d v="2026-02-20T00:00:00"/>
    <d v="2026-02-02T17:55:22"/>
    <s v="UT-CM-SP36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2"/>
    <s v="SP_CM_ACDM_OPR_STS_SSN,A-CDM 운영현황(반기별) 생성"/>
    <s v="이용혁"/>
    <d v="2026-02-13T00:00:00"/>
    <d v="2025-12-29T10:31:46"/>
    <s v="UT-CM-SP62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6"/>
    <s v="SP_CM_ACDM_OPR_STS_CGO_MTLY,A-CDM 운영현황(화물/월별) 생성"/>
    <s v="이용혁"/>
    <d v="2026-02-28T00:00:00"/>
    <d v="2025-12-29T10:32:24"/>
    <s v="UT-CM-SP66"/>
    <s v="2차"/>
    <n v="6"/>
    <d v="2026-03-24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72"/>
    <s v="SP_CM_ACDM_OPR_STS_PAX_MTLY,A-CDM 운영현황(여객/월별) 생성"/>
    <s v="이용혁"/>
    <d v="2026-02-28T00:00:00"/>
    <d v="2025-12-29T10:32:04"/>
    <s v="UT-CM-SP72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73"/>
    <s v="SP_CM_ACDM_OPR_STS_PAX_QRT,A-CDM 운영현황(여객/분기별) 생성"/>
    <s v="이용혁"/>
    <d v="2026-02-28T00:00:00"/>
    <d v="2025-12-29T10:32:06"/>
    <s v="UT-CM-SP73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3031B"/>
    <s v="오염물질 배출절감량 집계"/>
    <s v="김단호"/>
    <d v="2026-02-28T00:00:00"/>
    <d v="2025-12-15T17:04:58"/>
    <s v="UT-CM93031B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140"/>
    <s v="SP_CM_FIMSACDMGRDTXNGHRCRTR_SND, A-CDM 지상유도시간 기준정보 ESB송신"/>
    <s v="이용혁"/>
    <d v="2026-02-27T00:00:00"/>
    <d v="2026-02-02T14:50:39"/>
    <s v="UT-CM-SP140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5"/>
    <s v="관제현황관리"/>
    <s v="MOVEMENT MANAGEMENT"/>
    <x v="0"/>
    <s v="AC03003E"/>
    <s v="계류장 지상이동현황"/>
    <s v="안소정"/>
    <d v="2026-01-29T00:00:00"/>
    <m/>
    <s v="UT-AC03003E"/>
    <s v="2차"/>
    <n v="6"/>
    <m/>
    <s v=""/>
    <n v="0"/>
    <s v="3자테스터공통"/>
    <s v="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관제현황관리"/>
    <s v="Reports"/>
    <x v="0"/>
    <s v="AC04014S"/>
    <s v="DE-ICING Forecast"/>
    <s v="구혜지"/>
    <d v="2026-02-28T00:00:00"/>
    <d v="2026-02-09T09:04:13"/>
    <s v="UT-AC04014S"/>
    <s v="2차"/>
    <n v="6"/>
    <d v="2026-03-27T00:00:00"/>
    <s v="P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관제현황관리"/>
    <s v="Traffic Flow"/>
    <x v="0"/>
    <s v="AC05003S"/>
    <s v="TOTAL"/>
    <s v="안소정"/>
    <d v="2026-02-10T00:00:00"/>
    <d v="2026-03-05T09:55:15"/>
    <s v="UT-AC05003S"/>
    <s v="2차"/>
    <n v="6"/>
    <d v="2026-03-27T00:00:00"/>
    <s v="P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관제현황관리"/>
    <s v="Personal Data"/>
    <x v="0"/>
    <s v="AC07001S"/>
    <s v="TRAFFIC VOLUME"/>
    <s v="안소정"/>
    <d v="2026-02-13T00:00:00"/>
    <d v="2026-03-05T09:54:41"/>
    <s v="UT-AC07001S"/>
    <s v="2차"/>
    <n v="6"/>
    <d v="2026-03-27T00:00:00"/>
    <s v="F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6"/>
    <s v="예측정보관리"/>
    <s v="일일 시뮬레이션 결과 관리"/>
    <x v="0"/>
    <s v="PM10307S"/>
    <s v="일일 시뮬레이션 결과 셀프체크인/백드롭 혼잡도 상세 조회"/>
    <s v="pmtbd3"/>
    <d v="2025-12-26T00:00:00"/>
    <d v="2025-12-09T00:00:00"/>
    <s v="UT-PM10307S"/>
    <s v="2차"/>
    <n v="6"/>
    <d v="2026-03-26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3S"/>
    <s v="사용자 시뮬레이션 결과 체크인카운터 혼잡도 조회"/>
    <s v="pmtbd2"/>
    <d v="2026-02-06T00:00:00"/>
    <d v="2026-03-26T06:03:31"/>
    <s v="UT-PM10503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6S"/>
    <s v="사용자 시뮬레이션 결과 셀프체크인/백드롭 혼잡도 조회"/>
    <s v="pmtbd3"/>
    <d v="2026-02-06T00:00:00"/>
    <d v="2026-03-26T17:18:44"/>
    <s v="UT-PM10506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8"/>
    <s v="부서별업무"/>
    <s v="계류장운영팀"/>
    <x v="0"/>
    <s v="GO12506S"/>
    <s v="하계특별수송대책기간보"/>
    <s v="김경준"/>
    <d v="2026-01-09T00:00:00"/>
    <d v="2026-01-05T09:05:43"/>
    <s v="UT-GO12506S"/>
    <s v="2차"/>
    <n v="6"/>
    <d v="2026-03-24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계류장운영팀"/>
    <x v="0"/>
    <s v="GO12505S"/>
    <s v="도착지연현황"/>
    <s v="김경준"/>
    <d v="2026-01-09T00:00:00"/>
    <d v="2026-01-05T09:04:28"/>
    <s v="UT-GO12505S"/>
    <s v="2차"/>
    <n v="6"/>
    <d v="2026-03-24T00:00:00"/>
    <s v="F"/>
    <n v="0"/>
    <s v="3자테스터공통"/>
    <s v="F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통합운영센터"/>
    <x v="0"/>
    <s v="GO12906S"/>
    <s v="주기장운영현황_전체"/>
    <s v="신문호"/>
    <d v="2026-01-23T00:00:00"/>
    <d v="2026-01-21T14:13:03"/>
    <s v="UT-GO12906S"/>
    <s v="2차"/>
    <n v="6"/>
    <d v="2026-03-24T00:00:00"/>
    <s v="F"/>
    <n v="0"/>
    <s v="3자테스터공통"/>
    <s v="F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통합운영센터"/>
    <x v="0"/>
    <s v="GO12939S"/>
    <s v="주기장운영현황_탑승동"/>
    <s v="신문호"/>
    <d v="2026-01-23T00:00:00"/>
    <d v="2026-01-21T14:36:16"/>
    <s v="UT-GO12939S"/>
    <s v="2차"/>
    <n v="6"/>
    <d v="2026-03-24T00:00:00"/>
    <s v="F"/>
    <n v="0"/>
    <s v="3자테스터공통"/>
    <s v="F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기타"/>
    <s v="기타"/>
    <x v="2"/>
    <s v="GO-SP209"/>
    <s v="SP_GO_ABN_TRFF_DSBLTY_RCV, 비정상교통장애 수신메시지 처리"/>
    <s v="신문호"/>
    <d v="2026-01-23T00:00:00"/>
    <d v="2026-01-22T10:50:20"/>
    <s v="UT-GO-SP209"/>
    <s v="2차"/>
    <n v="6"/>
    <d v="2026-03-25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기타"/>
    <s v="기타"/>
    <x v="2"/>
    <s v="GO-SP999"/>
    <s v="SP_GO_GD_DATA_RS_CRS, GO_GD_DATA 생성-RS 케로셀 정보 반영"/>
    <s v="신문호"/>
    <d v="2026-02-13T00:00:00"/>
    <d v="2026-02-13T00:00:00"/>
    <s v="UT-GO-SP999"/>
    <s v="2차"/>
    <n v="6"/>
    <d v="2026-03-27T00:00:00"/>
    <s v="F"/>
    <n v="0"/>
    <s v="3자테스터공통"/>
    <s v="P"/>
    <d v="2026-03-31T00:00:00"/>
    <s v=""/>
    <s v=""/>
    <n v="0"/>
    <s v="홍석일"/>
    <s v=""/>
    <d v="2026-04-02T00:00:00"/>
    <s v=""/>
    <s v=""/>
    <n v="0"/>
    <s v="현업테스터"/>
    <s v=""/>
    <s v=""/>
    <s v=""/>
    <s v=""/>
  </r>
  <r>
    <x v="9"/>
    <s v="공식통계"/>
    <s v="운항"/>
    <x v="0"/>
    <s v="AS21101S"/>
    <s v="항공통계요약"/>
    <s v="임소정"/>
    <d v="2026-02-06T00:00:00"/>
    <d v="2026-02-06T00:00:00"/>
    <s v="UT-AS21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201S"/>
    <s v="항공기 운항 통계"/>
    <s v="임소정"/>
    <d v="2026-02-06T00:00:00"/>
    <d v="2026-02-06T00:00:00"/>
    <s v="UT-AS212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화물"/>
    <x v="0"/>
    <s v="AS23301S"/>
    <s v="총화물(수화물 포함)"/>
    <s v="김경준"/>
    <d v="2026-02-13T00:00:00"/>
    <d v="2026-02-06T00:00:00"/>
    <s v="UT-AS233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4104S"/>
    <s v="지역별 실적(환승객) - 경유지 기준"/>
    <s v="임소정"/>
    <d v="2026-02-13T00:00:00"/>
    <d v="2026-02-06T00:00:00"/>
    <s v="UT-AS24104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8101S"/>
    <s v="얼라이언스별 실적(운항)"/>
    <s v="임소정"/>
    <d v="2026-02-24T00:00:00"/>
    <d v="2026-02-27T13:45:30"/>
    <s v="UT-AS28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101S"/>
    <s v="첨두월 실적(운항실적)"/>
    <s v="임소정"/>
    <d v="2026-01-09T00:00:00"/>
    <d v="2026-02-06T00:00:00"/>
    <s v="UT-AS401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501S"/>
    <s v="첨두시 상세 실적"/>
    <s v="김경준"/>
    <d v="2026-01-09T00:00:00"/>
    <d v="2026-02-06T00:00:00"/>
    <s v="UT-AS405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601S"/>
    <s v="첨두시 여객수요"/>
    <s v="김경준"/>
    <d v="2026-01-09T00:00:00"/>
    <d v="2026-02-06T00:00:00"/>
    <s v="UT-AS406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806S"/>
    <s v="취항실적 - 국가별취항도시(여객)"/>
    <s v="임소정"/>
    <d v="2026-01-16T00:00:00"/>
    <d v="2026-02-06T00:00:00"/>
    <s v="UT-AS40806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804S"/>
    <s v="취항실적 - 취항국가실적(부정기)"/>
    <s v="임소정"/>
    <d v="2026-01-16T00:00:00"/>
    <d v="2026-02-06T00:00:00"/>
    <s v="UT-AS40804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401S"/>
    <s v="항공기 구간별 이동시간 현황"/>
    <s v="임소정"/>
    <d v="2026-01-23T00:00:00"/>
    <d v="2026-02-06T00:00:00"/>
    <s v="UT-AS424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801S"/>
    <s v="주기장관리"/>
    <s v="김경준"/>
    <d v="2026-01-23T00:00:00"/>
    <d v="2026-02-06T00:00:00"/>
    <s v="UT-AS4280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3201S"/>
    <s v="캐로셀/주기장"/>
    <s v="김경준"/>
    <d v="2026-01-30T00:00:00"/>
    <d v="2026-02-06T00:00:00"/>
    <s v="UT-AS4320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8"/>
    <s v="SP_AS_SFSARR_RCV,반기 운항스케줄 도착편 ESB 테이블 이관"/>
    <s v="김경준"/>
    <d v="2026-02-06T00:00:00"/>
    <d v="2026-02-10T15:50:58"/>
    <s v="UT-AS-SP8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3"/>
    <s v="SP_ESB_FIMSINARR_RCV,현행 운항스케쥴 도착편 ESB 테이블 조회"/>
    <s v="김경준"/>
    <d v="2026-01-30T00:00:00"/>
    <d v="2026-02-10T15:50:44"/>
    <s v="UT-AS-SP3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21"/>
    <s v="SP_ESB_FIMSGATEIDDMSG_RCV,게이트 출력 메시지 ESB 테이블 조회"/>
    <s v="임소정"/>
    <d v="2026-02-06T00:00:00"/>
    <d v="2026-02-10T15:50:33"/>
    <s v="UT-AS-SP21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22"/>
    <s v="SP_AS_FIMSGATEIDDMSG_RCV,게이트 출력 메시지 ESB 테이블 이관"/>
    <s v="임소정"/>
    <d v="2026-02-06T00:00:00"/>
    <d v="2026-02-10T15:50:37"/>
    <s v="UT-AS-SP22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Airport Operation"/>
    <x v="0"/>
    <s v="WESFP003S"/>
    <s v="Airport Operation"/>
    <s v="김용진"/>
    <d v="2026-01-09T00:00:00"/>
    <d v="2026-01-07T08:54:19"/>
    <s v="UT-WESFP003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29"/>
    <s v="SP_ESB_FIMSREFINFOES_RCV,외부 FIMS_CA 참조정보 메시지 수신"/>
    <s v="김용진"/>
    <d v="2025-08-28T00:00:00"/>
    <d v="2026-02-12T12:06:01"/>
    <s v="UT-ES-SP29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82"/>
    <s v="SP_ESB_FIMSCHARTEXPENV_RCV,외부 FIMS_RS 도표표출환경 메시지 수신"/>
    <s v="김용진"/>
    <d v="2026-01-29T00:00:00"/>
    <d v="2026-01-28T14:19:09"/>
    <s v="UT-ES-SP182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2B"/>
    <s v="EOBT 변경 PUSH"/>
    <s v="임지훈"/>
    <d v="2026-02-13T00:00:00"/>
    <d v="2026-02-12T11:57:16"/>
    <s v="UT-ES00002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4B"/>
    <s v="TSAT 입력 PUSH"/>
    <s v="임지훈"/>
    <d v="2026-02-13T00:00:00"/>
    <d v="2026-02-12T11:57:22"/>
    <s v="UT-ES00004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공통관리"/>
    <s v="시스템 점검"/>
    <x v="0"/>
    <s v="MESCA208S"/>
    <s v="시스템 점검"/>
    <s v="이수빈"/>
    <d v="2026-01-16T00:00:00"/>
    <d v="2026-01-26T16:39:51"/>
    <s v="UT-MESCA208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현행배정 변경/삭제 신청 - 조회"/>
    <x v="0"/>
    <s v="MESRS051S"/>
    <s v="현행배정 변경/삭제 조회"/>
    <s v="이수빈"/>
    <d v="2025-12-19T00:00:00"/>
    <d v="2026-01-15T14:03:36"/>
    <s v="UT-MESRS051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현행배정 변경/삭제 신청 - 상세"/>
    <x v="0"/>
    <s v="MESRS052S"/>
    <s v="현행배정 변경/삭제 상세"/>
    <s v="이수빈"/>
    <d v="2025-12-19T00:00:00"/>
    <d v="2026-01-15T14:03:40"/>
    <s v="UT-MESRS052S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공통관리"/>
    <s v="메인"/>
    <x v="0"/>
    <s v="MESCA101S"/>
    <s v="메인"/>
    <s v="임지훈"/>
    <d v="2025-05-09T00:00:00"/>
    <d v="2025-05-16T00:00:00"/>
    <s v="UT-MESCA101S"/>
    <s v="2차"/>
    <n v="6"/>
    <d v="2025-06-13T00:00:00"/>
    <s v="P"/>
    <n v="0"/>
    <s v="박상기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11"/>
    <s v="공통관리"/>
    <s v="매뉴얼"/>
    <x v="0"/>
    <s v="MESCA103S"/>
    <s v="매뉴얼"/>
    <s v="홍성민"/>
    <d v="2025-05-30T00:00:00"/>
    <d v="2025-06-05T00:00:00"/>
    <s v="UT-MESCA103S"/>
    <s v="2차"/>
    <n v="6"/>
    <d v="2025-07-22T00:00:00"/>
    <s v="P"/>
    <n v="0"/>
    <s v="박상기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11"/>
    <s v="공통관리"/>
    <s v="이용약관"/>
    <x v="0"/>
    <s v="MESCA104S"/>
    <s v="이용약관"/>
    <s v="홍성민"/>
    <d v="2025-06-27T00:00:00"/>
    <d v="2025-06-20T00:00:00"/>
    <s v="UT-MESCA104S"/>
    <s v="2차"/>
    <n v="6"/>
    <d v="2025-07-22T00:00:00"/>
    <s v="P"/>
    <n v="0"/>
    <s v="박상기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11"/>
    <s v="공통관리"/>
    <s v="전체메뉴"/>
    <x v="0"/>
    <s v="MESCA121S"/>
    <s v="전체메뉴"/>
    <s v="임지훈"/>
    <d v="2025-05-23T00:00:00"/>
    <d v="2025-05-16T00:00:00"/>
    <s v="UT-MESCA121S"/>
    <s v="2차"/>
    <n v="6"/>
    <d v="2025-06-13T00:00:00"/>
    <s v="P"/>
    <n v="0"/>
    <s v="박상기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12"/>
    <s v="Check In Counter"/>
    <s v="Planning"/>
    <x v="0"/>
    <s v="RSCI024S"/>
    <s v="CIC Departure Gate Forecast"/>
    <s v="이수연"/>
    <d v="2026-01-14T00:00:00"/>
    <d v="2026-01-15T08:36:00"/>
    <s v="UT-RSCI024S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87"/>
    <s v="SP_RS_FIMSCRSLDALYOPER_SND,캐로셀 일일운영 정보  "/>
    <s v="양우창"/>
    <d v="2026-01-30T00:00:00"/>
    <d v="2026-01-26T10:22:05"/>
    <s v="UT-RS-SP87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0"/>
    <s v="기타"/>
    <s v="기타"/>
    <x v="2"/>
    <s v="CA-SP47(A)"/>
    <s v="SP_ESB_ACNTRQSTCIP_RCV, 업무신청포털계정정보생성정보메시지수신처리"/>
    <s v="최민지"/>
    <d v="2026-03-25T00:00:00"/>
    <d v="2026-03-25T13:14:20"/>
    <s v="UT-CA-SP47(A)"/>
    <s v="2차"/>
    <n v="6"/>
    <d v="2026-03-27T00:00:00"/>
    <s v="P"/>
    <n v="0"/>
    <s v="3자테스터공통"/>
    <s v="P"/>
    <d v="2026-03-31T00:00:00"/>
    <s v=""/>
    <s v=""/>
    <n v="0"/>
    <s v="장수정"/>
    <s v=""/>
    <d v="2026-03-31T00:00:00"/>
    <s v=""/>
    <s v=""/>
    <n v="0"/>
    <s v="현업테스터"/>
    <s v=""/>
    <s v=""/>
    <s v=""/>
    <s v=""/>
  </r>
  <r>
    <x v="2"/>
    <s v="Daily schedule"/>
    <s v="Active Flight List"/>
    <x v="0"/>
    <s v="FPFA001R"/>
    <s v="Active Arrive Flight Schedule List"/>
    <s v="현영광"/>
    <d v="2026-02-20T00:00:00"/>
    <d v="2026-02-11T08:58:37"/>
    <s v="UT-FPFA001R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65"/>
    <s v="SP_ESB_BOARDBRDGSTAT_RCV,ESB PBB#3 보딩브릿지 접이현 메시지수신"/>
    <s v="이인용"/>
    <d v="2026-02-06T00:00:00"/>
    <d v="2026-01-29T10:59:57"/>
    <s v="UT-FP-SP165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67"/>
    <s v="SP_ESB_BOARDBRDGSTATPBB2_RCV,ESB PBB#2 보딩브릿지 접이현 메시지수신"/>
    <s v="이인용"/>
    <d v="2026-02-06T00:00:00"/>
    <d v="2026-01-29T11:03:13"/>
    <s v="UT-FP-SP167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69"/>
    <s v="SP_ESB_FLTPAXCNTSPS_RCV,여객운항 승객수 메시지수신"/>
    <s v="이인용"/>
    <d v="2026-02-06T00:00:00"/>
    <d v="2026-01-29T11:02:40"/>
    <s v="UT-FP-SP169"/>
    <s v="2차"/>
    <n v="6"/>
    <d v="2026-03-26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2"/>
    <s v="SP_FP_DALY_ASMREQ_LINK,신청 ASM 처리"/>
    <s v="이인용"/>
    <d v="2026-02-13T00:00:00"/>
    <d v="2026-02-05T13:17:33"/>
    <s v="UT-FP-SP172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4"/>
    <s v="SP_FP_SSN_CSHR_MAKE_FLT,시즌 코드쉐어편 운항편별 복사"/>
    <s v="이인용"/>
    <d v="2026-02-13T00:00:00"/>
    <d v="2026-02-05T13:18:20"/>
    <s v="UT-FP-SP174"/>
    <s v="2차"/>
    <n v="6"/>
    <d v="2026-03-25T00:00:00"/>
    <s v="F"/>
    <n v="0"/>
    <s v="3자테스터공통"/>
    <s v="F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8"/>
    <s v="SP_FP_DELETE_PLN,미래플랜 삭제"/>
    <s v="이인용"/>
    <d v="2026-02-13T00:00:00"/>
    <d v="2026-02-05T13:19:32"/>
    <s v="UT-FP-SP178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80"/>
    <s v="SP_FP_FOIS_CURR_CHECK,FOIS AFS vs FIMS AFS Reason 점검"/>
    <s v="이인용"/>
    <d v="2026-02-20T00:00:00"/>
    <d v="2026-02-06T09:29:13"/>
    <s v="UT-FP-SP180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83"/>
    <s v="SP_FP_ARTS_COMP_MAKE,ARTS수신 데이터 저장"/>
    <s v="이인용"/>
    <d v="2026-02-20T00:00:00"/>
    <d v="2026-02-06T09:29:35"/>
    <s v="UT-FP-SP183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99"/>
    <s v="SP_ESB_WES_SSNCSHRFLTAPLY_RCV,외부 시즌코드쉐어 신청정보 메시지수신"/>
    <s v="이인용"/>
    <d v="2026-01-16T00:00:00"/>
    <d v="2026-01-20T09:59:30"/>
    <s v="UT-FP-SP199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197"/>
    <s v="TAU_TN_FP_SSN_OTSD_CSHR_APLY,외부 시즌코드쉐어 신청정보 변경후 트리거"/>
    <s v="이인용"/>
    <d v="2026-01-16T00:00:00"/>
    <d v="2026-01-20T09:59:02"/>
    <s v="UT-FP-SP197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195"/>
    <s v="TAIUD_TC_FP_SSN_PRD,반기기간 정보 변경후 트리거"/>
    <s v="이인용"/>
    <d v="2026-01-16T00:00:00"/>
    <d v="2026-01-20T09:58:22"/>
    <s v="UT-FP-SP195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209"/>
    <s v="SP_FP_FID_SEL,현행 FID 조회"/>
    <s v="이인용"/>
    <d v="2026-02-27T00:00:00"/>
    <d v="2026-02-11T09:16:49"/>
    <s v="UT-FP-SP209"/>
    <s v="2차"/>
    <n v="6"/>
    <d v="2026-03-26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16"/>
    <s v="SP_ESB_AIHS_ASM,ESB 현행AIHS ASM 메시지수신"/>
    <s v="이인용"/>
    <d v="2026-03-13T00:00:00"/>
    <d v="2026-03-12T15:43:54"/>
    <s v="UT-FP-SP216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17"/>
    <s v="SP_FP_JNA_ASM_RCV,현행JNA ASM 메시지처리"/>
    <s v="이인용"/>
    <d v="2026-03-13T00:00:00"/>
    <d v="2026-03-12T15:44:10"/>
    <s v="UT-FP-SP217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18"/>
    <s v="SP_FP_AIHS_ASM_RCV,현행AIHS ASM 메시지처리"/>
    <s v="이인용"/>
    <d v="2026-03-13T00:00:00"/>
    <d v="2026-03-12T15:44:32"/>
    <s v="UT-FP-SP218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Seasonal schedule"/>
    <s v="Seasonal Flight List"/>
    <x v="0"/>
    <s v="FPFS001R"/>
    <s v="Seasonal Arrive Flight Schedule List"/>
    <s v="현영광"/>
    <d v="2026-02-20T00:00:00"/>
    <d v="2026-02-11T08:59:22"/>
    <s v="UT-FPFS001R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Seasonal schedule"/>
    <s v="Seasonal Codeshare flight"/>
    <x v="0"/>
    <s v="FPFS092M"/>
    <s v="Create Flight Share"/>
    <s v="현영광"/>
    <d v="2026-01-23T00:00:00"/>
    <d v="2026-01-23T14:58:07"/>
    <s v="UT-FPFS092M"/>
    <s v="2차"/>
    <n v="6"/>
    <d v="2026-03-24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Seasonal schedule"/>
    <s v="Seasonal Codeshare flight"/>
    <x v="0"/>
    <s v="FPFS023S"/>
    <s v="SFS Codshare Check"/>
    <s v="현영광"/>
    <d v="2026-01-30T00:00:00"/>
    <d v="2026-02-02T08:55:16"/>
    <s v="UT-FPFS023S"/>
    <s v="2차"/>
    <n v="6"/>
    <d v="2026-03-24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3"/>
    <s v="Carousel Chart"/>
    <s v="Bar"/>
    <x v="0"/>
    <s v="CPCR016M"/>
    <s v="CRS Flight Info"/>
    <s v="이영석"/>
    <d v="2026-01-09T00:00:00"/>
    <d v="2026-01-09T15:53:06"/>
    <s v="UT-CPCR016M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32"/>
    <s v="SP_ESB_FIMSTRNSPPRFMNC_RCV,운송실적정보 메시지 수신처리"/>
    <s v="이인용"/>
    <d v="2026-03-13T00:00:00"/>
    <d v="2026-03-12T15:43:27"/>
    <s v="UT-CP-SP32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Change Info"/>
    <s v="Change Info"/>
    <x v="0"/>
    <s v="CPFA070M"/>
    <s v="Change Info History"/>
    <s v="이영석"/>
    <d v="2026-03-20T00:00:00"/>
    <m/>
    <s v="UT-CPFA070M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63"/>
    <s v="SP_CM_ACDM_OPR_STS_YRLY,A-CDM 운영현황(연도별) 생성"/>
    <s v="이용혁"/>
    <d v="2026-02-13T00:00:00"/>
    <d v="2025-12-29T10:31:49"/>
    <s v="UT-CM-SP63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0005B"/>
    <s v="ACGT Update"/>
    <s v="김단호"/>
    <d v="2026-02-28T00:00:00"/>
    <d v="2025-12-15T17:04:42"/>
    <s v="UT-CM90005B"/>
    <s v="2차"/>
    <n v="6"/>
    <m/>
    <s v=""/>
    <n v="0"/>
    <s v="3자테스터공통"/>
    <s v="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3027B"/>
    <s v="출발정시성 성과집계"/>
    <s v="김단호"/>
    <d v="2026-02-28T00:00:00"/>
    <d v="2025-12-15T17:04:56"/>
    <s v="UT-CM93027B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3034B"/>
    <s v="항공사자원관리 성과집계"/>
    <s v="김단호"/>
    <d v="2026-02-28T00:00:00"/>
    <d v="2025-12-15T17:05:06"/>
    <s v="UT-CM93034B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4"/>
    <s v="SP_CM_ACDM_OPR_STS_CGO,A-CDM 운영현황(화물/일별) 생성"/>
    <s v="이용혁"/>
    <d v="2026-02-28T00:00:00"/>
    <d v="2025-12-29T10:31:51"/>
    <s v="UT-CM-SP64"/>
    <s v="2차"/>
    <n v="6"/>
    <d v="2026-03-24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3"/>
    <s v="CM-IF5"/>
    <s v="API_CM_IIF_ACMOVE_RCV, 출/도착편 지상이동 내부인터페이스 수신 API"/>
    <s v="김단호"/>
    <d v="2026-01-23T00:00:00"/>
    <d v="2026-02-09T15:25:33"/>
    <s v="UT-CM-IF5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141"/>
    <s v="FN_CM_GET_MI_DIFF, 시간 차 계산"/>
    <s v="이용혁"/>
    <d v="2026-02-27T00:00:00"/>
    <d v="2026-02-02T00:00:00"/>
    <s v="UT-CM-SP141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준정보관리"/>
    <s v="코드관리"/>
    <x v="0"/>
    <s v="CM10005S"/>
    <s v="출발편VTT관리"/>
    <s v="김은정"/>
    <d v="2026-02-13T00:00:00"/>
    <d v="2026-02-10T15:27:04"/>
    <s v="UT-CM10005S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5"/>
    <s v="관제업무설정"/>
    <s v="Setting"/>
    <x v="0"/>
    <s v="AC08012S"/>
    <s v="MULTIPLE HANDLER"/>
    <s v="안소정"/>
    <d v="2026-02-27T00:00:00"/>
    <d v="2025-11-21T17:17:07"/>
    <s v="UT-AC08012S"/>
    <s v="2차"/>
    <n v="6"/>
    <d v="2026-03-26T00:00:00"/>
    <s v="F"/>
    <n v="0"/>
    <s v="3자테스터공통"/>
    <s v="F"/>
    <d v="2026-04-06T00:00:00"/>
    <s v=""/>
    <s v=""/>
    <n v="1"/>
    <s v="정진성"/>
    <s v=""/>
    <d v="2026-04-20T00:00:00"/>
    <s v=""/>
    <s v=""/>
    <n v="0"/>
    <s v="최기현"/>
    <s v=""/>
    <s v=""/>
    <s v=""/>
    <s v=""/>
  </r>
  <r>
    <x v="6"/>
    <s v="예측정보관리"/>
    <s v="일일 시뮬레이션 결과 관리"/>
    <x v="0"/>
    <s v="PM10311S"/>
    <s v="일일 시뮬레이션 결과 출국장 혼잡도 차트 조회"/>
    <s v="pmtbd2"/>
    <d v="2026-01-09T00:00:00"/>
    <d v="2025-12-08T00:00:00"/>
    <s v="UT-PM10311S"/>
    <s v="2차"/>
    <n v="6"/>
    <d v="2026-03-26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입력 관리"/>
    <x v="0"/>
    <s v="PM10404S"/>
    <s v="사용자 시뮬레이션 셀프체크인/백드롭 정보 변경 관리"/>
    <s v="pmtbd1"/>
    <d v="2026-01-23T00:00:00"/>
    <d v="2026-03-27T09:59:44"/>
    <s v="UT-PM10404S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5S"/>
    <s v="사용자 시뮬레이션 결과 체크인카운터 혼잡도 차트 조회"/>
    <s v="pmtbd2"/>
    <d v="2026-02-06T00:00:00"/>
    <d v="2025-12-08T00:00:00"/>
    <s v="UT-PM10505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11S"/>
    <s v="사용자 시뮬레이션 결과 출국장 혼잡도 차트 조회"/>
    <s v="pmtbd3"/>
    <d v="2026-02-20T00:00:00"/>
    <d v="2025-12-08T00:00:00"/>
    <s v="UT-PM1051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7"/>
    <s v="항공보안"/>
    <s v="EOD 현장관리"/>
    <x v="0"/>
    <s v="FSEY042E"/>
    <s v="점검 세부현황 조회"/>
    <s v="임소정"/>
    <d v="2026-04-03T00:00:00"/>
    <m/>
    <s v="UT-FSEY042E"/>
    <s v="2차"/>
    <n v="6"/>
    <m/>
    <s v=""/>
    <n v="0"/>
    <s v="3자테스터공통"/>
    <s v=""/>
    <d v="2026-04-08T00:00:00"/>
    <s v=""/>
    <s v=""/>
    <n v="0"/>
    <s v="장수정"/>
    <s v=""/>
    <d v="2026-04-09T00:00:00"/>
    <s v=""/>
    <s v=""/>
    <n v="0"/>
    <s v="현업테스터"/>
    <s v=""/>
    <s v=""/>
    <s v=""/>
    <s v=""/>
  </r>
  <r>
    <x v="8"/>
    <s v="부서별업무"/>
    <s v="통합운영센터"/>
    <x v="0"/>
    <s v="GO12937S"/>
    <s v="주기장운영현황_T1"/>
    <s v="신문호"/>
    <d v="2026-01-23T00:00:00"/>
    <d v="2026-01-21T14:13:44"/>
    <s v="UT-GO12937S"/>
    <s v="2차"/>
    <n v="6"/>
    <d v="2026-03-24T00:00:00"/>
    <s v="F"/>
    <n v="0"/>
    <s v="3자테스터공통"/>
    <s v="F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A-CDM"/>
    <x v="0"/>
    <s v="GO12707S"/>
    <s v="항공기 운항현황(NEW)"/>
    <s v="김경준"/>
    <d v="2026-01-30T00:00:00"/>
    <d v="2026-01-30T14:25:03"/>
    <s v="UT-GO12707S"/>
    <s v="2차"/>
    <n v="6"/>
    <d v="2026-03-23T00:00:00"/>
    <s v="F"/>
    <n v="0"/>
    <s v="3자테스터공통"/>
    <s v="F"/>
    <d v="2026-04-30T00:00:00"/>
    <s v=""/>
    <s v=""/>
    <n v="0"/>
    <s v="홍석일"/>
    <s v=""/>
    <d v="2026-05-15T00:00:00"/>
    <s v=""/>
    <s v=""/>
    <n v="0"/>
    <s v="현업테스터"/>
    <s v=""/>
    <s v=""/>
    <s v=""/>
    <s v=""/>
  </r>
  <r>
    <x v="8"/>
    <s v="부서별업무"/>
    <s v="경영전략팀"/>
    <x v="0"/>
    <s v="GO12910S"/>
    <s v="주간항공운송현황"/>
    <s v="신문호"/>
    <d v="2026-01-09T00:00:00"/>
    <d v="2026-01-07T16:20:50"/>
    <s v="UT-GO12910S"/>
    <s v="2차"/>
    <n v="6"/>
    <d v="2026-03-24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대시보드"/>
    <x v="0"/>
    <s v="GO14002S"/>
    <s v="공항운영 대시보드 - 운항"/>
    <s v="김경준"/>
    <d v="2026-03-27T00:00:00"/>
    <m/>
    <s v="UT-GO14002S"/>
    <s v="2차"/>
    <n v="6"/>
    <d v="2026-03-24T00:00:00"/>
    <s v="F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303S"/>
    <s v="운항(여객/화물기) - 합계"/>
    <s v="김경준"/>
    <d v="2026-02-06T00:00:00"/>
    <d v="2026-02-06T00:00:00"/>
    <s v="UT-AS21303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여객"/>
    <x v="0"/>
    <s v="AS22302S"/>
    <s v="환승여객(내항기 환승 포함)"/>
    <s v="임소정"/>
    <d v="2026-02-06T00:00:00"/>
    <d v="2026-02-06T00:00:00"/>
    <s v="UT-AS223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6104S"/>
    <s v="LCC 실적 - 환승여객"/>
    <s v="김경준"/>
    <d v="2026-02-24T00:00:00"/>
    <d v="2026-02-27T13:41:41"/>
    <s v="UT-AS26104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5103S"/>
    <s v="항공사별 실적(항공화물)"/>
    <s v="김경준"/>
    <d v="2026-02-13T00:00:00"/>
    <d v="2026-02-06T00:00:00"/>
    <s v="UT-AS25103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7101S"/>
    <s v="터미널별 실적(운항)"/>
    <s v="김경준"/>
    <d v="2026-02-24T00:00:00"/>
    <m/>
    <s v="UT-AS27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38101S"/>
    <s v="첨두일 실적(운항실적)"/>
    <s v="임소정"/>
    <d v="2026-01-09T00:00:00"/>
    <d v="2026-02-06T00:00:00"/>
    <s v="UT-AS38101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39101S"/>
    <s v="첨두주 실적(운항실적)"/>
    <s v="임소정"/>
    <d v="2026-01-09T00:00:00"/>
    <d v="2026-02-06T00:00:00"/>
    <s v="UT-AS39101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201S"/>
    <s v="첨두일 현황"/>
    <s v="임소정"/>
    <d v="2026-01-09T00:00:00"/>
    <d v="2026-02-06T00:00:00"/>
    <s v="UT-AS40201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1101S"/>
    <s v="항공화물 국가별 실적"/>
    <s v="김경준"/>
    <d v="2026-01-16T00:00:00"/>
    <d v="2026-02-06T00:00:00"/>
    <s v="UT-AS411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보고서"/>
    <x v="0"/>
    <s v="AS45101S"/>
    <s v="공항운영실적보고서 실적 - 항공기 운영 현황"/>
    <s v="임소정"/>
    <d v="2026-01-30T00:00:00"/>
    <d v="2026-02-06T00:00:00"/>
    <s v="UT-AS451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보고서"/>
    <x v="0"/>
    <s v="AS45102S"/>
    <s v="공항운영실적보고서 실적 - 여객 현황"/>
    <s v="임소정"/>
    <d v="2026-01-30T00:00:00"/>
    <d v="2026-02-06T00:00:00"/>
    <s v="UT-AS45102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보고서"/>
    <x v="0"/>
    <s v="AS45103S"/>
    <s v="공항운영실적보고서 실적 - 항공화물 운송 현황"/>
    <s v="임소정"/>
    <d v="2026-01-30T00:00:00"/>
    <d v="2026-02-06T00:00:00"/>
    <s v="UT-AS45103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보고서"/>
    <x v="0"/>
    <s v="AS46101S"/>
    <s v="월별항공운송실적보고"/>
    <s v="김경준"/>
    <d v="2026-01-30T00:00:00"/>
    <m/>
    <s v="UT-AS46101S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7"/>
    <s v="SP_ESB_FIMSCRSLDALYCHG_RCV,캐로셀 일일변경 정보 ESB 테이블 조회"/>
    <s v="임소정"/>
    <d v="2026-02-24T00:00:00"/>
    <d v="2026-02-27T13:50:36"/>
    <s v="UT-AS-SP17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38S"/>
    <s v="EAI 인터페이스 수신 이력"/>
    <s v="홍성민"/>
    <d v="2026-01-29T00:00:00"/>
    <d v="2026-01-15T20:58:12"/>
    <s v="UT-WESCASY038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46S"/>
    <s v="계정변경 이력"/>
    <s v="홍성민"/>
    <d v="2026-01-29T00:00:00"/>
    <d v="2026-01-29T17:36:10"/>
    <s v="UT-WESCASY046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50S"/>
    <s v="접속자 현황"/>
    <s v="홍성민"/>
    <d v="2026-01-29T00:00:00"/>
    <d v="2026-01-29T17:36:24"/>
    <s v="UT-WESCASY050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74"/>
    <s v="SP_ESB_FIMSDEICEHDLRSTNG_RCV,외부 FIMS_AC 제빙조업사설정정보 메시지 수신"/>
    <s v="김용진"/>
    <d v="2026-01-29T00:00:00"/>
    <d v="2026-01-30T09:33:21"/>
    <s v="UT-ES-SP174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79"/>
    <s v="FN_AC_GET_TIME_FORMAT, 시간형식 변환"/>
    <s v="김용진"/>
    <d v="2026-01-29T00:00:00"/>
    <d v="2026-01-28T11:12:57"/>
    <s v="UT-ES-SP179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83"/>
    <s v="SP_ES_FIMSCHARTEXPENV_RCV,외부 FIMS_RS 도표표출환경 데이터 저장"/>
    <s v="김용진"/>
    <d v="2026-01-29T00:00:00"/>
    <d v="2026-01-28T14:19:15"/>
    <s v="UT-ES-SP183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자원배청차트"/>
    <s v="CIC Daily Chart"/>
    <x v="0"/>
    <s v="WESRC001S"/>
    <s v="CIC Daily Chart View"/>
    <s v="김용진"/>
    <d v="2026-02-12T00:00:00"/>
    <d v="2026-02-12T09:24:10"/>
    <s v="UT-WESRC001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6B"/>
    <s v="SOBT, EOBT 1시간이상 차이 PUSH"/>
    <s v="임지훈"/>
    <d v="2026-02-13T00:00:00"/>
    <d v="2026-02-12T11:58:12"/>
    <s v="UT-ES00016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4B"/>
    <s v="지연사유 미입력 항공편 PUSH"/>
    <s v="임지훈"/>
    <d v="2026-02-13T00:00:00"/>
    <d v="2026-02-12T11:57:47"/>
    <s v="UT-ES00014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현행배정 변경/삭제 신청"/>
    <x v="0"/>
    <s v="MESRS053S"/>
    <s v="현행배정 변경/삭제 신청"/>
    <s v="이수빈"/>
    <d v="2025-12-19T00:00:00"/>
    <d v="2026-01-15T14:03:43"/>
    <s v="UT-MESRS053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1"/>
    <s v="RS90031B"/>
    <s v="알람 등록 반영"/>
    <s v="김훈근"/>
    <d v="2026-02-26T00:00:00"/>
    <d v="2026-02-25T14:25:57"/>
    <s v="UT-RS90031B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81"/>
    <s v="SP_RS_FIMSNEARBYACSTGRADE_SND,인접주기장 등급정보  "/>
    <s v="양우창"/>
    <d v="2026-01-30T00:00:00"/>
    <d v="2026-01-26T10:17:06"/>
    <s v="UT-RS-SP81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2"/>
    <s v="RS-SP88"/>
    <s v="SP_RS_FIMSCRSLUSELMT_SND,캐로셀 사용제한 정보  "/>
    <s v="양우창"/>
    <d v="2026-01-30T00:00:00"/>
    <d v="2026-01-26T10:24:53"/>
    <s v="UT-RS-SP88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2"/>
    <s v="RS-SP91"/>
    <s v="SP_RS_CPCKNCTDALYOPERCHGREQ_RCV,체크인카운터 변경정보 요청"/>
    <s v="양우창"/>
    <d v="2026-01-30T00:00:00"/>
    <d v="2026-01-26T10:26:47"/>
    <s v="UT-RS-SP91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4"/>
    <s v="공항정보 관리"/>
    <s v="사용자 설정 정보 관리"/>
    <x v="0"/>
    <s v="SLOTAI005M"/>
    <s v="작업 세션 정보 등록 팝업"/>
    <s v="서창민"/>
    <d v="2025-12-20T00:00:00"/>
    <d v="2025-12-26T12:33:46"/>
    <s v="UT-SLOTAI005M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"/>
    <s v="화면구성"/>
    <s v="화면구성"/>
    <x v="0"/>
    <s v="CAMN009M"/>
    <s v="도움말"/>
    <s v="김명준"/>
    <d v="2026-02-03T00:00:00"/>
    <d v="2026-02-06T12:58:15"/>
    <s v="UT-CAMN009M"/>
    <s v="2차"/>
    <n v="6"/>
    <d v="2026-03-23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2"/>
    <s v="Daily schedule"/>
    <s v="Active Flight List"/>
    <x v="0"/>
    <s v="FPFA003R"/>
    <s v="Active Arrive/Departure Flight Schedule List"/>
    <s v="현영광"/>
    <d v="2026-02-20T00:00:00"/>
    <d v="2026-02-11T08:58:57"/>
    <s v="UT-FPFA003R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Daily schedule"/>
    <s v="Active Flight List"/>
    <x v="0"/>
    <s v="FPFA002R"/>
    <s v="Active Departure Flight Schedule List"/>
    <s v="현영광"/>
    <d v="2026-02-20T00:00:00"/>
    <d v="2026-02-11T08:58:49"/>
    <s v="UT-FPFA002R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Daily schedule"/>
    <s v="Interface Message"/>
    <x v="0"/>
    <s v="FPMG048M"/>
    <s v="ADM JNA Message Details"/>
    <s v="현영광"/>
    <d v="2026-03-13T00:00:00"/>
    <d v="2026-03-11T15:54:02"/>
    <s v="UT-FPMG048M"/>
    <s v="2차"/>
    <n v="6"/>
    <d v="2026-03-23T00:00:00"/>
    <s v="F"/>
    <n v="0"/>
    <s v="3자테스터공통"/>
    <s v="P"/>
    <d v="2026-03-31T00:00:00"/>
    <s v=""/>
    <s v=""/>
    <n v="0"/>
    <s v="송희영"/>
    <s v=""/>
    <d v="2026-04-10T00:00:00"/>
    <s v=""/>
    <s v=""/>
    <n v="0"/>
    <s v="현업테스터"/>
    <s v=""/>
    <s v=""/>
    <s v=""/>
    <s v=""/>
  </r>
  <r>
    <x v="2"/>
    <s v="기타"/>
    <s v="기타"/>
    <x v="2"/>
    <s v="FP-SP162"/>
    <s v="SP_FP_RS_REMARK_UPDATE,게이트 상태 변경시 운항계획 REMARK 변경"/>
    <s v="이인용"/>
    <d v="2026-01-30T00:00:00"/>
    <d v="2026-01-28T10:13:38"/>
    <s v="UT-FP-SP162"/>
    <s v="2차"/>
    <n v="6"/>
    <d v="2026-03-24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6"/>
    <s v="SP_FP_CSHR_CONVERT,시즌코드쉐어편 현행 동기화"/>
    <s v="이인용"/>
    <d v="2026-02-13T00:00:00"/>
    <d v="2026-02-05T13:19:04"/>
    <s v="UT-FP-SP176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1"/>
    <s v="FP00001B"/>
    <s v="현행도착출발일괄생성"/>
    <s v="이인용"/>
    <d v="2026-01-16T00:00:00"/>
    <d v="2026-01-20T10:00:00"/>
    <s v="UT-FP00001B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98"/>
    <s v="SP_FP_SSN_OTSD_CSHR_RESULT_SND,외부 신청 시즌코드쉐어 처리 결과 메시지 송신"/>
    <s v="이인용"/>
    <d v="2026-01-16T00:00:00"/>
    <d v="2026-01-20T09:59:16"/>
    <s v="UT-FP-SP198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Seasonal schedule"/>
    <s v="Seasonal Codeshare flight"/>
    <x v="0"/>
    <s v="FPFS091S"/>
    <s v="Confirm Seasonal Codeshare Flight"/>
    <s v="현영광"/>
    <d v="2026-01-23T00:00:00"/>
    <d v="2026-01-23T14:57:55"/>
    <s v="UT-FPFS091S"/>
    <s v="2차"/>
    <n v="6"/>
    <d v="2026-03-24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3"/>
    <s v="기타"/>
    <s v="기타"/>
    <x v="2"/>
    <s v="CP-SP31"/>
    <s v="SP_ESB_FIMSSSNPRD_RCV, 시즌기간정보 메시지 수신처리"/>
    <s v="이인용"/>
    <d v="2026-03-13T00:00:00"/>
    <d v="2026-03-12T15:43:13"/>
    <s v="UT-CP-SP31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33"/>
    <s v="SP_ESB_FIMSGATEIDDMSG_RCV,게이트 상태정보 메시지 수신처리"/>
    <s v="이인용"/>
    <d v="2026-03-13T00:00:00"/>
    <d v="2026-03-12T15:43:42"/>
    <s v="UT-CP-SP33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74"/>
    <s v="SP_CM_ACDM_OPR_STS_PAX_SSN,A-CDM 운영현황(여객/반기별) 생성"/>
    <s v="이용혁"/>
    <d v="2026-02-28T00:00:00"/>
    <d v="2025-12-29T10:32:08"/>
    <s v="UT-CM-SP74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77"/>
    <s v="SP_CM_OPR_TAXI_TIME_UPDATE,신규VTT정보관리"/>
    <s v="이용혁"/>
    <d v="2026-02-20T00:00:00"/>
    <d v="2026-02-27T09:16:52"/>
    <s v="UT-CM-SP77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0008B"/>
    <s v="TOBT 30분전 A-VDGS 송신"/>
    <s v="김단호"/>
    <d v="2026-02-28T00:00:00"/>
    <d v="2025-12-15T17:04:50"/>
    <s v="UT-CM90008B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5"/>
    <s v="관제현황관리"/>
    <s v="Statistics Data"/>
    <x v="0"/>
    <s v="AC06006S"/>
    <s v="DELAY"/>
    <s v="안소정"/>
    <d v="2026-02-03T00:00:00"/>
    <d v="2026-02-09T15:44:26"/>
    <s v="UT-AC06006S"/>
    <s v="2차"/>
    <n v="6"/>
    <d v="2026-03-27T00:00:00"/>
    <s v="F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관제현황관리"/>
    <s v="Statistics Data"/>
    <x v="0"/>
    <s v="AC06002S"/>
    <s v="DE-ICING"/>
    <s v="구혜지"/>
    <d v="2026-02-13T00:00:00"/>
    <d v="2025-10-02T10:41:30"/>
    <s v="UT-AC06002S"/>
    <s v="2차"/>
    <n v="6"/>
    <d v="2026-03-27T00:00:00"/>
    <s v="F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기타"/>
    <s v="기타"/>
    <x v="2"/>
    <s v="AC-SP36"/>
    <s v="SP_AC_ASDESPOTTIME4TH_AUTO_RCV,지상이동시간정보 자동수신처리"/>
    <s v="이용혁"/>
    <d v="2026-01-19T00:00:00"/>
    <d v="2026-01-21T09:50:29"/>
    <s v="UT-AC-SP36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일일 시뮬레이션 결과 관리"/>
    <x v="0"/>
    <s v="PM10304S"/>
    <s v="일일 시뮬레이션 결과 체크인카운터 혼잡도 상세 조회"/>
    <s v="pmtbd2"/>
    <d v="2025-12-26T00:00:00"/>
    <d v="2025-12-09T00:00:00"/>
    <s v="UT-PM10304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일일 시뮬레이션 결과 관리"/>
    <x v="0"/>
    <s v="PM10310S"/>
    <s v="일일 시뮬레이션 결과 출국장 혼잡도 상세 조회"/>
    <s v="pmtbd2"/>
    <d v="2026-01-09T00:00:00"/>
    <d v="2025-12-09T00:00:00"/>
    <s v="UT-PM10310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7S"/>
    <s v="사용자 시뮬레이션 결과 셀프체크인/백드롭 혼잡도 상세 조회"/>
    <s v="pmtbd3"/>
    <d v="2026-02-06T00:00:00"/>
    <d v="2025-12-09T00:00:00"/>
    <s v="UT-PM10507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7"/>
    <s v="항공보안"/>
    <s v="EOD 현장관리"/>
    <x v="0"/>
    <s v="FSEX090S"/>
    <s v="검측지원현황 입력관리"/>
    <s v="임소정"/>
    <d v="2026-04-03T00:00:00"/>
    <m/>
    <s v="UT-FSEX090S"/>
    <s v="2차"/>
    <n v="6"/>
    <m/>
    <s v=""/>
    <n v="0"/>
    <s v="3자테스터공통"/>
    <s v=""/>
    <d v="2026-04-08T00:00:00"/>
    <s v=""/>
    <s v=""/>
    <n v="0"/>
    <s v="장수정"/>
    <s v=""/>
    <d v="2026-04-09T00:00:00"/>
    <s v=""/>
    <s v=""/>
    <n v="0"/>
    <s v="현업테스터"/>
    <s v=""/>
    <s v=""/>
    <s v=""/>
    <s v=""/>
  </r>
  <r>
    <x v="7"/>
    <s v="항공보안"/>
    <s v="EOD 현장관리"/>
    <x v="0"/>
    <s v="FSEY053E"/>
    <s v="출동시간 상세 현황"/>
    <s v="임소정"/>
    <d v="2026-04-03T00:00:00"/>
    <m/>
    <s v="UT-FSEY053E"/>
    <s v="2차"/>
    <n v="6"/>
    <m/>
    <s v=""/>
    <n v="0"/>
    <s v="3자테스터공통"/>
    <s v=""/>
    <d v="2026-04-08T00:00:00"/>
    <s v=""/>
    <s v=""/>
    <n v="0"/>
    <s v="장수정"/>
    <s v=""/>
    <d v="2026-04-09T00:00:00"/>
    <s v=""/>
    <s v=""/>
    <n v="0"/>
    <s v="현업테스터"/>
    <s v=""/>
    <s v=""/>
    <s v=""/>
    <s v=""/>
  </r>
  <r>
    <x v="8"/>
    <s v="부서별업무"/>
    <s v="경영전략팀"/>
    <x v="0"/>
    <s v="GO12910R"/>
    <s v="주간항공운송현황_리포트"/>
    <s v="신문호"/>
    <d v="2026-01-09T00:00:00"/>
    <d v="2026-01-07T16:20:31"/>
    <s v="UT-GO12910R"/>
    <s v="2차"/>
    <n v="6"/>
    <d v="2026-03-24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기타"/>
    <s v="기타"/>
    <x v="2"/>
    <s v="GO-SP205"/>
    <s v="SP_GO_BDGGATE_RCV, 게이트 상태 정보 수신메시지 처리"/>
    <s v="신문호"/>
    <d v="2026-01-09T00:00:00"/>
    <d v="2026-01-09T09:19:41"/>
    <s v="UT-GO-SP205"/>
    <s v="2차"/>
    <n v="6"/>
    <d v="2026-03-25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302S"/>
    <s v="운항(여객/화물기) - 부정기"/>
    <s v="김경준"/>
    <d v="2026-02-06T00:00:00"/>
    <d v="2026-02-06T00:00:00"/>
    <s v="UT-AS213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화물"/>
    <x v="0"/>
    <s v="AS23101S"/>
    <s v="항공화물(수화물제외)"/>
    <s v="김경준"/>
    <d v="2026-02-13T00:00:00"/>
    <d v="2026-02-06T00:00:00"/>
    <s v="UT-AS23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4101S"/>
    <s v="지역별 실적(운항) - 목적지 기준"/>
    <s v="임소정"/>
    <d v="2026-02-13T00:00:00"/>
    <d v="2026-02-06T00:00:00"/>
    <s v="UT-AS24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6101S"/>
    <s v="LCC 실적 - 운항"/>
    <s v="김경준"/>
    <d v="2026-02-24T00:00:00"/>
    <d v="2026-02-27T13:41:21"/>
    <s v="UT-AS26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103S"/>
    <s v="첨두월 실적(화물실적)"/>
    <s v="임소정"/>
    <d v="2026-01-09T00:00:00"/>
    <d v="2026-02-06T00:00:00"/>
    <s v="UT-AS40103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보고서"/>
    <x v="0"/>
    <s v="AS45105S"/>
    <s v="공항운영실적보고서 실적 - 내외국인 여객 현황"/>
    <s v="임소정"/>
    <d v="2026-01-30T00:00:00"/>
    <d v="2026-02-06T00:00:00"/>
    <s v="UT-AS45105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2"/>
    <s v="SP_AS_FIMSACSTDALYOPER_RCV,주기장 일일운영 데이터 ESB 테이블 이관"/>
    <s v="임소정"/>
    <d v="2026-01-23T00:00:00"/>
    <d v="2026-02-10T15:50:18"/>
    <s v="UT-AS-SP12"/>
    <s v="2차"/>
    <n v="6"/>
    <d v="2026-03-27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5"/>
    <s v="SP_ESB_FIMSCKNCTALOT_RCV,체크인카운터 할당데이터 ESB 테이블 조회"/>
    <s v="김경준"/>
    <d v="2026-01-23T00:00:00"/>
    <d v="2026-02-10T15:50:28"/>
    <s v="UT-AS-SP15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23"/>
    <s v="SP_ESB_FIMSRSRCGROUPMPNG_RCV,자원그룹매핑정보 ESB 테이블 조회"/>
    <s v="임소정"/>
    <d v="2026-02-06T00:00:00"/>
    <d v="2026-02-10T15:50:39"/>
    <s v="UT-AS-SP23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현황"/>
    <s v="출발편 운항정보관리(월)"/>
    <x v="0"/>
    <s v="WESCM006S"/>
    <s v="출발편 운항정보관리(월)"/>
    <s v="김용진"/>
    <d v="2025-11-06T00:00:00"/>
    <d v="2025-11-06T14:16:42"/>
    <s v="UT-WESCM006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Request Seasonal Codeshare Flight"/>
    <x v="0"/>
    <s v="WESFP008S"/>
    <s v="Airline SFS Codeshare Compare"/>
    <s v="김용진"/>
    <d v="2026-02-13T00:00:00"/>
    <d v="2026-02-19T08:51:13"/>
    <s v="UT-WESFP008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Airport Operation Report"/>
    <x v="0"/>
    <s v="WESFP006R"/>
    <s v="Airport Operation Report"/>
    <s v="김용진"/>
    <d v="2026-01-09T00:00:00"/>
    <d v="2026-01-07T08:59:29"/>
    <s v="UT-WESFP006R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40S"/>
    <s v="EAI 메시지 모니터링"/>
    <s v="홍성민"/>
    <d v="2026-01-29T00:00:00"/>
    <d v="2026-01-30T15:05:04"/>
    <s v="UT-WESCASY040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Check In Counter"/>
    <s v="공용용품"/>
    <x v="0"/>
    <s v="RSCI082S"/>
    <s v="공용물품승인"/>
    <s v="이수연"/>
    <d v="2026-02-12T00:00:00"/>
    <d v="2026-01-16T08:45:59"/>
    <s v="UT-RSCI082S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Stand Chart"/>
    <s v="Etc"/>
    <x v="0"/>
    <s v="RSPK034M"/>
    <s v="Stand Lock list"/>
    <s v="장동혁"/>
    <d v="2026-01-29T00:00:00"/>
    <d v="2026-01-29T14:35:44"/>
    <s v="UT-RSPK034M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45"/>
    <s v="SP_RS_CMUSEFCLT_MAKE_DALY, 공용시설 재고 정산"/>
    <s v="김훈근"/>
    <d v="2026-01-29T00:00:00"/>
    <d v="2026-02-02T13:28:30"/>
    <s v="UT-RS-SP45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90"/>
    <s v="SP_RS_CPCRSLDALYOPERCHGREQ_RCV,캐로셀 변경정보 요청"/>
    <s v="양우창"/>
    <d v="2026-01-30T00:00:00"/>
    <d v="2026-01-26T10:26:11"/>
    <s v="UT-RS-SP90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"/>
    <s v="시스템운영관리"/>
    <s v="시스템관리"/>
    <x v="0"/>
    <s v="CASY070M"/>
    <s v="테이블제너레이터/자바편집기"/>
    <s v="정연준"/>
    <d v="2026-01-09T00:00:00"/>
    <d v="2026-01-08T13:29:58"/>
    <s v="UT-CASY070M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"/>
    <s v="기타"/>
    <s v="기타"/>
    <x v="2"/>
    <s v="CA-SP30"/>
    <s v="SP_CA_F_CHKINPGTMPLTFID2_RCV, FIDS#2 체크인페이지 메시지 수신 처리"/>
    <s v="김명준"/>
    <d v="2025-12-22T00:00:00"/>
    <d v="2026-01-08T15:34:31"/>
    <s v="UT-CA-SP30"/>
    <s v="2차"/>
    <n v="6"/>
    <d v="2026-03-27T00:00:00"/>
    <s v="F"/>
    <n v="0"/>
    <s v="3자테스터공통"/>
    <s v="F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2"/>
    <s v="공통"/>
    <s v="공통"/>
    <x v="0"/>
    <s v="FPFC051M"/>
    <s v="Save Workspace"/>
    <s v="이인용"/>
    <d v="2026-02-20T00:00:00"/>
    <d v="2026-01-28T09:56:16"/>
    <s v="UT-FPFC051M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61"/>
    <s v="SP_FP_DALY_DAILY_CLOSEOUT,현행운항정보 일일 마감처리"/>
    <s v="이인용"/>
    <d v="2026-01-30T00:00:00"/>
    <d v="2026-01-28T10:13:29"/>
    <s v="UT-FP-SP161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5"/>
    <s v="SP_FP_SSN_CSHR_MAKE_ALN,시즌코드쉐어편 항공사별 복사"/>
    <s v="이인용"/>
    <d v="2026-02-13T00:00:00"/>
    <d v="2026-02-05T13:18:49"/>
    <s v="UT-FP-SP175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93"/>
    <s v="SP_ESB_ARRDEPVIPINFO_RCV,VIP정보 메시지수신"/>
    <s v="이인용"/>
    <d v="2026-02-06T00:00:00"/>
    <d v="2026-01-29T11:00:24"/>
    <s v="UT-FP-SP193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208"/>
    <s v="SP_ESB_CP_DALYSCHDCHGREQ_RCV,외부 현행스케줄 변경 정보 메시지수신"/>
    <s v="이인용"/>
    <d v="2026-02-20T00:00:00"/>
    <d v="2026-02-20T09:53:51"/>
    <s v="UT-FP-SP208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219"/>
    <s v="TAIUD_TN_TRNSP_PRFMNC,운송실적정보 변경 트리거"/>
    <s v="이인용"/>
    <d v="2026-03-13T00:00:00"/>
    <d v="2026-03-12T15:44:47"/>
    <s v="UT-FP-SP219"/>
    <s v="2차"/>
    <n v="6"/>
    <d v="2026-03-26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7"/>
    <s v="SP_FP_SSN_ARR_DEP_ROLLPLN,현행운항계획 스케줄 자동생성"/>
    <s v="이인용"/>
    <d v="2026-02-13T00:00:00"/>
    <d v="2026-02-05T13:19:17"/>
    <s v="UT-FP-SP177"/>
    <s v="2차"/>
    <n v="6"/>
    <d v="2026-03-25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Seasonal schedule"/>
    <s v="Option"/>
    <x v="0"/>
    <s v="FPFS086M"/>
    <s v="Copy Seasonal Codeshare Flight"/>
    <s v="현영광"/>
    <d v="2026-01-09T00:00:00"/>
    <d v="2026-01-09T11:19:54"/>
    <s v="UT-FPFS086M"/>
    <s v="2차"/>
    <n v="6"/>
    <d v="2026-03-24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4"/>
    <s v="기타"/>
    <s v="기타"/>
    <x v="2"/>
    <s v="CM-SP58"/>
    <s v="SP_CM_ACDM_OPR_STS,A-CDM 운영현황(일별) 생성"/>
    <s v="이용혁"/>
    <d v="2026-02-13T00:00:00"/>
    <d v="2025-05-09T13:27:08"/>
    <s v="UT-CM-SP58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1"/>
    <s v="SP_CM_ACDM_OPR_STS_QRT,A-CDM 운영현황(분기별) 생성"/>
    <s v="이용혁"/>
    <d v="2026-02-13T00:00:00"/>
    <d v="2025-12-29T10:31:44"/>
    <s v="UT-CM-SP61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5"/>
    <s v="SP_CM_ACDM_OPR_STS_CGO_WKLY,A-CDM 운영현황(화물/주별) 생성"/>
    <s v="이용혁"/>
    <d v="2026-02-28T00:00:00"/>
    <d v="2025-12-29T10:32:22"/>
    <s v="UT-CM-SP65"/>
    <s v="2차"/>
    <n v="6"/>
    <d v="2026-03-24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9"/>
    <s v="SP_CM_ACDM_OPR_STS_CGO_YRLY,A-CDM 운영현황(화물/연도별) 생성"/>
    <s v="이용혁"/>
    <d v="2026-02-28T00:00:00"/>
    <d v="2025-12-29T10:32:17"/>
    <s v="UT-CM-SP69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0002B"/>
    <s v="공항현황집계"/>
    <s v="김단호"/>
    <d v="2026-02-28T00:00:00"/>
    <d v="2025-12-12T17:48:26"/>
    <s v="UT-CM90002B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3032B"/>
    <s v="활주로별 유도시간 성과집계"/>
    <s v="김단호"/>
    <d v="2026-02-28T00:00:00"/>
    <d v="2025-12-15T17:05:01"/>
    <s v="UT-CM93032B"/>
    <s v="2차"/>
    <n v="6"/>
    <m/>
    <s v=""/>
    <n v="0"/>
    <s v="3자테스터공통"/>
    <s v="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0007B"/>
    <s v="FP/RS/AC 실적데이터 Sync"/>
    <s v="김단호"/>
    <d v="2026-02-28T00:00:00"/>
    <d v="2025-12-15T17:04:48"/>
    <s v="UT-CM90007B"/>
    <s v="2차"/>
    <n v="6"/>
    <m/>
    <s v=""/>
    <n v="0"/>
    <s v="3자테스터공통"/>
    <s v="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마일스톤시간관리"/>
    <s v="출발편마일스톤관리"/>
    <x v="0"/>
    <s v="CM20018M"/>
    <s v="출도착편 마일스톤 상황관리 "/>
    <s v="김은정"/>
    <d v="2026-01-09T00:00:00"/>
    <d v="2026-01-09T11:03:43"/>
    <s v="UT-CM20018M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6"/>
    <s v="예측정보관리"/>
    <s v="일일 시뮬레이션 결과 관리"/>
    <x v="0"/>
    <s v="PM10306S"/>
    <s v="일일 시뮬레이션 결과 셀프체크인/백드롭 혼잡도 조회"/>
    <s v="pmtbd3"/>
    <d v="2025-12-26T00:00:00"/>
    <d v="2026-03-26T17:18:34"/>
    <s v="UT-PM10306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입력 관리"/>
    <x v="0"/>
    <s v="PM10403S"/>
    <s v="사용자 시뮬레이션 체크인카운터 정보 변경 관리"/>
    <s v="신문호"/>
    <d v="2026-01-23T00:00:00"/>
    <d v="2026-03-27T09:59:41"/>
    <s v="UT-PM10403S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1S"/>
    <s v="사용자 시뮬레이션 결과 조회"/>
    <s v="신문호"/>
    <d v="2026-01-23T00:00:00"/>
    <d v="2026-03-26T06:03:22"/>
    <s v="UT-PM1050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2S"/>
    <s v="사용자 시뮬레이션 결과 맵형태 조회"/>
    <s v="pmtbd1"/>
    <d v="2025-12-05T00:00:00"/>
    <d v="2026-03-26T06:03:27"/>
    <s v="UT-PM10502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10S"/>
    <s v="사용자 시뮬레이션 결과 출국장 혼잡도 상세 조회"/>
    <s v="pmtbd2"/>
    <d v="2026-02-20T00:00:00"/>
    <d v="2025-12-09T00:00:00"/>
    <s v="UT-PM10510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8"/>
    <s v="부서별업무"/>
    <s v="통합운영센터"/>
    <x v="0"/>
    <s v="GO12912S"/>
    <s v="주기장운영현황_화물"/>
    <s v="신문호"/>
    <d v="2026-01-23T00:00:00"/>
    <d v="2026-01-21T14:13:18"/>
    <s v="UT-GO12912S"/>
    <s v="2차"/>
    <n v="6"/>
    <d v="2026-03-24T00:00:00"/>
    <s v="F"/>
    <n v="0"/>
    <s v="3자테스터공통"/>
    <s v="F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대시보드"/>
    <x v="0"/>
    <s v="GO14001S"/>
    <s v="공항운영 대시보드 - 공항"/>
    <s v="김경준"/>
    <d v="2026-03-20T00:00:00"/>
    <d v="2026-03-23T09:37:00"/>
    <s v="UT-GO14001S"/>
    <s v="2차"/>
    <n v="6"/>
    <d v="2026-03-24T00:00:00"/>
    <s v="F"/>
    <n v="0"/>
    <s v="3자테스터공통"/>
    <s v="F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대시보드"/>
    <x v="0"/>
    <s v="GO14003S"/>
    <s v="공항운영 대시보드 - 공항 + 운항"/>
    <s v="김경준"/>
    <d v="2026-03-27T00:00:00"/>
    <m/>
    <s v="UT-GO14003S"/>
    <s v="2차"/>
    <n v="6"/>
    <d v="2026-03-24T00:00:00"/>
    <s v="F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기타"/>
    <s v="기타"/>
    <x v="2"/>
    <s v="GO-SP206"/>
    <s v="SP_GO_CHKALLOC_RCV, 체크인 할당 정보 수신메시지 처리"/>
    <s v="신문호"/>
    <d v="2026-01-09T00:00:00"/>
    <d v="2026-01-09T09:19:53"/>
    <s v="UT-GO-SP206"/>
    <s v="2차"/>
    <n v="6"/>
    <m/>
    <s v=""/>
    <n v="0"/>
    <s v="3자테스터공통"/>
    <s v="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601S"/>
    <s v="항공기 결항현황(~2022년)"/>
    <s v="김경준"/>
    <d v="2026-02-06T00:00:00"/>
    <d v="2026-02-06T00:00:00"/>
    <s v="UT-AS216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4106S"/>
    <s v="지역별 실적(탑승률) - 경유지 기준"/>
    <s v="임소정"/>
    <d v="2026-02-13T00:00:00"/>
    <d v="2026-02-06T00:00:00"/>
    <s v="UT-AS24106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301S"/>
    <s v="첨두시 현황"/>
    <s v="임소정"/>
    <d v="2026-01-09T00:00:00"/>
    <d v="2026-02-06T00:00:00"/>
    <s v="UT-AS40301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402S"/>
    <s v="첨두일 상세현황(화물운송)"/>
    <s v="김경준"/>
    <d v="2026-01-09T00:00:00"/>
    <d v="2026-02-06T00:00:00"/>
    <s v="UT-AS40402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702S"/>
    <s v="첨두일 운항 실적(출발)"/>
    <s v="김경준"/>
    <d v="2026-01-09T00:00:00"/>
    <d v="2026-02-06T00:00:00"/>
    <s v="UT-AS40702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703S"/>
    <s v="첨두일 여객 실적(도착)"/>
    <s v="김경준"/>
    <d v="2026-01-09T00:00:00"/>
    <d v="2026-02-06T00:00:00"/>
    <s v="UT-AS40703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801S"/>
    <s v="취항실적 - 취항항공사(정기)"/>
    <s v="임소정"/>
    <d v="2026-01-16T00:00:00"/>
    <d v="2026-02-06T00:00:00"/>
    <s v="UT-AS408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802S"/>
    <s v="취항실적 - 취항국가실적(정기)"/>
    <s v="임소정"/>
    <d v="2026-01-16T00:00:00"/>
    <d v="2026-02-06T00:00:00"/>
    <s v="UT-AS40802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1201S"/>
    <s v="국가별 운항 현황"/>
    <s v="김경준"/>
    <d v="2026-01-16T00:00:00"/>
    <d v="2026-02-06T00:00:00"/>
    <s v="UT-AS412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1401S"/>
    <s v="취항항공사 실적"/>
    <s v="김경준"/>
    <d v="2026-01-16T00:00:00"/>
    <d v="2026-02-06T00:00:00"/>
    <s v="UT-AS414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3401S"/>
    <s v="캐로셀관리"/>
    <s v="김경준"/>
    <d v="2026-01-30T00:00:00"/>
    <d v="2026-02-06T00:00:00"/>
    <s v="UT-AS4340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3301S"/>
    <s v="캐로셀/버스게이트"/>
    <s v="김경준"/>
    <d v="2026-01-30T00:00:00"/>
    <d v="2026-02-06T00:00:00"/>
    <s v="UT-AS4330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보고서"/>
    <x v="0"/>
    <s v="AS45104S"/>
    <s v="공항운영실적보고서 실적 - 노선별 현황(목적지)"/>
    <s v="임소정"/>
    <d v="2026-01-30T00:00:00"/>
    <d v="2026-02-06T00:00:00"/>
    <s v="UT-AS45104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보고서"/>
    <x v="0"/>
    <s v="AS45106S"/>
    <s v="공항운영실적보고서 실적 - 지연결항 현황(요약)"/>
    <s v="임소정"/>
    <d v="2026-01-30T00:00:00"/>
    <d v="2026-02-06T00:00:00"/>
    <s v="UT-AS45106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0"/>
    <s v="SP_AS_SFSDEP_RCV,반기 운항스케줄 출발편 ESB 테이블 이관"/>
    <s v="김경준"/>
    <d v="2026-02-06T00:00:00"/>
    <d v="2026-02-10T15:50:15"/>
    <s v="UT-AS-SP10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4"/>
    <s v="SP_AS_FIMSACSTLATERALALARM_RCV,주기장 레터럴 변경정보 ESB 테이블 이관"/>
    <s v="임소정"/>
    <d v="2026-01-23T00:00:00"/>
    <d v="2026-02-10T15:50:26"/>
    <s v="UT-AS-SP14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2"/>
    <s v="SP_AS_FIMSARCFTMVMN_RCV,항공기이동 ESB 테이블 이관"/>
    <s v="김경준"/>
    <d v="2026-02-13T00:00:00"/>
    <m/>
    <s v="UT-AS-SP2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5"/>
    <s v="SP_ESB_FIMSINDEP_RCV,현행 운항스케쥴 출발편 ESB 테이블 조회"/>
    <s v="김경준"/>
    <d v="2026-01-30T00:00:00"/>
    <d v="2026-02-10T15:50:49"/>
    <s v="UT-AS-SP5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화면구성"/>
    <x v="0"/>
    <s v="WESCAMN007M"/>
    <s v="내 메뉴 관리"/>
    <s v="홍성민"/>
    <d v="2026-01-29T00:00:00"/>
    <d v="2026-01-29T17:36:42"/>
    <s v="UT-WESCAMN007M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39S"/>
    <s v="EAI 인터페이스 송신 이력"/>
    <s v="홍성민"/>
    <d v="2026-01-29T00:00:00"/>
    <d v="2026-01-15T20:58:16"/>
    <s v="UT-WESCASY039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43S"/>
    <s v="내부 인터페이스 이력"/>
    <s v="홍성민"/>
    <d v="2026-01-29T00:00:00"/>
    <d v="2026-01-29T17:35:51"/>
    <s v="UT-WESCASY043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51S"/>
    <s v="프로그램 사용 이력"/>
    <s v="홍성민"/>
    <d v="2026-01-29T00:00:00"/>
    <d v="2026-01-29T17:36:33"/>
    <s v="UT-WESCASY051S"/>
    <s v="2차"/>
    <n v="6"/>
    <d v="2026-03-24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53S"/>
    <s v="개인정보 접속 이력"/>
    <s v="홍성민"/>
    <d v="2026-01-29T00:00:00"/>
    <d v="2026-01-29T17:37:00"/>
    <s v="UT-WESCASY053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75"/>
    <s v="SP_ES_FIMSDEICEHDLRSTNG_RCV,외부 FIMS_AC 제빙조업사설정정보 데이터 저장"/>
    <s v="김용진"/>
    <d v="2026-01-29T00:00:00"/>
    <d v="2026-01-30T09:33:35"/>
    <s v="UT-ES-SP175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76"/>
    <s v="SP_ESB_FIMSELECFLTINFO_RCV,외부 FIMS_AC 전자운항정보 메시지 수신"/>
    <s v="김용진"/>
    <d v="2026-01-29T00:00:00"/>
    <d v="2026-01-28T14:18:21"/>
    <s v="UT-ES-SP176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81"/>
    <s v="SP_ES_FIMSACDMDWUSGKPI_RCV,외부 FIMS_CM DW용도KPI 데이터 저장"/>
    <s v="김용진"/>
    <d v="2026-01-29T00:00:00"/>
    <d v="2026-01-28T14:19:03"/>
    <s v="UT-ES-SP181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9B"/>
    <s v="EPIT 변경 PUSH"/>
    <s v="임지훈"/>
    <d v="2026-02-13T00:00:00"/>
    <d v="2026-02-12T11:57:34"/>
    <s v="UT-ES00009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8B"/>
    <s v="특별운항 신청 결과 PUSH"/>
    <s v="임지훈"/>
    <d v="2026-02-27T00:00:00"/>
    <d v="2026-02-12T11:58:18"/>
    <s v="UT-ES00018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20B"/>
    <s v="공용시설 신청 결과 PUSH"/>
    <s v="임지훈"/>
    <d v="2026-02-27T00:00:00"/>
    <d v="2026-02-12T11:58:24"/>
    <s v="UT-ES00020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23B"/>
    <s v="제방빙 단계발령(시작/종료)시 PUSH"/>
    <s v="임지훈"/>
    <d v="2026-02-26T00:00:00"/>
    <d v="2026-02-12T11:58:33"/>
    <s v="UT-ES00023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Change Request Monitoring - 조회"/>
    <x v="0"/>
    <s v="MESRS061S"/>
    <s v="Change Request Monitoring 조회"/>
    <s v="이수빈"/>
    <d v="2026-01-09T00:00:00"/>
    <d v="2025-12-23T09:51:34"/>
    <s v="UT-MESRS061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공용시설 신청관리"/>
    <x v="0"/>
    <s v="MESRS081S"/>
    <s v="공용시설 신청관리 조회"/>
    <s v="이수빈"/>
    <d v="2026-01-02T00:00:00"/>
    <d v="2026-01-15T14:03:47"/>
    <s v="UT-MESRS081S"/>
    <s v="2차"/>
    <n v="6"/>
    <d v="2026-03-23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공용시설 신청관리 - 상세"/>
    <x v="0"/>
    <s v="MESRS082S"/>
    <s v="공용시설 신청관리 상세"/>
    <s v="이수빈"/>
    <d v="2026-01-02T00:00:00"/>
    <d v="2026-01-15T14:03:50"/>
    <s v="UT-MESRS082S"/>
    <s v="2차"/>
    <n v="6"/>
    <d v="2026-03-23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공통관리"/>
    <s v="이용가이드"/>
    <x v="0"/>
    <s v="MESCA102S"/>
    <s v="이용가이드"/>
    <s v="홍성민"/>
    <d v="2025-06-27T00:00:00"/>
    <d v="2025-06-20T00:00:00"/>
    <s v="UT-MESCA102S"/>
    <s v="2차"/>
    <n v="6"/>
    <d v="2025-07-22T00:00:00"/>
    <s v="P"/>
    <n v="0"/>
    <s v="박상기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11"/>
    <s v="공통관리"/>
    <s v="계정신청"/>
    <x v="0"/>
    <s v="MESCA403M"/>
    <s v="자주 묻는 질문"/>
    <s v="이수빈"/>
    <d v="2026-02-12T00:00:00"/>
    <d v="2026-02-12T10:35:36"/>
    <s v="UT-MESCA403M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Check In Counter"/>
    <s v="공용용품"/>
    <x v="0"/>
    <s v="RSCI083S"/>
    <s v="공용물품재고"/>
    <s v="이수연"/>
    <d v="2026-02-12T00:00:00"/>
    <d v="2026-01-16T08:46:01"/>
    <s v="UT-RSCI083S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83"/>
    <s v="SP_RS_FIMSCHARTEXPENV_SND,차트표현환경 정보  "/>
    <s v="양우창"/>
    <d v="2026-01-30T00:00:00"/>
    <d v="2026-01-26T10:17:43"/>
    <s v="UT-RS-SP83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2"/>
    <s v="RS-SP84"/>
    <s v="SP_RS_FIMSCKNCTALTMNTEXCNOPT_SND,체크인 배정실행옵션 정보  "/>
    <s v="양우창"/>
    <d v="2026-01-30T00:00:00"/>
    <d v="2026-01-26T10:20:17"/>
    <s v="UT-RS-SP84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2"/>
    <s v="RS-SP85"/>
    <s v="SP_RS_FIMSCKNCTUSELMT_SND,체크인 사용제한 정보  "/>
    <s v="양우창"/>
    <d v="2026-01-30T00:00:00"/>
    <d v="2026-01-26T10:20:55"/>
    <s v="UT-RS-SP85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4"/>
    <s v="기타기능"/>
    <s v="기타 설정 관리"/>
    <x v="0"/>
    <s v="SLOTOF004S"/>
    <s v="사용자 정의 필터 조건식 관리 및 파싱"/>
    <s v="서창민"/>
    <d v="2025-12-12T00:00:00"/>
    <d v="2025-12-19T17:19:00"/>
    <s v="UT-SLOTOF004S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0"/>
    <s v="시스템운영관리"/>
    <s v="이력관리"/>
    <x v="0"/>
    <s v="CASY038S(A)"/>
    <s v="EAI 인터페이스 수신 이력"/>
    <s v="김태훈"/>
    <d v="2026-01-09T00:00:00"/>
    <d v="2026-01-26T15:24:46"/>
    <s v="UT-CASY038S(A)"/>
    <s v="2차"/>
    <n v="6"/>
    <d v="2026-03-23T00:00:00"/>
    <s v="P"/>
    <n v="0"/>
    <s v="3자테스터공통"/>
    <s v="P"/>
    <d v="2026-02-02T00:00:00"/>
    <s v=""/>
    <s v=""/>
    <n v="0"/>
    <s v="장수정"/>
    <s v=""/>
    <d v="2026-03-03T00:00:00"/>
    <s v=""/>
    <s v=""/>
    <n v="0"/>
    <s v="현업테스터"/>
    <s v=""/>
    <s v=""/>
    <s v=""/>
    <s v=""/>
  </r>
  <r>
    <x v="0"/>
    <s v="기타"/>
    <s v="기타"/>
    <x v="1"/>
    <s v="CA00002B(A)"/>
    <s v="SMS 그룹 매핑 사용자 정보 갱신 배치"/>
    <s v="김태훈"/>
    <d v="2026-02-27T00:00:00"/>
    <d v="2026-02-25T16:58:47"/>
    <s v="UT-CA00002B(A)"/>
    <s v="2차"/>
    <n v="6"/>
    <m/>
    <s v=""/>
    <n v="0"/>
    <s v="3자테스터공통"/>
    <s v="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1"/>
    <s v="시스템운영관리"/>
    <s v="이력관리"/>
    <x v="0"/>
    <s v="CASY039S"/>
    <s v="EAI 인터페이스 송신 이력"/>
    <s v="김명준"/>
    <d v="2026-01-16T00:00:00"/>
    <d v="2026-01-26T15:23:31"/>
    <s v="UT-CASY039S"/>
    <s v="2차"/>
    <n v="6"/>
    <d v="2026-03-25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1"/>
    <s v="시스템운영관리"/>
    <s v="이력관리"/>
    <x v="0"/>
    <s v="CASY042S"/>
    <s v="인터페이스 메시지 통합 모니터링"/>
    <s v="김명준"/>
    <d v="2026-02-13T00:00:00"/>
    <d v="2026-03-10T17:19:31"/>
    <s v="UT-CASY042S"/>
    <s v="2차"/>
    <n v="6"/>
    <d v="2026-03-27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2"/>
    <s v="Daily schedule"/>
    <s v="Interface Message"/>
    <x v="0"/>
    <s v="FPMG051M"/>
    <s v="ASM AIHS Message Details"/>
    <s v="현영광"/>
    <d v="2026-03-13T00:00:00"/>
    <d v="2026-03-11T15:54:30"/>
    <s v="UT-FPMG051M"/>
    <s v="2차"/>
    <n v="6"/>
    <d v="2026-03-23T00:00:00"/>
    <s v="P"/>
    <n v="0"/>
    <s v="3자테스터공통"/>
    <s v="P"/>
    <d v="2026-03-31T00:00:00"/>
    <s v=""/>
    <s v=""/>
    <n v="0"/>
    <s v="송희영"/>
    <s v=""/>
    <d v="2026-04-10T00:00:00"/>
    <s v=""/>
    <s v=""/>
    <n v="0"/>
    <s v="현업테스터"/>
    <s v=""/>
    <s v=""/>
    <s v=""/>
    <s v=""/>
  </r>
  <r>
    <x v="2"/>
    <s v="기타"/>
    <s v="기타"/>
    <x v="2"/>
    <s v="FP-SP155"/>
    <s v="SP_FP_AC_SYNCDATA_ONBLOCK,관제정보 현행운항에 반영"/>
    <s v="이인용"/>
    <d v="2026-01-09T00:00:00"/>
    <d v="2026-01-09T17:57:58"/>
    <s v="UT-FP-SP155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58"/>
    <s v="SP_FP_DALY_CIC_RANGE_MODIFY,Check In Range 반영"/>
    <s v="이인용"/>
    <d v="2026-01-23T00:00:00"/>
    <d v="2026-01-20T10:00:12"/>
    <s v="UT-FP-SP158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3"/>
    <s v="SP_FP_SSN_CSHR_MAKE_FULL,시즌코드쉐어편 일괄 복사"/>
    <s v="이인용"/>
    <d v="2026-02-13T00:00:00"/>
    <d v="2026-02-05T13:18:02"/>
    <s v="UT-FP-SP173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9"/>
    <s v="SP_FP_SSN_COPY_TO_DALY,시즌코드쉐어편 현행 생성"/>
    <s v="이인용"/>
    <d v="2026-02-20T00:00:00"/>
    <d v="2026-02-05T13:20:08"/>
    <s v="UT-FP-SP179"/>
    <s v="2차"/>
    <n v="6"/>
    <d v="2026-03-25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00"/>
    <s v="SP_FP_WES_SSNCSHRFLTAPLY_PROC,외부 시즌코드쉐어 신청정보 데이터 저장"/>
    <s v="이인용"/>
    <d v="2026-01-16T00:00:00"/>
    <d v="2026-01-20T09:59:43"/>
    <s v="UT-FP-SP200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Check In Counter"/>
    <s v="Daily operation"/>
    <x v="0"/>
    <s v="CPCI014S"/>
    <s v="CIC Change request"/>
    <s v="이영석"/>
    <d v="2026-02-13T00:00:00"/>
    <d v="2026-01-29T18:19:25"/>
    <s v="UT-CPCI014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28"/>
    <s v="SP_ESB_FIMSACCOMCD_RCV,AC 코드정보 메시지 수신처리"/>
    <s v="이인용"/>
    <d v="2026-03-13T00:00:00"/>
    <d v="2026-03-12T15:42:32"/>
    <s v="UT-CP-SP28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35"/>
    <s v="SP_CM_OUTBOUND_MLSTN_UPDATE_ADS,출발편 제빙마일스톤 운영-제빙시작"/>
    <s v="이지연"/>
    <d v="2026-02-20T00:00:00"/>
    <d v="2026-02-02T17:54:56"/>
    <s v="UT-CM-SP35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38"/>
    <s v="SP_CM_ACDMMLSTNARRATFMS_SND,ATFMS용 도착마일스톤 메시지 송신"/>
    <s v="이지연"/>
    <d v="2025-12-19T00:00:00"/>
    <d v="2025-12-04T12:56:24"/>
    <s v="UT-CM-SP38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39"/>
    <s v="SP_CM_ACDMMLSTNDEPATFMS_SND,ATFMS용 출발마일스톤 메시지 송신"/>
    <s v="이지연"/>
    <d v="2025-12-19T00:00:00"/>
    <d v="2025-12-04T12:56:34"/>
    <s v="UT-CM-SP39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71"/>
    <s v="SP_CM_ACDM_OPR_STS_PAX_WKLY,A-CDM 운영현황(여객/주별) 생성"/>
    <s v="이용혁"/>
    <d v="2026-02-28T00:00:00"/>
    <d v="2025-12-29T10:31:57"/>
    <s v="UT-CM-SP71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3035B"/>
    <s v="DW용 KPI자료 집계"/>
    <s v="김단호"/>
    <d v="2026-02-28T00:00:00"/>
    <d v="2025-12-15T17:05:09"/>
    <s v="UT-CM93035B"/>
    <s v="2차"/>
    <n v="6"/>
    <m/>
    <s v=""/>
    <n v="0"/>
    <s v="3자테스터공통"/>
    <s v="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56"/>
    <s v="SP_CM_FLTACDMMLSTNDEPCOLOR_SND,마일스톤 색상정보 송신"/>
    <s v="이지연"/>
    <d v="2026-01-16T00:00:00"/>
    <d v="2025-12-31T13:59:29"/>
    <s v="UT-CM-SP56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22"/>
    <s v="SP_CM_ACMOVE_DEP_UPDATE,출발편 지상이동 내부인터페이스 수신"/>
    <s v="이지연"/>
    <d v="2025-10-17T00:00:00"/>
    <d v="2025-11-20T21:16:07"/>
    <s v="UT-CM-SP22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5"/>
    <s v="관제현황관리"/>
    <s v="Personal Data"/>
    <x v="0"/>
    <s v="AC07003S"/>
    <s v="ABNORMAL DATA 현황"/>
    <s v="구혜지"/>
    <d v="2026-02-27T00:00:00"/>
    <d v="2026-02-09T08:58:09"/>
    <s v="UT-AC07003S"/>
    <s v="2차"/>
    <n v="6"/>
    <d v="2026-03-26T00:00:00"/>
    <s v="F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6"/>
    <s v="예측정보관리"/>
    <s v="관리자 기능"/>
    <x v="0"/>
    <s v="PM10205S"/>
    <s v="환승장 운영시간 설정 관리"/>
    <s v="양우상"/>
    <d v="2026-01-29T00:00:00"/>
    <d v="2026-03-02T11:26:41"/>
    <s v="UT-PM10205S"/>
    <s v="2차"/>
    <n v="6"/>
    <d v="2026-03-26T00:00:00"/>
    <s v="P"/>
    <n v="0"/>
    <s v="3자테스터공통"/>
    <s v="P"/>
    <d v="2026-01-30T00:00:00"/>
    <s v=""/>
    <s v=""/>
    <n v="0"/>
    <s v="공사테스터"/>
    <s v=""/>
    <d v="2026-01-30T00:00:00"/>
    <s v=""/>
    <s v=""/>
    <n v="0"/>
    <s v="현업테스터"/>
    <s v=""/>
    <s v=""/>
    <s v=""/>
    <s v=""/>
  </r>
  <r>
    <x v="6"/>
    <s v="예측정보관리"/>
    <s v="관리자 기능"/>
    <x v="0"/>
    <s v="PM10206S"/>
    <s v="환승장 운영시간 조회"/>
    <s v="양우상"/>
    <d v="2026-01-29T00:00:00"/>
    <d v="2026-03-02T11:26:48"/>
    <s v="UT-PM10206S"/>
    <s v="2차"/>
    <n v="6"/>
    <d v="2026-03-26T00:00:00"/>
    <s v="P"/>
    <n v="0"/>
    <s v="3자테스터공통"/>
    <s v="P"/>
    <d v="2026-01-30T00:00:00"/>
    <s v=""/>
    <s v=""/>
    <n v="0"/>
    <s v="공사테스터"/>
    <s v=""/>
    <d v="2026-01-30T00:00:00"/>
    <s v=""/>
    <s v=""/>
    <n v="0"/>
    <s v="현업테스터"/>
    <s v=""/>
    <s v=""/>
    <s v=""/>
    <s v=""/>
  </r>
  <r>
    <x v="6"/>
    <s v="예측정보관리"/>
    <s v="일일 시뮬레이션 결과 관리"/>
    <x v="0"/>
    <s v="PM10301S"/>
    <s v="일일 시뮬레이션 결과 조회"/>
    <s v="신문호"/>
    <d v="2025-12-12T00:00:00"/>
    <d v="2026-03-26T06:01:30"/>
    <s v="UT-PM1030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일일 시뮬레이션 결과 관리"/>
    <x v="0"/>
    <s v="PM10302S"/>
    <s v="일일 시뮬레이션 결과 맵형태 조회"/>
    <s v="pmtbd1"/>
    <d v="2025-12-12T00:00:00"/>
    <d v="2026-03-26T06:01:36"/>
    <s v="UT-PM10302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일일 시뮬레이션 결과 관리"/>
    <x v="0"/>
    <s v="PM10305S"/>
    <s v="일일 시뮬레이션 결과 체크인카운터 혼잡도 차트 조회"/>
    <s v="pmtbd2"/>
    <d v="2025-12-26T00:00:00"/>
    <d v="2025-12-08T00:00:00"/>
    <s v="UT-PM10305S"/>
    <s v="2차"/>
    <n v="6"/>
    <d v="2026-03-26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8S"/>
    <s v="사용자 시뮬레이션 결과 셀프체크인/백드롭 혼잡도 차트 조회"/>
    <s v="pmtbd3"/>
    <d v="2026-02-06T00:00:00"/>
    <d v="2025-12-08T00:00:00"/>
    <s v="UT-PM10508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8"/>
    <s v="부서별업무"/>
    <s v="통합운영센터"/>
    <x v="0"/>
    <s v="GO12512S"/>
    <s v="운항편목록비교 및 이력"/>
    <s v="김경준"/>
    <d v="2026-01-09T00:00:00"/>
    <d v="2026-01-07T16:19:00"/>
    <s v="UT-GO12512S"/>
    <s v="2차"/>
    <n v="6"/>
    <d v="2026-03-24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운항계획팀"/>
    <x v="0"/>
    <s v="GO51230S"/>
    <s v="지연현황"/>
    <s v="김경준"/>
    <d v="2026-01-09T00:00:00"/>
    <d v="2026-01-07T16:20:15"/>
    <s v="UT-GO51230S"/>
    <s v="2차"/>
    <n v="6"/>
    <d v="2026-03-24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A-CDM"/>
    <x v="4"/>
    <s v="GO12707R"/>
    <s v="항공기 운항현황(NEW)_리포트"/>
    <s v="김경준"/>
    <d v="2026-01-30T00:00:00"/>
    <d v="2026-02-09T09:26:34"/>
    <s v="UT-GO12707R"/>
    <s v="2차"/>
    <n v="6"/>
    <d v="2026-03-24T00:00:00"/>
    <s v="F"/>
    <n v="0"/>
    <s v="3자테스터공통"/>
    <s v="F"/>
    <d v="2026-03-13T00:00:00"/>
    <s v=""/>
    <s v=""/>
    <n v="0"/>
    <s v="홍석일"/>
    <s v=""/>
    <d v="2026-03-13T00:00:00"/>
    <s v=""/>
    <s v=""/>
    <n v="0"/>
    <s v="홍석일"/>
    <s v=""/>
    <s v=""/>
    <s v=""/>
    <s v=""/>
  </r>
  <r>
    <x v="8"/>
    <s v="기타"/>
    <s v="기타"/>
    <x v="2"/>
    <s v="GO-SP998"/>
    <s v="SP_GO_GD_DATA_RS_STND, GO_GO_DATA 생성-RS 주기장 정보 반영"/>
    <s v="신문호"/>
    <d v="2026-02-13T00:00:00"/>
    <d v="2026-02-13T00:00:00"/>
    <s v="UT-GO-SP998"/>
    <s v="2차"/>
    <n v="6"/>
    <d v="2026-03-27T00:00:00"/>
    <s v="F"/>
    <n v="0"/>
    <s v="3자테스터공통"/>
    <s v="P"/>
    <d v="2026-03-31T00:00:00"/>
    <s v=""/>
    <s v=""/>
    <n v="0"/>
    <s v="홍석일"/>
    <s v=""/>
    <d v="2026-04-02T00:00:00"/>
    <s v=""/>
    <s v=""/>
    <n v="0"/>
    <s v="현업테스터"/>
    <s v=""/>
    <s v=""/>
    <s v=""/>
    <s v=""/>
  </r>
  <r>
    <x v="9"/>
    <s v="공식통계"/>
    <s v="운항"/>
    <x v="0"/>
    <s v="AS21401S"/>
    <s v="정기/부정기 운항 현황"/>
    <s v="김경준"/>
    <d v="2026-02-06T00:00:00"/>
    <d v="2026-02-06T00:00:00"/>
    <s v="UT-AS214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701S"/>
    <s v="GD실적조회"/>
    <s v="임소정"/>
    <d v="2026-02-06T00:00:00"/>
    <d v="2026-02-06T00:00:00"/>
    <s v="UT-AS217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여객"/>
    <x v="0"/>
    <s v="AS22101S"/>
    <s v="여객 수송 통계"/>
    <s v="임소정"/>
    <d v="2026-02-06T00:00:00"/>
    <d v="2026-02-06T00:00:00"/>
    <s v="UT-AS22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화물"/>
    <x v="0"/>
    <s v="AS23401S"/>
    <s v="화물 세부분류"/>
    <s v="김경준"/>
    <d v="2026-02-13T00:00:00"/>
    <d v="2026-02-06T00:00:00"/>
    <s v="UT-AS234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6102S"/>
    <s v="LCC 실적 - 여객"/>
    <s v="김경준"/>
    <d v="2026-02-24T00:00:00"/>
    <d v="2026-02-27T13:41:29"/>
    <s v="UT-AS261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8103S"/>
    <s v="얼라이언스별 실적(항공화물)"/>
    <s v="임소정"/>
    <d v="2026-02-24T00:00:00"/>
    <d v="2026-02-27T13:45:39"/>
    <s v="UT-AS28103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401S"/>
    <s v="첨두일 상세현황(여객운송)"/>
    <s v="김경준"/>
    <d v="2026-01-09T00:00:00"/>
    <d v="2026-02-06T00:00:00"/>
    <s v="UT-AS404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39102S"/>
    <s v="첨두주 실적(여객실적)"/>
    <s v="임소정"/>
    <d v="2026-01-09T00:00:00"/>
    <d v="2026-02-06T00:00:00"/>
    <s v="UT-AS39102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805S"/>
    <s v="취항실적 - 국가별취항도시"/>
    <s v="임소정"/>
    <d v="2026-01-16T00:00:00"/>
    <d v="2026-02-06T00:00:00"/>
    <s v="UT-AS40805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1501S"/>
    <s v="취항항공사별 취항도시 실적"/>
    <s v="김경준"/>
    <d v="2026-01-16T00:00:00"/>
    <d v="2026-02-06T00:00:00"/>
    <s v="UT-AS41501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201S"/>
    <s v="기간별 주기장 사용실적"/>
    <s v="임소정"/>
    <d v="2026-01-23T00:00:00"/>
    <d v="2026-02-06T00:00:00"/>
    <s v="UT-AS42201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501S"/>
    <s v="주기장별 등급별 실적"/>
    <s v="김경준"/>
    <d v="2026-01-23T00:00:00"/>
    <d v="2026-02-06T00:00:00"/>
    <s v="UT-AS425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3501S"/>
    <s v="게이트이력보고"/>
    <s v="김경준"/>
    <d v="2026-01-30T00:00:00"/>
    <d v="2026-02-06T00:00:00"/>
    <s v="UT-AS435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1"/>
    <s v="SP_ESB_FIMSACSTDALYOPER_RCV"/>
    <s v="임소정"/>
    <d v="2026-01-23T00:00:00"/>
    <d v="2026-02-10T15:50:23"/>
    <s v="UT-AS-SP11"/>
    <s v="2차"/>
    <n v="6"/>
    <d v="2026-03-27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"/>
    <s v="SP_ESB_FIMSARCFTMVMN_RCV, 항공기이동 ESB 테이블 조회"/>
    <s v="김경준"/>
    <d v="2026-02-13T00:00:00"/>
    <d v="2026-02-10T15:50:12"/>
    <s v="UT-AS-SP1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6"/>
    <s v="SP_AS_FIMSCKNCTALOT_RCV,체크인카운터 할당데이터 ESB 테이블 이관"/>
    <s v="김경준"/>
    <d v="2026-01-23T00:00:00"/>
    <d v="2026-02-10T15:50:31"/>
    <s v="UT-AS-SP16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8"/>
    <s v="SP_AS_FIMSCRSLDALYCHG_RCV,캐로셀 일일변경 정보 ESB 테이블 이관"/>
    <s v="임소정"/>
    <d v="2026-02-24T00:00:00"/>
    <m/>
    <s v="UT-AS-SP18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현황"/>
    <s v="일반정보 현황조회"/>
    <x v="0"/>
    <s v="WESCM001S"/>
    <s v="일반정보 현황조회"/>
    <s v="김용진"/>
    <d v="2025-11-27T00:00:00"/>
    <d v="2025-11-27T10:09:12"/>
    <s v="UT-WESCM001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Request Seasonal Codeshare Flight"/>
    <x v="0"/>
    <s v="WESFP008M"/>
    <s v="Create Seasonal Codeshare Flight"/>
    <s v="김용진"/>
    <d v="2026-02-13T00:00:00"/>
    <d v="2026-02-19T08:51:10"/>
    <s v="UT-WESFP008M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48S"/>
    <s v="역할변경 이력"/>
    <s v="홍성민"/>
    <d v="2026-01-29T00:00:00"/>
    <d v="2026-01-29T18:57:50"/>
    <s v="UT-WESCASY048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자원배청차트"/>
    <s v="CIC Monthly Chart"/>
    <x v="0"/>
    <s v="WESRC002S"/>
    <s v="CIC Monthly Chart View"/>
    <s v="김용진"/>
    <d v="2026-02-12T00:00:00"/>
    <d v="2026-02-12T09:24:29"/>
    <s v="UT-WESRC002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0B"/>
    <s v="TOBT 변경 PUSH"/>
    <s v="임지훈"/>
    <d v="2026-02-13T00:00:00"/>
    <d v="2026-02-12T11:57:36"/>
    <s v="UT-ES00010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5B"/>
    <s v="A-CDM 통계 데이터 생성"/>
    <s v="임지훈"/>
    <d v="2025-07-04T00:00:00"/>
    <d v="2025-07-04T00:00:00"/>
    <s v="UT-ES00015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7B"/>
    <s v="게이트 변경 PUSH"/>
    <s v="임지훈"/>
    <d v="2026-02-13T00:00:00"/>
    <d v="2026-02-12T11:58:14"/>
    <s v="UT-ES00017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21B"/>
    <s v="런업 주기장 신청 결과 PUSH"/>
    <s v="임지훈"/>
    <d v="2026-02-13T00:00:00"/>
    <d v="2026-02-12T11:58:28"/>
    <s v="UT-ES00021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22B"/>
    <s v="정비 주기장 신청 결과 PUSH"/>
    <s v="임지훈"/>
    <d v="2026-02-26T00:00:00"/>
    <d v="2026-02-12T11:58:31"/>
    <s v="UT-ES00022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현행배정 조회"/>
    <x v="0"/>
    <s v="MESRS071S"/>
    <s v="현행배정 조회"/>
    <s v="이수빈"/>
    <d v="2026-01-30T00:00:00"/>
    <d v="2026-01-30T18:06:48"/>
    <s v="UT-MESRS071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현행배정 조회 - 상세"/>
    <x v="0"/>
    <s v="MESRS072S"/>
    <s v="현행배정 조회 상세"/>
    <s v="이수빈"/>
    <d v="2026-01-30T00:00:00"/>
    <d v="2026-01-30T18:06:51"/>
    <s v="UT-MESRS072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공용시설 신청관리 - 신청"/>
    <x v="0"/>
    <s v="MESRS083S"/>
    <s v="공용시설 신청"/>
    <s v="이수빈"/>
    <d v="2026-01-02T00:00:00"/>
    <d v="2026-01-15T14:03:52"/>
    <s v="UT-MESRS083S"/>
    <s v="2차"/>
    <n v="6"/>
    <d v="2026-03-23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공통관리"/>
    <s v="로그인"/>
    <x v="0"/>
    <s v="MESCA041M"/>
    <s v="개인정보 처리방침"/>
    <s v="김용진"/>
    <d v="2025-06-27T00:00:00"/>
    <d v="2025-06-27T00:00:00"/>
    <s v="UT-MESCA041M"/>
    <s v="2차"/>
    <n v="6"/>
    <d v="2025-07-22T00:00:00"/>
    <s v="P"/>
    <n v="0"/>
    <s v="박상기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12"/>
    <s v="Check In Counter"/>
    <s v="공용용품"/>
    <x v="0"/>
    <s v="RSCI084M"/>
    <s v="공용물품 입고/폐기"/>
    <s v="이수연"/>
    <d v="2026-02-28T00:00:00"/>
    <d v="2026-01-16T08:46:04"/>
    <s v="UT-RSCI084M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1"/>
    <s v="RS90003B"/>
    <s v="체크인카운터 할당내역 전송"/>
    <s v="김훈근"/>
    <d v="2026-01-29T00:00:00"/>
    <d v="2026-01-20T14:42:31"/>
    <s v="UT-RS90003B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1"/>
    <s v="RS90091B"/>
    <s v="공용시설 재고 정산"/>
    <s v="김훈근"/>
    <d v="2026-02-26T00:00:00"/>
    <d v="2026-02-25T14:26:04"/>
    <s v="UT-RS90091B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80"/>
    <s v="SP_RS_FIMSACSTMNTRFLT_SND,주기장 모니터링 항공편정보  "/>
    <s v="양우창"/>
    <d v="2026-01-30T00:00:00"/>
    <d v="2026-01-26T10:16:23"/>
    <s v="UT-RS-SP80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Daily schedule"/>
    <s v="Interface Message"/>
    <x v="0"/>
    <s v="FPMG049M"/>
    <s v="ADM AIHS Message Details"/>
    <s v="현영광"/>
    <d v="2026-03-13T00:00:00"/>
    <d v="2026-03-11T15:54:13"/>
    <s v="UT-FPMG049M"/>
    <s v="2차"/>
    <n v="6"/>
    <d v="2026-03-23T00:00:00"/>
    <s v="P"/>
    <n v="0"/>
    <s v="3자테스터공통"/>
    <s v="P"/>
    <d v="2026-03-31T00:00:00"/>
    <s v=""/>
    <s v=""/>
    <n v="0"/>
    <s v="송희영"/>
    <s v=""/>
    <d v="2026-04-10T00:00:00"/>
    <s v=""/>
    <s v=""/>
    <n v="0"/>
    <s v="현업테스터"/>
    <s v=""/>
    <s v=""/>
    <s v=""/>
    <s v=""/>
  </r>
  <r>
    <x v="2"/>
    <s v="공통"/>
    <s v="공통"/>
    <x v="0"/>
    <s v="FPFC052M"/>
    <s v="Load Workspace"/>
    <s v="이인용"/>
    <d v="2026-02-20T00:00:00"/>
    <d v="2026-01-28T09:56:28"/>
    <s v="UT-FPFC052M"/>
    <s v="2차"/>
    <n v="6"/>
    <d v="2026-03-26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1"/>
    <s v="SP_FP_GD_DATA_PROC,현행운항편 운송실적 메시지처리"/>
    <s v="이인용"/>
    <d v="2026-02-06T00:00:00"/>
    <d v="2026-02-05T13:15:51"/>
    <s v="UT-FP-SP171"/>
    <s v="2차"/>
    <n v="6"/>
    <d v="2026-03-26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56"/>
    <s v="SP_FP_RS_SYNCDATA_TER,자원배정정보 현행운항에 반영"/>
    <s v="이인용"/>
    <d v="2026-01-16T00:00:00"/>
    <d v="2026-01-20T09:57:54"/>
    <s v="UT-FP-SP156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66"/>
    <s v="SP_ESB_BOARDBRDGSTATPBB1_RCV,ESB PBB#1 보딩브릿지 접이현 메시지수신"/>
    <s v="이인용"/>
    <d v="2026-02-06T00:00:00"/>
    <d v="2026-01-29T11:01:51"/>
    <s v="UT-FP-SP166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1"/>
    <s v="FP00003B"/>
    <s v="DAILY CHECK작업"/>
    <s v="이인용"/>
    <d v="2026-01-30T00:00:00"/>
    <d v="2026-01-28T10:13:47"/>
    <s v="UT-FP00003B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11"/>
    <s v="SP_ESB_JNA_ADM,ESB 현행JNA ADM 메시지수신"/>
    <s v="이인용"/>
    <d v="2026-03-13T00:00:00"/>
    <d v="2026-03-06T18:01:16"/>
    <s v="UT-FP-SP211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12"/>
    <s v="SP_ESB_AIHS_ADM,ESB 현행AIHS ADM 메시지수신"/>
    <s v="이인용"/>
    <d v="2026-03-13T00:00:00"/>
    <d v="2026-03-06T18:01:54"/>
    <s v="UT-FP-SP212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3"/>
    <s v="Carousel"/>
    <s v="Carousel Chart"/>
    <x v="0"/>
    <s v="CPCR001S"/>
    <s v="Carousel Operation - Gantt Chart"/>
    <s v="이영석"/>
    <d v="2026-01-09T00:00:00"/>
    <d v="2026-01-29T18:18:29"/>
    <s v="UT-CPCR001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Check In Counter"/>
    <s v="Daily operation"/>
    <x v="0"/>
    <s v="CPCI015S"/>
    <s v="CIC Change request monitoring"/>
    <s v="이영석"/>
    <d v="2026-02-20T00:00:00"/>
    <d v="2026-02-27T17:11:15"/>
    <s v="UT-CPCI015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25"/>
    <s v="SP_CP_CRSL_DALYOPER_CHGREQ_SND,캐로셀 변경정보 요청 메시지 송신"/>
    <s v="이인용"/>
    <d v="2026-02-27T00:00:00"/>
    <d v="2026-02-11T09:14:01"/>
    <s v="UT-CP-SP25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26"/>
    <s v="SP_CP_CKNCT_DALYOPER_CHGREQ_SND,체크인카운터 변경정보 요청 메시지 송신"/>
    <s v="이인용"/>
    <d v="2026-02-27T00:00:00"/>
    <d v="2026-02-11T09:14:10"/>
    <s v="UT-CP-SP26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2"/>
    <s v="CM-SP59"/>
    <s v="SP_CM_ACDM_OPR_STS_WKLY,A-CDM 운영현황(주별) 생성"/>
    <s v="이용혁"/>
    <d v="2026-02-13T00:00:00"/>
    <d v="2025-12-29T10:31:36"/>
    <s v="UT-CM-SP59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68"/>
    <s v="SP_CM_ACDM_OPR_STS_CGO_SSN,A-CDM 운영현황(화물/반기별) 생성"/>
    <s v="이용혁"/>
    <d v="2026-02-28T00:00:00"/>
    <d v="2025-12-29T10:32:14"/>
    <s v="UT-CM-SP68"/>
    <s v="2차"/>
    <n v="6"/>
    <d v="2026-03-24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2"/>
    <s v="CM-SP70"/>
    <s v="SP_CM_ACDM_OPR_STS_PAX,A-CDM 운영현황(여객/일별) 생성"/>
    <s v="이용혁"/>
    <d v="2026-02-28T00:00:00"/>
    <d v="2025-12-29T10:32:00"/>
    <s v="UT-CM-SP70"/>
    <s v="2차"/>
    <n v="6"/>
    <d v="2026-03-25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3026B"/>
    <s v="주기장 운용성과 집계"/>
    <s v="김단호"/>
    <d v="2026-02-28T00:00:00"/>
    <d v="2025-12-15T17:04:53"/>
    <s v="UT-CM93026B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1"/>
    <s v="CM93033B"/>
    <s v="SLOT운용 성과집계"/>
    <s v="김단호"/>
    <d v="2026-02-28T00:00:00"/>
    <d v="2025-12-15T17:05:03"/>
    <s v="UT-CM93033B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준정보관리"/>
    <s v="코드관리"/>
    <x v="0"/>
    <s v="CM10007M"/>
    <s v="지상유도시간관리 "/>
    <s v="김단호"/>
    <d v="2026-02-06T00:00:00"/>
    <d v="2026-02-10T09:11:28"/>
    <s v="UT-CM10007M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5"/>
    <s v="관제현황관리"/>
    <s v="Statistics Data"/>
    <x v="0"/>
    <s v="AC06010S"/>
    <s v="DAILY CLOSING 현황 관리"/>
    <s v="안소정"/>
    <d v="2026-02-06T00:00:00"/>
    <d v="2026-03-03T09:16:17"/>
    <s v="UT-AC06010S"/>
    <s v="2차"/>
    <n v="6"/>
    <d v="2026-03-27T00:00:00"/>
    <s v="F"/>
    <n v="0"/>
    <s v="3자테스터공통"/>
    <s v="F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관제현황관리"/>
    <s v="Statistics Data"/>
    <x v="0"/>
    <s v="ACST019S"/>
    <s v="Total Taxi Time"/>
    <s v="안소정"/>
    <d v="2026-02-28T00:00:00"/>
    <d v="2026-03-06T14:24:33"/>
    <s v="UT-ACST019S"/>
    <s v="2차"/>
    <n v="6"/>
    <d v="2026-03-26T00:00:00"/>
    <s v="F"/>
    <n v="0"/>
    <s v="3자테스터공통"/>
    <s v="F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기타"/>
    <s v="기타"/>
    <x v="1"/>
    <s v="AC00001B"/>
    <s v="제빙 정보 누락 알림"/>
    <s v="안소정"/>
    <d v="2026-01-13T00:00:00"/>
    <d v="2026-01-14T10:52:07"/>
    <s v="UT-AC00001B"/>
    <s v="2차"/>
    <n v="6"/>
    <m/>
    <s v=""/>
    <n v="0"/>
    <s v="3자테스터공통"/>
    <s v=""/>
    <d v="2026-04-06T00:00:00"/>
    <s v=""/>
    <s v=""/>
    <n v="1"/>
    <s v="정진성"/>
    <s v=""/>
    <d v="2026-04-20T00:00:00"/>
    <s v=""/>
    <s v=""/>
    <n v="0"/>
    <s v="최기현"/>
    <s v=""/>
    <s v=""/>
    <s v=""/>
    <s v=""/>
  </r>
  <r>
    <x v="5"/>
    <s v="기타"/>
    <s v="기타"/>
    <x v="2"/>
    <s v="AC-SP28"/>
    <s v="SP_AC_DEICING_PHASE_RCV, 강설단계발령정보 수신처리"/>
    <s v="이용혁"/>
    <d v="2026-01-30T00:00:00"/>
    <d v="2025-12-15T17:21:08"/>
    <s v="UT-AC-SP28"/>
    <s v="2차"/>
    <n v="6"/>
    <d v="2026-03-26T00:00:00"/>
    <s v="P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6"/>
    <s v="예측정보관리"/>
    <s v="일일 시뮬레이션 결과 관리"/>
    <x v="0"/>
    <s v="PM10309S"/>
    <s v="일일 시뮬레이션 결과 출국장 혼잡도 조회"/>
    <s v="pmtbd2"/>
    <d v="2026-01-09T00:00:00"/>
    <d v="2026-03-26T17:18:39"/>
    <s v="UT-PM10309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4S"/>
    <s v="사용자 시뮬레이션 결과 체크인카운터 혼잡도 상세 조회"/>
    <s v="pmtbd2"/>
    <d v="2026-02-06T00:00:00"/>
    <d v="2025-12-09T00:00:00"/>
    <s v="UT-PM10504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8"/>
    <s v="부서별업무"/>
    <s v="통합운영센터"/>
    <x v="0"/>
    <s v="GO12940S"/>
    <s v="주기장운영현황_원격/기타"/>
    <s v="신문호"/>
    <d v="2026-01-23T00:00:00"/>
    <d v="2026-01-21T14:36:32"/>
    <s v="UT-GO12940S"/>
    <s v="2차"/>
    <n v="6"/>
    <d v="2026-03-24T00:00:00"/>
    <s v="F"/>
    <n v="0"/>
    <s v="3자테스터공통"/>
    <s v="F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301S"/>
    <s v="운항(여객/화물기) - 정기"/>
    <s v="김경준"/>
    <d v="2026-02-06T00:00:00"/>
    <d v="2026-02-06T00:00:00"/>
    <s v="UT-AS213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운항"/>
    <x v="0"/>
    <s v="AS21502S"/>
    <s v="항공기 지연현황(2023년~)"/>
    <s v="김경준"/>
    <d v="2026-02-06T00:00:00"/>
    <d v="2026-02-06T00:00:00"/>
    <s v="UT-AS215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4105S"/>
    <s v="지역별 실적(환적화물) - 경유지 기준"/>
    <s v="임소정"/>
    <d v="2026-02-13T00:00:00"/>
    <d v="2026-02-06T00:00:00"/>
    <s v="UT-AS24105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5101S"/>
    <s v="항공사별 실적(운항)"/>
    <s v="김경준"/>
    <d v="2026-02-13T00:00:00"/>
    <d v="2026-02-06T00:00:00"/>
    <s v="UT-AS25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5102S"/>
    <s v="항공사별 실적(여객)"/>
    <s v="김경준"/>
    <d v="2026-02-13T00:00:00"/>
    <d v="2026-02-06T00:00:00"/>
    <s v="UT-AS251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7102S"/>
    <s v="터미널별 실적(여객)"/>
    <s v="김경준"/>
    <d v="2026-02-24T00:00:00"/>
    <m/>
    <s v="UT-AS271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8102S"/>
    <s v="얼라이언스별 실적(여객)"/>
    <s v="임소정"/>
    <d v="2026-02-24T00:00:00"/>
    <d v="2026-02-27T13:45:35"/>
    <s v="UT-AS28102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38102S"/>
    <s v="첨두일 실적(여객실적)"/>
    <s v="임소정"/>
    <d v="2026-01-09T00:00:00"/>
    <d v="2026-02-06T00:00:00"/>
    <s v="UT-AS38102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701S"/>
    <s v="첨두일 운항 실적(도착)"/>
    <s v="김경준"/>
    <d v="2026-01-09T00:00:00"/>
    <d v="2026-02-06T00:00:00"/>
    <s v="UT-AS40701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803S"/>
    <s v="취항실적 - 취항항공사(부정기)"/>
    <s v="임소정"/>
    <d v="2026-01-16T00:00:00"/>
    <d v="2026-02-06T00:00:00"/>
    <s v="UT-AS40803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701S"/>
    <s v="주기장 이용횟수"/>
    <s v="김경준"/>
    <d v="2026-01-23T00:00:00"/>
    <d v="2026-02-06T00:00:00"/>
    <s v="UT-AS42701S"/>
    <s v="2차"/>
    <n v="6"/>
    <d v="2026-03-25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901S"/>
    <s v="주기장별 여객(화물기) 운항횟수"/>
    <s v="김경준"/>
    <d v="2026-01-23T00:00:00"/>
    <d v="2026-02-06T00:00:00"/>
    <s v="UT-AS4290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3101S"/>
    <s v="화물 주기장별 항공사별 평균주기시간"/>
    <s v="김경준"/>
    <d v="2026-01-23T00:00:00"/>
    <d v="2026-02-06T00:00:00"/>
    <s v="UT-AS43101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4"/>
    <s v="SP_AS_FIMSINARR_RCV,현행 운항스케쥴 도착편 ESB 테이블 이관"/>
    <s v="김경준"/>
    <d v="2026-01-30T00:00:00"/>
    <d v="2026-02-10T15:50:46"/>
    <s v="UT-AS-SP4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20"/>
    <s v="SP_AS_FIMSCRSLDALYOPER_RCV,캐로셀 일일운영 정보 ESB 테이블 이관"/>
    <s v="임소정"/>
    <d v="2026-02-24T00:00:00"/>
    <m/>
    <s v="UT-AS-SP20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현황"/>
    <s v="출발편 운항정보관리(New)"/>
    <x v="0"/>
    <s v="WESCM011S"/>
    <s v="출발편 운항정보관리(New)"/>
    <s v="김용진"/>
    <d v="2025-11-06T00:00:00"/>
    <d v="2025-11-06T14:16:26"/>
    <s v="UT-WESCM011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44S"/>
    <s v="푸시 메시지 이력"/>
    <s v="홍성민"/>
    <d v="2026-01-29T00:00:00"/>
    <d v="2026-01-29T17:36:01"/>
    <s v="UT-WESCASY044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49S"/>
    <s v="접속자 이력"/>
    <s v="홍성민"/>
    <d v="2026-01-29T00:00:00"/>
    <d v="2026-01-29T17:36:17"/>
    <s v="UT-WESCASY049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공통관리"/>
    <s v="시스템운영관리"/>
    <x v="0"/>
    <s v="WESCASY052S"/>
    <s v="보고서 출력 이력"/>
    <s v="홍성민"/>
    <d v="2026-01-29T00:00:00"/>
    <d v="2026-01-29T17:36:54"/>
    <s v="UT-WESCASY052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30"/>
    <s v="SP_ES_FIMSREFINFOES_RCV,외부 FIMS_CA 참조정보 데이터 저장"/>
    <s v="김용진"/>
    <d v="2025-08-28T00:00:00"/>
    <d v="2026-02-12T12:06:04"/>
    <s v="UT-ES-SP30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78"/>
    <s v="FN_AC_GET_TIME_DIFF, 시간차이 조회"/>
    <s v="김용진"/>
    <d v="2026-01-29T00:00:00"/>
    <d v="2026-01-28T11:12:47"/>
    <s v="UT-ES-SP178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자원배정"/>
    <s v="Change Request Monitoring - 상세"/>
    <x v="0"/>
    <s v="MESRS062S"/>
    <s v="Change Request Monitoring 상세"/>
    <s v="이수빈"/>
    <d v="2026-01-09T00:00:00"/>
    <d v="2025-12-23T09:51:45"/>
    <s v="UT-MESRS062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공통관리"/>
    <s v="계정신청"/>
    <x v="0"/>
    <s v="MESCA401S"/>
    <s v="사용자 계정 신청"/>
    <s v="이수빈"/>
    <d v="2026-02-12T00:00:00"/>
    <d v="2026-02-12T10:35:23"/>
    <s v="UT-MESCA401S"/>
    <s v="2차"/>
    <n v="6"/>
    <d v="2026-03-23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Check In Counter"/>
    <s v="공용용품"/>
    <x v="0"/>
    <s v="RSCI080S"/>
    <s v="공용물품관리"/>
    <s v="이수연"/>
    <d v="2026-01-29T00:00:00"/>
    <d v="2026-01-16T08:45:37"/>
    <s v="UT-RSCI080S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Stand Chart"/>
    <s v="Etc"/>
    <x v="0"/>
    <s v="RSPK035M"/>
    <s v="Restricted Aircraft list"/>
    <s v="장동혁"/>
    <d v="2026-02-12T00:00:00"/>
    <d v="2026-02-12T10:33:57"/>
    <s v="UT-RSPK035M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46"/>
    <s v="SP_RS_CRS_ASN_APPLY, 캐로셀 자동배정 결과 반영"/>
    <s v="유경섭"/>
    <d v="2026-01-29T00:00:00"/>
    <d v="2026-01-15T18:35:36"/>
    <s v="UT-RS-SP46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기타"/>
    <s v="기타"/>
    <x v="2"/>
    <s v="RS-SP78"/>
    <s v="SP_RS_FIMSACSTMEMO_SND,주기장 메모데이터  "/>
    <s v="양우창"/>
    <d v="2026-01-30T00:00:00"/>
    <d v="2026-01-26T10:12:38"/>
    <s v="UT-RS-SP78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2"/>
    <s v="RS-SP79"/>
    <s v="SP_RS_FIMSACSTALNMPNG_SND,주기장 항공사 매핑정보  "/>
    <s v="양우창"/>
    <d v="2026-01-30T00:00:00"/>
    <d v="2026-01-26T10:15:41"/>
    <s v="UT-RS-SP79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기타"/>
    <s v="기타"/>
    <x v="2"/>
    <s v="RS-SP86"/>
    <s v="SP_RS_FIMSCRSLDALYCHG_SND,캐로셀 일일변경 정보  "/>
    <s v="양우창"/>
    <d v="2026-01-30T00:00:00"/>
    <d v="2026-01-26T10:21:33"/>
    <s v="UT-RS-SP86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4"/>
    <s v="기타기능"/>
    <s v="기타 설정 관리"/>
    <x v="0"/>
    <s v="SLOTOF005S"/>
    <s v="코디네이터별 접근 권한 관리 기능"/>
    <s v="서창민"/>
    <d v="2025-12-05T00:00:00"/>
    <d v="2025-11-21T17:15:44"/>
    <s v="UT-SLOTOF005S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"/>
    <s v="기타"/>
    <s v="기타"/>
    <x v="2"/>
    <s v="CA-SP28"/>
    <s v="SP_ESB_CHKINPGTMPLTFID2_RCV, FIDS#2 ESB 체크인페이지 메시지 수신 처리"/>
    <s v="김명준"/>
    <d v="2025-11-20T00:00:00"/>
    <d v="2026-01-08T15:33:57"/>
    <s v="UT-CA-SP28"/>
    <s v="2차"/>
    <n v="6"/>
    <d v="2026-03-27T00:00:00"/>
    <s v="P"/>
    <n v="0"/>
    <s v="3자테스터공통"/>
    <s v="P"/>
    <d v="2026-04-06T00:00:00"/>
    <s v=""/>
    <s v=""/>
    <n v="0"/>
    <s v="장수정"/>
    <s v=""/>
    <d v="2026-04-20T00:00:00"/>
    <s v=""/>
    <s v=""/>
    <n v="0"/>
    <s v="현업테스터"/>
    <s v=""/>
    <s v=""/>
    <s v=""/>
    <s v=""/>
  </r>
  <r>
    <x v="2"/>
    <s v="기타"/>
    <s v="기타"/>
    <x v="2"/>
    <s v="FP-SP157"/>
    <s v="SP_FP_DALY_DAILY_CHECK,현행운항정보 실시간 변경"/>
    <s v="이인용"/>
    <d v="2026-01-16T00:00:00"/>
    <d v="2026-01-20T09:58:08"/>
    <s v="UT-FP-SP157"/>
    <s v="2차"/>
    <n v="6"/>
    <d v="2026-03-24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70"/>
    <s v="SP_ESB_GD_DATA_RCV,현행운항편 운송실적 메시지수신"/>
    <s v="이인용"/>
    <d v="2026-02-06T00:00:00"/>
    <d v="2026-02-05T13:15:40"/>
    <s v="UT-FP-SP170"/>
    <s v="2차"/>
    <n v="6"/>
    <d v="2026-03-26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1"/>
    <s v="FP00002B"/>
    <s v="현행도착출발마감"/>
    <s v="이인용"/>
    <d v="2026-01-23T00:00:00"/>
    <d v="2026-01-20T10:00:27"/>
    <s v="UT-FP00002B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3"/>
    <s v="FP-IF1"/>
    <s v="afsArr_api,FP_현행운항도착정보연계"/>
    <s v="현영광"/>
    <d v="2026-02-13T00:00:00"/>
    <d v="2026-03-12T09:18:50"/>
    <s v="UT-FP-IF1"/>
    <s v="2차"/>
    <n v="6"/>
    <m/>
    <s v=""/>
    <n v="0"/>
    <s v="3자테스터공통"/>
    <s v="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192"/>
    <s v="SP_ESB_BOARDBRDGSTATPBB4_RCV,ESB PBB#4 보딩브릿지 접이현 메시지수신"/>
    <s v="이인용"/>
    <d v="2026-02-06T00:00:00"/>
    <d v="2026-01-29T11:00:18"/>
    <s v="UT-FP-SP192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2"/>
    <s v="기타"/>
    <s v="기타"/>
    <x v="2"/>
    <s v="FP-SP213"/>
    <s v="SP_FP_JNA_ADM_RCV,현행JNA ADM 메시지처리"/>
    <s v="이인용"/>
    <d v="2026-03-13T00:00:00"/>
    <d v="2026-03-06T18:02:23"/>
    <s v="UT-FP-SP213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기타"/>
    <s v="기타"/>
    <x v="2"/>
    <s v="FP-SP214"/>
    <s v="SP_FP_AIHS_ADM_RCV,현행AIHS ADM 메시지처리"/>
    <s v="이인용"/>
    <d v="2026-03-13T00:00:00"/>
    <d v="2026-03-06T18:02:40"/>
    <s v="UT-FP-SP214"/>
    <s v="2차"/>
    <n v="6"/>
    <d v="2026-03-25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2"/>
    <s v="Seasonal schedule"/>
    <s v="Seasonal Flight List"/>
    <x v="0"/>
    <s v="FPFS003R"/>
    <s v="Season Arrival/Departure Flight Schedule List"/>
    <s v="현영광"/>
    <d v="2026-02-20T00:00:00"/>
    <d v="2026-02-11T08:59:09"/>
    <s v="UT-FPFS003R"/>
    <s v="2차"/>
    <n v="6"/>
    <d v="2026-03-24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3"/>
    <s v="Carousel Chart"/>
    <s v="Bar"/>
    <x v="0"/>
    <s v="CPCR017M"/>
    <s v="Register Monitoring Flight"/>
    <s v="이영석"/>
    <d v="2026-01-16T00:00:00"/>
    <d v="2026-01-29T18:19:13"/>
    <s v="UT-CPCR017M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30"/>
    <s v="SP_ESB_FIMSACDMGRNDTXNGHRCRTR_RCV,지상유도시간기준정보 메시지 수신처리"/>
    <s v="이인용"/>
    <d v="2026-03-13T00:00:00"/>
    <d v="2026-03-12T15:43:00"/>
    <s v="UT-CP-SP30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34"/>
    <s v="SP_CP_CKNCTDALYALOTCHGREQ_SND,체크인현행할당변경요청 메시지송신"/>
    <s v="이인용"/>
    <d v="2026-03-13T00:00:00"/>
    <d v="2026-03-17T16:21:35"/>
    <s v="UT-CP-SP34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22"/>
    <s v="SP_ESB_FIMSREFINFOES_RCV,FIMS 공통코드 참조 정보 메시지 메시지 수신처리"/>
    <s v="이인용"/>
    <d v="2026-02-06T00:00:00"/>
    <d v="2025-12-04T09:24:16"/>
    <s v="UT-CP-SP22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3"/>
    <s v="기타"/>
    <s v="기타"/>
    <x v="2"/>
    <s v="CP-SP27"/>
    <s v="SP_CP_ARCFTMVMN_CHGREQ_SND,항공기 이동시간 변경정보 요청 메시지 송신"/>
    <s v="이인용"/>
    <d v="2026-02-27T00:00:00"/>
    <d v="2026-02-11T09:14:19"/>
    <s v="UT-CP-SP27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기타"/>
    <s v="기타"/>
    <x v="3"/>
    <s v="CM-IF2"/>
    <s v="FltAcdmMlstnArrAPI,도착편 마일스톤 송신 API"/>
    <s v="김단호"/>
    <d v="2026-02-28T00:00:00"/>
    <d v="2026-03-17T17:04:32"/>
    <s v="UT-CM-IF2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4"/>
    <s v="기타"/>
    <s v="기타"/>
    <x v="3"/>
    <s v="CM-IF3"/>
    <s v="API_CM_IIF_AFS_RCV, 출/도착편 운항정보 내부인터페이스 수신 API"/>
    <s v="김단호"/>
    <d v="2026-01-23T00:00:00"/>
    <d v="2026-02-09T15:25:28"/>
    <s v="UT-CM-IF3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4"/>
    <s v="마일스톤시간관리"/>
    <s v="출발편마일스톤관리"/>
    <x v="0"/>
    <s v="CM20026M"/>
    <s v="SMS전송관리(CM)"/>
    <s v="김은정"/>
    <d v="2026-02-06T00:00:00"/>
    <d v="2026-02-02T14:38:29"/>
    <s v="UT-CM20026M"/>
    <s v="2차"/>
    <n v="6"/>
    <d v="2026-03-23T00:00:00"/>
    <s v="P"/>
    <n v="0"/>
    <s v="3자테스터공통"/>
    <s v="P"/>
    <d v="2026-04-06T00:00:00"/>
    <s v=""/>
    <s v=""/>
    <n v="0"/>
    <s v="장세민"/>
    <s v=""/>
    <d v="2026-04-20T00:00:00"/>
    <s v=""/>
    <s v=""/>
    <n v="0"/>
    <s v="현업테스터"/>
    <s v=""/>
    <s v=""/>
    <s v=""/>
    <s v=""/>
  </r>
  <r>
    <x v="5"/>
    <s v="관제업무설정"/>
    <s v="Setting"/>
    <x v="0"/>
    <s v="AC08018S"/>
    <s v="DE-ICING PHASE TIME"/>
    <s v="안소정"/>
    <d v="2026-02-28T00:00:00"/>
    <d v="2026-01-26T09:10:53"/>
    <s v="UT-AC08018S"/>
    <s v="2차"/>
    <n v="6"/>
    <d v="2026-03-26T00:00:00"/>
    <s v="F"/>
    <n v="0"/>
    <s v="3자테스터공통"/>
    <s v="F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관제현황관리"/>
    <s v="Statistics Data"/>
    <x v="0"/>
    <s v="AC06005S"/>
    <s v="RUN-UP"/>
    <s v="안소정"/>
    <d v="2026-01-22T00:00:00"/>
    <d v="2026-01-29T14:11:01"/>
    <s v="UT-AC06005S"/>
    <s v="2차"/>
    <n v="6"/>
    <d v="2026-03-27T00:00:00"/>
    <s v="F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5"/>
    <s v="관제현황관리"/>
    <s v="Statistics Data"/>
    <x v="0"/>
    <s v="AC06009S"/>
    <s v="ROUTE SEPARATION"/>
    <s v="안소정"/>
    <d v="2026-01-20T00:00:00"/>
    <d v="2026-01-29T14:10:13"/>
    <s v="UT-AC06009S"/>
    <s v="2차"/>
    <n v="6"/>
    <d v="2026-03-27T00:00:00"/>
    <s v="P"/>
    <n v="0"/>
    <s v="3자테스터공통"/>
    <s v="P"/>
    <d v="2026-04-06T00:00:00"/>
    <s v=""/>
    <s v=""/>
    <n v="0"/>
    <s v="정진성"/>
    <s v=""/>
    <d v="2026-04-20T00:00:00"/>
    <s v=""/>
    <s v=""/>
    <n v="0"/>
    <s v="최기현"/>
    <s v=""/>
    <s v=""/>
    <s v=""/>
    <s v=""/>
  </r>
  <r>
    <x v="6"/>
    <s v="예측정보관리"/>
    <s v="일일 시뮬레이션 결과 관리"/>
    <x v="0"/>
    <s v="PM10303S"/>
    <s v="일일 시뮬레이션 결과 체크인카운터 혼잡도 조회"/>
    <s v="pmtbd2"/>
    <d v="2025-12-26T00:00:00"/>
    <d v="2026-03-26T06:01:58"/>
    <s v="UT-PM10303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일일 시뮬레이션 결과 관리"/>
    <x v="0"/>
    <s v="PM10308S"/>
    <s v="일일 시뮬레이션 결과 셀프체크인/백드롭 혼잡도 차트 조회"/>
    <s v="pmtbd3"/>
    <d v="2025-12-26T00:00:00"/>
    <d v="2025-12-08T00:00:00"/>
    <s v="UT-PM10308S"/>
    <s v="2차"/>
    <n v="6"/>
    <d v="2026-03-26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6"/>
    <s v="예측정보관리"/>
    <s v="사용자 정의 시뮬레이션 결과 관리"/>
    <x v="0"/>
    <s v="PM10509S"/>
    <s v="사용자 시뮬레이션 결과 출국장 혼잡도 조회"/>
    <s v="pmtbd2"/>
    <d v="2026-02-20T00:00:00"/>
    <d v="2026-03-26T17:18:50"/>
    <s v="UT-PM10509S"/>
    <s v="2차"/>
    <n v="6"/>
    <d v="2026-03-26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7"/>
    <s v="항공보안"/>
    <s v="EOD 현장관리"/>
    <x v="0"/>
    <s v="FSEX090M"/>
    <s v="검측지원현황 등록"/>
    <s v="임소정"/>
    <d v="2026-04-03T00:00:00"/>
    <m/>
    <s v="UT-FSEX090M"/>
    <s v="2차"/>
    <n v="6"/>
    <m/>
    <s v=""/>
    <n v="0"/>
    <s v="3자테스터공통"/>
    <s v=""/>
    <d v="2026-04-06T00:00:00"/>
    <s v=""/>
    <s v=""/>
    <n v="0"/>
    <s v="장수정"/>
    <s v=""/>
    <d v="2026-04-09T00:00:00"/>
    <s v=""/>
    <s v=""/>
    <n v="0"/>
    <s v="현업테스터"/>
    <s v=""/>
    <s v=""/>
    <s v=""/>
    <s v=""/>
  </r>
  <r>
    <x v="7"/>
    <s v="항공보안"/>
    <s v="EOD 현장관리"/>
    <x v="0"/>
    <s v="FSEY043E"/>
    <s v="검측현황 조회"/>
    <s v="임소정"/>
    <d v="2026-04-03T00:00:00"/>
    <m/>
    <s v="UT-FSEY043E"/>
    <s v="2차"/>
    <n v="6"/>
    <m/>
    <s v=""/>
    <n v="0"/>
    <s v="3자테스터공통"/>
    <s v=""/>
    <d v="2026-04-08T00:00:00"/>
    <s v=""/>
    <s v=""/>
    <n v="0"/>
    <s v="장수정"/>
    <s v=""/>
    <d v="2026-04-09T00:00:00"/>
    <s v=""/>
    <s v=""/>
    <n v="0"/>
    <s v="현업테스터"/>
    <s v=""/>
    <s v=""/>
    <s v=""/>
    <s v=""/>
  </r>
  <r>
    <x v="8"/>
    <s v="부서별업무"/>
    <s v="계류장운영팀"/>
    <x v="0"/>
    <s v="GO12805S"/>
    <s v="주기장 장기점유"/>
    <s v="김경준"/>
    <d v="2026-01-09T00:00:00"/>
    <d v="2026-01-05T11:33:49"/>
    <s v="UT-GO12805S"/>
    <s v="2차"/>
    <n v="6"/>
    <d v="2026-03-24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통합운영센터"/>
    <x v="0"/>
    <s v="GO12902S"/>
    <s v="노선별운항편정보"/>
    <s v="김경준"/>
    <d v="2026-01-09T00:00:00"/>
    <d v="2026-01-07T16:19:18"/>
    <s v="UT-GO12902S"/>
    <s v="2차"/>
    <n v="6"/>
    <d v="2026-03-24T00:00:00"/>
    <s v="P"/>
    <n v="0"/>
    <s v="3자테스터공통"/>
    <s v="P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부서별업무"/>
    <s v="통합운영센터"/>
    <x v="0"/>
    <s v="GO12938S"/>
    <s v="주기장운영현황_T2"/>
    <s v="신문호"/>
    <d v="2026-01-23T00:00:00"/>
    <d v="2026-01-21T14:35:49"/>
    <s v="UT-GO12938S"/>
    <s v="2차"/>
    <n v="6"/>
    <d v="2026-03-24T00:00:00"/>
    <s v="F"/>
    <n v="0"/>
    <s v="3자테스터공통"/>
    <s v="F"/>
    <d v="2026-04-06T00:00:00"/>
    <s v=""/>
    <s v=""/>
    <n v="0"/>
    <s v="홍석일"/>
    <s v=""/>
    <d v="2026-04-20T00:00:00"/>
    <s v=""/>
    <s v=""/>
    <n v="0"/>
    <s v="현업테스터"/>
    <s v=""/>
    <s v=""/>
    <s v=""/>
    <s v=""/>
  </r>
  <r>
    <x v="8"/>
    <s v="기타"/>
    <s v="기타"/>
    <x v="2"/>
    <s v="GO-SP996"/>
    <s v="SP_GO_GD_DATA_FP_FIMSIArr, GO_GD_DATA 생성-FP FIMSInArr 운항계획정보 반영"/>
    <s v="신문호"/>
    <d v="2026-02-27T00:00:00"/>
    <d v="2026-02-26T00:00:00"/>
    <s v="UT-GO-SP996"/>
    <s v="2차"/>
    <n v="6"/>
    <d v="2026-03-27T00:00:00"/>
    <s v="F"/>
    <n v="0"/>
    <s v="3자테스터공통"/>
    <s v="F"/>
    <d v="2026-03-31T00:00:00"/>
    <s v=""/>
    <s v=""/>
    <n v="0"/>
    <s v="홍석일"/>
    <s v=""/>
    <d v="2026-04-02T00:00:00"/>
    <s v=""/>
    <s v=""/>
    <n v="0"/>
    <s v="현업테스터"/>
    <s v=""/>
    <s v=""/>
    <s v=""/>
    <s v=""/>
  </r>
  <r>
    <x v="8"/>
    <s v="기타"/>
    <s v="기타"/>
    <x v="2"/>
    <s v="GO-SP997"/>
    <s v="SP_GO_GD_DATA_FP_FIMSInDep, GO_GD_DATA 생성-FP FIMSInDep 운항계획정보 반영"/>
    <s v="신문호"/>
    <d v="2026-02-27T00:00:00"/>
    <d v="2026-02-26T00:00:00"/>
    <s v="UT-GO-SP997"/>
    <s v="2차"/>
    <n v="6"/>
    <d v="2026-03-27T00:00:00"/>
    <s v="F"/>
    <n v="0"/>
    <s v="3자테스터공통"/>
    <s v="F"/>
    <d v="2026-03-31T00:00:00"/>
    <s v=""/>
    <s v=""/>
    <n v="0"/>
    <s v="홍석일"/>
    <s v=""/>
    <d v="2026-04-02T00:00:00"/>
    <s v=""/>
    <s v=""/>
    <n v="0"/>
    <s v="현업테스터"/>
    <s v=""/>
    <s v=""/>
    <s v=""/>
    <s v=""/>
  </r>
  <r>
    <x v="9"/>
    <s v="공식통계"/>
    <s v="여객"/>
    <x v="0"/>
    <s v="AS22201S"/>
    <s v="내외국인(법무부자료)"/>
    <s v="임소정"/>
    <d v="2026-02-06T00:00:00"/>
    <d v="2026-02-06T00:00:00"/>
    <s v="UT-AS222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화물"/>
    <x v="0"/>
    <s v="AS23201S"/>
    <s v="환적화물"/>
    <s v="김경준"/>
    <d v="2026-02-13T00:00:00"/>
    <d v="2026-02-06T00:00:00"/>
    <s v="UT-AS232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9101S"/>
    <s v="김포공항실적"/>
    <s v="임소정"/>
    <d v="2026-02-24T00:00:00"/>
    <m/>
    <s v="UT-AS29101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공식통계"/>
    <s v="세부분류"/>
    <x v="0"/>
    <s v="AS25105S"/>
    <s v="항공사별 실적(환적화물)"/>
    <s v="김경준"/>
    <d v="2026-02-13T00:00:00"/>
    <d v="2026-02-06T00:00:00"/>
    <s v="UT-AS25105S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첨두"/>
    <x v="0"/>
    <s v="AS40102S"/>
    <s v="첨두월 실적(여객실적)"/>
    <s v="임소정"/>
    <d v="2026-01-09T00:00:00"/>
    <d v="2026-02-06T00:00:00"/>
    <s v="UT-AS40102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취항"/>
    <x v="0"/>
    <s v="AS40902S"/>
    <s v="운휴,단항,복항 현황(취항 항공사 기준)"/>
    <s v="임소정"/>
    <d v="2026-01-16T00:00:00"/>
    <d v="2026-02-06T00:00:00"/>
    <s v="UT-AS40902S"/>
    <s v="2차"/>
    <n v="6"/>
    <d v="2026-03-25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주제별 통계"/>
    <s v="주기장/캐로셀"/>
    <x v="0"/>
    <s v="AS42601S"/>
    <s v="주기장별 실적"/>
    <s v="김경준"/>
    <d v="2026-01-23T00:00:00"/>
    <d v="2026-02-06T00:00:00"/>
    <s v="UT-AS42601S"/>
    <s v="2차"/>
    <n v="6"/>
    <d v="2026-03-25T00:00:00"/>
    <s v="F"/>
    <n v="0"/>
    <s v="3자테스터공통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13"/>
    <s v="SP_ESB_FIMSACSTLATERALALARM_RCV,주기장 레터럴 변경정보 ESB 테이블 조회"/>
    <s v="임소정"/>
    <d v="2026-01-23T00:00:00"/>
    <d v="2026-02-10T15:50:20"/>
    <s v="UT-AS-SP13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6"/>
    <s v="SP_AS_FIMSINDEP_RCV,현행 운항스케쥴 출발편 ESB 테이블 이관"/>
    <s v="김경준"/>
    <d v="2026-01-30T00:00:00"/>
    <d v="2026-02-10T15:50:52"/>
    <s v="UT-AS-SP6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9"/>
    <s v="SP_ESB_SFSDEP_RCV,반기 운항스케줄 출발편 ESB 테이블 조회"/>
    <s v="김경준"/>
    <d v="2026-02-06T00:00:00"/>
    <d v="2026-02-10T15:51:00"/>
    <s v="UT-AS-SP9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9"/>
    <s v="기타"/>
    <s v=""/>
    <x v="2"/>
    <s v="AS-SP24"/>
    <s v="SP_AS_FIMSRSRCGROUPMPNG_RCV,자원그룹매핑정보 ESB 테이블 이관"/>
    <s v="임소정"/>
    <d v="2026-02-06T00:00:00"/>
    <d v="2026-02-10T15:50:41"/>
    <s v="UT-AS-SP24"/>
    <s v="2차"/>
    <n v="6"/>
    <d v="2026-03-27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Request Seasonal Codeshare Flight"/>
    <x v="0"/>
    <s v="WESFP001S"/>
    <s v="Request Seasonal Codeshare Flight"/>
    <s v="김용진"/>
    <d v="2026-01-30T00:00:00"/>
    <d v="2026-01-30T09:35:11"/>
    <s v="UT-WESFP001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Request Seasonal Codeshare Flight"/>
    <x v="0"/>
    <s v="WESFP009M"/>
    <s v="Upload Seasonal Codeshare flight"/>
    <s v="김용진"/>
    <d v="2026-02-13T00:00:00"/>
    <d v="2026-02-19T08:51:16"/>
    <s v="UT-WESFP009M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Request Airline ASM Link"/>
    <x v="0"/>
    <s v="WESFP002S"/>
    <s v="Request Airline ASM Link"/>
    <s v="김용진"/>
    <d v="2026-01-16T00:00:00"/>
    <d v="2026-01-07T08:59:37"/>
    <s v="UT-WESFP002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운항계획"/>
    <s v="Active Flight Schedule for others"/>
    <x v="0"/>
    <s v="WESFP004S"/>
    <s v="Active Flight Schedule for others"/>
    <s v="김용진"/>
    <d v="2026-01-09T00:00:00"/>
    <d v="2026-01-07T08:59:09"/>
    <s v="UT-WESFP004S"/>
    <s v="2차"/>
    <n v="6"/>
    <d v="2026-03-24T00:00:00"/>
    <s v="F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자원배정"/>
    <s v="공용시설 신청"/>
    <x v="0"/>
    <s v="WESRS018S"/>
    <s v="공용시설 신청"/>
    <s v="홍성민"/>
    <d v="2026-03-12T00:00:00"/>
    <d v="2026-03-06T10:26:04"/>
    <s v="UT-WESRS018S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0"/>
    <s v="기타"/>
    <s v="기타"/>
    <x v="2"/>
    <s v="ES-SP177"/>
    <s v="SP_ES_FIMSELECFLTINFO_RCV,외부 FIMS_AC 전자운항정보 데이터 저장"/>
    <s v="김용진"/>
    <d v="2026-01-29T00:00:00"/>
    <d v="2026-01-28T14:18:44"/>
    <s v="UT-ES-SP177"/>
    <s v="2차"/>
    <n v="6"/>
    <d v="2026-03-24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5B"/>
    <s v="TSAT 취소 PUSH"/>
    <s v="임지훈"/>
    <d v="2026-02-13T00:00:00"/>
    <d v="2026-02-12T11:57:24"/>
    <s v="UT-ES00005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6B"/>
    <s v="TSAT 5분전 PUSH"/>
    <s v="임지훈"/>
    <d v="2026-02-13T00:00:00"/>
    <d v="2026-02-12T11:57:27"/>
    <s v="UT-ES00006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1B"/>
    <s v="TOBT 확인 PUSH"/>
    <s v="임지훈"/>
    <d v="2026-02-13T00:00:00"/>
    <d v="2026-02-12T11:57:39"/>
    <s v="UT-ES00011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2B"/>
    <s v="TOBT 취소 PUSH"/>
    <s v="임지훈"/>
    <d v="2026-02-13T00:00:00"/>
    <d v="2026-02-12T11:57:41"/>
    <s v="UT-ES00012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3B"/>
    <s v="EEZT 취소 PUSH"/>
    <s v="임지훈"/>
    <d v="2026-02-13T00:00:00"/>
    <d v="2026-02-12T11:57:44"/>
    <s v="UT-ES00013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19B"/>
    <s v="현행배정 신청 결과 PUSH"/>
    <s v="임지훈"/>
    <d v="2026-02-27T00:00:00"/>
    <d v="2026-02-12T11:58:22"/>
    <s v="UT-ES00019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기타"/>
    <s v="기타"/>
    <x v="1"/>
    <s v="ES00001B"/>
    <s v="TOBT 40분전 PUSH"/>
    <s v="임지훈"/>
    <d v="2026-02-13T00:00:00"/>
    <d v="2026-02-12T11:56:57"/>
    <s v="UT-ES00001B"/>
    <s v="2차"/>
    <n v="6"/>
    <m/>
    <s v=""/>
    <n v="0"/>
    <s v="3자테스터공통"/>
    <s v="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관리기능"/>
    <s v="A-CDM 통계관리"/>
    <x v="0"/>
    <s v="MESMF201S"/>
    <s v="A-CDM 통계"/>
    <s v="임지훈"/>
    <d v="2025-07-25T00:00:00"/>
    <d v="2025-10-01T14:10:20"/>
    <s v="UT-MESMF201S"/>
    <s v="2차"/>
    <n v="6"/>
    <d v="2026-03-25T00:00:00"/>
    <s v="F"/>
    <n v="0"/>
    <s v="박상기"/>
    <s v="F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1"/>
    <s v="공통관리"/>
    <s v="계정신청"/>
    <x v="0"/>
    <s v="MESCA402S"/>
    <s v="사용자 계정 조회/변경/해지신청"/>
    <s v="이수빈"/>
    <d v="2026-02-19T00:00:00"/>
    <d v="2026-02-19T14:22:45"/>
    <s v="UT-MESCA402S"/>
    <s v="2차"/>
    <n v="6"/>
    <d v="2026-03-23T00:00:00"/>
    <s v="P"/>
    <n v="0"/>
    <s v="3자테스터공통"/>
    <s v="P"/>
    <d v="2026-04-06T00:00:00"/>
    <s v=""/>
    <s v=""/>
    <n v="0"/>
    <s v="공사테스터"/>
    <s v=""/>
    <d v="2026-04-20T00:00:00"/>
    <s v=""/>
    <s v=""/>
    <n v="0"/>
    <s v="현업테스터"/>
    <s v=""/>
    <s v=""/>
    <s v=""/>
    <s v=""/>
  </r>
  <r>
    <x v="12"/>
    <s v="Stand"/>
    <s v="Operation"/>
    <x v="0"/>
    <s v="RSPK064S"/>
    <s v="Stand Congestion Alert"/>
    <s v="장동혁"/>
    <d v="2026-01-15T00:00:00"/>
    <d v="2026-01-15T13:03:33"/>
    <s v="UT-RSPK064S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Stand"/>
    <s v="Operation"/>
    <x v="0"/>
    <s v="RSPK044S"/>
    <s v="Daily Operation Report"/>
    <s v="장동혁"/>
    <d v="2026-02-12T00:00:00"/>
    <d v="2026-02-12T10:34:04"/>
    <s v="UT-RSPK044S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2"/>
    <s v="Stand Chart"/>
    <s v="Plan"/>
    <x v="0"/>
    <s v="RSPK029M"/>
    <s v="Stand Opertation History"/>
    <s v="장동혁"/>
    <d v="2026-01-29T00:00:00"/>
    <d v="2026-01-29T14:35:36"/>
    <s v="UT-RSPK029M"/>
    <s v="2차"/>
    <n v="6"/>
    <d v="2026-03-23T00:00:00"/>
    <s v="F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4"/>
    <s v="공항정보 관리"/>
    <s v="사용자 설정 정보 관리"/>
    <x v="0"/>
    <s v="SLOTAI006S"/>
    <s v="작업 세션 정보 관리"/>
    <s v="서창민"/>
    <d v="2025-12-20T00:00:00"/>
    <d v="2025-12-26T12:33:52"/>
    <s v="UT-SLOTAI006S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4"/>
    <s v="공항정보 관리"/>
    <s v="사용자 설정 정보 관리"/>
    <x v="0"/>
    <s v="SLOTAI007S"/>
    <s v="사용자 정의 화면 뷰 관리"/>
    <s v="서창민"/>
    <d v="2025-12-30T00:00:00"/>
    <d v="2025-12-19T17:18:51"/>
    <s v="UT-SLOTAI007S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  <r>
    <x v="14"/>
    <s v="기타기능"/>
    <s v="기타 스케쥴 관리"/>
    <x v="0"/>
    <s v="SLOTOF003M"/>
    <s v="베이스라인 및 라이브 스케쥴 압축"/>
    <s v="서창민"/>
    <d v="2025-12-30T00:00:00"/>
    <d v="2026-01-13T09:24:03"/>
    <s v="UT-SLOTOF003M"/>
    <s v="2차"/>
    <n v="6"/>
    <d v="2026-03-23T00:00:00"/>
    <s v="P"/>
    <n v="0"/>
    <s v="3자테스터공통"/>
    <s v="P"/>
    <d v="2026-04-06T00:00:00"/>
    <s v=""/>
    <s v=""/>
    <n v="0"/>
    <s v="송희영"/>
    <s v=""/>
    <d v="2026-04-20T00:00:00"/>
    <s v=""/>
    <s v=""/>
    <n v="0"/>
    <s v="현업테스터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s v="UT-ES-SP127"/>
    <x v="0"/>
    <x v="0"/>
    <s v="DEF-02389"/>
    <s v="[X_1] 단위 테스트 시나리오 및 테스트 데이터 필요_x000a_(오 입력입니다. 해당 건은 정상처리 부탁드립니다.)"/>
    <s v="임지훈"/>
    <x v="0"/>
    <s v="개선/변경"/>
    <s v="문서화"/>
    <s v="결함등록기각"/>
    <x v="0"/>
    <x v="0"/>
    <s v="테스트 결과 값 오류"/>
    <x v="0"/>
  </r>
  <r>
    <s v="UT-FP-SP189"/>
    <x v="0"/>
    <x v="1"/>
    <s v="DEF-02465"/>
    <s v="[S_1] 테이블이 존재하지 않음"/>
    <s v="장경진"/>
    <x v="0"/>
    <s v="결함"/>
    <s v="데이터"/>
    <s v="결함등록기각"/>
    <x v="0"/>
    <x v="0"/>
    <s v="개선/변경 또는 신규 요청"/>
    <x v="1"/>
  </r>
  <r>
    <s v="UT-FP-SP188"/>
    <x v="0"/>
    <x v="1"/>
    <s v="DEF-02464"/>
    <s v="[S_1] 테이블 자체가 존재하지않음"/>
    <s v="장경진"/>
    <x v="0"/>
    <s v="결함"/>
    <s v="데이터"/>
    <s v="결함등록기각"/>
    <x v="0"/>
    <x v="0"/>
    <s v="개선/변경 또는 신규 요청"/>
    <x v="1"/>
  </r>
  <r>
    <s v="UT-FP-SP187"/>
    <x v="0"/>
    <x v="1"/>
    <s v="DEF-02445"/>
    <s v="[S_1][S_2][S_3] 데이터가 존재하지않음"/>
    <s v="장경진"/>
    <x v="0"/>
    <s v="결함"/>
    <s v="데이터"/>
    <s v="결함등록기각"/>
    <x v="1"/>
    <x v="0"/>
    <s v="화면 로딩 불가"/>
    <x v="2"/>
  </r>
  <r>
    <s v="UT-MESAC016S"/>
    <x v="0"/>
    <x v="2"/>
    <s v="DEF-02236"/>
    <s v="[S_2-1] 검색 필터링에 아래와 같은 포맷도 문자열이 입력되어야함_x000a_예) 5Y531, 5J185_x000a__x000a_&gt;&gt; [정정] 2025-11-10 // 새로고침 후 재테스트 해보니 정상 확인하였습니다. 바로 조치처리 부탁합니다. "/>
    <s v="임지훈"/>
    <x v="1"/>
    <s v="결함"/>
    <s v="기능"/>
    <s v="결함등록기각"/>
    <x v="0"/>
    <x v="0"/>
    <s v="테스트 결과서 증적 미흡 또는 부재"/>
    <x v="3"/>
  </r>
  <r>
    <s v="UT-FP-SP190"/>
    <x v="0"/>
    <x v="1"/>
    <s v="DEF-02466"/>
    <s v="[S_1] 테이블이 존재하지않음"/>
    <s v="장경진"/>
    <x v="0"/>
    <s v="결함"/>
    <s v="데이터"/>
    <s v="결함등록기각"/>
    <x v="0"/>
    <x v="0"/>
    <s v="테스트 결과서 증적 미흡 또는 부재"/>
    <x v="3"/>
  </r>
  <r>
    <s v="UT-PM-SP48"/>
    <x v="0"/>
    <x v="3"/>
    <s v="DEF-02356"/>
    <s v="[S_2] 테스트결과서 상 데이터 INSERT 후 확인하는 테이블이 달라서 조회 불가 (쿼리 업데이트 필요)_x000a_-&gt; 확인 결과 순서 맞는 것으로 확인되었습니다. (해당 내용 무시해도 됩니다.)_x000a_"/>
    <s v="염희석"/>
    <x v="0"/>
    <s v="개선/변경"/>
    <s v="문서화"/>
    <s v="결함등록기각"/>
    <x v="1"/>
    <x v="0"/>
    <s v="테스트 데이터 불충분"/>
    <x v="4"/>
  </r>
  <r>
    <s v="UT-PM-SP50"/>
    <x v="0"/>
    <x v="3"/>
    <s v="DEF-02363"/>
    <s v="[X] 제공된 테스트결과서 파일에 스크립트가 없어서 확인 필요_x000a_파일명 : (DELETE)UT-SP_PM_ACTDROPOFFUSG_RCV.xlsx_x000a__x000a_- 파일명으로만 봐서는 삭제된 SP로 보입니다."/>
    <s v="염희석"/>
    <x v="0"/>
    <s v="개선/변경"/>
    <s v="문서화"/>
    <s v="결함등록기각"/>
    <x v="1"/>
    <x v="0"/>
    <s v="공통 체크리스트 구현 불충분"/>
    <x v="5"/>
  </r>
  <r>
    <s v="UT-PM-SP54"/>
    <x v="0"/>
    <x v="3"/>
    <s v="DEF-02426"/>
    <s v="[X] 테스트결과서 내용 없음_x000a_- DELETE로 명시되어 있어서 실제로 사용하는 프로시저인지 확인 필요"/>
    <s v="염희석"/>
    <x v="0"/>
    <s v="개선/변경"/>
    <s v="문서화"/>
    <s v="결함등록기각"/>
    <x v="1"/>
    <x v="0"/>
    <s v="구현 화면 비정상"/>
    <x v="6"/>
  </r>
  <r>
    <s v="UT-WESAC002S"/>
    <x v="0"/>
    <x v="0"/>
    <s v="DEF-02231"/>
    <s v="[S_002S] SEARCH 버튼 클릭이 안됨."/>
    <s v="임지훈"/>
    <x v="1"/>
    <s v="결함"/>
    <s v="기능"/>
    <s v="결함등록기각"/>
    <x v="0"/>
    <x v="0"/>
    <s v="구현 화면 비정상"/>
    <x v="6"/>
  </r>
  <r>
    <s v="UT-SLOTSM002S"/>
    <x v="0"/>
    <x v="4"/>
    <s v="DEF-02470"/>
    <s v="[C] 첨부된 스크린샷과 같이 UI 깨짐이 보입니다."/>
    <s v="김형진"/>
    <x v="1"/>
    <s v="결함"/>
    <s v="UI"/>
    <s v="결함등록기각"/>
    <x v="0"/>
    <x v="0"/>
    <s v="개선/변경 또는 신규 요청"/>
    <x v="1"/>
  </r>
  <r>
    <s v="UT-MESRS011S"/>
    <x v="0"/>
    <x v="2"/>
    <s v="DEF-02262"/>
    <s v="[S_7] 로딩 중에 편명 텍스트 입력이 되는 것이 맞는 지 확인부탁드립니다. 이상없으면 그대로 조치처리 부탁드립니다."/>
    <s v="임지훈"/>
    <x v="1"/>
    <s v="결함"/>
    <s v="기능"/>
    <s v="결함등록기각"/>
    <x v="1"/>
    <x v="0"/>
    <s v="구현 화면 비정상"/>
    <x v="6"/>
  </r>
  <r>
    <s v="UT-PM-SP41"/>
    <x v="0"/>
    <x v="3"/>
    <s v="DEF-02423"/>
    <s v="[S_2] 프로시저 실행 실패"/>
    <s v="염희석"/>
    <x v="0"/>
    <s v="결함"/>
    <s v="기능"/>
    <s v="결함등록기각"/>
    <x v="0"/>
    <x v="0"/>
    <s v="구현 화면 비정상"/>
    <x v="6"/>
  </r>
  <r>
    <s v="UT-MESAC038S"/>
    <x v="0"/>
    <x v="2"/>
    <s v="DEF-02251"/>
    <s v="[S_2] 운항관리정보 탭의 정보가 NOTICE의 날짜 값에 따라 달라지는 데 맞는 건지 확인 부탁드립니다. 이것이 맞으면, 정상 처리 부탁드립니다._x000a__x000a_참고) 스크린샷은 11.10일에 생성하였습니다."/>
    <s v="임지훈"/>
    <x v="1"/>
    <s v="결함"/>
    <s v="기능"/>
    <s v="결함등록기각"/>
    <x v="0"/>
    <x v="0"/>
    <s v="테스트 결과 값 오류"/>
    <x v="0"/>
  </r>
  <r>
    <s v="UT-PM-SP44"/>
    <x v="0"/>
    <x v="3"/>
    <s v="DEF-02424"/>
    <s v="[S_2] 프로시저 실행 실패_x000a_"/>
    <s v="염희석"/>
    <x v="0"/>
    <s v="결함"/>
    <s v="기능"/>
    <s v="결함등록기각"/>
    <x v="0"/>
    <x v="0"/>
    <s v="기타 결함"/>
    <x v="7"/>
  </r>
  <r>
    <s v="UT-PM-SP20"/>
    <x v="0"/>
    <x v="3"/>
    <s v="DEF-02422"/>
    <s v="[S_2] 프로시저 실행 실패_x000a_- 프로시저는 존재하지만 찾을 수 없다고 나옴 (확인 필요)"/>
    <s v="염희석"/>
    <x v="0"/>
    <s v="결함"/>
    <s v="기능"/>
    <s v="결함등록기각"/>
    <x v="0"/>
    <x v="0"/>
    <s v="테스트 결과서 증적 미흡 또는 부재"/>
    <x v="3"/>
  </r>
  <r>
    <s v="UT-FP-SP84"/>
    <x v="0"/>
    <x v="1"/>
    <s v="DEF-02463"/>
    <s v="[S_1] 제공 쿼리 실행 불가_x000a_- 스키마명이 없어서 실행되지 않는 것으로 보임_x000a_"/>
    <s v="장경진"/>
    <x v="0"/>
    <s v="개선/변경"/>
    <s v="문서화"/>
    <s v="결함등록기각"/>
    <x v="1"/>
    <x v="0"/>
    <s v="구현 화면 비정상"/>
    <x v="6"/>
  </r>
  <r>
    <s v="UT-FP-SP191"/>
    <x v="0"/>
    <x v="1"/>
    <s v="DEF-02467"/>
    <s v="[S_1] 테이블이 존재하지않음"/>
    <s v="장경진"/>
    <x v="0"/>
    <s v="결함"/>
    <s v="데이터"/>
    <s v="결함등록기각"/>
    <x v="0"/>
    <x v="0"/>
    <s v="테스트 데이터 불충분"/>
    <x v="4"/>
  </r>
  <r>
    <s v="UT-FP-SP65"/>
    <x v="0"/>
    <x v="1"/>
    <s v="DEF-02468"/>
    <s v="[S_1] Circular synonym detected 에러발생"/>
    <s v="장경진"/>
    <x v="0"/>
    <s v="결함"/>
    <s v="데이터"/>
    <s v="결함등록기각"/>
    <x v="0"/>
    <x v="0"/>
    <s v="개선/변경 또는 신규 요청"/>
    <x v="1"/>
  </r>
  <r>
    <s v="UT-CM20032S"/>
    <x v="0"/>
    <x v="5"/>
    <s v="DEF-01514"/>
    <s v="결함아님"/>
    <s v="이지연"/>
    <x v="1"/>
    <s v="개선/변경"/>
    <s v="기능"/>
    <s v="결함등록기각"/>
    <x v="0"/>
    <x v="0"/>
    <s v="공통 체크리스트 구현 불충분"/>
    <x v="5"/>
  </r>
  <r>
    <s v="UT-CM-SP32"/>
    <x v="0"/>
    <x v="5"/>
    <s v="DEF-02261"/>
    <s v="[X_1]SQL error"/>
    <s v="이지연"/>
    <x v="0"/>
    <s v="결함"/>
    <s v="데이터"/>
    <s v="결함등록기각"/>
    <x v="1"/>
    <x v="0"/>
    <s v="공통 체크리스트 구현 불충분"/>
    <x v="5"/>
  </r>
  <r>
    <s v="UT-CM-SP80"/>
    <x v="0"/>
    <x v="5"/>
    <s v="DEF-02254"/>
    <s v="[X_1]proc에서 Insert시 PK 위배로 Sql 에러  발생"/>
    <s v="이지연"/>
    <x v="0"/>
    <s v="결함"/>
    <s v="데이터"/>
    <s v="결함등록기각"/>
    <x v="1"/>
    <x v="0"/>
    <s v="기능 미동작 또는 오류"/>
    <x v="8"/>
  </r>
  <r>
    <s v="UT-RSPK052S"/>
    <x v="0"/>
    <x v="6"/>
    <s v="DEF-02265"/>
    <s v="[S_1] 초기 로딩 시 날짜가 안 들어간 상태로 로드가 됨. "/>
    <s v="유경섭"/>
    <x v="1"/>
    <s v="개선/변경"/>
    <s v="프로세스"/>
    <s v="결함등록기각"/>
    <x v="1"/>
    <x v="0"/>
    <s v="스키마명 보완 또는 DB 권한 필요"/>
    <x v="9"/>
  </r>
  <r>
    <s v="UT-RS-SP21"/>
    <x v="0"/>
    <x v="6"/>
    <s v="DEF-02373"/>
    <s v="[C_1] 프로시져 실행 오류"/>
    <s v="유경섭"/>
    <x v="0"/>
    <s v="결함"/>
    <s v="기능"/>
    <s v="결함등록기각"/>
    <x v="0"/>
    <x v="0"/>
    <s v="스키마명 보완 또는 DB 권한 필요"/>
    <x v="9"/>
  </r>
  <r>
    <s v="UT-RS-SP24"/>
    <x v="0"/>
    <x v="6"/>
    <s v="DEF-02374"/>
    <s v="[C_1] 프로시져 실행코드 오류"/>
    <s v="유경섭"/>
    <x v="0"/>
    <s v="개선/변경"/>
    <s v="기능"/>
    <s v="결함등록기각"/>
    <x v="0"/>
    <x v="0"/>
    <s v="기능 미동작 또는 오류"/>
    <x v="8"/>
  </r>
  <r>
    <s v="UT-RSCI016S"/>
    <x v="0"/>
    <x v="6"/>
    <s v="DEF-02393"/>
    <s v="[S_3] 1년 이상 조회 불가 알림창이 나오지만 검색이 가능함"/>
    <s v="유경섭"/>
    <x v="1"/>
    <s v="결함"/>
    <s v="기능"/>
    <s v="결함등록기각"/>
    <x v="1"/>
    <x v="0"/>
    <s v="스키마명 보완 또는 DB 권한 필요"/>
    <x v="9"/>
  </r>
  <r>
    <s v="UT-AC-SP19"/>
    <x v="0"/>
    <x v="7"/>
    <s v="DEF-02442"/>
    <s v="[S_1] sql문 실행오류"/>
    <s v="조수일"/>
    <x v="0"/>
    <s v="결함"/>
    <s v="기능"/>
    <s v="최종확인    "/>
    <x v="1"/>
    <x v="1"/>
    <s v="스키마명 보완 또는 DB 권한 필요"/>
    <x v="9"/>
  </r>
  <r>
    <s v="UT-GO-SP59"/>
    <x v="0"/>
    <x v="8"/>
    <s v="DEF-02435"/>
    <s v="[S_2-1] 데이터가 없음"/>
    <s v="신문호"/>
    <x v="0"/>
    <s v="결함"/>
    <s v="기능"/>
    <s v="최종확인    "/>
    <x v="1"/>
    <x v="1"/>
    <s v="기능 미동작 또는 오류"/>
    <x v="8"/>
  </r>
  <r>
    <s v="UT-GO-SP59"/>
    <x v="0"/>
    <x v="8"/>
    <s v="DEF-02436"/>
    <s v="[S_2-1]데이터가 없음"/>
    <s v="신문호"/>
    <x v="0"/>
    <s v="결함"/>
    <s v="기능"/>
    <s v="최종확인    "/>
    <x v="0"/>
    <x v="1"/>
    <s v="기능 미동작 또는 오류"/>
    <x v="8"/>
  </r>
  <r>
    <s v="UT-GO-SP60"/>
    <x v="0"/>
    <x v="8"/>
    <s v="DEF-02450"/>
    <s v="[S_2-1] sql 오류발생"/>
    <s v="신문호"/>
    <x v="0"/>
    <s v="결함"/>
    <s v="기능"/>
    <s v="최종확인    "/>
    <x v="0"/>
    <x v="1"/>
    <s v="개선/변경 또는 신규 요청"/>
    <x v="1"/>
  </r>
  <r>
    <s v="UT-GO-SP61"/>
    <x v="0"/>
    <x v="8"/>
    <s v="DEF-02358"/>
    <s v="[S_2-1] 쿼리문 오류"/>
    <s v="신문호"/>
    <x v="0"/>
    <s v="결함"/>
    <s v="기능"/>
    <s v="최종확인    "/>
    <x v="0"/>
    <x v="1"/>
    <s v="개선/변경 또는 신규 요청"/>
    <x v="1"/>
  </r>
  <r>
    <s v="UT-FP-SP71"/>
    <x v="0"/>
    <x v="1"/>
    <s v="DEF-02384"/>
    <s v="결함아님"/>
    <s v="장경진"/>
    <x v="0"/>
    <s v="개선/변경"/>
    <s v="데이터"/>
    <s v="최종확인    "/>
    <x v="1"/>
    <x v="1"/>
    <s v="테스트 결과서 증적 미흡 또는 부재"/>
    <x v="3"/>
  </r>
  <r>
    <s v="UT-CM20009S"/>
    <x v="0"/>
    <x v="5"/>
    <s v="DEF-02437"/>
    <s v="[X-1] EXCEL 버튼이 작동되지 않음"/>
    <s v="이지연"/>
    <x v="1"/>
    <s v="결함"/>
    <s v="기능"/>
    <s v="최종확인    "/>
    <x v="1"/>
    <x v="1"/>
    <s v="테스트 결과서 증적 미흡 또는 부재"/>
    <x v="3"/>
  </r>
  <r>
    <s v="UT-FPFS012S"/>
    <x v="0"/>
    <x v="1"/>
    <s v="DEF-02340"/>
    <s v="[S_10] 팝업메뉴 작업중 저장하면 서버 오류로 테스트 불가"/>
    <s v="장경진"/>
    <x v="1"/>
    <s v="결함"/>
    <s v="기능"/>
    <s v="최종확인    "/>
    <x v="1"/>
    <x v="1"/>
    <s v="공통 체크리스트 구현 불충분"/>
    <x v="5"/>
  </r>
  <r>
    <s v="UT-FPFS013S"/>
    <x v="0"/>
    <x v="1"/>
    <s v="DEF-02342"/>
    <s v="[S_10] 팝업메뉴 작업중 저장하면 서버 오류로 테스트 불가"/>
    <s v="장경진"/>
    <x v="1"/>
    <s v="결함"/>
    <s v="기능"/>
    <s v="최종확인    "/>
    <x v="1"/>
    <x v="1"/>
    <s v="기능 미동작 또는 오류"/>
    <x v="8"/>
  </r>
  <r>
    <s v="UT-FPFS071M"/>
    <x v="0"/>
    <x v="1"/>
    <s v="DEF-02346"/>
    <s v="[S_4] 데이타 입력후 저장되었다고 팝업은 표시되나 데이타를 조회하면 SHARE는 안된것 같음"/>
    <s v="장경진"/>
    <x v="1"/>
    <s v="결함"/>
    <s v="기능"/>
    <s v="최종확인    "/>
    <x v="1"/>
    <x v="1"/>
    <s v="기능 미동작 또는 오류"/>
    <x v="8"/>
  </r>
  <r>
    <s v="UT-FPFS081M"/>
    <x v="0"/>
    <x v="1"/>
    <s v="DEF-02347"/>
    <s v="[S_3] 진행과정 팝업이 없어서 상황 파악이 안됨"/>
    <s v="장경진"/>
    <x v="1"/>
    <s v="결함"/>
    <s v="기능"/>
    <s v="최종확인    "/>
    <x v="1"/>
    <x v="1"/>
    <s v="기능 미동작 또는 오류"/>
    <x v="8"/>
  </r>
  <r>
    <s v="UT-FPFS065M"/>
    <x v="0"/>
    <x v="1"/>
    <s v="DEF-02350"/>
    <s v="[S_1] FP시스템내 화면과 테스트결과서내에 화면과 내용이 다름"/>
    <s v="장경진"/>
    <x v="1"/>
    <s v="결함"/>
    <s v="기능"/>
    <s v="최종확인    "/>
    <x v="1"/>
    <x v="1"/>
    <s v="기능 미동작 또는 오류"/>
    <x v="8"/>
  </r>
  <r>
    <s v="UT-FPMG021M"/>
    <x v="0"/>
    <x v="1"/>
    <s v="DEF-02370"/>
    <s v="[S_3] SUBMIT 버튼 클릭시 서버 오류로 테스트 불가"/>
    <s v="장경진"/>
    <x v="1"/>
    <s v="결함"/>
    <s v="기능"/>
    <s v="최종확인    "/>
    <x v="1"/>
    <x v="1"/>
    <s v="기능 미동작 또는 오류"/>
    <x v="8"/>
  </r>
  <r>
    <s v="UT-FPFA081M"/>
    <x v="0"/>
    <x v="1"/>
    <s v="DEF-02328"/>
    <s v="[S_3] 저장시 서버오류로 테스트 불가"/>
    <s v="장경진"/>
    <x v="1"/>
    <s v="결함"/>
    <s v="기능"/>
    <s v="최종확인    "/>
    <x v="1"/>
    <x v="1"/>
    <s v="기능 미동작 또는 오류"/>
    <x v="8"/>
  </r>
  <r>
    <s v="UT-FPFA082M"/>
    <x v="0"/>
    <x v="1"/>
    <s v="DEF-02329"/>
    <s v="[S_3] 저장시 서버오류로 테스트 불가"/>
    <s v="장경진"/>
    <x v="1"/>
    <s v="결함"/>
    <s v="기능"/>
    <s v="최종확인    "/>
    <x v="1"/>
    <x v="1"/>
    <s v="기능 미동작 또는 오류"/>
    <x v="8"/>
  </r>
  <r>
    <s v="UT-FPFA083M"/>
    <x v="0"/>
    <x v="1"/>
    <s v="DEF-02331"/>
    <s v="[S_1] 현 화면 DATA에서는 케로셀 번호가 없어서 테스트 불가"/>
    <s v="장경진"/>
    <x v="1"/>
    <s v="결함"/>
    <s v="기능"/>
    <s v="최종확인    "/>
    <x v="1"/>
    <x v="1"/>
    <s v="기능 미동작 또는 오류"/>
    <x v="8"/>
  </r>
  <r>
    <s v="UT-FPFA084M"/>
    <x v="0"/>
    <x v="1"/>
    <s v="DEF-02332"/>
    <s v="[S_1] 현 화면 DATA에서는 케로셀 번호가 없어서 테스트 불가"/>
    <s v="장경진"/>
    <x v="1"/>
    <s v="결함"/>
    <s v="기능"/>
    <s v="최종확인    "/>
    <x v="1"/>
    <x v="1"/>
    <s v="구현 화면 비정상"/>
    <x v="6"/>
  </r>
  <r>
    <s v="UT-FPFA085M"/>
    <x v="0"/>
    <x v="1"/>
    <s v="DEF-02334"/>
    <s v="[S_2] 날짜, 시간 입력후 저장을 누르면 서버 오류로 테스트 불가"/>
    <s v="장경진"/>
    <x v="1"/>
    <s v="결함"/>
    <s v="기능"/>
    <s v="최종확인    "/>
    <x v="1"/>
    <x v="1"/>
    <s v="기능 미동작 또는 오류"/>
    <x v="8"/>
  </r>
  <r>
    <s v="UT-FPMG013S"/>
    <x v="0"/>
    <x v="1"/>
    <s v="DEF-02369"/>
    <s v="S_1] 좌측메뉴에서 클릭시 해당 메뉴 제목만 나오고 데이터 부분은 표시되지 않음"/>
    <s v="장경진"/>
    <x v="1"/>
    <s v="결함"/>
    <s v="기능"/>
    <s v="최종확인    "/>
    <x v="1"/>
    <x v="1"/>
    <s v="테스트 결과서 증적 미흡 또는 부재"/>
    <x v="3"/>
  </r>
  <r>
    <s v="UT-FP-SP105"/>
    <x v="0"/>
    <x v="1"/>
    <s v="DEF-02378"/>
    <s v="[X_1] 테스트 결과서내에 결과 내용이 없어 테스트 불가"/>
    <s v="장경진"/>
    <x v="0"/>
    <s v="개선/변경"/>
    <s v="기타"/>
    <s v="최종확인    "/>
    <x v="1"/>
    <x v="1"/>
    <s v="구현 화면 비정상"/>
    <x v="6"/>
  </r>
  <r>
    <s v="UT-GO-SP121"/>
    <x v="0"/>
    <x v="8"/>
    <s v="DEF-02297"/>
    <s v="[S_3]_x000a_첫행만 LAST_MDFCN_DT가 UPDATE 됨._x000a_(시나리오 상에는 모두 UPDATE)"/>
    <s v="신문호"/>
    <x v="0"/>
    <s v="결함"/>
    <s v="기능"/>
    <s v="최종확인    "/>
    <x v="1"/>
    <x v="1"/>
    <s v="기능 미동작 또는 오류"/>
    <x v="8"/>
  </r>
  <r>
    <s v="UT-FPMG011S"/>
    <x v="0"/>
    <x v="1"/>
    <s v="DEF-02368"/>
    <s v="[S_1] 좌측메뉴에서 클릭시 해당 메뉴 제목만 나오고 데이터 부분은 표시되지 않음"/>
    <s v="장경진"/>
    <x v="1"/>
    <s v="결함"/>
    <s v="기능"/>
    <s v="최종확인    "/>
    <x v="1"/>
    <x v="1"/>
    <s v="기능 미동작 또는 오류"/>
    <x v="8"/>
  </r>
  <r>
    <s v="UT-RS-SP26"/>
    <x v="0"/>
    <x v="6"/>
    <s v="DEF-02454"/>
    <s v="[S_1-1] 권한문제로 인한 오류"/>
    <s v="유경섭"/>
    <x v="0"/>
    <s v="결함"/>
    <s v="기능"/>
    <s v="최종확인    "/>
    <x v="1"/>
    <x v="1"/>
    <s v="기타 결함"/>
    <x v="7"/>
  </r>
  <r>
    <s v="UT-GO12507S"/>
    <x v="0"/>
    <x v="8"/>
    <s v="DEF-02300"/>
    <s v="[C_1]_x000a_필수값 표시누락(아이콘 색: 파란색 -&gt; 주황색)"/>
    <s v="신문호"/>
    <x v="1"/>
    <s v="개선/변경"/>
    <s v="UI"/>
    <s v="최종확인    "/>
    <x v="1"/>
    <x v="1"/>
    <s v="기타 결함"/>
    <x v="7"/>
  </r>
  <r>
    <s v="UT-GO13303S"/>
    <x v="0"/>
    <x v="8"/>
    <s v="DEF-02253"/>
    <s v="[S_4] 엑셀업로드시 오류 메세지 뜸."/>
    <s v="신문호"/>
    <x v="1"/>
    <s v="결함"/>
    <s v="기능"/>
    <s v="최종확인    "/>
    <x v="0"/>
    <x v="1"/>
    <s v="구현 화면 비정상"/>
    <x v="6"/>
  </r>
  <r>
    <s v="UT-GO-SP17"/>
    <x v="0"/>
    <x v="8"/>
    <s v="DEF-02349"/>
    <s v="[X_1]쿼리문 오류"/>
    <s v="신문호"/>
    <x v="0"/>
    <s v="결함"/>
    <s v="기능"/>
    <s v="최종확인    "/>
    <x v="1"/>
    <x v="1"/>
    <s v="기능 미동작 또는 오류"/>
    <x v="8"/>
  </r>
  <r>
    <s v="UT-CAMN006S"/>
    <x v="0"/>
    <x v="9"/>
    <s v="DEF-02309"/>
    <s v="[X_1]관련 메뉴나 화면으로 갈수 없어서 테스트 불가"/>
    <s v="김명준"/>
    <x v="1"/>
    <s v="개선/변경"/>
    <s v="기능"/>
    <s v="최종확인    "/>
    <x v="1"/>
    <x v="1"/>
    <s v="구현 화면 비정상"/>
    <x v="6"/>
  </r>
  <r>
    <s v="UT-CASY023S"/>
    <x v="0"/>
    <x v="9"/>
    <s v="DEF-02404"/>
    <s v="[X_1]사용자 권한문제로 NEW, DELETE 버튼이 활성화 되지 않아 테스트 불가"/>
    <s v="김명준"/>
    <x v="1"/>
    <s v="개선/변경"/>
    <s v="기능"/>
    <s v="최종확인    "/>
    <x v="1"/>
    <x v="1"/>
    <s v="기능 미동작 또는 오류"/>
    <x v="8"/>
  </r>
  <r>
    <s v="UT-CASY024S"/>
    <x v="0"/>
    <x v="9"/>
    <s v="DEF-02443"/>
    <s v="[S_6] DELETE 버튼 클릭후 저장시 서버오류 발생"/>
    <s v="김명준"/>
    <x v="1"/>
    <s v="결함"/>
    <s v="기능"/>
    <s v="최종확인    "/>
    <x v="1"/>
    <x v="1"/>
    <s v="기타 결함"/>
    <x v="7"/>
  </r>
  <r>
    <s v="UT-CASY024S"/>
    <x v="0"/>
    <x v="9"/>
    <s v="DEF-02405"/>
    <s v="[X_1]사용자 권한문제로 NEW, DELETE 버튼이 활성화 되지 않아 테스트 불가"/>
    <s v="김명준"/>
    <x v="1"/>
    <s v="결함"/>
    <s v="기능"/>
    <s v="최종확인    "/>
    <x v="1"/>
    <x v="1"/>
    <s v="기타 결함"/>
    <x v="7"/>
  </r>
  <r>
    <s v="UT-CA-SP17"/>
    <x v="0"/>
    <x v="9"/>
    <s v="DEF-02303"/>
    <s v="[S_2, S_3] TN_CA_PUSH_MSG_BSD, TN_CA_PUSH_MSG_PRIR 테이블 또는 뷰가 없다고 나와 테스트 불가"/>
    <s v="김명준"/>
    <x v="0"/>
    <s v="결함"/>
    <s v="문서화"/>
    <s v="최종확인    "/>
    <x v="0"/>
    <x v="1"/>
    <s v="기타 결함"/>
    <x v="7"/>
  </r>
  <r>
    <s v="UT-CA-SP34"/>
    <x v="0"/>
    <x v="9"/>
    <s v="DEF-02310"/>
    <s v="[X_1, X_2, X_3, X_4, X_5] 테스트 데이터 조회 시 아무것도 나타나지 않음, 테스트 데이터 필요"/>
    <s v="김명준"/>
    <x v="0"/>
    <s v="결함"/>
    <s v="데이터"/>
    <s v="최종확인    "/>
    <x v="0"/>
    <x v="1"/>
    <s v="기능 미동작 또는 오류"/>
    <x v="8"/>
  </r>
  <r>
    <s v="UT-RSPK031S"/>
    <x v="0"/>
    <x v="6"/>
    <s v="DEF-02232"/>
    <s v="[S_6] FLT#항목에 특수문자 . - 입력가능"/>
    <s v="유경섭"/>
    <x v="1"/>
    <s v="결함"/>
    <s v="기능"/>
    <s v="최종확인    "/>
    <x v="1"/>
    <x v="1"/>
    <s v="구현 화면 비정상"/>
    <x v="6"/>
  </r>
  <r>
    <s v="UT-RSPK081S"/>
    <x v="0"/>
    <x v="6"/>
    <s v="DEF-02274"/>
    <s v="[C_1] rb00, rb10만 소문자"/>
    <s v="유경섭"/>
    <x v="1"/>
    <s v="개선/변경"/>
    <s v="표준"/>
    <s v="최종확인    "/>
    <x v="1"/>
    <x v="1"/>
    <s v="개선/변경 또는 신규 요청"/>
    <x v="1"/>
  </r>
  <r>
    <s v="UT-RSPK069S"/>
    <x v="0"/>
    <x v="6"/>
    <s v="DEF-02272"/>
    <s v="[S_3] . - 특수문자는 입력가능"/>
    <s v="유경섭"/>
    <x v="1"/>
    <s v="개선/변경"/>
    <s v="기능"/>
    <s v="최종확인    "/>
    <x v="1"/>
    <x v="1"/>
    <s v="기능 미동작 또는 오류"/>
    <x v="8"/>
  </r>
  <r>
    <s v="UT-FSQB084E"/>
    <x v="0"/>
    <x v="10"/>
    <s v="DEF-02379"/>
    <s v="[s_2-1]1. T2 DATA 합계가 맞지 않음 _x000a_        2. 조회기간은 범위가 제한 되지 않음"/>
    <s v="임소정"/>
    <x v="1"/>
    <s v="결함"/>
    <s v="데이터"/>
    <s v="최종확인    "/>
    <x v="1"/>
    <x v="1"/>
    <s v="개선/변경 또는 신규 요청"/>
    <x v="1"/>
  </r>
  <r>
    <s v="UT-FSQB100E"/>
    <x v="0"/>
    <x v="10"/>
    <s v="DEF-02385"/>
    <s v="[X_2-1] _x000a_리포트에 터미널 전체인지, T1,T2인지 표시가 없음. "/>
    <s v="임소정"/>
    <x v="1"/>
    <s v="개선/변경"/>
    <s v="데이터"/>
    <s v="최종확인    "/>
    <x v="1"/>
    <x v="1"/>
    <s v="구현 화면 비정상"/>
    <x v="6"/>
  </r>
  <r>
    <s v="UT-FSQB101E"/>
    <x v="0"/>
    <x v="10"/>
    <s v="DEF-02387"/>
    <s v="[X_1-1]1. 레포트에 전체,T1,T2 구분 필요 _x000a_  _x0009_  2. T1 + T2 = 전체 가 아님 데이터  확인 필요  (213 + 616 = 829 &lt;&gt; 704 _x000a_"/>
    <s v="임소정"/>
    <x v="1"/>
    <s v="개선/변경"/>
    <s v="데이터"/>
    <s v="최종확인    "/>
    <x v="1"/>
    <x v="1"/>
    <s v="개선/변경 또는 신규 요청"/>
    <x v="1"/>
  </r>
  <r>
    <s v="UT-FSQB091S"/>
    <x v="0"/>
    <x v="10"/>
    <s v="DEF-02392"/>
    <s v="[X_2-1]1. 레포트 확인 필요 _x000a_화면에 나타나는 정보중  해더부분은 엑셀에 표시되지 않는데 확인이 필요 함_x000a_2. 엑셀저장시 타이틀 없음 _x000a_3. 전신검색 월별현황 일자표현도 표준화 준수여부 확인 필요 "/>
    <s v="임소정"/>
    <x v="1"/>
    <s v="개선/변경"/>
    <s v="데이터"/>
    <s v="최종확인    "/>
    <x v="1"/>
    <x v="1"/>
    <s v="개선/변경 또는 신규 요청"/>
    <x v="1"/>
  </r>
  <r>
    <s v="UT-FSQB092S"/>
    <x v="0"/>
    <x v="10"/>
    <s v="DEF-02394"/>
    <s v="[X_1-1]테스트 시나리오  수정 필요.  월별현황 시나리오인데 일별 시나리오로 되어 있음."/>
    <s v="임소정"/>
    <x v="1"/>
    <s v="개선/변경"/>
    <s v="프로세스"/>
    <s v="최종확인    "/>
    <x v="1"/>
    <x v="1"/>
    <s v="기능 미동작 또는 오류"/>
    <x v="8"/>
  </r>
  <r>
    <s v="UT-FSEX020L"/>
    <x v="0"/>
    <x v="10"/>
    <s v="DEF-02400"/>
    <s v="[S_2-1]엑셀로 다운로드시  채번번호 보이지 않음 "/>
    <s v="임소정"/>
    <x v="1"/>
    <s v="결함"/>
    <s v="데이터"/>
    <s v="최종확인    "/>
    <x v="1"/>
    <x v="1"/>
    <s v="기타 결함"/>
    <x v="7"/>
  </r>
  <r>
    <s v="UT-FSEX020L"/>
    <x v="0"/>
    <x v="10"/>
    <s v="DEF-02249"/>
    <s v="[S_1] 현장출동 결과보고서 조회 창이 로딩안됨"/>
    <s v="임소정"/>
    <x v="1"/>
    <s v="결함"/>
    <s v="기능"/>
    <s v="최종확인    "/>
    <x v="2"/>
    <x v="1"/>
    <s v="기능 미동작 또는 오류"/>
    <x v="8"/>
  </r>
  <r>
    <s v="UT-FSEX012S"/>
    <x v="0"/>
    <x v="10"/>
    <s v="DEF-02247"/>
    <s v="[C_17] Reload를 클릭하거나 상단 탭에 x표시를 클릭하면 경고창이 나옴"/>
    <s v="임소정"/>
    <x v="1"/>
    <s v="개선/변경"/>
    <s v="UI"/>
    <s v="최종확인    "/>
    <x v="1"/>
    <x v="1"/>
    <s v="기타 결함"/>
    <x v="7"/>
  </r>
  <r>
    <s v="UT-FSEX012S"/>
    <x v="0"/>
    <x v="10"/>
    <s v="DEF-02399"/>
    <s v="[S_3-1]신규저장을 할수 없음_x000a_테스트시나리오데로 진행하면 선택된 신규사용자가 없다고 나옴"/>
    <s v="임소정"/>
    <x v="1"/>
    <s v="결함"/>
    <s v="기능"/>
    <s v="최종확인    "/>
    <x v="1"/>
    <x v="1"/>
    <s v="기타 결함"/>
    <x v="7"/>
  </r>
  <r>
    <s v="UT-FSEX040M"/>
    <x v="0"/>
    <x v="10"/>
    <s v="DEF-02252"/>
    <s v="[S_2,3] 신규로 업무일지 작성을 할 때 주간,야간 근무조 선택을 누르면 해당 알림창이 나옴, 일지일자를 선택해도 똑같이 나옴"/>
    <s v="임소정"/>
    <x v="1"/>
    <s v="결함"/>
    <s v="기능"/>
    <s v="최종확인    "/>
    <x v="0"/>
    <x v="1"/>
    <s v="기타 결함"/>
    <x v="7"/>
  </r>
  <r>
    <s v="UT-FSEX050M"/>
    <x v="0"/>
    <x v="10"/>
    <s v="DEF-02258"/>
    <s v="[S_1] 훈련 시작일자를 선택할 수 없음. 날짜를 선택하면 아래 알림창이 나옴"/>
    <s v="임소정"/>
    <x v="1"/>
    <s v="결함"/>
    <s v="기능"/>
    <s v="최종확인    "/>
    <x v="2"/>
    <x v="1"/>
    <s v="개선/변경 또는 신규 요청"/>
    <x v="1"/>
  </r>
  <r>
    <s v="UT-FSEX050M"/>
    <x v="0"/>
    <x v="10"/>
    <s v="DEF-02257"/>
    <s v="[S_2] 처음 훈련현황 입력관리를 로딩한 후 바로 신규를 눌러 작성 저장하면 저장완료 알림이 나온 후 다시 아래 알림창이 나옴"/>
    <s v="임소정"/>
    <x v="1"/>
    <s v="개선/변경"/>
    <s v="기능"/>
    <s v="최종확인    "/>
    <x v="1"/>
    <x v="1"/>
    <s v="기능 미동작 또는 오류"/>
    <x v="8"/>
  </r>
  <r>
    <s v="UT-FSEX060S"/>
    <x v="0"/>
    <x v="10"/>
    <s v="DEF-02260"/>
    <s v="[S_1] 교육일자 선택 불가. 달력에서 날짜 선택 시 아래 알림창 나옴."/>
    <s v="임소정"/>
    <x v="1"/>
    <s v="결함"/>
    <s v="기능"/>
    <s v="최종확인    "/>
    <x v="2"/>
    <x v="1"/>
    <s v="구현 화면 비정상"/>
    <x v="6"/>
  </r>
  <r>
    <s v="UT-GO11952M"/>
    <x v="0"/>
    <x v="8"/>
    <s v="DEF-02250"/>
    <s v="[S_1-1] 2024년7월24,25일자의 일평균 운행거리, 누적운행거리, 일평균 수송실적,누적 수송실적 데이터 나오지 않음"/>
    <s v="신문호"/>
    <x v="1"/>
    <s v="결함"/>
    <s v="기능"/>
    <s v="최종확인    "/>
    <x v="0"/>
    <x v="1"/>
    <s v="테스트 결과 값 오류"/>
    <x v="0"/>
  </r>
  <r>
    <s v="UT-GO11951S"/>
    <x v="0"/>
    <x v="8"/>
    <s v="DEF-02246"/>
    <s v="[S_6-2]삭제를 눌렀을때 없는 데이터가 나타나 표시가 됨 "/>
    <s v="신문호"/>
    <x v="1"/>
    <s v="결함"/>
    <s v="기능"/>
    <s v="최종확인    "/>
    <x v="0"/>
    <x v="1"/>
    <s v="스키마명 보완 또는 DB 권한 필요"/>
    <x v="9"/>
  </r>
  <r>
    <s v="UT-GO11951S"/>
    <x v="0"/>
    <x v="8"/>
    <s v="DEF-02242"/>
    <s v="[S_6-1]입력필드네 Edit Check 필요 _x000a_1) 운행년도 -값 입력 가능_x000a_2)값이 크면 오류 메세지 나옴 "/>
    <s v="신문호"/>
    <x v="1"/>
    <s v="결함"/>
    <s v="기능"/>
    <s v="최종확인    "/>
    <x v="1"/>
    <x v="1"/>
    <s v="개선/변경 또는 신규 요청"/>
    <x v="1"/>
  </r>
  <r>
    <s v="UT-GO12805R"/>
    <x v="0"/>
    <x v="8"/>
    <s v="DEF-02353"/>
    <s v="[S_1-1] 1. 점유시간을 3시간 이상으로 하였는데 보이는 레포트는 (24시간)이상 이라고 나옴. _x000a_          2. 조회기간 제한 필요 1900.01.01도 입력 됨 "/>
    <s v="신문호"/>
    <x v="1"/>
    <s v="결함"/>
    <s v="기능"/>
    <s v="최종확인    "/>
    <x v="1"/>
    <x v="1"/>
    <s v="구현 화면 비정상"/>
    <x v="6"/>
  </r>
  <r>
    <s v="UT-GO12903R"/>
    <x v="0"/>
    <x v="8"/>
    <s v="DEF-02361"/>
    <s v="[S_2-1] 타임아웃 에러 남_x000a_2025.10.1 ~ 2025.10.7 데이터 엑셀로 다운을 받으려고 하니"/>
    <s v="신문호"/>
    <x v="1"/>
    <s v="결함"/>
    <s v="기능"/>
    <s v="최종확인    "/>
    <x v="1"/>
    <x v="1"/>
    <s v="공통 체크리스트 구현 불충분"/>
    <x v="5"/>
  </r>
  <r>
    <s v="UT-GO12514R"/>
    <x v="0"/>
    <x v="8"/>
    <s v="DEF-02348"/>
    <s v="[X_1-1] 1. Radio Button 15분이상, 16분이상 --&gt; 15분이하 16분이상 ?_x000a_           2. 레포트제목은 GO12514R_x0009_운항편 변경이력_리포트 변경이력레포트 인데 결과서에 나온 내용은  정시성 운영현황_항공사별 리포트(GO12511R) 와 동일 함. _x000a_ 변경이력을 볼수 없음"/>
    <s v="신문호"/>
    <x v="1"/>
    <s v="개선/변경"/>
    <s v="프로세스"/>
    <s v="최종확인    "/>
    <x v="1"/>
    <x v="1"/>
    <s v="스키마명 보완 또는 DB 권한 필요"/>
    <x v="9"/>
  </r>
  <r>
    <s v="UT-GO12808R"/>
    <x v="0"/>
    <x v="8"/>
    <s v="DEF-02337"/>
    <s v="[S_1] 리포트가 화면에 안 뜨고 오류남"/>
    <s v="신문호"/>
    <x v="1"/>
    <s v="결함"/>
    <s v="기능"/>
    <s v="최종확인    "/>
    <x v="0"/>
    <x v="1"/>
    <s v="스키마명 보완 또는 DB 권한 필요"/>
    <x v="9"/>
  </r>
  <r>
    <s v="UT-GO51230R"/>
    <x v="0"/>
    <x v="8"/>
    <s v="DEF-02312"/>
    <s v="[S_1]_x000a_비율의 합계값이 실제 합계와 다름"/>
    <s v="신문호"/>
    <x v="1"/>
    <s v="결함"/>
    <s v="데이터"/>
    <s v="최종확인    "/>
    <x v="1"/>
    <x v="1"/>
    <s v="개선/변경 또는 신규 요청"/>
    <x v="1"/>
  </r>
  <r>
    <s v="UT-GO51234S"/>
    <x v="0"/>
    <x v="8"/>
    <s v="DEF-02306"/>
    <s v="[C_1]_x000a_필수값 표시누락 (파랑색 -&gt; 붉은색)"/>
    <s v="신문호"/>
    <x v="1"/>
    <s v="개선/변경"/>
    <s v="UI"/>
    <s v="최종확인    "/>
    <x v="1"/>
    <x v="1"/>
    <s v="기타 결함"/>
    <x v="7"/>
  </r>
  <r>
    <s v="UT-GO11901S"/>
    <x v="0"/>
    <x v="8"/>
    <s v="DEF-02230"/>
    <s v="[S_2-1]GD데이터 기준 실행시 서버오류_x000a_상용항공기 선택시만 오류 남"/>
    <s v="신문호"/>
    <x v="1"/>
    <s v="결함"/>
    <s v="기능"/>
    <s v="최종확인    "/>
    <x v="0"/>
    <x v="1"/>
    <s v="기능 미동작 또는 오류"/>
    <x v="8"/>
  </r>
  <r>
    <s v="UT-GO12106R"/>
    <x v="0"/>
    <x v="8"/>
    <s v="DEF-02267"/>
    <s v="[S_2-1]전체와 각터미널별 집계가 맞지 않음_x000a_운항 , 화물 집계가 서로 다름(묽은색 부분)"/>
    <s v="신문호"/>
    <x v="1"/>
    <s v="결함"/>
    <s v="데이터"/>
    <s v="최종확인    "/>
    <x v="0"/>
    <x v="1"/>
    <s v="개선/변경 또는 신규 요청"/>
    <x v="1"/>
  </r>
  <r>
    <s v="UT-GO12107R"/>
    <x v="0"/>
    <x v="8"/>
    <s v="DEF-02275"/>
    <s v="[X_1-1] 레포트 순위에 대한 설명이 없음,_x000a_[X_1-2] 8-1-2. 첨두일 운항처리 실적(도착), 8-1-3. 첨두일 운항처리 실적(출발)도 동일한 데이터 인데 순위만 변경 되어 있음    _x000a_2025-11-01 ~ 2025-11-10조회시 순위 1이 2025-11-03으로 나오는데 어떤 기준에 의해서 순위가 결정되는지 설명이 없음"/>
    <s v="신문호"/>
    <x v="1"/>
    <s v="개선/변경"/>
    <s v="데이터"/>
    <s v="최종확인    "/>
    <x v="1"/>
    <x v="1"/>
    <s v="스키마명 보완 또는 DB 권한 필요"/>
    <x v="9"/>
  </r>
  <r>
    <s v="UT-GO12107R"/>
    <x v="0"/>
    <x v="8"/>
    <s v="DEF-02280"/>
    <s v="[S_1-1]터미널 전체집계와 각각의 집계가 맞지 않음 _x000a_데이터 2025-11-01 ~ 2025-11-10"/>
    <s v="신문호"/>
    <x v="1"/>
    <s v="결함"/>
    <s v="데이터"/>
    <s v="최종확인    "/>
    <x v="1"/>
    <x v="1"/>
    <s v="스키마명 보완 또는 DB 권한 필요"/>
    <x v="9"/>
  </r>
  <r>
    <s v="UT-GO12109R"/>
    <x v="0"/>
    <x v="8"/>
    <s v="DEF-02290"/>
    <s v="[S_2-1] 전체와 각 터미널 집계가 맞지 않음 _x000a__x000a_우선순위 기준 필요"/>
    <s v="신문호"/>
    <x v="1"/>
    <s v="결함"/>
    <s v="데이터"/>
    <s v="최종확인    "/>
    <x v="0"/>
    <x v="1"/>
    <s v="스키마명 보완 또는 DB 권한 필요"/>
    <x v="9"/>
  </r>
  <r>
    <s v="UT-GO12114R"/>
    <x v="0"/>
    <x v="8"/>
    <s v="DEF-02301"/>
    <s v="[S_2-1] 1. 전체외 제 1터미널 + 탑승동A + 제 2터미널 합계가 다름 _x000a_          2. 순위가 어떤 기준으로 되어 있는지 알수가 없음"/>
    <s v="신문호"/>
    <x v="1"/>
    <s v="결함"/>
    <s v="데이터"/>
    <s v="최종확인    "/>
    <x v="1"/>
    <x v="1"/>
    <s v="스키마명 보완 또는 DB 권한 필요"/>
    <x v="9"/>
  </r>
  <r>
    <s v="UT-GO12117R"/>
    <x v="0"/>
    <x v="8"/>
    <s v="DEF-02308"/>
    <s v="[S_5-1]각 터미널별 운항실적과 전체 집계 가 다름_x000a_ "/>
    <s v="신문호"/>
    <x v="1"/>
    <s v="결함"/>
    <s v="데이터"/>
    <s v="최종확인    "/>
    <x v="1"/>
    <x v="1"/>
    <s v="스키마명 보완 또는 DB 권한 필요"/>
    <x v="9"/>
  </r>
  <r>
    <s v="UT-GO12118R"/>
    <x v="0"/>
    <x v="8"/>
    <s v="DEF-02311"/>
    <s v="[S_4-1] 실적인데 오늘 이후 미래의 실적이 조회 됨_x000a_2025년 11월11일 오늘 현재  2025년 11월11일 이후 데이터도 실적으로 나타 남 "/>
    <s v="신문호"/>
    <x v="1"/>
    <s v="결함"/>
    <s v="데이터"/>
    <s v="최종확인    "/>
    <x v="1"/>
    <x v="1"/>
    <s v="스키마명 보완 또는 DB 권한 필요"/>
    <x v="9"/>
  </r>
  <r>
    <s v="UT-GO12119R"/>
    <x v="0"/>
    <x v="8"/>
    <s v="DEF-02315"/>
    <s v="[S_4-1]레포트 제목과 실 데이터가 맞지 않음_x000a__x000a_지현 현황(~ 2022)는 2022녀나지 지현현황 통계로 생각 되는데_x000a_보여주는 데이터는 제목과 상관없이 전 데이터를 다 보여 줌."/>
    <s v="신문호"/>
    <x v="1"/>
    <s v="개선/변경"/>
    <s v="프로세스"/>
    <s v="최종확인    "/>
    <x v="1"/>
    <x v="1"/>
    <s v="스키마명 보완 또는 DB 권한 필요"/>
    <x v="9"/>
  </r>
  <r>
    <s v="UT-GO12242R"/>
    <x v="0"/>
    <x v="8"/>
    <s v="DEF-02314"/>
    <s v="[S_4-1] 타이틀이 2023 ~ 지연현황인데  기준일자 2022년 지연현황도 표시가 됨 "/>
    <s v="신문호"/>
    <x v="1"/>
    <s v="결함"/>
    <s v="데이터"/>
    <s v="최종확인    "/>
    <x v="1"/>
    <x v="1"/>
    <s v="스키마명 보완 또는 DB 권한 필요"/>
    <x v="9"/>
  </r>
  <r>
    <s v="UT-GO12120R"/>
    <x v="0"/>
    <x v="8"/>
    <s v="DEF-02317"/>
    <s v="[S_4-1] 레포트 제목하고 실 DATA가 맞지 않음 _x000a_ 제목은 2022년까지 통계이고 실제 보이는 값은 재 값으로 보임_x000a_ "/>
    <s v="신문호"/>
    <x v="1"/>
    <s v="개선/변경"/>
    <s v="프로세스"/>
    <s v="최종확인    "/>
    <x v="1"/>
    <x v="1"/>
    <s v="개선/변경 또는 신규 요청"/>
    <x v="1"/>
  </r>
  <r>
    <s v="UT-GO12243R"/>
    <x v="0"/>
    <x v="8"/>
    <s v="DEF-02316"/>
    <s v="[S_4-1]1. 기준일 미래 데이타도 보임. 오늘일자(2025년11월11일)이후 2025년11월12 ~ 30로 조회 하였는데 결함 DATA가 존재 함. _x000a_2. 2023년 이전 데이타도 조회 됨_x000a_3. 기준일자 범위에 대하여 제한을 걸지 않음 1900.0101 ~ 2025.1231도 입력 가능 함"/>
    <s v="신문호"/>
    <x v="1"/>
    <s v="결함"/>
    <s v="데이터"/>
    <s v="최종확인    "/>
    <x v="1"/>
    <x v="1"/>
    <s v="스키마명 보완 또는 DB 권한 필요"/>
    <x v="9"/>
  </r>
  <r>
    <s v="UT-GO12121R"/>
    <x v="0"/>
    <x v="8"/>
    <s v="DEF-02323"/>
    <s v="[S_2-1]1. 운항실적이 현재일 보다 미래일 실적이 보임_x000a_         2. 전체데이타에는 기술착륙 경항공기 도착,출발 건수가 보이나 각 터미널 별로는 기술착륙 데이터가 없음. "/>
    <s v="신문호"/>
    <x v="1"/>
    <s v="결함"/>
    <s v="데이터"/>
    <s v="최종확인    "/>
    <x v="1"/>
    <x v="1"/>
    <s v="스키마명 보완 또는 DB 권한 필요"/>
    <x v="9"/>
  </r>
  <r>
    <s v="UT-GO12122R"/>
    <x v="0"/>
    <x v="8"/>
    <s v="DEF-02324"/>
    <s v="[X_2-1] 미래 데이터 데이터 점검 "/>
    <s v="신문호"/>
    <x v="1"/>
    <s v="개선/변경"/>
    <s v="데이터"/>
    <s v="최종확인    "/>
    <x v="1"/>
    <x v="1"/>
    <s v="개선/변경 또는 신규 요청"/>
    <x v="1"/>
  </r>
  <r>
    <s v="UT-GO12124R"/>
    <x v="0"/>
    <x v="8"/>
    <s v="DEF-02333"/>
    <s v="[S_2-1] 동일한 항공사가 중복해서 나오고, 일부 항공사는 데이타도 다르게 나옴. _x000a_프랑스항공,아에로맥시여객기 는. 동일한 데이터가 중복되어 나오고, _x000a_중화항공은 여객기로 동일한데 위에는 운항여객에 8, 아래는 6으로 나옴_x000a__x000a_"/>
    <s v="신문호"/>
    <x v="1"/>
    <s v="결함"/>
    <s v="데이터"/>
    <s v="최종확인    "/>
    <x v="1"/>
    <x v="1"/>
    <s v="스키마명 보완 또는 DB 권한 필요"/>
    <x v="9"/>
  </r>
  <r>
    <s v="UT-GO12125R"/>
    <x v="0"/>
    <x v="8"/>
    <s v="DEF-02338"/>
    <s v="[X_1-1] 개선사항 조회 범위를 제한 필요_x000a__x000a_- 현재는 범위없이 조회 됨 (1900.0101 ~ 2025.12.31_x000a_- 데이터 점검 요망 (2025.0101 ~ 0103) 00시간대 화물 출발값 다름_x000a_"/>
    <s v="신문호"/>
    <x v="1"/>
    <s v="개선/변경"/>
    <s v="기능"/>
    <s v="최종확인    "/>
    <x v="1"/>
    <x v="1"/>
    <s v="스키마명 보완 또는 DB 권한 필요"/>
    <x v="9"/>
  </r>
  <r>
    <s v="UT-GO12705S"/>
    <x v="0"/>
    <x v="8"/>
    <s v="DEF-02264"/>
    <s v="결함아님."/>
    <s v="신문호"/>
    <x v="1"/>
    <s v="결함"/>
    <s v="기능"/>
    <s v="최종확인    "/>
    <x v="0"/>
    <x v="1"/>
    <s v="스키마명 보완 또는 DB 권한 필요"/>
    <x v="9"/>
  </r>
  <r>
    <s v="UT-RCPK007L"/>
    <x v="0"/>
    <x v="11"/>
    <s v="DEF-02377"/>
    <s v="[S_1] Save to Excel 이 실행안됨. 눌러도 반응 반응 없음."/>
    <s v="이미라"/>
    <x v="1"/>
    <s v="결함"/>
    <s v="기능"/>
    <s v="최종확인    "/>
    <x v="0"/>
    <x v="1"/>
    <s v="개선/변경 또는 신규 요청"/>
    <x v="1"/>
  </r>
  <r>
    <s v="UT-RCCI101L"/>
    <x v="0"/>
    <x v="11"/>
    <s v="DEF-02344"/>
    <s v="[S_1] 차트화면 프린트를 누르면  페이지가 멈추고 연결이 끊기는 현상 발생"/>
    <s v="이미라"/>
    <x v="1"/>
    <s v="결함"/>
    <s v="기능"/>
    <s v="최종확인    "/>
    <x v="0"/>
    <x v="1"/>
    <s v="개선/변경 또는 신규 요청"/>
    <x v="1"/>
  </r>
  <r>
    <s v="UT-CASY023S(A)"/>
    <x v="0"/>
    <x v="12"/>
    <s v="DEF-02304"/>
    <s v="[X_1]사용자 권한문제로 NEW, DELETE 버튼이 활성화 되지 않아 테스트 불가"/>
    <s v="김명준"/>
    <x v="1"/>
    <s v="개선/변경"/>
    <s v="기능"/>
    <s v="최종확인    "/>
    <x v="1"/>
    <x v="1"/>
    <s v="개선/변경 또는 신규 요청"/>
    <x v="1"/>
  </r>
  <r>
    <s v="UT-CA-SP17(A)"/>
    <x v="0"/>
    <x v="12"/>
    <s v="DEF-02469"/>
    <s v="권한문제로 프로시져 실행안됨"/>
    <s v="김명준"/>
    <x v="0"/>
    <s v="결함"/>
    <s v="기능"/>
    <s v="최종확인    "/>
    <x v="1"/>
    <x v="1"/>
    <s v="구현 화면 비정상"/>
    <x v="6"/>
  </r>
  <r>
    <s v="UT-GO12241R"/>
    <x v="0"/>
    <x v="8"/>
    <s v="DEF-02336"/>
    <s v="[S_2-1]미래데이터 확인 필요 현재일(2025년11월12일)보다 이후일(2025.11.30)  수송실적이 존재 함"/>
    <s v="신문호"/>
    <x v="1"/>
    <s v="결함"/>
    <s v="데이터"/>
    <s v="최종확인    "/>
    <x v="1"/>
    <x v="1"/>
    <s v="구현 화면 비정상"/>
    <x v="6"/>
  </r>
  <r>
    <s v="UT-WESRS022S"/>
    <x v="0"/>
    <x v="0"/>
    <s v="DEF-02240"/>
    <s v="[S_WESRS022S] 데이터가 존재하지 않아 테스트 불가"/>
    <s v="임지훈"/>
    <x v="1"/>
    <s v="결함"/>
    <s v="데이터"/>
    <s v="최종확인    "/>
    <x v="1"/>
    <x v="1"/>
    <s v="기타 결함"/>
    <x v="7"/>
  </r>
  <r>
    <s v="UT-GO12513R"/>
    <x v="0"/>
    <x v="8"/>
    <s v="DEF-02343"/>
    <s v="[C-1] 오류 메세지 뜸"/>
    <s v="신문호"/>
    <x v="1"/>
    <s v="결함"/>
    <s v="기능"/>
    <s v="최종확인    "/>
    <x v="0"/>
    <x v="1"/>
    <s v="구현 화면 비정상"/>
    <x v="6"/>
  </r>
  <r>
    <s v="UT-GO12123R"/>
    <x v="0"/>
    <x v="8"/>
    <s v="DEF-02327"/>
    <s v="[S_2-1] 공통사항 : 실행이 완료 되었는데 보고서 호출이 완료되지 않았다는 메세지가 뜸"/>
    <s v="신문호"/>
    <x v="1"/>
    <s v="결함"/>
    <s v="기능"/>
    <s v="최종확인    "/>
    <x v="1"/>
    <x v="1"/>
    <s v="기능 미동작 또는 오류"/>
    <x v="8"/>
  </r>
  <r>
    <s v="UT-WESRS001S"/>
    <x v="0"/>
    <x v="0"/>
    <s v="DEF-02237"/>
    <s v="[S_001S] 모든 버튼이 비활성화 되어있음"/>
    <s v="임지훈"/>
    <x v="1"/>
    <s v="결함"/>
    <s v="기능"/>
    <s v="최종확인    "/>
    <x v="0"/>
    <x v="1"/>
    <s v="기타 결함"/>
    <x v="7"/>
  </r>
  <r>
    <s v="UT-WESRS014S"/>
    <x v="0"/>
    <x v="0"/>
    <s v="DEF-02238"/>
    <s v="[S_WESRS014S] 조건에 맞는 검색이 이루어지지 않음_x000a_ROW더블클릭해도 아무런 이벤트가 발생하지 않음"/>
    <s v="임지훈"/>
    <x v="1"/>
    <s v="결함"/>
    <s v="기능"/>
    <s v="최종확인    "/>
    <x v="0"/>
    <x v="1"/>
    <s v="구현 화면 비정상"/>
    <x v="6"/>
  </r>
  <r>
    <s v="UT-WESRS015S"/>
    <x v="0"/>
    <x v="0"/>
    <s v="DEF-02239"/>
    <s v="[S_WESRS015S] 아무런 데이터가 조회되지 않아 테스트 불가"/>
    <s v="임지훈"/>
    <x v="1"/>
    <s v="결함"/>
    <s v="데이터"/>
    <s v="최종확인    "/>
    <x v="1"/>
    <x v="1"/>
    <s v="개선/변경 또는 신규 요청"/>
    <x v="1"/>
  </r>
  <r>
    <s v="UT-SLOTMM001S"/>
    <x v="0"/>
    <x v="4"/>
    <s v="DEF-02226"/>
    <s v="[S_2-1] 로딩 오류로 테스트 불가"/>
    <s v="김형진"/>
    <x v="1"/>
    <s v="결함"/>
    <s v="기타"/>
    <s v="최종확인    "/>
    <x v="0"/>
    <x v="1"/>
    <s v="기타 결함"/>
    <x v="7"/>
  </r>
  <r>
    <s v="UT-SLOTMM002S"/>
    <x v="0"/>
    <x v="4"/>
    <s v="DEF-02227"/>
    <s v="[S_2-1] 서버 오류로 테스트 불가"/>
    <s v="김형진"/>
    <x v="1"/>
    <s v="결함"/>
    <s v="기능"/>
    <s v="최종확인    "/>
    <x v="0"/>
    <x v="1"/>
    <s v="개선/변경 또는 신규 요청"/>
    <x v="1"/>
  </r>
  <r>
    <s v="UT-SLOTSM001S"/>
    <x v="0"/>
    <x v="4"/>
    <s v="DEF-02228"/>
    <s v="[X_2-1] 단위테스트 결과 누락"/>
    <s v="김형진"/>
    <x v="1"/>
    <s v="결함"/>
    <s v="문서화"/>
    <s v="최종확인    "/>
    <x v="0"/>
    <x v="1"/>
    <s v="개선/변경 또는 신규 요청"/>
    <x v="1"/>
  </r>
  <r>
    <s v="UT-SLOTSM002S"/>
    <x v="0"/>
    <x v="4"/>
    <s v="DEF-02472"/>
    <s v="콤보박스의 초기값이 시나리오상과 달리 안 보임_x000a_Season : &quot;선택&quot;_x000a_Branch : &quot;선택&quot;_x000a_Airline : &quot;전체&quot;_x000a_*Branch는 콤보를 열어도 아무 값이 안보임."/>
    <s v="김형진"/>
    <x v="1"/>
    <s v="개선/변경"/>
    <s v="데이터"/>
    <s v="최종확인    "/>
    <x v="1"/>
    <x v="1"/>
    <s v="스키마명 보완 또는 DB 권한 필요"/>
    <x v="9"/>
  </r>
  <r>
    <s v="UT-SLOTSM002S"/>
    <x v="0"/>
    <x v="4"/>
    <s v="DEF-02229"/>
    <s v="[X_2-1] 단위테스트 결과 누락"/>
    <s v="김형진"/>
    <x v="1"/>
    <s v="결함"/>
    <s v="문서화"/>
    <s v="최종확인    "/>
    <x v="0"/>
    <x v="1"/>
    <s v="스키마명 보완 또는 DB 권한 필요"/>
    <x v="9"/>
  </r>
  <r>
    <s v="UT-MESCM111S"/>
    <x v="0"/>
    <x v="2"/>
    <s v="DEF-02285"/>
    <s v="[S_5] &quot;조회&quot; 버튼이 없음"/>
    <s v="임지훈"/>
    <x v="1"/>
    <s v="결함"/>
    <s v="기능"/>
    <s v="최종확인    "/>
    <x v="0"/>
    <x v="1"/>
    <s v="개선/변경 또는 신규 요청"/>
    <x v="1"/>
  </r>
  <r>
    <s v="UT-MESCM112S"/>
    <x v="0"/>
    <x v="2"/>
    <s v="DEF-02286"/>
    <s v="[S_5] &quot;조회&quot; 버튼이 없음"/>
    <s v="임지훈"/>
    <x v="1"/>
    <s v="개선/변경"/>
    <s v="기능"/>
    <s v="최종확인    "/>
    <x v="0"/>
    <x v="1"/>
    <s v="기능 미동작 또는 오류"/>
    <x v="8"/>
  </r>
  <r>
    <s v="UT-MESCM113S"/>
    <x v="0"/>
    <x v="2"/>
    <s v="DEF-02287"/>
    <s v="[S_5] &quot;조회&quot;버튼이 없음"/>
    <s v="임지훈"/>
    <x v="1"/>
    <s v="개선/변경"/>
    <s v="기능"/>
    <s v="최종확인    "/>
    <x v="0"/>
    <x v="1"/>
    <s v="구현 화면 비정상"/>
    <x v="6"/>
  </r>
  <r>
    <s v="UT-MESCM114S"/>
    <x v="0"/>
    <x v="2"/>
    <s v="DEF-02289"/>
    <s v="[S_5] &quot;조회&quot; 버튼이 없음"/>
    <s v="임지훈"/>
    <x v="1"/>
    <s v="개선/변경"/>
    <s v="기능"/>
    <s v="최종확인    "/>
    <x v="0"/>
    <x v="1"/>
    <s v="구현 화면 비정상"/>
    <x v="6"/>
  </r>
  <r>
    <s v="UT-MESCM163S"/>
    <x v="0"/>
    <x v="2"/>
    <s v="DEF-02292"/>
    <s v="[X_7] TSAT값이 없을 땐 '%'만 있는 게 맞는 지 확인부탁드립니다. 정상이면 조치안하셔도 됩니다. "/>
    <s v="임지훈"/>
    <x v="1"/>
    <s v="신규"/>
    <s v="UI"/>
    <s v="최종확인    "/>
    <x v="0"/>
    <x v="1"/>
    <s v="기능 미동작 또는 오류"/>
    <x v="8"/>
  </r>
  <r>
    <s v="UT-MESAC012S"/>
    <x v="0"/>
    <x v="2"/>
    <s v="DEF-02233"/>
    <s v="[X_2] Apron 탭 관련 테스트 데이터 필요"/>
    <s v="임지훈"/>
    <x v="1"/>
    <s v="결함"/>
    <s v="데이터"/>
    <s v="최종확인    "/>
    <x v="1"/>
    <x v="1"/>
    <s v="프로시져 호출 오류"/>
    <x v="10"/>
  </r>
  <r>
    <s v="UT-MESAC013S"/>
    <x v="0"/>
    <x v="2"/>
    <s v="DEF-02234"/>
    <s v="[X_2] Towing 탭 관련 데이터 필요"/>
    <s v="임지훈"/>
    <x v="1"/>
    <s v="결함"/>
    <s v="데이터"/>
    <s v="최종확인    "/>
    <x v="0"/>
    <x v="1"/>
    <s v="테스트 결과서 증적 미흡 또는 부재"/>
    <x v="3"/>
  </r>
  <r>
    <s v="UT-MESAC014S"/>
    <x v="0"/>
    <x v="2"/>
    <s v="DEF-02235"/>
    <s v="[X_2] De-icing 관련 데이터 필요"/>
    <s v="임지훈"/>
    <x v="1"/>
    <s v="결함"/>
    <s v="데이터"/>
    <s v="최종확인    "/>
    <x v="0"/>
    <x v="1"/>
    <s v="개선/변경 또는 신규 요청"/>
    <x v="1"/>
  </r>
  <r>
    <s v="UT-MESAC020S"/>
    <x v="0"/>
    <x v="2"/>
    <s v="DEF-02241"/>
    <s v="[X_2] 테스트 데이터 필요"/>
    <s v="임지훈"/>
    <x v="1"/>
    <s v="결함"/>
    <s v="데이터"/>
    <s v="최종확인    "/>
    <x v="0"/>
    <x v="1"/>
    <s v="기타 결함"/>
    <x v="7"/>
  </r>
  <r>
    <s v="UT-MESAC021S"/>
    <x v="0"/>
    <x v="2"/>
    <s v="DEF-02243"/>
    <s v="[X_2] 테스트 데이터 필요"/>
    <s v="임지훈"/>
    <x v="1"/>
    <s v="결함"/>
    <s v="데이터"/>
    <s v="최종확인    "/>
    <x v="0"/>
    <x v="1"/>
    <s v="개선/변경 또는 신규 요청"/>
    <x v="1"/>
  </r>
  <r>
    <s v="UT-MESFP012M"/>
    <x v="0"/>
    <x v="2"/>
    <s v="DEF-02259"/>
    <s v="[S_2] 항목의 글씨 크기가 항목에 비해 작아보이는 데 괜찮은 지 궁금합니다._x000a__x000a_테스트 환경 : PC(edge)"/>
    <s v="임지훈"/>
    <x v="1"/>
    <s v="결함"/>
    <s v="인터페이스"/>
    <s v="최종확인    "/>
    <x v="1"/>
    <x v="1"/>
    <s v="개선/변경 또는 신규 요청"/>
    <x v="1"/>
  </r>
  <r>
    <s v="UT-MESRS021S"/>
    <x v="0"/>
    <x v="2"/>
    <s v="DEF-02266"/>
    <s v="[X_1] 테스트 데이터 필요"/>
    <s v="임지훈"/>
    <x v="1"/>
    <s v="결함"/>
    <s v="데이터"/>
    <s v="최종확인    "/>
    <x v="0"/>
    <x v="1"/>
    <s v="스키마명 보완 또는 DB 권한 필요"/>
    <x v="9"/>
  </r>
  <r>
    <s v="UT-FSQB080S"/>
    <x v="0"/>
    <x v="10"/>
    <s v="DEF-02383"/>
    <s v="[X_2-1] _x000a_리포트에 터미널 전체인지, T1,T2인지 표시가 없음. _x000a_( UT-FSQB100E- 포기물품 검색 월별 현황 조회-근무지 전체  와 중복)_x000a_"/>
    <s v="임소정"/>
    <x v="1"/>
    <s v="개선/변경"/>
    <s v="데이터"/>
    <s v="최종확인    "/>
    <x v="1"/>
    <x v="1"/>
    <s v="테스트 데이터 불충분"/>
    <x v="4"/>
  </r>
  <r>
    <s v="UT-MESMF061S"/>
    <x v="0"/>
    <x v="2"/>
    <s v="DEF-02471"/>
    <s v="중간관리자 여부에 null 값이 표시됨"/>
    <s v="임지훈"/>
    <x v="1"/>
    <s v="결함"/>
    <s v="데이터"/>
    <s v="최종확인    "/>
    <x v="1"/>
    <x v="1"/>
    <s v="개선/변경 또는 신규 요청"/>
    <x v="1"/>
  </r>
  <r>
    <s v="UT-MESMF061S"/>
    <x v="0"/>
    <x v="2"/>
    <s v="DEF-02271"/>
    <s v="[X_1] 신청구분 값이 중복됨"/>
    <s v="임지훈"/>
    <x v="1"/>
    <s v="결함"/>
    <s v="데이터"/>
    <s v="최종확인    "/>
    <x v="0"/>
    <x v="1"/>
    <s v="개선/변경 또는 신규 요청"/>
    <x v="1"/>
  </r>
  <r>
    <s v="UT-MESMF082S"/>
    <x v="0"/>
    <x v="2"/>
    <s v="DEF-02276"/>
    <s v="[S_2] 첨부한 캡처본과 같이 신청권한의 1행을 반복 클릭하면 0과 1이 번갈아가면서 나옴"/>
    <s v="임지훈"/>
    <x v="1"/>
    <s v="결함"/>
    <s v="기능"/>
    <s v="최종확인    "/>
    <x v="0"/>
    <x v="1"/>
    <s v="기능 미동작 또는 오류"/>
    <x v="8"/>
  </r>
  <r>
    <s v="UT-PM10102S"/>
    <x v="0"/>
    <x v="3"/>
    <s v="DEF-02245"/>
    <s v="[S_8] 이미지에 나온 2건의 데이터가 &quot;터미널&quot; 기준으로 조회시 조회가 되지 않음._x000a_* 조건1 : 운영일자(2025-11-10), 터미널(전체), 항공사(OZ) &gt; 조회성공!_x000a_* 조건2 : 운영일자(2025-11-10), 터미널(T2), 항공사(OZ) &gt; 조회실패_x000a_* 조건3 : 운영일자(2025-11-10), 터미널(T2) &gt; 조회실패_x000a_"/>
    <s v="염희석"/>
    <x v="1"/>
    <s v="결함"/>
    <s v="데이터"/>
    <s v="최종확인    "/>
    <x v="1"/>
    <x v="1"/>
    <s v="구현 화면 비정상"/>
    <x v="6"/>
  </r>
  <r>
    <s v="UT-PM10103S"/>
    <x v="0"/>
    <x v="3"/>
    <s v="DEF-02248"/>
    <s v="[S_5-3] 배정일련번호 최대자릿수가 6개 까지만 입력됨._x000a_- 테스트결과서에는 10자리 까지 입력 가능하다고 기재되어 있음_x000a_(유효성검사 기준 재확인 필요)"/>
    <s v="염희석"/>
    <x v="1"/>
    <s v="개선/변경"/>
    <s v="기능"/>
    <s v="최종확인    "/>
    <x v="1"/>
    <x v="1"/>
    <s v="구현 화면 비정상"/>
    <x v="6"/>
  </r>
  <r>
    <s v="UT-PM20132M"/>
    <x v="0"/>
    <x v="3"/>
    <s v="DEF-00636"/>
    <s v="팝업창의 제목과 팝업을 호출하는 일치하지 않음._x000a_(게이트 배정정보 조회 -&gt; 입국 게이트 배정정보 조회)_x000a__x000a_※ 팝업호출 버튼에 대한 시나리오 및 테스트결과서 보완 필요."/>
    <s v="염희석"/>
    <x v="1"/>
    <s v="개선/변경"/>
    <s v="UI"/>
    <s v="최종확인    "/>
    <x v="1"/>
    <x v="1"/>
    <s v="구현 화면 비정상"/>
    <x v="6"/>
  </r>
  <r>
    <s v="UT-PM20133M"/>
    <x v="0"/>
    <x v="3"/>
    <s v="DEF-00637"/>
    <s v="테스트 결과서의 내용과 시나리오의 내용이 다름"/>
    <s v="염희석"/>
    <x v="1"/>
    <s v="개선/변경"/>
    <s v="문서화"/>
    <s v="최종확인    "/>
    <x v="1"/>
    <x v="1"/>
    <s v="기능 미동작 또는 오류"/>
    <x v="8"/>
  </r>
  <r>
    <s v="UT-PM20134M"/>
    <x v="0"/>
    <x v="3"/>
    <s v="DEF-00639"/>
    <s v="테스트결과 증적 보완 필요_x000a_(화면의 어디를 클릭해야 팝업이 호출되는지에 대한 설명이 필요)_x000a_"/>
    <s v="염희석"/>
    <x v="1"/>
    <s v="개선/변경"/>
    <s v="문서화"/>
    <s v="최종확인    "/>
    <x v="1"/>
    <x v="1"/>
    <s v="기능 미동작 또는 오류"/>
    <x v="8"/>
  </r>
  <r>
    <s v="UT-PM20141M"/>
    <x v="0"/>
    <x v="3"/>
    <s v="DEF-02318"/>
    <s v="[S_3] Radio 버튼을 선택하더라도 그래프는 EA만 표출됨._x000a_- WA 그래프 표출이 되지 않음"/>
    <s v="염희석"/>
    <x v="1"/>
    <s v="결함"/>
    <s v="기능"/>
    <s v="최종확인    "/>
    <x v="0"/>
    <x v="1"/>
    <s v="기타 결함"/>
    <x v="7"/>
  </r>
  <r>
    <s v="UT-PM20144M"/>
    <x v="0"/>
    <x v="3"/>
    <s v="DEF-02325"/>
    <s v="[S_5] 순번을 지정하여 저장하고 나면 각 환승검색대의 순번이 1인 데이터가 추가되어 저장됨_x000a_- 원래 순번이 1인 데이터는 그대로임_x000a_- 의도한 기능인지는 모르겠음"/>
    <s v="염희석"/>
    <x v="1"/>
    <s v="결함"/>
    <s v="기능"/>
    <s v="최종확인    "/>
    <x v="0"/>
    <x v="1"/>
    <s v="프로시져 호출 오류"/>
    <x v="10"/>
  </r>
  <r>
    <s v="UT-CA-SP44(A)"/>
    <x v="0"/>
    <x v="12"/>
    <s v="DEF-02386"/>
    <s v="[s_2] CA_APLY_USER_TELNO 테이블 또는 뷰가 존재하지 않음 표시됨 "/>
    <s v="김명준"/>
    <x v="0"/>
    <s v="결함"/>
    <s v="데이터"/>
    <s v="최종확인    "/>
    <x v="1"/>
    <x v="1"/>
    <s v="구현 화면 비정상"/>
    <x v="6"/>
  </r>
  <r>
    <s v="UT-CA-SP44"/>
    <x v="0"/>
    <x v="9"/>
    <s v="DEF-02425"/>
    <s v="[S_3] 조회 되지 않는 문제_x000a__x000a_- USER_ID 값을 test9091로 테스트함_x000a__x000a_프로시저 실행 후 조회되지 않음_x000a__x000a_SELECT * FROM TN_CA_APLY_USER_CNPL WHERE USER_ID = 'test9091';_x000a__x000a_SELECT * FROM TN_CA_APLY_USER_CNTN_PSBLTY_IP WHERE USER_ID = 'test9091';_x000a_"/>
    <s v="김명준"/>
    <x v="0"/>
    <s v="결함"/>
    <s v="기능"/>
    <s v="최종확인    "/>
    <x v="0"/>
    <x v="1"/>
    <s v="테스트 결과서 증적 미흡 또는 부재"/>
    <x v="3"/>
  </r>
  <r>
    <s v="UT-CA-SP44"/>
    <x v="0"/>
    <x v="9"/>
    <s v="DEF-02313"/>
    <s v="[S_2] TN_CA_APLY_USER_TELNO 테이블이 없음_x000a_SELECT * FROM TN_CA_APLY_USER_CNTN_PSBLTY_IP WHERE USER_ID = 'test9090' 조회 결과 아무것도 나오지 않음"/>
    <s v="김명준"/>
    <x v="0"/>
    <s v="결함"/>
    <s v="기능"/>
    <s v="최종확인    "/>
    <x v="0"/>
    <x v="1"/>
    <s v="테스트 요구 권한 누락"/>
    <x v="11"/>
  </r>
  <r>
    <s v="UT-GO-SP122"/>
    <x v="0"/>
    <x v="8"/>
    <s v="DEF-02298"/>
    <s v="[S_3]_x000a_LAST_MDFCN_DT가 NULL 임."/>
    <s v="신문호"/>
    <x v="0"/>
    <s v="결함"/>
    <s v="기능"/>
    <s v="최종확인    "/>
    <x v="1"/>
    <x v="1"/>
    <s v="테스트 요구 권한 누락"/>
    <x v="11"/>
  </r>
  <r>
    <s v="UT-GO-SP123"/>
    <x v="0"/>
    <x v="8"/>
    <s v="DEF-02321"/>
    <s v="[S_1] 오류메세지 뜸"/>
    <s v="신문호"/>
    <x v="0"/>
    <s v="결함"/>
    <s v="기능"/>
    <s v="최종확인    "/>
    <x v="0"/>
    <x v="1"/>
    <s v="테스트 결과서 증적 미흡 또는 부재"/>
    <x v="3"/>
  </r>
  <r>
    <s v="UT-GO-SP124"/>
    <x v="0"/>
    <x v="8"/>
    <s v="DEF-02326"/>
    <s v="[S_1] 오류 메세지 뜸."/>
    <s v="신문호"/>
    <x v="0"/>
    <s v="결함"/>
    <s v="기능"/>
    <s v="최종확인    "/>
    <x v="0"/>
    <x v="1"/>
    <s v="프로시져 호출 오류"/>
    <x v="10"/>
  </r>
  <r>
    <s v="UT-GO-SP120"/>
    <x v="0"/>
    <x v="8"/>
    <s v="DEF-02295"/>
    <s v="[S_3]_x000a_LAST_MDFCN_DT의 첫행만 오늘 날짜로 UPDATE 됨._x000a_(시나리오 상에서는 모두 UPDATE된다고 나옴)"/>
    <s v="신문호"/>
    <x v="0"/>
    <s v="결함"/>
    <s v="기능"/>
    <s v="최종확인    "/>
    <x v="1"/>
    <x v="1"/>
    <s v="구현 화면 비정상"/>
    <x v="6"/>
  </r>
  <r>
    <s v="UT-GO-SP207"/>
    <x v="0"/>
    <x v="8"/>
    <s v="DEF-02429"/>
    <s v="결함아님"/>
    <s v="신문호"/>
    <x v="0"/>
    <s v="결함"/>
    <s v="기능"/>
    <s v="최종확인    "/>
    <x v="0"/>
    <x v="1"/>
    <s v="구현 화면 비정상"/>
    <x v="6"/>
  </r>
  <r>
    <s v="UT-CASY024S(A)"/>
    <x v="0"/>
    <x v="12"/>
    <s v="DEF-02305"/>
    <s v="[X_1]사용자 권한문제로 NEW, DELETE 버튼이 활성화 되지 않아 테스트 불가"/>
    <s v="김명준"/>
    <x v="1"/>
    <s v="개선/변경"/>
    <s v="기능"/>
    <s v="최종확인    "/>
    <x v="1"/>
    <x v="1"/>
    <s v="프로시져 호출 오류"/>
    <x v="10"/>
  </r>
  <r>
    <s v="UT-CASY024S(A)"/>
    <x v="0"/>
    <x v="12"/>
    <s v="DEF-02444"/>
    <s v="[S_6] DELETE버튼 클릭하여 저장시 서버 오류 발생"/>
    <s v="김명준"/>
    <x v="1"/>
    <s v="결함"/>
    <s v="기능"/>
    <s v="최종확인    "/>
    <x v="1"/>
    <x v="1"/>
    <s v="개선/변경 또는 신규 요청"/>
    <x v="1"/>
  </r>
  <r>
    <s v="UT-CAMN006S(A)"/>
    <x v="0"/>
    <x v="12"/>
    <s v="DEF-02307"/>
    <s v="[X_1]관련 메뉴 및 화면으로 갈수 없어서 테스트 불가  "/>
    <s v="김명준"/>
    <x v="1"/>
    <s v="개선/변경"/>
    <s v="기능"/>
    <s v="최종확인    "/>
    <x v="1"/>
    <x v="1"/>
    <s v="스키마명 보완 또는 DB 권한 필요"/>
    <x v="9"/>
  </r>
  <r>
    <s v="UT-AS85104M"/>
    <x v="0"/>
    <x v="13"/>
    <s v="DEF-02293"/>
    <s v="[S_2] 노출순서 팝업에 표기되는 순서가 기존에 지정했던 순서와 다름"/>
    <s v="장은성"/>
    <x v="1"/>
    <s v="결함"/>
    <s v="기능"/>
    <s v="최종확인    "/>
    <x v="0"/>
    <x v="1"/>
    <s v="구현 화면 비정상"/>
    <x v="6"/>
  </r>
  <r>
    <s v="UT-RSPK082S"/>
    <x v="0"/>
    <x v="6"/>
    <s v="DEF-02281"/>
    <s v="[C_1] rb00, rb10만 소문자"/>
    <s v="유경섭"/>
    <x v="1"/>
    <s v="개선/변경"/>
    <s v="표준"/>
    <s v="최종확인    "/>
    <x v="1"/>
    <x v="1"/>
    <s v="개선/변경 또는 신규 요청"/>
    <x v="1"/>
  </r>
  <r>
    <s v="UT-AS80101S"/>
    <x v="0"/>
    <x v="13"/>
    <s v="DEF-02255"/>
    <s v="[S_5] 게시일 기준으로 조회 시 결과 값이 틀림._x000a_- 첨부한 이미지의 데이터는 아래 게시일 기준으로 조회하면 조회 불가_x000a_ : 게시일 (2025-09-11 ~ 2025-09-12)"/>
    <s v="장은성"/>
    <x v="1"/>
    <s v="결함"/>
    <s v="기능"/>
    <s v="최종확인    "/>
    <x v="1"/>
    <x v="1"/>
    <s v="개선/변경 또는 신규 요청"/>
    <x v="1"/>
  </r>
  <r>
    <s v="UT-AS80101S"/>
    <x v="0"/>
    <x v="13"/>
    <s v="DEF-02256"/>
    <s v="[S_6] 초기화 버튼 클릭 시 결과서대로 날짜가 초기화 되지 않음_x000a_* 결과서 : 현재일 기준 2일전_x000a_* 테스트 결과 : 현재일+1일 ~ 2일전_x000a__x000a_ex) 예를들어 현재일자가 2025-11-10 인데 &quot;초기화&quot; 버튼을 클릭하면_x000a_2025-11-08 ~ 2025-11-11 로 초기화가 됨._x000a_(2025-11-08 ~ 2025-11-10 으로 되어야 함.)"/>
    <s v="장은성"/>
    <x v="1"/>
    <s v="개선/변경"/>
    <s v="기능"/>
    <s v="최종확인    "/>
    <x v="1"/>
    <x v="1"/>
    <s v="개선/변경 또는 신규 요청"/>
    <x v="1"/>
  </r>
  <r>
    <s v="UT-AS81101S"/>
    <x v="0"/>
    <x v="13"/>
    <s v="DEF-02268"/>
    <s v="[S_6] 리포트명 클릭 or 더블클릭해도 반응 없음._x000a_- 결과서에는 팝업이 떠야 한다고 명시되어 있음."/>
    <s v="장은성"/>
    <x v="1"/>
    <s v="결함"/>
    <s v="기능"/>
    <s v="최종확인    "/>
    <x v="0"/>
    <x v="1"/>
    <s v="개선/변경 또는 신규 요청"/>
    <x v="1"/>
  </r>
  <r>
    <s v="UT-AS82101S"/>
    <x v="0"/>
    <x v="13"/>
    <s v="DEF-02269"/>
    <s v="[S_1] 화면 진입시 작성일자 초기 값이 &quot;현재날짜&quot;가 아님_x000a_"/>
    <s v="장은성"/>
    <x v="1"/>
    <s v="개선/변경"/>
    <s v="기능"/>
    <s v="최종확인    "/>
    <x v="1"/>
    <x v="1"/>
    <s v="프로시져 호출 오류"/>
    <x v="10"/>
  </r>
  <r>
    <s v="UT-AS82101S"/>
    <x v="0"/>
    <x v="13"/>
    <s v="DEF-02270"/>
    <s v="[S_8] &quot;초기화&quot; 버튼 클릭시 종료일자가 오늘날짜가 아님"/>
    <s v="장은성"/>
    <x v="1"/>
    <s v="개선/변경"/>
    <s v="기능"/>
    <s v="최종확인    "/>
    <x v="1"/>
    <x v="1"/>
    <s v="프로시져 호출 오류"/>
    <x v="10"/>
  </r>
  <r>
    <s v="UT-AS83101S"/>
    <x v="0"/>
    <x v="13"/>
    <s v="DEF-02273"/>
    <s v="[S_8] &quot;초기화&quot; 버튼 선택 시 &quot;상태&quot; 값은 초기화가 되지 않음_x000a_- 결과서에 명시된 바와같이 상태값이 &quot;전체&quot;로 초기화 되어야 함."/>
    <s v="장은성"/>
    <x v="1"/>
    <s v="결함"/>
    <s v="기능"/>
    <s v="최종확인    "/>
    <x v="1"/>
    <x v="1"/>
    <s v="기타 결함"/>
    <x v="7"/>
  </r>
  <r>
    <s v="UT-AS84101S"/>
    <x v="0"/>
    <x v="13"/>
    <s v="DEF-02277"/>
    <s v="[S_5] 리스트에서 &quot;답변일&quot; 데이터 확인 필요"/>
    <s v="장은성"/>
    <x v="1"/>
    <s v="결함"/>
    <s v="데이터"/>
    <s v="최종확인    "/>
    <x v="0"/>
    <x v="1"/>
    <s v="스키마명 보완 또는 DB 권한 필요"/>
    <x v="9"/>
  </r>
  <r>
    <s v="UT-AS84101S"/>
    <x v="0"/>
    <x v="13"/>
    <s v="DEF-02279"/>
    <s v="[S_7] &quot;초기화&quot; 버튼 선택 시 &quot;상태&quot; 값이 &quot;전체&quot;로 초기화 되지 않음_x000a_"/>
    <s v="장은성"/>
    <x v="1"/>
    <s v="결함"/>
    <s v="기능"/>
    <s v="최종확인    "/>
    <x v="1"/>
    <x v="1"/>
    <s v="테스트 결과 값 오류"/>
    <x v="0"/>
  </r>
  <r>
    <s v="UT-AS84102S"/>
    <x v="0"/>
    <x v="13"/>
    <s v="DEF-02474"/>
    <s v="제목입력 란에 문자길이 제한이 없음."/>
    <s v="장은성"/>
    <x v="1"/>
    <s v="개선/변경"/>
    <s v="기능"/>
    <s v="최종확인    "/>
    <x v="1"/>
    <x v="1"/>
    <s v="개선/변경 또는 신규 요청"/>
    <x v="1"/>
  </r>
  <r>
    <s v="UT-AS84102S"/>
    <x v="0"/>
    <x v="13"/>
    <s v="DEF-02475"/>
    <s v="노트북에서 저장 버튼 안 보임."/>
    <s v="장은성"/>
    <x v="1"/>
    <s v="개선/변경"/>
    <s v="UI"/>
    <s v="최종확인    "/>
    <x v="1"/>
    <x v="1"/>
    <s v="스키마명 보완 또는 DB 권한 필요"/>
    <x v="9"/>
  </r>
  <r>
    <s v="UT-AS84102S"/>
    <x v="0"/>
    <x v="13"/>
    <s v="DEF-02284"/>
    <s v="[S_1] 답변하기 테스트를 위하여 개선의견을 등록하는 메뉴를 여기저기 찾아보았으나 찾지 못함. 결국 테스트 데이터가 없어서 테스트 진행 불가"/>
    <s v="장은성"/>
    <x v="1"/>
    <s v="개선/변경"/>
    <s v="데이터"/>
    <s v="최종확인    "/>
    <x v="1"/>
    <x v="1"/>
    <s v="기타 결함"/>
    <x v="7"/>
  </r>
  <r>
    <s v="UT-AS85101S"/>
    <x v="0"/>
    <x v="13"/>
    <s v="DEF-02288"/>
    <s v="[S_8] &quot;초기화&quot;버튼 선택 시 &quot;검색어&quot;와 &quot;연관검색어&quot; 입력창이 초기화 되지 않음."/>
    <s v="장은성"/>
    <x v="1"/>
    <s v="결함"/>
    <s v="기능"/>
    <s v="최종확인    "/>
    <x v="1"/>
    <x v="1"/>
    <s v="기타 결함"/>
    <x v="7"/>
  </r>
  <r>
    <s v="UT-AS86102S"/>
    <x v="0"/>
    <x v="13"/>
    <s v="DEF-02294"/>
    <s v="[S_6] 필수 값인 &quot;이벤트 일자&quot;를 공란으로 두고 저장버튼을 누르면 유효성 체크를 하지 않고 진행됨. _x000a_저장은 되는 것으로 보이나, &quot;이벤트 일자&quot;가 없기 때문에 절대 조회할 수 없는 경우가 발생함."/>
    <s v="장은성"/>
    <x v="1"/>
    <s v="결함"/>
    <s v="기능"/>
    <s v="최종확인    "/>
    <x v="2"/>
    <x v="1"/>
    <s v="기타 결함"/>
    <x v="7"/>
  </r>
  <r>
    <s v="UT-AS86102S"/>
    <x v="0"/>
    <x v="13"/>
    <s v="DEF-02473"/>
    <s v="노트북 해상도에서 저장 버튼이 보이지 않음."/>
    <s v="장은성"/>
    <x v="1"/>
    <s v="개선/변경"/>
    <s v="UI"/>
    <s v="최종확인    "/>
    <x v="1"/>
    <x v="1"/>
    <s v="기타 결함"/>
    <x v="7"/>
  </r>
  <r>
    <s v="UT-AS86103S"/>
    <x v="0"/>
    <x v="13"/>
    <s v="DEF-02296"/>
    <s v="[S_7] 내용 수정 후, &quot;등록일&quot;이 리스트의 맨 첫번째 정보의 등록일로 노출됨. 다른 리스트를 클릭한 다음에 다시 클릭하면 정상임"/>
    <s v="장은성"/>
    <x v="1"/>
    <s v="결함"/>
    <s v="기능"/>
    <s v="최종확인    "/>
    <x v="0"/>
    <x v="1"/>
    <s v="기타 결함"/>
    <x v="7"/>
  </r>
  <r>
    <s v="UT-AC50015S"/>
    <x v="0"/>
    <x v="7"/>
    <s v="DEF-02397"/>
    <s v="[C_1] 사용여부 선택칸에 아무 정보도 없습니다."/>
    <s v="조수일"/>
    <x v="1"/>
    <s v="결함"/>
    <s v="표준"/>
    <s v="최종확인    "/>
    <x v="0"/>
    <x v="1"/>
    <s v="개선/변경 또는 신규 요청"/>
    <x v="1"/>
  </r>
  <r>
    <s v="UT-CARF007S(A)"/>
    <x v="0"/>
    <x v="12"/>
    <s v="DEF-02278"/>
    <s v="[S_7] 삭제 처리 버튼 클릭후 저장했으나 삭제되지 않고 그대로 표시됨(사용여부도 그대로 YES 임)"/>
    <s v="김명준"/>
    <x v="1"/>
    <s v="결함"/>
    <s v="기능"/>
    <s v="최종확인    "/>
    <x v="1"/>
    <x v="1"/>
    <s v="개선/변경 또는 신규 요청"/>
    <x v="1"/>
  </r>
  <r>
    <s v="UT-RSPK048S"/>
    <x v="0"/>
    <x v="6"/>
    <s v="DEF-02263"/>
    <s v="[S_2] 맨 처음 사진 상태에서 NEW를 누르고 Day를 체크한 후 Night를 체크하면 두번째 사진처럼 '중복된 항목이 있습니다' 알림창이 나옴._x000a_확인을 눌러 알림창을 내리면 맨 왼쪽 목록에 같은날 야간이 두개 생김"/>
    <s v="유경섭"/>
    <x v="1"/>
    <s v="결함"/>
    <s v="기능"/>
    <s v="최종확인    "/>
    <x v="0"/>
    <x v="1"/>
    <s v="개선/변경 또는 신규 요청"/>
    <x v="1"/>
  </r>
  <r>
    <s v="UT-ES-SP7"/>
    <x v="0"/>
    <x v="0"/>
    <s v="DEF-02419"/>
    <s v="[X_1]프로시져 호출시 오류남."/>
    <s v="임지훈"/>
    <x v="0"/>
    <s v="결함"/>
    <s v="기능"/>
    <s v="최종확인    "/>
    <x v="0"/>
    <x v="1"/>
    <s v="개선/변경 또는 신규 요청"/>
    <x v="1"/>
  </r>
  <r>
    <s v="UT-ES-SP8"/>
    <x v="0"/>
    <x v="0"/>
    <s v="DEF-02446"/>
    <s v="[S_1] 결과서 쿼리에 스키마명 추가 보완 필요_x000a_"/>
    <s v="임지훈"/>
    <x v="0"/>
    <s v="개선/변경"/>
    <s v="문서화"/>
    <s v="최종확인    "/>
    <x v="1"/>
    <x v="1"/>
    <s v="개선/변경 또는 신규 요청"/>
    <x v="1"/>
  </r>
  <r>
    <s v="UT-ES-SP10"/>
    <x v="0"/>
    <x v="0"/>
    <s v="DEF-02319"/>
    <s v="[S_3]단위 테스트 결과대로 아래의 순서로 실행하였으나 DEAL_STAT값은 여전히 'N'임_x000a__x000a_CALL ESOWN.SP_ES_METREPORT_RCV('FIMS', 'FIMSARTSComp', '20170802090156.979', 'ESB_METREPORT_RC');_x000a__x000a_SELECT * FROM CAOWN.TN_CA_TRCE_LOG_x000a_WHERE PROC_ID ='SP_ES_METREPORT_RCV'_x000a_AND TRRC_JOB_DT = '20170802090156.979'_x000a_ORDER BY FRST_REG_DT desc;_x000a__x000a_SELECT * FROM CAOWN.TN_CA_ERR_LOG_x000a_WHERE PROC_ID ='SP_ES_METREPORT_RCV'_x000a_AND TRRC_JOB_DT = '20170802090156.979'_x000a_ORDER BY FRST_REG_DT desc;_x000a__x000a_SELECT * FROM ESOWN.ESB_METREPORT_RCV_x000a_WHERE DATEANDTIME = '20170802090156.979';"/>
    <s v="임지훈"/>
    <x v="0"/>
    <s v="결함"/>
    <s v="기능"/>
    <s v="최종확인    "/>
    <x v="0"/>
    <x v="1"/>
    <s v="개선/변경 또는 신규 요청"/>
    <x v="1"/>
  </r>
  <r>
    <s v="UT-ES-SP12"/>
    <x v="0"/>
    <x v="0"/>
    <s v="DEF-02375"/>
    <s v="[X_1] 테스트 데이터가 필요_x000a_(트레이스 로그 중 어떻게 하면 정상호출하는 지 과정 기술 필요)_x000a_"/>
    <s v="임지훈"/>
    <x v="0"/>
    <s v="결함"/>
    <s v="데이터"/>
    <s v="최종확인    "/>
    <x v="0"/>
    <x v="1"/>
    <s v="개선/변경 또는 신규 요청"/>
    <x v="1"/>
  </r>
  <r>
    <s v="UT-ES-SP14"/>
    <x v="0"/>
    <x v="0"/>
    <s v="DEF-02396"/>
    <s v="[X_1] 테스트 데이터가 필요_x000a_(트레이스 로그 중 어떻게 하면 정상호출하는 지 과정 기술 필요)_x000a_"/>
    <s v="임지훈"/>
    <x v="0"/>
    <s v="결함"/>
    <s v="문서화"/>
    <s v="최종확인    "/>
    <x v="0"/>
    <x v="1"/>
    <s v="개선/변경 또는 신규 요청"/>
    <x v="1"/>
  </r>
  <r>
    <s v="UT-PM-SP46"/>
    <x v="0"/>
    <x v="3"/>
    <s v="DEF-02351"/>
    <s v="[S_2] 테스트 결과서의 샘플쿼리가 INSERT한 테이블과 확인하는 테이블이 다릅니다. (결과서 쿼리 업데이트 필요)_x000a_- 확인결과, 쿼리는 맞으나 테스트결과서에 나오는 화면이 잘못된 것 같습니다._x000a_- 프로시저 실행 전이니 아무 결과가 없는 것으로 문서 업데이트가 필요한 것으로 보입니다."/>
    <s v="염희석"/>
    <x v="0"/>
    <s v="개선/변경"/>
    <s v="문서화"/>
    <s v="최종확인    "/>
    <x v="1"/>
    <x v="1"/>
    <s v="개선/변경 또는 신규 요청"/>
    <x v="1"/>
  </r>
  <r>
    <s v="UT-PM-SP48"/>
    <x v="0"/>
    <x v="3"/>
    <s v="DEF-02354"/>
    <s v="[S_3] 프로시저 실행 불가_x000a_- 프로시저는 존재하는 것으로 확인되는데 실행되지 않음"/>
    <s v="염희석"/>
    <x v="0"/>
    <s v="결함"/>
    <s v="기능"/>
    <s v="최종확인    "/>
    <x v="0"/>
    <x v="1"/>
    <s v="기능 미동작 또는 오류"/>
    <x v="8"/>
  </r>
  <r>
    <s v="UT-PM-SP51"/>
    <x v="0"/>
    <x v="3"/>
    <s v="DEF-02364"/>
    <s v="[S_3] 프로시저 실행 불가_x000a_- 프로시저는 존재하는 것으로 보이나 실행되지 않음."/>
    <s v="염희석"/>
    <x v="0"/>
    <s v="결함"/>
    <s v="기능"/>
    <s v="최종확인    "/>
    <x v="0"/>
    <x v="1"/>
    <s v="개선/변경 또는 신규 요청"/>
    <x v="1"/>
  </r>
  <r>
    <s v="UT-PM-SP55"/>
    <x v="0"/>
    <x v="3"/>
    <s v="DEF-02427"/>
    <s v="[S_3] 프로시저 실행 문법 수정 필요_x000a_- 제공된 프로시저 구문 실행 시 PMOWN이 명시되어 있지 않아 실행이 되지 않음. 결과서 업데이트 필요"/>
    <s v="염희석"/>
    <x v="0"/>
    <s v="개선/변경"/>
    <s v="문서화"/>
    <s v="최종확인    "/>
    <x v="1"/>
    <x v="1"/>
    <s v="개선/변경 또는 신규 요청"/>
    <x v="1"/>
  </r>
  <r>
    <s v="UT-PM20155S"/>
    <x v="0"/>
    <x v="3"/>
    <s v="DEF-02330"/>
    <s v="[S_3] 시뮬레이션쪽은 한 번 더 클릭하면 펼쳐졌던 시간대가 닫히는데, 기존 Config쪽은 다시 클릭해도 닫히지 않음."/>
    <s v="염희석"/>
    <x v="1"/>
    <s v="개선/변경"/>
    <s v="기능"/>
    <s v="최종확인    "/>
    <x v="1"/>
    <x v="1"/>
    <s v="개선/변경 또는 신규 요청"/>
    <x v="1"/>
  </r>
  <r>
    <s v="UT-ES-SP56"/>
    <x v="0"/>
    <x v="0"/>
    <s v="DEF-02441"/>
    <s v="[S_1][S_2][S_3][S_4]ESOWN.ESB_WESSSNCSHRFLTAPLY_RCV 테이블이 존재하지 않음_x000a__x000a_"/>
    <s v="임지훈"/>
    <x v="0"/>
    <s v="결함"/>
    <s v="데이터"/>
    <s v="최종확인    "/>
    <x v="0"/>
    <x v="1"/>
    <s v="기타 결함"/>
    <x v="7"/>
  </r>
  <r>
    <s v="UT-ES-SP64"/>
    <x v="0"/>
    <x v="0"/>
    <s v="DEF-02418"/>
    <s v="[S_5] 프로시져 호출에러"/>
    <s v="임지훈"/>
    <x v="0"/>
    <s v="결함"/>
    <s v="기능"/>
    <s v="최종확인    "/>
    <x v="0"/>
    <x v="1"/>
    <s v="기능 미동작 또는 오류"/>
    <x v="8"/>
  </r>
  <r>
    <s v="UT-ES-SP71"/>
    <x v="0"/>
    <x v="0"/>
    <s v="DEF-02428"/>
    <s v="[S_1] 제시된 쿼리 실행 시 실행 불가_x000a_- &quot;CAOWN&quot;등의 스키마명 명시 필요_x000a_"/>
    <s v="임지훈"/>
    <x v="0"/>
    <s v="개선/변경"/>
    <s v="문서화"/>
    <s v="최종확인    "/>
    <x v="1"/>
    <x v="1"/>
    <s v="기타 결함"/>
    <x v="7"/>
  </r>
  <r>
    <s v="UT-ES-SP72"/>
    <x v="0"/>
    <x v="0"/>
    <s v="DEF-02430"/>
    <s v="[S_1] 주어진 쿼리 실행 시 실행 불가_x000a_- 테이블명 앞에 스키마명 명시 필요_x000a_"/>
    <s v="임지훈"/>
    <x v="0"/>
    <s v="개선/변경"/>
    <s v="문서화"/>
    <s v="최종확인    "/>
    <x v="1"/>
    <x v="1"/>
    <s v="기타 결함"/>
    <x v="7"/>
  </r>
  <r>
    <s v="UT-ES-SP73"/>
    <x v="0"/>
    <x v="0"/>
    <s v="DEF-02431"/>
    <s v="[S_1] 주어진 쿼리 실행 불가_x000a_- 테이블 명 앞에 스키마 명 명시 필요"/>
    <s v="임지훈"/>
    <x v="0"/>
    <s v="개선/변경"/>
    <s v="문서화"/>
    <s v="최종확인    "/>
    <x v="1"/>
    <x v="1"/>
    <s v="개선/변경 또는 신규 요청"/>
    <x v="1"/>
  </r>
  <r>
    <s v="UT-ES-SP74"/>
    <x v="0"/>
    <x v="0"/>
    <s v="DEF-02432"/>
    <s v="[S_1] 주어진 쿼리 실행 시 실행 불가_x000a_- 테이블 명 앞에 스키마 명 명시 필요"/>
    <s v="임지훈"/>
    <x v="0"/>
    <s v="개선/변경"/>
    <s v="문서화"/>
    <s v="최종확인    "/>
    <x v="1"/>
    <x v="1"/>
    <s v="기능 미동작 또는 오류"/>
    <x v="8"/>
  </r>
  <r>
    <s v="UT-ES-SP75"/>
    <x v="0"/>
    <x v="0"/>
    <s v="DEF-02433"/>
    <s v="[S_1] 주어진 쿼리 실행 시 실행 불가_x000a_- 테이블 명 앞에 스키마 명 명시 필요_x000a_"/>
    <s v="임지훈"/>
    <x v="0"/>
    <s v="개선/변경"/>
    <s v="문서화"/>
    <s v="최종확인    "/>
    <x v="1"/>
    <x v="1"/>
    <s v="개선/변경 또는 신규 요청"/>
    <x v="1"/>
  </r>
  <r>
    <s v="UT-ES-SP76"/>
    <x v="0"/>
    <x v="0"/>
    <s v="DEF-02434"/>
    <s v="[S_1] 주어진 쿼리 실행 시 실행 불가_x000a_- 테이블 명 앞에 스키마 명 명시 필요_x000a_"/>
    <s v="임지훈"/>
    <x v="0"/>
    <s v="개선/변경"/>
    <s v="문서화"/>
    <s v="최종확인    "/>
    <x v="1"/>
    <x v="1"/>
    <s v="기능 미동작 또는 오류"/>
    <x v="8"/>
  </r>
  <r>
    <s v="UT-ES-SP77"/>
    <x v="0"/>
    <x v="0"/>
    <s v="DEF-02438"/>
    <s v="[S_1] 조건에 맞는 데이터 없음_x000a_- 테스터가 직접 DEAL_STAT을 N 값으로 바꿔서 해도 되는 것인지?_x000a_- 아니라면 결과서에 쿼리 제공이 필요 "/>
    <s v="임지훈"/>
    <x v="0"/>
    <s v="개선/변경"/>
    <s v="문서화"/>
    <s v="최종확인    "/>
    <x v="1"/>
    <x v="1"/>
    <s v="개선/변경 또는 신규 요청"/>
    <x v="1"/>
  </r>
  <r>
    <s v="UT-ES-SP78"/>
    <x v="0"/>
    <x v="0"/>
    <s v="DEF-02439"/>
    <s v="[S_1] DEAL_STAT 값 확인 시 데이터 없음_x000a_- 값을 변경하거나 입력해야 한다면 해당 쿼리 제공 필요_x000a_"/>
    <s v="임지훈"/>
    <x v="0"/>
    <s v="개선/변경"/>
    <s v="문서화"/>
    <s v="최종확인    "/>
    <x v="1"/>
    <x v="1"/>
    <s v="기타 결함"/>
    <x v="7"/>
  </r>
  <r>
    <s v="UT-ES-SP142"/>
    <x v="0"/>
    <x v="0"/>
    <s v="DEF-02412"/>
    <s v="[X_1] SP_ES_FIMSACSTALRM_RCV 단위 테스트 결과 및 문서 필요"/>
    <s v="임지훈"/>
    <x v="0"/>
    <s v="결함"/>
    <s v="문서화"/>
    <s v="최종확인    "/>
    <x v="0"/>
    <x v="1"/>
    <s v="기타 결함"/>
    <x v="7"/>
  </r>
  <r>
    <s v="UT-GO12108R"/>
    <x v="0"/>
    <x v="8"/>
    <s v="DEF-02282"/>
    <s v="[X_1-1]우선순위 기준이 없음_x000a_여객실적(도착), 여객실적(출발) 데이터는 같은데 순위만 다름 순위가 맞는지 확인이 안됨(테스트 시나리오에 표기 필요)"/>
    <s v="신문호"/>
    <x v="1"/>
    <s v="개선/변경"/>
    <s v="프로세스"/>
    <s v="최종확인    "/>
    <x v="1"/>
    <x v="1"/>
    <s v="개선/변경 또는 신규 요청"/>
    <x v="1"/>
  </r>
  <r>
    <s v="UT-ES-SP79"/>
    <x v="0"/>
    <x v="0"/>
    <s v="DEF-02440"/>
    <s v="[S_1] 테이블에 조건에 맞는 데이터 없음_x000a_- 결과서에 테스트를 위하여 값을 초기화하는 쿼리 필요"/>
    <s v="임지훈"/>
    <x v="0"/>
    <s v="개선/변경"/>
    <s v="문서화"/>
    <s v="최종확인    "/>
    <x v="1"/>
    <x v="1"/>
    <s v="개선/변경 또는 신규 요청"/>
    <x v="1"/>
  </r>
  <r>
    <s v="UT-ES-SP80"/>
    <x v="0"/>
    <x v="0"/>
    <s v="DEF-02447"/>
    <s v="[S-1] 프로시저 및 쿼리 샘플 데이터에 스키마명 명시 필요_x000a_- 스키마명이 없어서 호출 불가"/>
    <s v="임지훈"/>
    <x v="0"/>
    <s v="개선/변경"/>
    <s v="문서화"/>
    <s v="최종확인    "/>
    <x v="1"/>
    <x v="1"/>
    <s v="기타 결함"/>
    <x v="7"/>
  </r>
  <r>
    <s v="UT-ES-SP84"/>
    <x v="0"/>
    <x v="0"/>
    <s v="DEF-02448"/>
    <s v="[S_1] 쿼리 호출 불가 (스키마명이 잘못된 것으로 보임)_x000a_"/>
    <s v="임지훈"/>
    <x v="0"/>
    <s v="개선/변경"/>
    <s v="문서화"/>
    <s v="최종확인    "/>
    <x v="1"/>
    <x v="1"/>
    <s v="개선/변경 또는 신규 요청"/>
    <x v="1"/>
  </r>
  <r>
    <s v="UT-ES-SP85"/>
    <x v="0"/>
    <x v="0"/>
    <s v="DEF-02449"/>
    <s v="[S_1] 테스트 데이터 없음_x000a_- 테스트 데이터를 생성할 수 있는 쿼리문을 결과서에 추가 필요_x000a_"/>
    <s v="임지훈"/>
    <x v="0"/>
    <s v="개선/변경"/>
    <s v="문서화"/>
    <s v="최종확인    "/>
    <x v="1"/>
    <x v="1"/>
    <s v="기타 결함"/>
    <x v="7"/>
  </r>
  <r>
    <s v="UT-ES-SP86"/>
    <x v="0"/>
    <x v="0"/>
    <s v="DEF-02451"/>
    <s v="[S_1] 제공되는 쿼리에 스키마명 명시 필요 (조회 불가)_x000a_"/>
    <s v="임지훈"/>
    <x v="0"/>
    <s v="개선/변경"/>
    <s v="문서화"/>
    <s v="최종확인    "/>
    <x v="1"/>
    <x v="1"/>
    <s v="개선/변경 또는 신규 요청"/>
    <x v="1"/>
  </r>
  <r>
    <s v="UT-ES-SP88"/>
    <x v="0"/>
    <x v="0"/>
    <s v="DEF-02452"/>
    <s v="[S_1] 쿼리 조회 불가_x000a_- 스키마명 및 테이블명 확인 필요"/>
    <s v="임지훈"/>
    <x v="0"/>
    <s v="개선/변경"/>
    <s v="문서화"/>
    <s v="최종확인    "/>
    <x v="1"/>
    <x v="1"/>
    <s v="개선/변경 또는 신규 요청"/>
    <x v="1"/>
  </r>
  <r>
    <s v="UT-ES-SP89"/>
    <x v="0"/>
    <x v="0"/>
    <s v="DEF-02453"/>
    <s v="[S_1] 쿼리 실행 불가_x000a_- 스키마명 및 테이블명 확인 필요"/>
    <s v="임지훈"/>
    <x v="0"/>
    <s v="개선/변경"/>
    <s v="문서화"/>
    <s v="최종확인    "/>
    <x v="1"/>
    <x v="1"/>
    <s v="구현 화면 비정상"/>
    <x v="6"/>
  </r>
  <r>
    <s v="UT-ES-SP90"/>
    <x v="0"/>
    <x v="0"/>
    <s v="DEF-02455"/>
    <s v="[S_1] 쿼리 실행 불가_x000a_- 스키마명 명시 필요"/>
    <s v="임지훈"/>
    <x v="0"/>
    <s v="개선/변경"/>
    <s v="문서화"/>
    <s v="최종확인    "/>
    <x v="1"/>
    <x v="1"/>
    <s v="구현 화면 비정상"/>
    <x v="6"/>
  </r>
  <r>
    <s v="UT-ES-SP92"/>
    <x v="0"/>
    <x v="0"/>
    <s v="DEF-02456"/>
    <s v="[S_1] 쿼리 실행 불가_x000a_- 스키마명 및 테이블명 확인 필요_x000a_"/>
    <s v="임지훈"/>
    <x v="0"/>
    <s v="개선/변경"/>
    <s v="문서화"/>
    <s v="최종확인    "/>
    <x v="1"/>
    <x v="1"/>
    <s v="프로시져 호출 오류"/>
    <x v="10"/>
  </r>
  <r>
    <s v="UT-ES-SP93"/>
    <x v="0"/>
    <x v="0"/>
    <s v="DEF-02457"/>
    <s v="[S_1] 쿼리 실행 불가_x000a_- 스키마명 확인 필요_x000a_"/>
    <s v="임지훈"/>
    <x v="0"/>
    <s v="개선/변경"/>
    <s v="문서화"/>
    <s v="최종확인    "/>
    <x v="1"/>
    <x v="1"/>
    <s v="개선/변경 또는 신규 요청"/>
    <x v="1"/>
  </r>
  <r>
    <s v="UT-ES-SP94"/>
    <x v="0"/>
    <x v="0"/>
    <s v="DEF-02458"/>
    <s v="[S_1] 쿼리 조회 불가_x000a_- 스키마명 확인 필요_x000a_"/>
    <s v="임지훈"/>
    <x v="0"/>
    <s v="개선/변경"/>
    <s v="문서화"/>
    <s v="최종확인    "/>
    <x v="1"/>
    <x v="1"/>
    <s v="테스트 결과서 증적 미흡 또는 부재"/>
    <x v="3"/>
  </r>
  <r>
    <s v="UT-ES-SP96"/>
    <x v="0"/>
    <x v="0"/>
    <s v="DEF-02459"/>
    <s v="[S_1] 쿼리 실행 불가_x000a_- 스키마명 확인 필요_x000a_"/>
    <s v="임지훈"/>
    <x v="0"/>
    <s v="개선/변경"/>
    <s v="문서화"/>
    <s v="최종확인    "/>
    <x v="1"/>
    <x v="1"/>
    <s v="테스트 결과서 증적 미흡 또는 부재"/>
    <x v="3"/>
  </r>
  <r>
    <s v="UT-ES-SP97"/>
    <x v="0"/>
    <x v="0"/>
    <s v="DEF-02460"/>
    <s v="[S_1] 쿼리 실행 불가_x000a_- 스키마명 확인 필요"/>
    <s v="임지훈"/>
    <x v="0"/>
    <s v="개선/변경"/>
    <s v="문서화"/>
    <s v="최종확인    "/>
    <x v="1"/>
    <x v="1"/>
    <s v="테스트 데이터 불충분"/>
    <x v="4"/>
  </r>
  <r>
    <s v="UT-ES-SP98"/>
    <x v="0"/>
    <x v="0"/>
    <s v="DEF-02461"/>
    <s v="[S_1] 쿼리 실행 불가_x000a_- 스키마명 확인 필요_x000a_"/>
    <s v="임지훈"/>
    <x v="0"/>
    <s v="개선/변경"/>
    <s v="문서화"/>
    <s v="최종확인    "/>
    <x v="1"/>
    <x v="1"/>
    <s v="공통 체크리스트 구현 불충분"/>
    <x v="5"/>
  </r>
  <r>
    <s v="UT-ES-SP100"/>
    <x v="0"/>
    <x v="0"/>
    <s v="DEF-02320"/>
    <s v="[S_1] ESOWN.ESB_WESCKNCTALOT_RCV 조회하면 테이블 또는 뷰가 없다고 나와 테스트 불가"/>
    <s v="임지훈"/>
    <x v="0"/>
    <s v="결함"/>
    <s v="데이터"/>
    <s v="최종확인    "/>
    <x v="0"/>
    <x v="1"/>
    <s v="기타 결함"/>
    <x v="7"/>
  </r>
  <r>
    <s v="UT-ES-SP101"/>
    <x v="0"/>
    <x v="0"/>
    <s v="DEF-02322"/>
    <s v="[X_1] &quot;기초데이터가 있는 경우&quot;를 테스트 불가_x000a_다른 테스트 방법 또는 기초데이터 삽입 필요"/>
    <s v="임지훈"/>
    <x v="0"/>
    <s v="결함"/>
    <s v="데이터"/>
    <s v="최종확인    "/>
    <x v="0"/>
    <x v="1"/>
    <s v="기능 미동작 또는 오류"/>
    <x v="8"/>
  </r>
  <r>
    <s v="UT-ES-SP102"/>
    <x v="0"/>
    <x v="0"/>
    <s v="DEF-02352"/>
    <s v="[X_1] 테스트 데이터 필요 또는 DEAL_STAT 값이 N으로 초기화"/>
    <s v="임지훈"/>
    <x v="0"/>
    <s v="결함"/>
    <s v="데이터"/>
    <s v="최종확인    "/>
    <x v="0"/>
    <x v="1"/>
    <s v="공통 체크리스트 구현 불충분"/>
    <x v="5"/>
  </r>
  <r>
    <s v="UT-ES-SP104"/>
    <x v="0"/>
    <x v="0"/>
    <s v="DEF-02355"/>
    <s v="[X_1]_x000a__x000a_- TI_ES_CKNCT_CHG_APLY 테이블은 데이터가 필요_x000a__x000a_- 이 쿼리는 테이블 또는 뷰가 없다고 나옴_x000a_SELECT * FROM ESOWN.ESB_WESCKNCTCHGAPLY_RCV_x000a_WHERE DEAL_STAT = 'N';_x000a_"/>
    <s v="임지훈"/>
    <x v="0"/>
    <s v="결함"/>
    <s v="데이터"/>
    <s v="최종확인    "/>
    <x v="0"/>
    <x v="1"/>
    <s v="테스트 결과서 증적 미흡 또는 부재"/>
    <x v="3"/>
  </r>
  <r>
    <s v="UT-ES-SP105"/>
    <x v="0"/>
    <x v="0"/>
    <s v="DEF-02357"/>
    <s v="[X_1] 테스트 데이터 필요_x000a_- 아래의 쿼리는 0건임_x000a_SELECT * FROM ESOWN.ESB_FIMSCKNCTCHGAPLY_RCV_x000a_WHERE DEAL_STAT = 'N';"/>
    <s v="임지훈"/>
    <x v="0"/>
    <s v="결함"/>
    <s v="데이터"/>
    <s v="최종확인    "/>
    <x v="0"/>
    <x v="1"/>
    <s v="기능 미동작 또는 오류"/>
    <x v="8"/>
  </r>
  <r>
    <s v="UT-ES-SP106"/>
    <x v="0"/>
    <x v="0"/>
    <s v="DEF-02359"/>
    <s v="[X_1] 데이터를 저장하는 단위테스트 결과 필요"/>
    <s v="임지훈"/>
    <x v="0"/>
    <s v="결함"/>
    <s v="문서화"/>
    <s v="최종확인    "/>
    <x v="0"/>
    <x v="1"/>
    <s v="기타 결함"/>
    <x v="7"/>
  </r>
  <r>
    <s v="UT-ES-SP108"/>
    <x v="0"/>
    <x v="0"/>
    <s v="DEF-02360"/>
    <s v="[X_1] 테이블 또는 뷰가 없다고 나옴_x000a__x000a_SELECT * FROM ESOWN.ESB_WESCKNCTSSNAPLY_RCV WHERE DEAL_STAT = 'N';"/>
    <s v="임지훈"/>
    <x v="0"/>
    <s v="결함"/>
    <s v="데이터"/>
    <s v="최종확인    "/>
    <x v="0"/>
    <x v="1"/>
    <s v="개선/변경 또는 신규 요청"/>
    <x v="1"/>
  </r>
  <r>
    <s v="UT-ES-SP109"/>
    <x v="0"/>
    <x v="0"/>
    <s v="DEF-02362"/>
    <s v="[X_1] 테스트 데이터 필요_x000a__x000a_- 아래의 쿼리는 0건임_x000a_SELECT * FROM ESOWN.ESB_FIMSCKNCTSSNAPLY_RCV_x000a_WHERE DEAL_STAT = 'N';"/>
    <s v="임지훈"/>
    <x v="0"/>
    <s v="결함"/>
    <s v="데이터"/>
    <s v="최종확인    "/>
    <x v="0"/>
    <x v="1"/>
    <s v="기타 결함"/>
    <x v="7"/>
  </r>
  <r>
    <s v="UT-ES-SP110"/>
    <x v="0"/>
    <x v="0"/>
    <s v="DEF-02365"/>
    <s v="[X_1] 테스트 데이터가 필요_x000a_(트레이스 로그 중 어떻게 하면 정상호출하는 지 과정 기술 필요)"/>
    <s v="임지훈"/>
    <x v="0"/>
    <s v="결함"/>
    <s v="문서화"/>
    <s v="최종확인    "/>
    <x v="0"/>
    <x v="1"/>
    <s v="개선/변경 또는 신규 요청"/>
    <x v="1"/>
  </r>
  <r>
    <s v="UT-ES-SP112"/>
    <x v="0"/>
    <x v="0"/>
    <s v="DEF-02366"/>
    <s v="[X_1] 테이블 또는 뷰가 없다고 나옴_x000a__x000a_SELECT * FROM ESOWN.ESB_WESCKNCTSSNPRESCH_RCV_x000a_WHERE DEAL_STAT = 'N';"/>
    <s v="임지훈"/>
    <x v="0"/>
    <s v="결함"/>
    <s v="데이터"/>
    <s v="최종확인    "/>
    <x v="0"/>
    <x v="1"/>
    <s v="기능 미동작 또는 오류"/>
    <x v="8"/>
  </r>
  <r>
    <s v="UT-ES-SP113"/>
    <x v="0"/>
    <x v="0"/>
    <s v="DEF-02371"/>
    <s v="[X_1] 아래의 쿼리를 실행하면 테이블 또는 뷰가 존재하지 않는다고 나옴_x000a__x000a_SELECT * FROM ESOWN.ESB_WESCKNCTCHGAPLY_RCV WHERE DEAL_STAT = 'N';"/>
    <s v="임지훈"/>
    <x v="0"/>
    <s v="결함"/>
    <s v="데이터"/>
    <s v="최종확인    "/>
    <x v="0"/>
    <x v="1"/>
    <s v="기능 미동작 또는 오류"/>
    <x v="8"/>
  </r>
  <r>
    <s v="UT-ES-SP114"/>
    <x v="0"/>
    <x v="0"/>
    <s v="DEF-02367"/>
    <s v="[X_1] 테스트 데이터가 필요_x000a_(트레이스 로그 중 어떻게 하면 정상호출하는 지 과정 기술 필요)_x000a_"/>
    <s v="임지훈"/>
    <x v="0"/>
    <s v="결함"/>
    <s v="문서화"/>
    <s v="최종확인    "/>
    <x v="0"/>
    <x v="1"/>
    <s v="기능 미동작 또는 오류"/>
    <x v="8"/>
  </r>
  <r>
    <s v="UT-ES-SP116"/>
    <x v="0"/>
    <x v="0"/>
    <s v="DEF-02372"/>
    <s v="[X_1] 단위 테스트 수행 결과 문서 필요"/>
    <s v="임지훈"/>
    <x v="0"/>
    <s v="개선/변경"/>
    <s v="문서화"/>
    <s v="최종확인    "/>
    <x v="0"/>
    <x v="1"/>
    <s v="개선/변경 또는 신규 요청"/>
    <x v="1"/>
  </r>
  <r>
    <s v="UT-ES-SP120"/>
    <x v="0"/>
    <x v="0"/>
    <s v="DEF-02376"/>
    <s v="[X_1] 단위테스트 결과 필요"/>
    <s v="임지훈"/>
    <x v="0"/>
    <s v="결함"/>
    <s v="문서화"/>
    <s v="최종확인    "/>
    <x v="0"/>
    <x v="1"/>
    <s v="개선/변경 또는 신규 요청"/>
    <x v="1"/>
  </r>
  <r>
    <s v="UT-ES-SP122"/>
    <x v="0"/>
    <x v="0"/>
    <s v="DEF-02380"/>
    <s v="[X_1] 단위테스트 결과 필요"/>
    <s v="임지훈"/>
    <x v="0"/>
    <s v="결함"/>
    <s v="문서화"/>
    <s v="최종확인    "/>
    <x v="0"/>
    <x v="1"/>
    <s v="기능 미동작 또는 오류"/>
    <x v="8"/>
  </r>
  <r>
    <s v="UT-ES-SP124"/>
    <x v="0"/>
    <x v="0"/>
    <s v="DEF-02381"/>
    <s v="[X_1] 프로시저 실행 중 제약조건 걸림, 추가 테스트 데이터 필요"/>
    <s v="임지훈"/>
    <x v="0"/>
    <s v="결함"/>
    <s v="데이터"/>
    <s v="최종확인    "/>
    <x v="0"/>
    <x v="1"/>
    <s v="개선/변경 또는 신규 요청"/>
    <x v="1"/>
  </r>
  <r>
    <s v="UT-ES-SP126"/>
    <x v="0"/>
    <x v="0"/>
    <s v="DEF-02382"/>
    <s v="[X_1] 제약조건 위반이라고 나옴, 추가 테스트 데이터 필요_x000a__x000a_테스트 방법 : DEAL_STAT 값을 N으로 바꾼후 프로시저 실행"/>
    <s v="임지훈"/>
    <x v="0"/>
    <s v="결함"/>
    <s v="데이터"/>
    <s v="최종확인    "/>
    <x v="0"/>
    <x v="1"/>
    <s v="개선/변경 또는 신규 요청"/>
    <x v="1"/>
  </r>
  <r>
    <s v="UT-ES-SP127"/>
    <x v="0"/>
    <x v="0"/>
    <s v="DEF-02388"/>
    <s v="[X_1] 단위 테스트 시나리오 및 테스트 데이터 필요"/>
    <s v="임지훈"/>
    <x v="0"/>
    <s v="개선/변경"/>
    <s v="문서화"/>
    <s v="최종확인    "/>
    <x v="0"/>
    <x v="1"/>
    <s v="기능 미동작 또는 오류"/>
    <x v="8"/>
  </r>
  <r>
    <s v="UT-ES-SP128"/>
    <x v="0"/>
    <x v="0"/>
    <s v="DEF-02390"/>
    <s v="[X_1] 단위 테스트 시나리오 및 테스트 데이터 필요"/>
    <s v="임지훈"/>
    <x v="0"/>
    <s v="결함"/>
    <s v="문서화"/>
    <s v="최종확인    "/>
    <x v="0"/>
    <x v="1"/>
    <s v="개선/변경 또는 신규 요청"/>
    <x v="1"/>
  </r>
  <r>
    <s v="UT-ES-SP129"/>
    <x v="0"/>
    <x v="0"/>
    <s v="DEF-02391"/>
    <s v="[X_1] 단위 테스트 시나리오 및 테스트 데이터 필요"/>
    <s v="임지훈"/>
    <x v="0"/>
    <s v="결함"/>
    <s v="문서화"/>
    <s v="최종확인    "/>
    <x v="0"/>
    <x v="1"/>
    <s v="스키마명 보완 또는 DB 권한 필요"/>
    <x v="9"/>
  </r>
  <r>
    <s v="UT-ES-SP130"/>
    <x v="0"/>
    <x v="0"/>
    <s v="DEF-02395"/>
    <s v="[X_1] 테스트 데이터가 필요_x000a_(트레이스 로그 중 어떻게 하면 정상호출하는 지 과정 기술 필요)_x000a_"/>
    <s v="임지훈"/>
    <x v="0"/>
    <s v="결함"/>
    <s v="문서화"/>
    <s v="최종확인    "/>
    <x v="0"/>
    <x v="1"/>
    <s v="기타 결함"/>
    <x v="7"/>
  </r>
  <r>
    <s v="UT-ES-SP133"/>
    <x v="0"/>
    <x v="0"/>
    <s v="DEF-02403"/>
    <s v="[X_1] SP_ESB_FIMSRSRCGROUPMPNG_RCV 단위 테스트 문서 필요"/>
    <s v="임지훈"/>
    <x v="0"/>
    <s v="결함"/>
    <s v="데이터"/>
    <s v="최종확인    "/>
    <x v="0"/>
    <x v="1"/>
    <s v="기능 미동작 또는 오류"/>
    <x v="8"/>
  </r>
  <r>
    <s v="UT-ES-SP134"/>
    <x v="0"/>
    <x v="0"/>
    <s v="DEF-02401"/>
    <s v="[X_1] SP_ESB_FIMSRSRCGROUPMPNG_RCV 단위 테스트 문서 필요"/>
    <s v="임지훈"/>
    <x v="0"/>
    <s v="결함"/>
    <s v="문서화"/>
    <s v="최종확인    "/>
    <x v="0"/>
    <x v="1"/>
    <s v="테스트 데이터 불충분"/>
    <x v="4"/>
  </r>
  <r>
    <s v="UT-ES-SP134"/>
    <x v="0"/>
    <x v="0"/>
    <s v="DEF-02402"/>
    <s v="[X_1] SP_ESB_FIMSRSRCGROUPMPNG_RCV 단위 테스트 문서 필요_x000a__x000a_(오입력된 결함입니다. 해당 결함은 정상처리부탁드립니다.)"/>
    <s v="임지훈"/>
    <x v="0"/>
    <s v="결함"/>
    <s v="문서화"/>
    <s v="최종확인    "/>
    <x v="0"/>
    <x v="1"/>
    <s v="테스트 데이터 불충분"/>
    <x v="4"/>
  </r>
  <r>
    <s v="UT-ES-SP135"/>
    <x v="0"/>
    <x v="0"/>
    <s v="DEF-02406"/>
    <s v="[X_1] SP_ESB_FIMSCMFCTY_RCV 단위 테스트 결과 및 문서 필요"/>
    <s v="임지훈"/>
    <x v="0"/>
    <s v="개선/변경"/>
    <s v="문서화"/>
    <s v="최종확인    "/>
    <x v="0"/>
    <x v="1"/>
    <s v="스키마명 보완 또는 DB 권한 필요"/>
    <x v="9"/>
  </r>
  <r>
    <s v="UT-ES-SP136"/>
    <x v="0"/>
    <x v="0"/>
    <s v="DEF-02407"/>
    <s v="[X_1] SP_ESB_FIMSCMFCTY_RCV 단위 테스트 결과 및 문서 필요"/>
    <s v="임지훈"/>
    <x v="0"/>
    <s v="개선/변경"/>
    <s v="문서화"/>
    <s v="최종확인    "/>
    <x v="0"/>
    <x v="1"/>
    <s v="스키마명 보완 또는 DB 권한 필요"/>
    <x v="9"/>
  </r>
  <r>
    <s v="UT-ES-SP137"/>
    <x v="0"/>
    <x v="0"/>
    <s v="DEF-02408"/>
    <s v="[X_1] SP_ESB_FIMSCMFCTYOPER_RCV 단위 테스트 결과 및 문서 필요"/>
    <s v="임지훈"/>
    <x v="0"/>
    <s v="결함"/>
    <s v="문서화"/>
    <s v="최종확인    "/>
    <x v="0"/>
    <x v="1"/>
    <s v="개선/변경 또는 신규 요청"/>
    <x v="1"/>
  </r>
  <r>
    <s v="UT-ES-SP138"/>
    <x v="0"/>
    <x v="0"/>
    <s v="DEF-02409"/>
    <s v="[X_1] SP_ESB_FIMSCMFCTYOPER_RCV 단위 테스트 결과 및 문서 필요"/>
    <s v="임지훈"/>
    <x v="0"/>
    <s v="결함"/>
    <s v="문서화"/>
    <s v="최종확인    "/>
    <x v="0"/>
    <x v="1"/>
    <s v="개선/변경 또는 신규 요청"/>
    <x v="1"/>
  </r>
  <r>
    <s v="UT-ES-SP140"/>
    <x v="0"/>
    <x v="0"/>
    <s v="DEF-02410"/>
    <s v="[X_1] SP_ES_FIMSACSTALRM_RCV 단위 테스트 결과 및 문서 필요"/>
    <s v="임지훈"/>
    <x v="0"/>
    <s v="결함"/>
    <s v="문서화"/>
    <s v="최종확인    "/>
    <x v="0"/>
    <x v="1"/>
    <s v="개선/변경 또는 신규 요청"/>
    <x v="1"/>
  </r>
  <r>
    <s v="UT-ES-SP141"/>
    <x v="0"/>
    <x v="0"/>
    <s v="DEF-02411"/>
    <s v="[X_1] SP_ES_FIMSACSTALRM_RCV 단위 테스트 결과 및 문서 필요"/>
    <s v="임지훈"/>
    <x v="0"/>
    <s v="개선/변경"/>
    <s v="문서화"/>
    <s v="최종확인    "/>
    <x v="0"/>
    <x v="1"/>
    <s v="기능 미동작 또는 오류"/>
    <x v="8"/>
  </r>
  <r>
    <s v="UT-ES-SP143"/>
    <x v="0"/>
    <x v="0"/>
    <s v="DEF-02413"/>
    <s v="[X_1] SP_ESB_FIMSCKNCTALTMNTEXCNOPT_RCV 단위 테스트 결과 및 문서 필요"/>
    <s v="임지훈"/>
    <x v="0"/>
    <s v="결함"/>
    <s v="문서화"/>
    <s v="최종확인    "/>
    <x v="0"/>
    <x v="1"/>
    <s v="구현 화면 비정상"/>
    <x v="6"/>
  </r>
  <r>
    <s v="UT-ES-SP144"/>
    <x v="0"/>
    <x v="0"/>
    <s v="DEF-02414"/>
    <s v="[X_1] SP_ESB_FIMSCKNCTALTMNTEXCNOPT_RCV 단위 테스트 결과 및 문서 필요"/>
    <s v="임지훈"/>
    <x v="0"/>
    <s v="결함"/>
    <s v="문서화"/>
    <s v="최종확인    "/>
    <x v="0"/>
    <x v="1"/>
    <s v="개선/변경 또는 신규 요청"/>
    <x v="1"/>
  </r>
  <r>
    <s v="UT-ES-SP145"/>
    <x v="0"/>
    <x v="0"/>
    <s v="DEF-02415"/>
    <s v="[X_1] SP_ESB_FIMSCKNCTUSELMT_RCV 단위 테스트 결과 및 문서 필요"/>
    <s v="임지훈"/>
    <x v="0"/>
    <s v="결함"/>
    <s v="문서화"/>
    <s v="최종확인    "/>
    <x v="0"/>
    <x v="1"/>
    <s v="구현 화면 비정상"/>
    <x v="6"/>
  </r>
  <r>
    <s v="UT-ES-SP146"/>
    <x v="0"/>
    <x v="0"/>
    <s v="DEF-02416"/>
    <s v="[X_1] SP_ESB_FIMSCKNCTUSELMT_RCV 단위 테스트 결과 및 문서 필요"/>
    <s v="임지훈"/>
    <x v="0"/>
    <s v="결함"/>
    <s v="문서화"/>
    <s v="최종확인    "/>
    <x v="0"/>
    <x v="1"/>
    <s v="개선/변경 또는 신규 요청"/>
    <x v="1"/>
  </r>
  <r>
    <s v="UT-ES-SP156"/>
    <x v="0"/>
    <x v="0"/>
    <s v="DEF-02335"/>
    <s v="[S_1][S_2][S_3] 에러"/>
    <s v="임지훈"/>
    <x v="0"/>
    <s v="결함"/>
    <s v="기능"/>
    <s v="최종확인    "/>
    <x v="1"/>
    <x v="1"/>
    <s v="개선/변경 또는 신규 요청"/>
    <x v="1"/>
  </r>
  <r>
    <s v="UT-WESCASY021S"/>
    <x v="0"/>
    <x v="0"/>
    <s v="DEF-02283"/>
    <s v="[S_4] SAVE버튼클릭 시 아무런 이벤트가 나타나지 않음_x000a_수정이 안됨 save버튼이 보이지 않음"/>
    <s v="임지훈"/>
    <x v="1"/>
    <s v="결함"/>
    <s v="기능"/>
    <s v="최종확인    "/>
    <x v="0"/>
    <x v="1"/>
    <s v="테스트 데이터 불충분"/>
    <x v="4"/>
  </r>
  <r>
    <s v="UT-WESCASY024S"/>
    <x v="0"/>
    <x v="0"/>
    <s v="DEF-02299"/>
    <s v="[S_5] SAVE버튼이 활성화가 안되어있음_x000a_[S_7],[S_8] 개별적으로 체크박스가 존재하지 않음"/>
    <s v="임지훈"/>
    <x v="1"/>
    <s v="결함"/>
    <s v="기능"/>
    <s v="최종확인    "/>
    <x v="0"/>
    <x v="1"/>
    <s v="개선/변경 또는 신규 요청"/>
    <x v="1"/>
  </r>
  <r>
    <s v="UT-WESCASY025S"/>
    <x v="0"/>
    <x v="0"/>
    <s v="DEF-02302"/>
    <s v="[S_5] save버튼이 비활성화되어 신규등록이 안됨"/>
    <s v="임지훈"/>
    <x v="1"/>
    <s v="결함"/>
    <s v="기능"/>
    <s v="최종확인    "/>
    <x v="0"/>
    <x v="1"/>
    <s v="기능 미동작 또는 오류"/>
    <x v="8"/>
  </r>
  <r>
    <s v="UT-GO12516R"/>
    <x v="0"/>
    <x v="8"/>
    <s v="DEF-02291"/>
    <s v="[C_1]_x000a_필수값 표시누락(아이콘 색: 파란색 -&gt; 주황색)"/>
    <s v="신문호"/>
    <x v="2"/>
    <s v="결함"/>
    <s v="UI"/>
    <s v="최종확인    "/>
    <x v="1"/>
    <x v="1"/>
    <s v="구현 화면 비정상"/>
    <x v="6"/>
  </r>
  <r>
    <s v="UT-GO12126R"/>
    <x v="0"/>
    <x v="8"/>
    <s v="DEF-02339"/>
    <s v="[X_2-1] 1. 기준일자 범위 설정 필요_x000a_          2. 실행중이면 실행중이라는 메세지로 처리 --&gt; 다른항목을 실행 하려면 보고서호출이 완료되지 않았습니다 라는 메세지가 나옴."/>
    <s v="신문호"/>
    <x v="1"/>
    <s v="개선/변경"/>
    <s v="기능"/>
    <s v="최종확인    "/>
    <x v="1"/>
    <x v="1"/>
    <s v="구현 화면 비정상"/>
    <x v="6"/>
  </r>
  <r>
    <s v="UT-PM20157S"/>
    <x v="1"/>
    <x v="3"/>
    <s v="DEF-03396"/>
    <s v="[S_6] _x000a_시뮬레이션 이력이 저장되지 않음"/>
    <s v="염희석"/>
    <x v="1"/>
    <s v="결함"/>
    <s v="기능"/>
    <s v="결함등록기각"/>
    <x v="0"/>
    <x v="0"/>
    <s v="기능 미동작 또는 오류"/>
    <x v="8"/>
  </r>
  <r>
    <s v="UT-PM20157S"/>
    <x v="1"/>
    <x v="3"/>
    <s v="DEF-03393"/>
    <s v="[S_5] _x000a_최초 조회시 (2026-01-19 기준) 그래프 값 정상 확인_x000a_2번째 조회시 (2026-01-01 기준) 값이 이전 값 그대로 유지됨, 업데이트가 되지 않음 "/>
    <s v="염희석"/>
    <x v="1"/>
    <s v="결함"/>
    <s v="기능"/>
    <s v="결함등록기각"/>
    <x v="0"/>
    <x v="0"/>
    <s v="구현 화면 비정상"/>
    <x v="6"/>
  </r>
  <r>
    <s v="UT-PM20158S"/>
    <x v="1"/>
    <x v="3"/>
    <s v="DEF-03410"/>
    <s v="[S_2] _x000a_서편 선택시에도 테이블에 동편 데이터로 나옴"/>
    <s v="염희석"/>
    <x v="1"/>
    <s v="결함"/>
    <s v="기능"/>
    <s v="결함등록기각"/>
    <x v="0"/>
    <x v="0"/>
    <s v="구현 화면 비정상"/>
    <x v="6"/>
  </r>
  <r>
    <s v="UT-PM20158S"/>
    <x v="1"/>
    <x v="3"/>
    <s v="DEF-03417"/>
    <s v="[X_2] _x000a_테이블 초기 선택 row가 마지막 행으로 되어있음"/>
    <s v="염희석"/>
    <x v="1"/>
    <s v="결함"/>
    <s v="UI"/>
    <s v="결함등록기각"/>
    <x v="1"/>
    <x v="0"/>
    <s v="구현 화면 비정상"/>
    <x v="6"/>
  </r>
  <r>
    <s v="UT-PM20158S"/>
    <x v="1"/>
    <x v="3"/>
    <s v="DEF-03408"/>
    <s v="[X_1] _x000a_1920*1080, 크롬 100% 배율_x000a_최초 조회시 그래프 이미지 사이즈가 맞지 않음 (스크롤바도 안보임)_x000a_한번 배율 조정후에야 스크롤바 보임"/>
    <s v="염희석"/>
    <x v="1"/>
    <s v="결함"/>
    <s v="UI"/>
    <s v="결함등록기각"/>
    <x v="0"/>
    <x v="0"/>
    <s v="구현 화면 비정상"/>
    <x v="6"/>
  </r>
  <r>
    <s v="UT-PM20159S"/>
    <x v="1"/>
    <x v="3"/>
    <s v="DEF-03437"/>
    <s v="[C_5] _x000a_시뮬레이션 결과값이 정상적으로 저장되었는지의 메시지 표출이 없음"/>
    <s v="염희석"/>
    <x v="1"/>
    <s v="결함"/>
    <s v="표준"/>
    <s v="결함등록기각"/>
    <x v="1"/>
    <x v="0"/>
    <s v="테스트 결과서 증적 미흡 또는 부재"/>
    <x v="3"/>
  </r>
  <r>
    <s v="UT-PM20159S"/>
    <x v="1"/>
    <x v="3"/>
    <s v="DEF-03439"/>
    <s v="[X_1] _x000a_1920*1080, 크롬 100% 배율_x000a_최초 조회시 그래프 이미지 사이즈가 맞지 않음 (스크롤바도 안보임)_x000a_한번 배율 조정후에야 스크롤바 보임"/>
    <s v="염희석"/>
    <x v="1"/>
    <s v="결함"/>
    <s v="UI"/>
    <s v="결함등록기각"/>
    <x v="0"/>
    <x v="0"/>
    <s v="기능 미동작 또는 오류"/>
    <x v="8"/>
  </r>
  <r>
    <s v="UT-PM20159S"/>
    <x v="1"/>
    <x v="3"/>
    <s v="DEF-03440"/>
    <s v="[S_5] _x000a_최초 조회시 (2026-01-19 기준) 그래프 값 정상 확인_x000a_2번째 조회시 (2026-01-01 기준) 값이 이전 값 그대로 유지됨, 업데이트가 되지 않음 "/>
    <s v="염희석"/>
    <x v="1"/>
    <s v="결함"/>
    <s v="기능"/>
    <s v="결함등록기각"/>
    <x v="0"/>
    <x v="0"/>
    <s v="기능 미동작 또는 오류"/>
    <x v="8"/>
  </r>
  <r>
    <s v="UT-PM20159S"/>
    <x v="1"/>
    <x v="3"/>
    <s v="DEF-03441"/>
    <s v="[X_2] _x000a_테이블 초기 선택 row가 마지막 행으로 되어있음"/>
    <s v="염희석"/>
    <x v="1"/>
    <s v="결함"/>
    <s v="UI"/>
    <s v="결함등록기각"/>
    <x v="1"/>
    <x v="0"/>
    <s v="기능 미동작 또는 오류"/>
    <x v="8"/>
  </r>
  <r>
    <s v="UT-PM20159S"/>
    <x v="1"/>
    <x v="3"/>
    <s v="DEF-03443"/>
    <s v="[X_3] _x000a_헤더명 결함 추정_x000a_동편 -&gt; 선택한 라디오 값 (출국장1/출국장2)"/>
    <s v="염희석"/>
    <x v="1"/>
    <s v="결함"/>
    <s v="UI"/>
    <s v="결함등록기각"/>
    <x v="0"/>
    <x v="0"/>
    <s v="구현 화면 비정상"/>
    <x v="6"/>
  </r>
  <r>
    <s v="UT-PM20160S"/>
    <x v="1"/>
    <x v="3"/>
    <s v="DEF-03447"/>
    <s v="[X_2] _x000a_테이블 초기 선택 row가 마지막 행으로 되어있음"/>
    <s v="염희석"/>
    <x v="1"/>
    <s v="결함"/>
    <s v="UI"/>
    <s v="결함등록기각"/>
    <x v="1"/>
    <x v="0"/>
    <s v="구현 화면 비정상"/>
    <x v="6"/>
  </r>
  <r>
    <s v="UT-PM20160S"/>
    <x v="1"/>
    <x v="3"/>
    <s v="DEF-03448"/>
    <s v="[C_5] _x000a_시뮬레이션 결과값이 정상적으로 저장되었는지의 메시지 표출이 없음"/>
    <s v="염희석"/>
    <x v="1"/>
    <s v="결함"/>
    <s v="표준"/>
    <s v="결함등록기각"/>
    <x v="0"/>
    <x v="0"/>
    <s v="기능 미동작 또는 오류"/>
    <x v="8"/>
  </r>
  <r>
    <s v="UT-PM20161M"/>
    <x v="1"/>
    <x v="3"/>
    <s v="DEF-03444"/>
    <s v="[X_1] _x000a_1920*1080, 크롬 100% 배율_x000a_최초 조회시 그래프 이미지 사이즈가 맞지 않음 (스크롤바도 안보임)_x000a_한번 배율 조정후에야 스크롤바 보임"/>
    <s v="염희석"/>
    <x v="1"/>
    <s v="결함"/>
    <s v="UI"/>
    <s v="결함등록기각"/>
    <x v="0"/>
    <x v="0"/>
    <s v="기타 결함"/>
    <x v="7"/>
  </r>
  <r>
    <s v="UT-FPMG040M"/>
    <x v="1"/>
    <x v="1"/>
    <s v="DEF-03497"/>
    <s v="[C_22] Message Details 상세 정보 창이 pendinglist Next를 할 때, 갑자기 가운데로 옮겨지는 현상이 발생함. FLC가 다른 항공사로 변경될 때(ADM Message 종류가 바뀔 때) 발생"/>
    <s v="장경진"/>
    <x v="1"/>
    <s v="개선/변경"/>
    <s v="UI"/>
    <s v="결함등록기각"/>
    <x v="1"/>
    <x v="0"/>
    <s v="구현 화면 비정상"/>
    <x v="6"/>
  </r>
  <r>
    <s v="UT-CARF034S"/>
    <x v="1"/>
    <x v="9"/>
    <s v="DEF-03661"/>
    <s v="_x000a_[S_3] Countes ID 5자리 이상 값이 들어가면 시스템 오류 , 한글도 입력 됨 _x000a_==&gt; check-in Count내용이 잘못 들어감  기각처리 해 주세요. "/>
    <s v="김명준"/>
    <x v="1"/>
    <s v="결함"/>
    <s v="기능"/>
    <s v="결함등록기각"/>
    <x v="1"/>
    <x v="0"/>
    <s v="개선/변경 또는 신규 요청"/>
    <x v="1"/>
  </r>
  <r>
    <s v="UT-AC-SP51"/>
    <x v="1"/>
    <x v="7"/>
    <s v="DEF-03565"/>
    <s v="CALL SP_ESB_DEICING_INFO_RCV() ; 실행 시_x000a_SQL Error [6576] [65000]: ORA-06576: 함수 또는 프로시저 이름이 부적합합니다"/>
    <s v="조수일"/>
    <x v="0"/>
    <s v="결함"/>
    <s v="데이터"/>
    <s v="결함등록기각"/>
    <x v="1"/>
    <x v="0"/>
    <s v="기타 결함"/>
    <x v="7"/>
  </r>
  <r>
    <s v="UT-FPFC071M"/>
    <x v="1"/>
    <x v="1"/>
    <s v="DEF-03746"/>
    <s v="[X_1] 테스트 결과서가 확인되지 않음(FPFC071M, FPFC084M, FPFC106M)"/>
    <s v="장경진"/>
    <x v="1"/>
    <s v="신규"/>
    <s v="문서화"/>
    <s v="결함등록기각"/>
    <x v="0"/>
    <x v="0"/>
    <s v="구현 화면 비정상"/>
    <x v="6"/>
  </r>
  <r>
    <s v="UT-FPFA185S"/>
    <x v="1"/>
    <x v="1"/>
    <s v="DEF-03435"/>
    <s v="[S_8] [SELECT] 버튼 클릭하고 닫은 뒤, 다른 row를 선택하고 [SELECT] 버튼을 누르면 이전 데이터의 팝업이 계속 뜸"/>
    <s v="장경진"/>
    <x v="1"/>
    <s v="결함"/>
    <s v="기능"/>
    <s v="결함등록기각"/>
    <x v="2"/>
    <x v="0"/>
    <s v="공통 체크리스트 구현 불충분"/>
    <x v="5"/>
  </r>
  <r>
    <s v="UT-FPFA185S"/>
    <x v="1"/>
    <x v="1"/>
    <s v="DEF-03433"/>
    <s v="[S_3] Unlink 체크박스 체크 시. 링크 운항편이 즉각적으로 출력되지 않음._x000a_체크박스를 한번 더 미체크/체크 시, 링크 운항편이 출력됨. "/>
    <s v="장경진"/>
    <x v="1"/>
    <s v="결함"/>
    <s v="기능"/>
    <s v="결함등록기각"/>
    <x v="2"/>
    <x v="0"/>
    <s v="개선/변경 또는 신규 요청"/>
    <x v="1"/>
  </r>
  <r>
    <s v="UT-AC-SP53"/>
    <x v="1"/>
    <x v="7"/>
    <s v="DEF-03567"/>
    <s v="CALL SP_ESB_DEICINGWORKTIMEKASS_RCV() ; 실행 시_x000a_SQL Error [6576] [65000]: ORA-06576: 함수 또는 프로시저 이름이 부적합합니다"/>
    <s v="조수일"/>
    <x v="0"/>
    <s v="결함"/>
    <s v="데이터"/>
    <s v="결함등록기각"/>
    <x v="1"/>
    <x v="0"/>
    <s v="테스트 결과 값 오류"/>
    <x v="0"/>
  </r>
  <r>
    <s v="UT-AC-SP58"/>
    <x v="1"/>
    <x v="7"/>
    <s v="DEF-03569"/>
    <s v="SP_ESB_ONOFFBLOCKTIMEVDG3_RCV() ; 실행 시_x000a_SQL Error [6576] [65000]: ORA-06576: 함수 또는 프로시저 이름이 부적합합니다"/>
    <s v="조수일"/>
    <x v="0"/>
    <s v="결함"/>
    <s v="데이터"/>
    <s v="결함등록기각"/>
    <x v="1"/>
    <x v="0"/>
    <s v="기능 미동작 또는 오류"/>
    <x v="8"/>
  </r>
  <r>
    <s v="UT-AC-SP52"/>
    <x v="1"/>
    <x v="7"/>
    <s v="DEF-03566"/>
    <s v="CALL SP_ESB_DEICINGWORKTIMEAAPS_RCV() ; 실행 시_x000a_SQL Error [6576] [65000]: ORA-06576: 함수 또는 프로시저 이름이 부적합합니다_x000a_"/>
    <s v="조수일"/>
    <x v="0"/>
    <s v="결함"/>
    <s v="데이터"/>
    <s v="결함등록기각"/>
    <x v="1"/>
    <x v="0"/>
    <s v="프로시져 호출 오류"/>
    <x v="10"/>
  </r>
  <r>
    <s v="UT-AC-SP55"/>
    <x v="1"/>
    <x v="7"/>
    <s v="DEF-03572"/>
    <s v="SP_ESB_ELECSTRIPDEPARTS_RCV() ; 실행 시_x000a_SQL Error [6576] [65000]: ORA-06576: 함수 또는 프로시저 이름이 부적합합니다"/>
    <s v="조수일"/>
    <x v="0"/>
    <s v="결함"/>
    <s v="데이터"/>
    <s v="결함등록기각"/>
    <x v="1"/>
    <x v="0"/>
    <s v="개선/변경 또는 신규 요청"/>
    <x v="1"/>
  </r>
  <r>
    <s v="UT-AC-SP56"/>
    <x v="1"/>
    <x v="7"/>
    <s v="DEF-03571"/>
    <s v="SP_ESB_ONOFFBLOCKTIME_RCV() ; 실행 시_x000a_SQL Error [6576] [65000]: ORA-06576: 함수 또는 프로시저 이름이 부적합합니다"/>
    <s v="조수일"/>
    <x v="0"/>
    <s v="결함"/>
    <s v="데이터"/>
    <s v="결함등록기각"/>
    <x v="1"/>
    <x v="0"/>
    <s v="개선/변경 또는 신규 요청"/>
    <x v="1"/>
  </r>
  <r>
    <s v="UT-AC-SP57"/>
    <x v="1"/>
    <x v="7"/>
    <s v="DEF-03570"/>
    <s v="SP_ESB_ONOFFBLOCKTIMEVDG1_RCV() ; 실행 시_x000a_SQL Error [6576] [65000]: ORA-06576: 함수 또는 프로시저 이름이 부적합합니다"/>
    <s v="조수일"/>
    <x v="0"/>
    <s v="결함"/>
    <s v="데이터"/>
    <s v="결함등록기각"/>
    <x v="1"/>
    <x v="0"/>
    <s v="개선/변경 또는 신규 요청"/>
    <x v="1"/>
  </r>
  <r>
    <s v="UT-AC-SP37"/>
    <x v="1"/>
    <x v="7"/>
    <s v="DEF-03545"/>
    <s v="SQL Error [6550] [65000]: ORA-06550: 줄 29, 열1:PLS-00201: 'SP_AC_FIMSACCOMCD_SND' 식별자가 정의되어야 합니다_x000a_ORA-06550: 줄 29, 열1:PL/SQL: Statement ignored_x000a_"/>
    <s v="조수일"/>
    <x v="0"/>
    <s v="결함"/>
    <s v="데이터"/>
    <s v="결함등록기각"/>
    <x v="1"/>
    <x v="0"/>
    <s v="기타 결함"/>
    <x v="7"/>
  </r>
  <r>
    <s v="UT-AC-SP38"/>
    <x v="1"/>
    <x v="7"/>
    <s v="DEF-03547"/>
    <s v="SQL Error [6550] [65000]: ORA-06550: 줄 29, 열1:PLS-00201: 'SP_AC_FIMSCTRLTASKDIARY_SND' 식별자가 정의되어야 합니다_x000a_ORA-06550: 줄 29, 열1:PL/SQL: Statement ignored"/>
    <s v="조수일"/>
    <x v="0"/>
    <s v="결함"/>
    <s v="데이터"/>
    <s v="결함등록기각"/>
    <x v="1"/>
    <x v="0"/>
    <s v="기능 미동작 또는 오류"/>
    <x v="8"/>
  </r>
  <r>
    <s v="UT-AC-SP39"/>
    <x v="1"/>
    <x v="7"/>
    <s v="DEF-03548"/>
    <s v="CALL SP_AC_CM_AZRT_DELETE('2025111100000006439615', to_char(CURRENT_TIMESTAMP,'YYYYMMDDHH24MISS.FF3') );_x000a_SP 실행 시 오류_x000a_SQL Error [6576] [65000]: ORA-06576: 함수 또는 프로시저 이름이 부적합합니다"/>
    <s v="조수일"/>
    <x v="0"/>
    <s v="결함"/>
    <s v="데이터"/>
    <s v="결함등록기각"/>
    <x v="1"/>
    <x v="0"/>
    <s v="개선/변경 또는 신규 요청"/>
    <x v="1"/>
  </r>
  <r>
    <s v="UT-AC-SP40"/>
    <x v="1"/>
    <x v="7"/>
    <s v="DEF-03549"/>
    <s v="SQL Error [6550] [65000]: ORA-06550: 줄 60, 열1:PLS-00201: 'SP_AC_FIMSELECFLTINFO_SND' 식별자가 정의되어야 합니다_x000a_ORA-06550: 줄 60, 열1:PL/SQL: Statement ignored"/>
    <s v="조수일"/>
    <x v="0"/>
    <s v="결함"/>
    <s v="데이터"/>
    <s v="결함등록기각"/>
    <x v="1"/>
    <x v="0"/>
    <s v="구현 화면 비정상"/>
    <x v="6"/>
  </r>
  <r>
    <s v="UT-AC-SP43"/>
    <x v="1"/>
    <x v="7"/>
    <s v="DEF-03553"/>
    <s v="단위테스트결과서 없음"/>
    <s v="조수일"/>
    <x v="0"/>
    <s v="신규"/>
    <s v="문서화"/>
    <s v="결함등록기각"/>
    <x v="1"/>
    <x v="0"/>
    <s v="기능 미동작 또는 오류"/>
    <x v="8"/>
  </r>
  <r>
    <s v="UT-AC-SP33"/>
    <x v="1"/>
    <x v="7"/>
    <s v="DEF-03537"/>
    <s v="SQL Error [6550] [65000]: ORA-06550: 줄 58, 열1:PLS-00201: 'SP_AC_FIMSARCFTAPRCTRL_SND' 식별자가 정의되어야 합니다_x000a_ORA-06550: 줄 58, 열1:PL/SQL: Statement ignored"/>
    <s v="조수일"/>
    <x v="0"/>
    <s v="결함"/>
    <s v="데이터"/>
    <s v="결함등록기각"/>
    <x v="1"/>
    <x v="0"/>
    <s v="테스트 결과서 증적 미흡 또는 부재"/>
    <x v="3"/>
  </r>
  <r>
    <s v="UT-AC-SP35"/>
    <x v="1"/>
    <x v="7"/>
    <s v="DEF-03544"/>
    <s v="SQL Error [6550] [65000]: ORA-06550: 줄 25, 열1:PLS-00201: 'SP_AC_FIMSABNTRFFDSBLTY_SND' 식별자가 정의되어야 합니다_x000a_ORA-06550: 줄 25, 열1:PL/SQL: Statement ignored"/>
    <s v="조수일"/>
    <x v="0"/>
    <s v="결함"/>
    <s v="데이터"/>
    <s v="결함등록기각"/>
    <x v="1"/>
    <x v="0"/>
    <s v="개선/변경 또는 신규 요청"/>
    <x v="1"/>
  </r>
  <r>
    <s v="UT-CARF004S"/>
    <x v="1"/>
    <x v="9"/>
    <s v="DEF-03618"/>
    <s v="[x_001]IATA코드에서  ** 만 조회 할수 없음"/>
    <s v="김명준"/>
    <x v="1"/>
    <s v="개선/변경"/>
    <s v="기능"/>
    <s v="결함등록기각"/>
    <x v="1"/>
    <x v="0"/>
    <s v="테스트 데이터 불충분"/>
    <x v="4"/>
  </r>
  <r>
    <s v="UT-AC-SP50"/>
    <x v="1"/>
    <x v="7"/>
    <s v="DEF-03564"/>
    <s v="CALL SP_ESB_ASDESPOTTIME4TH_RCV() ; 실행 시_x000a_SQL Error [6576] [65000]: ORA-06576: 함수 또는 프로시저 이름이 부적합합니다"/>
    <s v="조수일"/>
    <x v="0"/>
    <s v="결함"/>
    <s v="데이터"/>
    <s v="결함등록기각"/>
    <x v="1"/>
    <x v="0"/>
    <s v="기능 미동작 또는 오류"/>
    <x v="8"/>
  </r>
  <r>
    <s v="UT-AC-SP54"/>
    <x v="1"/>
    <x v="7"/>
    <s v="DEF-03568"/>
    <s v="CALL SP_ESB_ELECSTRIPARRARTS_RCV() ; 실행 시_x000a_SQL Error [6576] [65000]: ORA-06576: 함수 또는 프로시저 이름이 부적합합니다_x000a_"/>
    <s v="조수일"/>
    <x v="0"/>
    <s v="결함"/>
    <s v="데이터"/>
    <s v="결함등록기각"/>
    <x v="1"/>
    <x v="0"/>
    <s v="기능 미동작 또는 오류"/>
    <x v="8"/>
  </r>
  <r>
    <s v="UT-AC-SP29"/>
    <x v="1"/>
    <x v="7"/>
    <s v="DEF-03518"/>
    <s v="SP 실행 시 오류_x000a_SQL Error [6576] [65000]: ORA-06576: 함수 또는 프로시저 이름이 부적합합니다_x000a_"/>
    <s v="조수일"/>
    <x v="0"/>
    <s v="결함"/>
    <s v="데이터"/>
    <s v="결함등록기각"/>
    <x v="1"/>
    <x v="0"/>
    <s v="기능 미동작 또는 오류"/>
    <x v="8"/>
  </r>
  <r>
    <s v="UT-PM20157S"/>
    <x v="1"/>
    <x v="3"/>
    <s v="DEF-03389"/>
    <s v="[X_1] _x000a_1920*1080, 크롬 100% 배율_x000a_최초 조회시 그래프 이미지 사이즈가 맞지 않음 (스크롤바도 안보임)_x000a_한번 배율 조정후에야 스크롤바 보임"/>
    <s v="염희석"/>
    <x v="1"/>
    <s v="결함"/>
    <s v="UI"/>
    <s v="결함등록기각"/>
    <x v="0"/>
    <x v="0"/>
    <s v="스키마명 보완 또는 DB 권한 필요"/>
    <x v="9"/>
  </r>
  <r>
    <s v="UT-PM20157S"/>
    <x v="1"/>
    <x v="3"/>
    <s v="DEF-03413"/>
    <s v="[X_2] _x000a_테이블 초기 선택 row가 마지막 행으로 되어있음"/>
    <s v="염희석"/>
    <x v="1"/>
    <s v="결함"/>
    <s v="UI"/>
    <s v="결함등록기각"/>
    <x v="1"/>
    <x v="0"/>
    <s v="개선/변경 또는 신규 요청"/>
    <x v="1"/>
  </r>
  <r>
    <s v="UT-RSPK073S"/>
    <x v="1"/>
    <x v="6"/>
    <s v="DEF-03762"/>
    <s v="[S_2]_x000a_검색 결과와 맞지 않음 _x000a_(penalty = N, use = ALL)"/>
    <s v="유경섭"/>
    <x v="1"/>
    <s v="결함"/>
    <s v="기능"/>
    <s v="결함등록기각"/>
    <x v="0"/>
    <x v="0"/>
    <s v="개선/변경 또는 신규 요청"/>
    <x v="1"/>
  </r>
  <r>
    <s v="UT-RSPK074S"/>
    <x v="1"/>
    <x v="6"/>
    <s v="DEF-03512"/>
    <s v="[C_10]_x000a_공통 날짜 형식 yyyy-mm-dd 가 아님"/>
    <s v="유경섭"/>
    <x v="1"/>
    <s v="결함"/>
    <s v="표준"/>
    <s v="결함등록기각"/>
    <x v="1"/>
    <x v="0"/>
    <s v="기능 미동작 또는 오류"/>
    <x v="8"/>
  </r>
  <r>
    <s v="UT-RSPK075S"/>
    <x v="1"/>
    <x v="6"/>
    <s v="DEF-03474"/>
    <s v="[S_1] _x000a_메뉴 진입하자마자 다음 에러가 뜸"/>
    <s v="유경섭"/>
    <x v="1"/>
    <s v="결함"/>
    <s v="기능"/>
    <s v="결함등록기각"/>
    <x v="2"/>
    <x v="0"/>
    <s v="테스트 요구 권한 누락"/>
    <x v="11"/>
  </r>
  <r>
    <s v="UT-RSPK076S"/>
    <x v="1"/>
    <x v="6"/>
    <s v="DEF-03514"/>
    <s v="[C_10]_x000a_공통 날짜 형식 yyyy-mm-dd 가 아님"/>
    <s v="유경섭"/>
    <x v="1"/>
    <s v="결함"/>
    <s v="표준"/>
    <s v="결함등록기각"/>
    <x v="1"/>
    <x v="0"/>
    <s v="공통 체크리스트 구현 불충분"/>
    <x v="5"/>
  </r>
  <r>
    <s v="UT-RSPK094M"/>
    <x v="1"/>
    <x v="6"/>
    <s v="DEF-03516"/>
    <s v="[C_10]_x000a_공통 날짜 형식 yyyy-mm-dd 가 아님"/>
    <s v="유경섭"/>
    <x v="1"/>
    <s v="결함"/>
    <s v="표준"/>
    <s v="결함등록기각"/>
    <x v="1"/>
    <x v="0"/>
    <s v="기능 미동작 또는 오류"/>
    <x v="8"/>
  </r>
  <r>
    <s v="UT-RSPK059S"/>
    <x v="1"/>
    <x v="6"/>
    <s v="DEF-03469"/>
    <s v="[X_1]_x000a_1920*1080, 크롬 100% 배율_x000a_D SOUTH, D NORTH에서 디폴트 사이즈가 하나도 없는것 같이 보임"/>
    <s v="유경섭"/>
    <x v="1"/>
    <s v="개선/변경"/>
    <s v="UI"/>
    <s v="결함등록기각"/>
    <x v="1"/>
    <x v="0"/>
    <s v="공통 체크리스트 구현 불충분"/>
    <x v="5"/>
  </r>
  <r>
    <s v="UT-RSCI022S"/>
    <x v="1"/>
    <x v="6"/>
    <s v="DEF-03578"/>
    <s v="[S_7]_x000a_날짜 수정이 자유롭게 되지 않음._x000a_원래 값: 2026-10-29_x000a_캘린더에서 변경하고자 하는 날짜를 선택하면 특정날짜 (2026-10-25) 이후만 선택이 됨. 2026-10-25 이전 날짜를 선택하면 2026-10-25로 강제변경됨 _x000a__x000a_(키보드로 타이핑시 정상 입력됨)"/>
    <s v="유경섭"/>
    <x v="1"/>
    <s v="결함"/>
    <s v="기능"/>
    <s v="결함등록기각"/>
    <x v="0"/>
    <x v="0"/>
    <s v="개선/변경 또는 신규 요청"/>
    <x v="1"/>
  </r>
  <r>
    <s v="UT-RSCI022S"/>
    <x v="1"/>
    <x v="6"/>
    <s v="DEF-03765"/>
    <s v="[S_4]_x000a_중복된 행이 있다고 해서 중복되는 행을 삭제 후 저장했을 때_x000a_중복된 데이터가 있다는 알림이 뜸_x000a_삭제 row는 제외하고 중복여부체크하는게 좋을 것 같습니다_x000a_"/>
    <s v="유경섭"/>
    <x v="1"/>
    <s v="개선/변경"/>
    <s v="기능"/>
    <s v="결함등록기각"/>
    <x v="0"/>
    <x v="0"/>
    <s v="테스트 결과 값 오류"/>
    <x v="0"/>
  </r>
  <r>
    <s v="UT-CARF027S"/>
    <x v="1"/>
    <x v="9"/>
    <s v="DEF-03650"/>
    <s v="[S_3]신규입력시 메모리에 남아있는 값이 입력을 하지 않았는데 나타 남_x000a_      _x000a_    업무가 그렇게 정의 되었다면 기각 하십시오. "/>
    <s v="김명준"/>
    <x v="1"/>
    <s v="개선/변경"/>
    <s v="기능"/>
    <s v="결함등록기각"/>
    <x v="1"/>
    <x v="0"/>
    <s v="테스트 데이터 불충분"/>
    <x v="4"/>
  </r>
  <r>
    <s v="UT-AC-SP48"/>
    <x v="1"/>
    <x v="7"/>
    <s v="DEF-03562"/>
    <s v="CALL SP_ESB_AFSRAMPASDE_RCV(); 실행 시_x000a_SQL Error [6576] [65000]: ORA-06576: 함수 또는 프로시저 이름이 부적합합니다"/>
    <s v="조수일"/>
    <x v="0"/>
    <s v="결함"/>
    <s v="데이터"/>
    <s v="결함등록기각"/>
    <x v="1"/>
    <x v="0"/>
    <s v="테스트 결과서 증적 미흡 또는 부재"/>
    <x v="3"/>
  </r>
  <r>
    <s v="UT-AC-SP49"/>
    <x v="1"/>
    <x v="7"/>
    <s v="DEF-03563"/>
    <s v="CALL SP_ESB_ASDESPOTTIME_RCV() ; 실행 시_x000a_SQL Error [6576] [65000]: ORA-06576: 함수 또는 프로시저 이름이 부적합합니다_x000a_"/>
    <s v="조수일"/>
    <x v="0"/>
    <s v="결함"/>
    <s v="데이터"/>
    <s v="결함등록기각"/>
    <x v="1"/>
    <x v="0"/>
    <s v="기능 미동작 또는 오류"/>
    <x v="8"/>
  </r>
  <r>
    <s v="UT-REPK001S"/>
    <x v="1"/>
    <x v="14"/>
    <s v="DEF-03758"/>
    <s v="[S_4] 배정(CREATE 버튼 클릭) 시 아래와 같은 오류 발생"/>
    <s v="문현희"/>
    <x v="1"/>
    <s v="결함"/>
    <s v="기능"/>
    <s v="결함등록기각"/>
    <x v="1"/>
    <x v="0"/>
    <s v="기능 미동작 또는 오류"/>
    <x v="8"/>
  </r>
  <r>
    <s v="UT-RECR001S"/>
    <x v="1"/>
    <x v="14"/>
    <s v="DEF-03675"/>
    <s v="[C_1] 조회된 리스트에서 캐러셀 정렬을 할 때, 순서대로 조회되지않음._x000a_한자리 숫자(2, 3)를 두자리 숫자(20, 30)로 인식하는 것 같음"/>
    <s v="문현희"/>
    <x v="1"/>
    <s v="결함"/>
    <s v="기능"/>
    <s v="결함등록기각"/>
    <x v="0"/>
    <x v="0"/>
    <s v="공통 체크리스트 구현 불충분"/>
    <x v="5"/>
  </r>
  <r>
    <s v="UT-REPK004S"/>
    <x v="1"/>
    <x v="14"/>
    <s v="DEF-03681"/>
    <s v="[C_1] 조회된 리스트에서 Stand 정렬을 할 때, 순서대로 조회되지않음._x000a_두자리 숫자(11)를 세자리 숫자(110)로 인식하는 것 같음"/>
    <s v="문현희"/>
    <x v="1"/>
    <s v="결함"/>
    <s v="기능"/>
    <s v="결함등록기각"/>
    <x v="0"/>
    <x v="0"/>
    <s v="기능 미동작 또는 오류"/>
    <x v="8"/>
  </r>
  <r>
    <s v="UT-CA-SP23(A)"/>
    <x v="1"/>
    <x v="12"/>
    <s v="DEF-03695"/>
    <s v="[s_1] TN_CA_SMS_USER(SMS사용자) 테이블에 INSERT 안됨 "/>
    <s v="김명준"/>
    <x v="0"/>
    <s v="결함"/>
    <s v="기능"/>
    <s v="결함등록기각"/>
    <x v="1"/>
    <x v="0"/>
    <s v="기능 미동작 또는 오류"/>
    <x v="8"/>
  </r>
  <r>
    <s v="UT-CA-SP29(A)"/>
    <x v="1"/>
    <x v="12"/>
    <s v="DEF-03705"/>
    <s v="[S_1] ) 테이블에 INSERT 안됨_x0009_- _x000a_이 테스트 내용은 UT-SP_ESB_SMSRQSTAOMS_SND 내용을 잘못 처리 함. _x000a_ _x000a_SP_CA_SMSRQST_SND,시나리오는 테스티 시나리오와 결과서가 없음"/>
    <s v="김명준"/>
    <x v="0"/>
    <s v="결함"/>
    <s v="기능"/>
    <s v="결함등록기각"/>
    <x v="1"/>
    <x v="0"/>
    <s v="스키마명 보완 또는 DB 권한 필요"/>
    <x v="9"/>
  </r>
  <r>
    <s v="UT-CA-SP32(A)"/>
    <x v="1"/>
    <x v="12"/>
    <s v="DEF-03772"/>
    <s v="[X_001] 테스트 시나리오 문서 없어 테스트 못함_x000a_--&gt; 문서 받아서 테스트 진행 정상 처리 됨 _x000a_이건 기각 해 주세요."/>
    <s v="김명준"/>
    <x v="0"/>
    <s v="결함"/>
    <s v="문서화"/>
    <s v="결함등록기각"/>
    <x v="1"/>
    <x v="0"/>
    <s v="프로시져 호출 오류"/>
    <x v="10"/>
  </r>
  <r>
    <s v="UT-CASY043S(A)"/>
    <x v="1"/>
    <x v="12"/>
    <s v="DEF-03391"/>
    <s v="[X_002]테스트 값이 나오지 않아 테스트 하지 못함"/>
    <s v="김명준"/>
    <x v="1"/>
    <s v="개선/변경"/>
    <s v="문서화"/>
    <s v="결함등록기각"/>
    <x v="1"/>
    <x v="0"/>
    <s v="테스트 데이터 불충분"/>
    <x v="4"/>
  </r>
  <r>
    <s v="UT-CARF002S(A)"/>
    <x v="1"/>
    <x v="12"/>
    <s v="DEF-03539"/>
    <s v="[S_2] Use y/n 검색 건수가 다름_x000a_전체 472 건 , Yse 291건 , No 115건  472 =/  (291 + 115) = 406 "/>
    <s v="김명준"/>
    <x v="1"/>
    <s v="결함"/>
    <s v="데이터"/>
    <s v="결함등록기각"/>
    <x v="1"/>
    <x v="0"/>
    <s v="기능 미동작 또는 오류"/>
    <x v="8"/>
  </r>
  <r>
    <s v="UT-CARF028S(A)"/>
    <x v="1"/>
    <x v="12"/>
    <s v="DEF-03472"/>
    <s v="[x_001]시나리오 6번부터 9번 화면이 달라 테스트 수행 불가_x000a_- FOIS Irregular Code Mapping List화면에 입력,수정,삭제 기능 없음 - 시나리오 화면과 다름 "/>
    <s v="김명준"/>
    <x v="1"/>
    <s v="개선/변경"/>
    <s v="문서화"/>
    <s v="결함등록기각"/>
    <x v="1"/>
    <x v="0"/>
    <s v="프로시져 호출 오류"/>
    <x v="10"/>
  </r>
  <r>
    <s v="UT-CARF029S(A)"/>
    <x v="1"/>
    <x v="12"/>
    <s v="DEF-03475"/>
    <s v="[x_001]Delay List 삭제 및 입력하는 기능 없어 테스트 불가 "/>
    <s v="김명준"/>
    <x v="1"/>
    <s v="개선/변경"/>
    <s v="기타"/>
    <s v="결함등록기각"/>
    <x v="1"/>
    <x v="0"/>
    <s v="프로시져 호출 오류"/>
    <x v="10"/>
  </r>
  <r>
    <s v="UT-CARF033S(A)"/>
    <x v="1"/>
    <x v="12"/>
    <s v="DEF-03501"/>
    <s v="[S_5]일부 우측이동시 다른 cHECK-IN CLUSTER ID에도 같이 반영됨_x000a_[S_6]일부 좌측이동시 다른 cHECK-IN CLUSTER ID에 다르게 반영 됨"/>
    <s v="김명준"/>
    <x v="1"/>
    <s v="결함"/>
    <s v="기능"/>
    <s v="결함등록기각"/>
    <x v="1"/>
    <x v="0"/>
    <s v="기타 결함"/>
    <x v="7"/>
  </r>
  <r>
    <s v="UT-CARF036S(A)"/>
    <x v="1"/>
    <x v="12"/>
    <s v="DEF-03521"/>
    <s v="[S_2] Airline Code에 * 값이 들어가 있는데 이 값은 조회할 수 없음"/>
    <s v="김명준"/>
    <x v="1"/>
    <s v="결함"/>
    <s v="기능"/>
    <s v="결함등록기각"/>
    <x v="1"/>
    <x v="0"/>
    <s v="테스트 결과서 증적 미흡 또는 부재"/>
    <x v="3"/>
  </r>
  <r>
    <s v="UT-WESRS019S"/>
    <x v="1"/>
    <x v="0"/>
    <s v="DEF-03606"/>
    <s v="[X_3]데이터가 없어 테스트 불가"/>
    <s v="임지훈"/>
    <x v="1"/>
    <s v="개선/변경"/>
    <s v="데이터"/>
    <s v="결함등록기각"/>
    <x v="1"/>
    <x v="0"/>
    <s v="개선/변경 또는 신규 요청"/>
    <x v="1"/>
  </r>
  <r>
    <s v="UT-WESRS020M"/>
    <x v="1"/>
    <x v="0"/>
    <s v="DEF-03608"/>
    <s v="[X_3]데이터가 없어 테스트 불가"/>
    <s v="임지훈"/>
    <x v="1"/>
    <s v="개선/변경"/>
    <s v="데이터"/>
    <s v="결함등록기각"/>
    <x v="1"/>
    <x v="0"/>
    <s v="개선/변경 또는 신규 요청"/>
    <x v="1"/>
  </r>
  <r>
    <s v="UT-SLOTQM003M"/>
    <x v="1"/>
    <x v="4"/>
    <s v="DEF-03573"/>
    <s v="[x_1] 화면 조회가 안되고 시스템 오류남"/>
    <s v="김형진"/>
    <x v="1"/>
    <s v="결함"/>
    <s v="기능"/>
    <s v="결함등록기각"/>
    <x v="1"/>
    <x v="0"/>
    <s v="공통 체크리스트 구현 불충분"/>
    <x v="5"/>
  </r>
  <r>
    <s v="UT-SLOTQM004R"/>
    <x v="1"/>
    <x v="4"/>
    <s v="DEF-03574"/>
    <s v="[x_1] 화면 조회가 안되고 서버 오류남"/>
    <s v="김형진"/>
    <x v="1"/>
    <s v="결함"/>
    <s v="기능"/>
    <s v="결함등록기각"/>
    <x v="1"/>
    <x v="0"/>
    <s v="개선/변경 또는 신규 요청"/>
    <x v="1"/>
  </r>
  <r>
    <s v="UT-MESRS023S"/>
    <x v="1"/>
    <x v="2"/>
    <s v="DEF-03409"/>
    <s v="[S_9]신규 생성후 저장시 저장이 안됨."/>
    <s v="임지훈"/>
    <x v="1"/>
    <s v="결함"/>
    <s v="기능"/>
    <s v="결함등록기각"/>
    <x v="0"/>
    <x v="0"/>
    <s v="개선/변경 또는 신규 요청"/>
    <x v="1"/>
  </r>
  <r>
    <s v="UT-MESRS031S"/>
    <x v="1"/>
    <x v="2"/>
    <s v="DEF-03418"/>
    <s v="[C_11]power 수치 입력에대한 제한값이 없음(1~100%)"/>
    <s v="임지훈"/>
    <x v="1"/>
    <s v="결함"/>
    <s v="기능"/>
    <s v="결함등록기각"/>
    <x v="0"/>
    <x v="0"/>
    <s v="구현 화면 비정상"/>
    <x v="6"/>
  </r>
  <r>
    <s v="UT-PM10202S"/>
    <x v="1"/>
    <x v="3"/>
    <s v="DEF-03494"/>
    <s v="[S_5] _x000a_화면상 검색 데이터와 엑셀다운로드 데이터가 맞지 않음"/>
    <s v="염희석"/>
    <x v="1"/>
    <s v="결함"/>
    <s v="기능"/>
    <s v="결함등록기각"/>
    <x v="0"/>
    <x v="0"/>
    <s v="개선/변경 또는 신규 요청"/>
    <x v="1"/>
  </r>
  <r>
    <s v="UT-PM10204S"/>
    <x v="1"/>
    <x v="3"/>
    <s v="DEF-03495"/>
    <s v="[S_5] _x000a_화면상 검색 데이터와 엑셀다운로드 데이터가 맞지 않음"/>
    <s v="염희석"/>
    <x v="1"/>
    <s v="결함"/>
    <s v="기능"/>
    <s v="결함등록기각"/>
    <x v="0"/>
    <x v="0"/>
    <s v="개선/변경 또는 신규 요청"/>
    <x v="1"/>
  </r>
  <r>
    <s v="UT-AC-SP21"/>
    <x v="1"/>
    <x v="7"/>
    <s v="DEF-03499"/>
    <s v="SP실행 시 함수 또는 프로시저 이름 부적합"/>
    <s v="조수일"/>
    <x v="0"/>
    <s v="결함"/>
    <s v="데이터"/>
    <s v="결함등록기각"/>
    <x v="1"/>
    <x v="0"/>
    <s v="공통 체크리스트 구현 불충분"/>
    <x v="5"/>
  </r>
  <r>
    <s v="UT-AC-SP22"/>
    <x v="1"/>
    <x v="7"/>
    <s v="DEF-03502"/>
    <s v="SP 실행 시 함수 또는 프로시저 이름 부적합"/>
    <s v="조수일"/>
    <x v="0"/>
    <s v="결함"/>
    <s v="데이터"/>
    <s v="결함등록기각"/>
    <x v="1"/>
    <x v="0"/>
    <s v="개선/변경 또는 신규 요청"/>
    <x v="1"/>
  </r>
  <r>
    <s v="UT-AC-SP24"/>
    <x v="1"/>
    <x v="7"/>
    <s v="DEF-03507"/>
    <s v="SQL Error [6576] [65000]: ORA-06576: 함수 또는 프로시저 이름이 부적합합니다_x000a_"/>
    <s v="조수일"/>
    <x v="0"/>
    <s v="결함"/>
    <s v="데이터"/>
    <s v="결함등록기각"/>
    <x v="1"/>
    <x v="0"/>
    <s v="기능 미동작 또는 오류"/>
    <x v="8"/>
  </r>
  <r>
    <s v="UT-AC01024S"/>
    <x v="1"/>
    <x v="7"/>
    <s v="DEF-03600"/>
    <s v="단위테스트 문서 없음"/>
    <s v="조수일"/>
    <x v="1"/>
    <s v="신규"/>
    <s v="문서화"/>
    <s v="결함등록기각"/>
    <x v="1"/>
    <x v="0"/>
    <s v="개선/변경 또는 신규 요청"/>
    <x v="1"/>
  </r>
  <r>
    <s v="UT-FP-SP108"/>
    <x v="1"/>
    <x v="1"/>
    <s v="DEF-03632"/>
    <s v="[S_2] 적재 확인 불가"/>
    <s v="장경진"/>
    <x v="0"/>
    <s v="결함"/>
    <s v="기능"/>
    <s v="결함등록기각"/>
    <x v="0"/>
    <x v="0"/>
    <s v="개선/변경 또는 신규 요청"/>
    <x v="1"/>
  </r>
  <r>
    <s v="UT-FP-SP108"/>
    <x v="1"/>
    <x v="1"/>
    <s v="DEF-03631"/>
    <s v="[S_1] 적재 확인 불가"/>
    <s v="장경진"/>
    <x v="0"/>
    <s v="결함"/>
    <s v="기능"/>
    <s v="결함등록기각"/>
    <x v="0"/>
    <x v="0"/>
    <s v="개선/변경 또는 신규 요청"/>
    <x v="1"/>
  </r>
  <r>
    <s v="UT-FP-SP109"/>
    <x v="1"/>
    <x v="1"/>
    <s v="DEF-03639"/>
    <s v="[S_3] 데이터 적재 확인 불가"/>
    <s v="장경진"/>
    <x v="0"/>
    <s v="결함"/>
    <s v="기능"/>
    <s v="결함등록기각"/>
    <x v="0"/>
    <x v="0"/>
    <s v="개선/변경 또는 신규 요청"/>
    <x v="1"/>
  </r>
  <r>
    <s v="UT-FP-SP109"/>
    <x v="1"/>
    <x v="1"/>
    <s v="DEF-03640"/>
    <s v="[S_4] 데이터 적재 확인 불가"/>
    <s v="장경진"/>
    <x v="0"/>
    <s v="결함"/>
    <s v="기능"/>
    <s v="결함등록기각"/>
    <x v="0"/>
    <x v="0"/>
    <s v="기타 결함"/>
    <x v="7"/>
  </r>
  <r>
    <s v="UT-FP-SP111"/>
    <x v="1"/>
    <x v="1"/>
    <s v="DEF-03635"/>
    <s v="[S_3] 적재 확인 불가"/>
    <s v="장경진"/>
    <x v="0"/>
    <s v="결함"/>
    <s v="기능"/>
    <s v="결함등록기각"/>
    <x v="0"/>
    <x v="0"/>
    <s v="기능 미동작 또는 오류"/>
    <x v="8"/>
  </r>
  <r>
    <s v="UT-FP-SP113"/>
    <x v="1"/>
    <x v="1"/>
    <s v="DEF-03617"/>
    <s v="[S_3] FOIS_AFSDEP 가 호출되지 않음"/>
    <s v="장경진"/>
    <x v="0"/>
    <s v="개선/변경"/>
    <s v="기능"/>
    <s v="결함등록기각"/>
    <x v="0"/>
    <x v="0"/>
    <s v="개선/변경 또는 신규 요청"/>
    <x v="1"/>
  </r>
  <r>
    <s v="UT-FP-SP114"/>
    <x v="1"/>
    <x v="1"/>
    <s v="DEF-03656"/>
    <s v="[S_2] 해당 테이블의 호출된 데이터가 없음. 확인 불가. "/>
    <s v="장경진"/>
    <x v="0"/>
    <s v="개선/변경"/>
    <s v="기능"/>
    <s v="결함등록기각"/>
    <x v="0"/>
    <x v="0"/>
    <s v="기능 미동작 또는 오류"/>
    <x v="8"/>
  </r>
  <r>
    <s v="UT-FP-SP116"/>
    <x v="1"/>
    <x v="1"/>
    <s v="DEF-03615"/>
    <s v="[S_3] SP_ESB_ARTS3RP_FLTPLAN 호출되지 않음"/>
    <s v="장경진"/>
    <x v="0"/>
    <s v="개선/변경"/>
    <s v="기능"/>
    <s v="결함등록기각"/>
    <x v="0"/>
    <x v="0"/>
    <s v="기타 결함"/>
    <x v="7"/>
  </r>
  <r>
    <s v="UT-FP-SP152"/>
    <x v="1"/>
    <x v="1"/>
    <s v="DEF-03660"/>
    <s v="[S_1] 데이터의 PUSH_MSG_ID가 null값으로 조회됨"/>
    <s v="장경진"/>
    <x v="0"/>
    <s v="개선/변경"/>
    <s v="데이터"/>
    <s v="결함등록기각"/>
    <x v="1"/>
    <x v="0"/>
    <s v="기타 결함"/>
    <x v="7"/>
  </r>
  <r>
    <s v="UT-FPFA004R"/>
    <x v="1"/>
    <x v="1"/>
    <s v="DEF-03744"/>
    <s v="[X_1] 테스트 결과서가 확인되지 않음(FPFA004R, FPFA014S, FPFA015S, FPFA101S, FPFA201S, FPFA211S)"/>
    <s v="장경진"/>
    <x v="1"/>
    <s v="신규"/>
    <s v="문서화"/>
    <s v="결함등록기각"/>
    <x v="0"/>
    <x v="0"/>
    <s v="개선/변경 또는 신규 요청"/>
    <x v="1"/>
  </r>
  <r>
    <s v="UT-FPFA101S"/>
    <x v="1"/>
    <x v="1"/>
    <s v="DEF-03459"/>
    <s v="[C_12] 검색기간이 2일 이내인데 2일을 초과할 수 없습니다라고 뜸"/>
    <s v="장경진"/>
    <x v="1"/>
    <s v="결함"/>
    <s v="UI"/>
    <s v="결함등록기각"/>
    <x v="0"/>
    <x v="0"/>
    <s v="기타 결함"/>
    <x v="7"/>
  </r>
  <r>
    <s v="UT-FPMG031M"/>
    <x v="1"/>
    <x v="1"/>
    <s v="DEF-03467"/>
    <s v="[S_5] 시험데이터가 조회되지 않는 관계로 다른 데이터로 테스트. error log가 존재하는 정보임에도 존재를 error log 버튼이 활성화되지 않음,"/>
    <s v="장경진"/>
    <x v="1"/>
    <s v="결함"/>
    <s v="기능"/>
    <s v="결함등록기각"/>
    <x v="2"/>
    <x v="0"/>
    <s v="기타 결함"/>
    <x v="7"/>
  </r>
  <r>
    <s v="UT-FPMG031M"/>
    <x v="1"/>
    <x v="1"/>
    <s v="DEF-03464"/>
    <s v="[C_16] DATE 간격이 3일인데, 3일을 '초과'할 수 없다라는 문구가 뜸"/>
    <s v="장경진"/>
    <x v="1"/>
    <s v="결함"/>
    <s v="UI"/>
    <s v="결함등록기각"/>
    <x v="1"/>
    <x v="0"/>
    <s v="기능 미동작 또는 오류"/>
    <x v="8"/>
  </r>
  <r>
    <s v="UT-CM-SP33"/>
    <x v="1"/>
    <x v="5"/>
    <s v="DEF-01911"/>
    <s v="스크립트 누락"/>
    <s v="이지연"/>
    <x v="0"/>
    <s v="개선/변경"/>
    <s v="문서화"/>
    <s v="결함등록기각"/>
    <x v="1"/>
    <x v="0"/>
    <s v="기능 미동작 또는 오류"/>
    <x v="8"/>
  </r>
  <r>
    <s v="UT-FPMG032M"/>
    <x v="1"/>
    <x v="1"/>
    <s v="DEF-03465"/>
    <s v="[S_5] 시험 데이터가 조회되지 않는 관계로 다른 데이터로 테스트. error log가 존재하는 정보임에도 존재를 error log 버튼이 활성화되지 않음"/>
    <s v="장경진"/>
    <x v="1"/>
    <s v="결함"/>
    <s v="기능"/>
    <s v="결함등록기각"/>
    <x v="2"/>
    <x v="0"/>
    <s v="기능 미동작 또는 오류"/>
    <x v="8"/>
  </r>
  <r>
    <s v="UT-FPFA066S"/>
    <x v="1"/>
    <x v="1"/>
    <s v="DEF-03387"/>
    <s v="[S_1] 초기 화면 진입 시, 검색을 하지 않았는데도 '검색된 결과가 없습니다'란 팝업이 뜸"/>
    <s v="장경진"/>
    <x v="1"/>
    <s v="개선/변경"/>
    <s v="UI"/>
    <s v="결함등록기각"/>
    <x v="1"/>
    <x v="0"/>
    <s v="테스트 데이터 불충분"/>
    <x v="4"/>
  </r>
  <r>
    <s v="UT-AC01010M"/>
    <x v="1"/>
    <x v="7"/>
    <s v="DEF-00614"/>
    <s v="테스트 결과서 누락"/>
    <s v="조수일"/>
    <x v="1"/>
    <s v="개선/변경"/>
    <s v="문서화"/>
    <s v="결함등록기각"/>
    <x v="1"/>
    <x v="0"/>
    <s v="개선/변경 또는 신규 요청"/>
    <x v="1"/>
  </r>
  <r>
    <s v="UT-AC01010M"/>
    <x v="1"/>
    <x v="7"/>
    <s v="DEF-00888"/>
    <s v="3자 테스트 시 단위 테스트 결과 누락"/>
    <s v="조수일"/>
    <x v="1"/>
    <s v="결함"/>
    <s v="프로세스"/>
    <s v="결함등록기각"/>
    <x v="0"/>
    <x v="0"/>
    <s v="공통 체크리스트 구현 불충분"/>
    <x v="5"/>
  </r>
  <r>
    <s v="UT-AC01010M"/>
    <x v="1"/>
    <x v="7"/>
    <s v="DEF-03684"/>
    <s v="단위 테스트 문서 없음"/>
    <s v="조수일"/>
    <x v="1"/>
    <s v="결함"/>
    <s v="문서화"/>
    <s v="결함등록기각"/>
    <x v="1"/>
    <x v="0"/>
    <s v="기능 미동작 또는 오류"/>
    <x v="8"/>
  </r>
  <r>
    <s v="UT-FPMG042M"/>
    <x v="1"/>
    <x v="1"/>
    <s v="DEF-03500"/>
    <s v="[C_22] Message Details 상세 정보 창이 pendinglist Next를 할 때, 갑자기 가운데로 옮겨지는 현상이 발생함. FLC가 다른 항공사로 변경될 때 발생(ADM Message 종류가 바뀔 때)"/>
    <s v="장경진"/>
    <x v="1"/>
    <s v="개선/변경"/>
    <s v="UI"/>
    <s v="결함등록기각"/>
    <x v="1"/>
    <x v="0"/>
    <s v="개선/변경 또는 신규 요청"/>
    <x v="1"/>
  </r>
  <r>
    <s v="UT-FPMG052M"/>
    <x v="1"/>
    <x v="1"/>
    <s v="DEF-03523"/>
    <s v="[C_12] 적어도 하나의 운항번호(FNL)를 입력해 주십시오라고 할 때, FNL -&gt; FLN 으로 오타"/>
    <s v="장경진"/>
    <x v="1"/>
    <s v="결함"/>
    <s v="UI"/>
    <s v="결함등록기각"/>
    <x v="1"/>
    <x v="0"/>
    <s v="테스트 데이터 불충분"/>
    <x v="4"/>
  </r>
  <r>
    <s v="UT-RSCI021S"/>
    <x v="1"/>
    <x v="6"/>
    <s v="DEF-03581"/>
    <s v="[C_10]_x000a_공통 날짜 형식 yyyy-mm-dd 가 아님."/>
    <s v="유경섭"/>
    <x v="1"/>
    <s v="개선/변경"/>
    <s v="표준"/>
    <s v="결함등록기각"/>
    <x v="1"/>
    <x v="0"/>
    <s v="공통 체크리스트 구현 불충분"/>
    <x v="5"/>
  </r>
  <r>
    <s v="UT-RSCI021S"/>
    <x v="1"/>
    <x v="6"/>
    <s v="DEF-03599"/>
    <s v="[C_15]_x000a_MQT Active 단일선택으로 보이는데 radio button이 아님 "/>
    <s v="유경섭"/>
    <x v="1"/>
    <s v="결함"/>
    <s v="표준"/>
    <s v="결함등록기각"/>
    <x v="1"/>
    <x v="0"/>
    <s v="구현 화면 비정상"/>
    <x v="6"/>
  </r>
  <r>
    <s v="UT-RSCI036M"/>
    <x v="1"/>
    <x v="6"/>
    <s v="DEF-03589"/>
    <s v="[C_10]_x000a_공통 날짜 형식 yyyy-mm-dd 가 아님"/>
    <s v="유경섭"/>
    <x v="1"/>
    <s v="개선/변경"/>
    <s v="표준"/>
    <s v="결함등록기각"/>
    <x v="1"/>
    <x v="0"/>
    <s v="구현 화면 비정상"/>
    <x v="6"/>
  </r>
  <r>
    <s v="UT-CAMN007M"/>
    <x v="1"/>
    <x v="9"/>
    <s v="DEF-03725"/>
    <s v="[X_001]테스트 시나리오에 테스트 결과서 없음"/>
    <s v="김명준"/>
    <x v="1"/>
    <s v="결함"/>
    <s v="문서화"/>
    <s v="결함등록기각"/>
    <x v="1"/>
    <x v="0"/>
    <s v="테스트 결과 값 오류"/>
    <x v="0"/>
  </r>
  <r>
    <s v="UT-CASY013S"/>
    <x v="1"/>
    <x v="9"/>
    <s v="DEF-03727"/>
    <s v="[X_001]테스트 시나리오에 결과서 없음"/>
    <s v="김명준"/>
    <x v="1"/>
    <s v="결함"/>
    <s v="문서화"/>
    <s v="결함등록기각"/>
    <x v="1"/>
    <x v="0"/>
    <s v="기능 미동작 또는 오류"/>
    <x v="8"/>
  </r>
  <r>
    <s v="UT-CASY041S"/>
    <x v="1"/>
    <x v="9"/>
    <s v="DEF-03575"/>
    <s v="[S_2] 전체 조회의 경우 CSDL 연계상태 와 메세지 송신현황 조회기준을 모르겠음.  시스템 id를 클릭하면 그 시스템 id에 해당하는 메세지 송신현황이 보여야 하나 반응이 없음_x000a_마스테 메세지송신 에러현황도 반을을 하지 않음_x000a__x000a_- 메세지 송신형황에서 시스템 id 에 SACP가 보이는데 , 시스템 id 팝업에는 해당 id가 없음"/>
    <s v="김명준"/>
    <x v="1"/>
    <s v="결함"/>
    <s v="기능"/>
    <s v="결함등록기각"/>
    <x v="1"/>
    <x v="0"/>
    <s v="기능 미동작 또는 오류"/>
    <x v="8"/>
  </r>
  <r>
    <s v="UT-CARF003S"/>
    <x v="1"/>
    <x v="9"/>
    <s v="DEF-03584"/>
    <s v="[S_4] 신규 생성시 _x000a_. Other Information 항목에 Aircraft Remark가 300byte까지 입력 가능하나, 100byte 까지만 입력됨._x000a_test 값 : Registration No - B309Q, B309u"/>
    <s v="김명준"/>
    <x v="1"/>
    <s v="결함"/>
    <s v="기능"/>
    <s v="결함등록기각"/>
    <x v="1"/>
    <x v="0"/>
    <s v="공통 체크리스트 구현 불충분"/>
    <x v="5"/>
  </r>
  <r>
    <s v="UT-CARF032S"/>
    <x v="1"/>
    <x v="9"/>
    <s v="DEF-03658"/>
    <s v="[S-3].추가입력시 Airline Code, ICAO코드, Unit  System ID 가  Default로 뜸. list box의 입력 값을 변경할 수 없음 "/>
    <s v="김명준"/>
    <x v="1"/>
    <s v="결함"/>
    <s v="기능"/>
    <s v="결함등록기각"/>
    <x v="1"/>
    <x v="0"/>
    <s v="기능 미동작 또는 오류"/>
    <x v="8"/>
  </r>
  <r>
    <s v="UT-CA-SP22"/>
    <x v="1"/>
    <x v="9"/>
    <s v="DEF-03688"/>
    <s v="[s_2] sql 에러 _x000a_TN_CA_SMS_USER(SMS사용자) 테이블에 UPDATE 시 "/>
    <s v="김명준"/>
    <x v="0"/>
    <s v="결함"/>
    <s v="기능"/>
    <s v="결함등록기각"/>
    <x v="1"/>
    <x v="0"/>
    <s v="개선/변경 또는 신규 요청"/>
    <x v="1"/>
  </r>
  <r>
    <s v="UT-CA-SP40"/>
    <x v="1"/>
    <x v="9"/>
    <s v="DEF-03712"/>
    <s v="[x_001]테스트 결과서 없음 "/>
    <s v="김명준"/>
    <x v="0"/>
    <s v="결함"/>
    <s v="문서화"/>
    <s v="결함등록기각"/>
    <x v="1"/>
    <x v="0"/>
    <s v="구현 화면 비정상"/>
    <x v="6"/>
  </r>
  <r>
    <s v="UT-RSCI040S"/>
    <x v="1"/>
    <x v="6"/>
    <s v="DEF-03519"/>
    <s v="[C_10]_x000a_공통 날짜 형식 yyyy-mm-dd 가 아님"/>
    <s v="유경섭"/>
    <x v="1"/>
    <s v="결함"/>
    <s v="표준"/>
    <s v="결함등록기각"/>
    <x v="1"/>
    <x v="0"/>
    <s v="테스트 결과 값 오류"/>
    <x v="0"/>
  </r>
  <r>
    <s v="UT-RSFI002S"/>
    <x v="1"/>
    <x v="6"/>
    <s v="DEF-03626"/>
    <s v="[X_1] _x000a_기본 화면 폰트 및 사이즈가 팝업 켰을때랑 다름_x000a_(아이디 찾기, 비밀번호 초기화, 비밀번호 변경 팝업 동일)"/>
    <s v="유경섭"/>
    <x v="1"/>
    <s v="개선/변경"/>
    <s v="UI"/>
    <s v="결함등록기각"/>
    <x v="1"/>
    <x v="0"/>
    <s v="개선/변경 또는 신규 요청"/>
    <x v="1"/>
  </r>
  <r>
    <s v="UT-RSPK073S"/>
    <x v="1"/>
    <x v="6"/>
    <s v="DEF-03510"/>
    <s v="[C_10]_x000a_공통 날짜 형식 yyyy-mm-dd 가 아님 "/>
    <s v="유경섭"/>
    <x v="1"/>
    <s v="결함"/>
    <s v="표준"/>
    <s v="결함등록기각"/>
    <x v="1"/>
    <x v="0"/>
    <s v="기능 미동작 또는 오류"/>
    <x v="8"/>
  </r>
  <r>
    <s v="UT-AC06001S"/>
    <x v="1"/>
    <x v="7"/>
    <s v="DEF-03461"/>
    <s v="[S_06] order_number가 1부터 시작하지 않고 지정한 페이지당 출력할 숫자 + 1부터 시작. 프린트 결과는 정상."/>
    <s v="조수일"/>
    <x v="1"/>
    <s v="결함"/>
    <s v="인터페이스"/>
    <s v="최종확인    "/>
    <x v="1"/>
    <x v="1"/>
    <s v="테스트 결과 값 오류"/>
    <x v="0"/>
  </r>
  <r>
    <s v="UT-AC07002S"/>
    <x v="1"/>
    <x v="7"/>
    <s v="DEF-03478"/>
    <s v="[S_12] 캘린더 검색 문법 오류"/>
    <s v="조수일"/>
    <x v="1"/>
    <s v="결함"/>
    <s v="기능"/>
    <s v="최종확인    "/>
    <x v="0"/>
    <x v="1"/>
    <s v="개선/변경 또는 신규 요청"/>
    <x v="1"/>
  </r>
  <r>
    <s v="UT-FP-SP153"/>
    <x v="1"/>
    <x v="1"/>
    <s v="DEF-03649"/>
    <s v="[S_1] '실제 인출은 요구된 것보다 많은 행을 추출합니다.' 문구가 뜸"/>
    <s v="장경진"/>
    <x v="0"/>
    <s v="개선/변경"/>
    <s v="기능"/>
    <s v="최종확인    "/>
    <x v="1"/>
    <x v="1"/>
    <s v="기타 결함"/>
    <x v="7"/>
  </r>
  <r>
    <s v="UT-FP-SP154"/>
    <x v="1"/>
    <x v="1"/>
    <s v="DEF-03647"/>
    <s v="[S_7] 선언문 실행시, '실제 인출은 요구된 것보다 많은 행을 추출합니다.' 문구가 뜸"/>
    <s v="장경진"/>
    <x v="0"/>
    <s v="개선/변경"/>
    <s v="기능"/>
    <s v="최종확인    "/>
    <x v="1"/>
    <x v="1"/>
    <s v="기타 결함"/>
    <x v="7"/>
  </r>
  <r>
    <s v="UT-CM20036S"/>
    <x v="1"/>
    <x v="5"/>
    <s v="DEF-03473"/>
    <s v="[S_1]화면 조회 시 데이터 표기 안되어 테스트 불가_x000a_화면 상단 날짜정보 포함 정보 조회 안됩니다."/>
    <s v="이지연"/>
    <x v="1"/>
    <s v="결함"/>
    <s v="기능"/>
    <s v="최종확인    "/>
    <x v="0"/>
    <x v="1"/>
    <s v="테스트 결과 값 오류"/>
    <x v="0"/>
  </r>
  <r>
    <s v="UT-CM20016S"/>
    <x v="1"/>
    <x v="5"/>
    <s v="DEF-03496"/>
    <s v="[S_5]alarm 탭 활성화/비활성화_x000a_알람 있는 출발편을 클릭하였다가 없는 항목을 클릭하는 경우 여전히 Alarm 탭은 파란색으로 활성화 되어 있습니다. "/>
    <s v="이지연"/>
    <x v="1"/>
    <s v="개선/변경"/>
    <s v="기타"/>
    <s v="최종확인    "/>
    <x v="1"/>
    <x v="1"/>
    <s v="테스트 결과 값 오류"/>
    <x v="0"/>
  </r>
  <r>
    <s v="UT-CM20016S"/>
    <x v="1"/>
    <x v="5"/>
    <s v="DEF-03487"/>
    <s v="[S_3-1]해더툴팁 표기 오류_x000a_Pb 마우스 오버 시 Actual Start Up Request Time 으로 표기됨_x000a_"/>
    <s v="이지연"/>
    <x v="1"/>
    <s v="결함"/>
    <s v="기능"/>
    <s v="최종확인    "/>
    <x v="1"/>
    <x v="1"/>
    <s v="기능 미동작 또는 오류"/>
    <x v="8"/>
  </r>
  <r>
    <s v="UT-CM20016S"/>
    <x v="1"/>
    <x v="5"/>
    <s v="DEF-03531"/>
    <s v="[X_1]필터적용 관련 제안_x000a_그리드 필터 설정 시 &quot;Alert&quot; 컬럼의 필터 기준을 Alert 있음/없음 혹은 업무적으로 필터링 가능한 조건을 명시해줌이 어떨지 제안드립니다.  _x000a__x000a_참고로 출발편 운항정보관리(월)  에 적용된 grid 에는 Alert는 필터조건이 없습니다."/>
    <s v="이지연"/>
    <x v="1"/>
    <s v="개선/변경"/>
    <s v="기타"/>
    <s v="최종확인    "/>
    <x v="1"/>
    <x v="1"/>
    <s v="개선/변경 또는 신규 요청"/>
    <x v="1"/>
  </r>
  <r>
    <s v="UT-CM20030S"/>
    <x v="1"/>
    <x v="5"/>
    <s v="DEF-03520"/>
    <s v="[S_1]Alarm 있는 그리드 선택 후 Alarm 없는 그리드 선택하는 경우 하단  Alarm 이 계속 활성화 되어 있음 _x000a_(출발편운항정보관리 와 동일함)"/>
    <s v="이지연"/>
    <x v="1"/>
    <s v="개선/변경"/>
    <s v="기능"/>
    <s v="최종확인    "/>
    <x v="1"/>
    <x v="1"/>
    <s v="구현 화면 비정상"/>
    <x v="6"/>
  </r>
  <r>
    <s v="UT-CM20034S"/>
    <x v="1"/>
    <x v="5"/>
    <s v="DEF-03543"/>
    <s v="[S_1]조회조건 변경시에도 화면상단 출발교통량, 터미널 주기장 운영 현황, 지연현황의 데이터 변동이 없음"/>
    <s v="이지연"/>
    <x v="1"/>
    <s v="결함"/>
    <s v="기능"/>
    <s v="최종확인    "/>
    <x v="1"/>
    <x v="1"/>
    <s v="개선/변경 또는 신규 요청"/>
    <x v="1"/>
  </r>
  <r>
    <s v="UT-CM30029S"/>
    <x v="1"/>
    <x v="5"/>
    <s v="DEF-03588"/>
    <s v="[X_1]선행 조회에 나온 결과가 있었고, 조회조건을 RESET 하고 새롭게 조회하면 선행 결과에서 선택한 GRID에 커서가 선택되어 있습니다._x000a_즉 새로 조회하면 GRID 첫 라인에 커서가 선택되어 있지 않습니다._x000a__x000a_첨부된 케이스는 처음조회 시 _x000a_분석유형명에 &quot;활&quot; 입력 후 조회 한다음_x000a_모든 조회 조건을 삭제하고 재조회 한 경우 8번라인에 커서가 위치해 있는 경우입니다._x000a_"/>
    <s v="이지연"/>
    <x v="1"/>
    <s v="개선/변경"/>
    <s v="기타"/>
    <s v="최종확인    "/>
    <x v="1"/>
    <x v="1"/>
    <s v="기능 미동작 또는 오류"/>
    <x v="8"/>
  </r>
  <r>
    <s v="UT-CM40001S"/>
    <x v="1"/>
    <x v="5"/>
    <s v="DEF-03468"/>
    <s v="[S_5-5]근무자(추가주간 혹은 추가야간) 레코드 삭제 및 정보변경 오류_x000a_근무자(추가주간) 혹은 근무자(추가야간) 으로 선택한 경우 해당열 삭제 후 저장하면 반영 안되고, 주/야 구분 변경시에도 변경반영이 안됩니다._x000a_**제가 근무자(추가주간), 근무자(추가야간)의 개념을 몰라서일 수 있으니, 확인 부탁드립니다."/>
    <s v="이지연"/>
    <x v="1"/>
    <s v="결함"/>
    <s v="기능"/>
    <s v="최종확인    "/>
    <x v="1"/>
    <x v="1"/>
    <s v="테스트 데이터 불충분"/>
    <x v="4"/>
  </r>
  <r>
    <s v="UT-CM10102S"/>
    <x v="1"/>
    <x v="5"/>
    <s v="DEF-03414"/>
    <s v="[S_5-2]그리드 새로고침 오류_x000a_'저장되었습니다' 메시지 팝업 후 하단 그리드가 즉시 새로고침 반영이 안되고 &quot;SEARCH&quot; 버튼 클릭 시 변경된 값으로 조회됩니다."/>
    <s v="이지연"/>
    <x v="1"/>
    <s v="결함"/>
    <s v="기능"/>
    <s v="최종확인    "/>
    <x v="1"/>
    <x v="1"/>
    <s v="개선/변경 또는 신규 요청"/>
    <x v="1"/>
  </r>
  <r>
    <s v="UT-CM10102S"/>
    <x v="1"/>
    <x v="5"/>
    <s v="DEF-03420"/>
    <s v="[S_6-2]그리드의 &quot;제빙처리용량&quot; 조회 불가 및 변경 반영 안됨_x000a_최초 조회 시 그리드에서 표기되지 않으며, &quot;사용불가&quot; 입력 후에도 값 변경 반영 안됩니다."/>
    <s v="이지연"/>
    <x v="1"/>
    <s v="결함"/>
    <s v="기능"/>
    <s v="최종확인    "/>
    <x v="1"/>
    <x v="1"/>
    <s v="기타 결함"/>
    <x v="7"/>
  </r>
  <r>
    <s v="UT-CM10103S"/>
    <x v="1"/>
    <x v="5"/>
    <s v="DEF-03431"/>
    <s v="[S_1]특정일 조회 시 조회 오류 발생_x000a_2025-10-01, 2025,10-02 조회 시 첨부된 오류 발생_x000a_"/>
    <s v="이지연"/>
    <x v="1"/>
    <s v="결함"/>
    <s v="기능"/>
    <s v="최종확인    "/>
    <x v="1"/>
    <x v="1"/>
    <s v="개선/변경 또는 신규 요청"/>
    <x v="1"/>
  </r>
  <r>
    <s v="UT-FPFA101S"/>
    <x v="1"/>
    <x v="1"/>
    <s v="DEF-03406"/>
    <s v="[S_4] 엑셀 다운로드시, FLT가 실제 검색 결과대로 출력되지 않음. ex) 7C2606 -&gt; 1, 2 ,3 이렇게 출력됨"/>
    <s v="장경진"/>
    <x v="1"/>
    <s v="결함"/>
    <s v="기능"/>
    <s v="최종확인    "/>
    <x v="0"/>
    <x v="1"/>
    <s v="기타 결함"/>
    <x v="7"/>
  </r>
  <r>
    <s v="UT-FPMG054M"/>
    <x v="1"/>
    <x v="1"/>
    <s v="DEF-03585"/>
    <s v="[C_15] 날짜가 32일도 입력이 됨 날짜 제한 체크 필요"/>
    <s v="장경진"/>
    <x v="1"/>
    <s v="결함"/>
    <s v="데이터"/>
    <s v="최종확인    "/>
    <x v="2"/>
    <x v="1"/>
    <s v="테스트 결과서 증적 미흡 또는 부재"/>
    <x v="3"/>
  </r>
  <r>
    <s v="UT-FPFA066S"/>
    <x v="1"/>
    <x v="1"/>
    <s v="DEF-03390"/>
    <s v="[S_4] FLN이 insert할 때, 4자리가 아니라 5자리까지 입력이 가능함"/>
    <s v="장경진"/>
    <x v="1"/>
    <s v="개선/변경"/>
    <s v="데이터"/>
    <s v="최종확인    "/>
    <x v="0"/>
    <x v="1"/>
    <s v="기능 미동작 또는 오류"/>
    <x v="8"/>
  </r>
  <r>
    <s v="UT-FPFA066S"/>
    <x v="1"/>
    <x v="1"/>
    <s v="DEF-03692"/>
    <s v="[C_11] 엑셀 업로드 시, 유효하지 않은 값(한글, 5자리 이상)이 입력 자체는 가능함. submit 시에 서버 오류 발생"/>
    <s v="장경진"/>
    <x v="1"/>
    <s v="결함"/>
    <s v="데이터"/>
    <s v="최종확인    "/>
    <x v="2"/>
    <x v="1"/>
    <s v="구현 화면 비정상"/>
    <x v="6"/>
  </r>
  <r>
    <s v="UT-CM20023S"/>
    <x v="1"/>
    <x v="5"/>
    <s v="DEF-03470"/>
    <s v="[S_3-1]입력 데이터 미반영_x000a_현재활주로 및 ATFM 수정 및 저장하였으나  기존 데이터로 조회됨_x000a_DATE를 과거 및 오늘 날짜 기준으로 해보았으나 동일한 현상_x000a_"/>
    <s v="이지연"/>
    <x v="1"/>
    <s v="결함"/>
    <s v="기능"/>
    <s v="최종확인    "/>
    <x v="1"/>
    <x v="1"/>
    <s v="개선/변경 또는 신규 요청"/>
    <x v="1"/>
  </r>
  <r>
    <s v="UT-CM-SP81"/>
    <x v="1"/>
    <x v="5"/>
    <s v="DEF-03715"/>
    <s v="[S_1]화면 표기 오류_x000a_프로시져 및 데이터는 조회되나 화면 표시되는 내역이 없습니다."/>
    <s v="이지연"/>
    <x v="0"/>
    <s v="결함"/>
    <s v="기능"/>
    <s v="최종확인    "/>
    <x v="1"/>
    <x v="1"/>
    <s v="프로시져 호출 오류"/>
    <x v="10"/>
  </r>
  <r>
    <s v="UT-FPMG042M"/>
    <x v="1"/>
    <x v="1"/>
    <s v="DEF-03506"/>
    <s v="[S_2]TYS 값이 readonly가 아니라, reg랑 상관없이 TYS 값을 변경하고 submit 시 서버오류가 발생"/>
    <s v="장경진"/>
    <x v="1"/>
    <s v="개선/변경"/>
    <s v="기능"/>
    <s v="최종확인    "/>
    <x v="0"/>
    <x v="1"/>
    <s v="스키마명 보완 또는 DB 권한 필요"/>
    <x v="9"/>
  </r>
  <r>
    <s v="UT-FPMG043M"/>
    <x v="1"/>
    <x v="1"/>
    <s v="DEF-03509"/>
    <s v="[S_2]TYS 값이 readonly가 아니라, reg랑 상관없이 TYS 값을 변경하고 submit 시 서버오류가 발생"/>
    <s v="장경진"/>
    <x v="1"/>
    <s v="개선/변경"/>
    <s v="기능"/>
    <s v="최종확인    "/>
    <x v="0"/>
    <x v="1"/>
    <s v="기타 결함"/>
    <x v="7"/>
  </r>
  <r>
    <s v="UT-FPMG052M"/>
    <x v="1"/>
    <x v="1"/>
    <s v="DEF-03529"/>
    <s v="[S_2] STY가 RAD임에도, 5) FLN 입력 불가"/>
    <s v="장경진"/>
    <x v="1"/>
    <s v="개선/변경"/>
    <s v="기능"/>
    <s v="최종확인    "/>
    <x v="2"/>
    <x v="1"/>
    <s v="개선/변경 또는 신규 요청"/>
    <x v="1"/>
  </r>
  <r>
    <s v="UT-FPMG055M"/>
    <x v="1"/>
    <x v="1"/>
    <s v="DEF-03602"/>
    <s v="[C_15] 날짜포맷에 맞지않은 형식이 들어감, submit도 가능"/>
    <s v="장경진"/>
    <x v="1"/>
    <s v="결함"/>
    <s v="데이터"/>
    <s v="최종확인    "/>
    <x v="2"/>
    <x v="1"/>
    <s v="스키마명 보완 또는 DB 권한 필요"/>
    <x v="9"/>
  </r>
  <r>
    <s v="UT-FPMG073M"/>
    <x v="1"/>
    <x v="1"/>
    <s v="DEF-03670"/>
    <s v="[S_3] 특정 Row를 클릭후 DELETE 버튼을 클릭해도 삭제가 완료되었습니다는 뜨지만, 리스트에서 Row는 남아있음. 총 갯수도 그대로임"/>
    <s v="장경진"/>
    <x v="1"/>
    <s v="결함"/>
    <s v="기능"/>
    <s v="최종확인    "/>
    <x v="2"/>
    <x v="1"/>
    <s v="공통 체크리스트 구현 불충분"/>
    <x v="5"/>
  </r>
  <r>
    <s v="UT-FPFA184M"/>
    <x v="1"/>
    <x v="1"/>
    <s v="DEF-03427"/>
    <s v="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"/>
    <s v="장경진"/>
    <x v="1"/>
    <s v="개선/변경"/>
    <s v="기능"/>
    <s v="최종확인    "/>
    <x v="0"/>
    <x v="1"/>
    <s v="기능 미동작 또는 오류"/>
    <x v="8"/>
  </r>
  <r>
    <s v="UT-RSPK055S"/>
    <x v="1"/>
    <x v="6"/>
    <s v="DEF-03761"/>
    <s v="[S_1]_x000a_화물 필드 재정렬시 &quot;가용&quot;이 아니라 &quot;사용&quot;에 마우스 오버시 그리드가 표출됨_x000a_ "/>
    <s v="유경섭"/>
    <x v="1"/>
    <s v="결함"/>
    <s v="기능"/>
    <s v="최종확인    "/>
    <x v="0"/>
    <x v="1"/>
    <s v="공통 체크리스트 구현 불충분"/>
    <x v="5"/>
  </r>
  <r>
    <s v="UT-RS-SP44"/>
    <x v="1"/>
    <x v="6"/>
    <s v="DEF-03769"/>
    <s v="[X_1]_x000a_시나리오는 있는데 결과서가 없어 쿼리 테스트 불가 "/>
    <s v="유경섭"/>
    <x v="0"/>
    <s v="결함"/>
    <s v="문서화"/>
    <s v="최종확인    "/>
    <x v="0"/>
    <x v="1"/>
    <s v="테스트 결과서 증적 미흡 또는 부재"/>
    <x v="3"/>
  </r>
  <r>
    <s v="UT-GO12516S"/>
    <x v="1"/>
    <x v="8"/>
    <s v="DEF-02345"/>
    <s v="[X_1-1]1. 테스트 시나리오와 TMS상 시나리오ID와 매칭이 되지 않음._x000a_테스트시나리오 : UT-GO12516R  TMS에는 UT-GO12516S_x000a_2. 초기화 아이콘에 대한 테스트 설명이 없음 _x000a_3.지연/결항 디폴트값이 전체가 이닌 &quot;정상/지연&quot;  이로 되어 있음_x000a_4. GO12507R_x0009_항로 및 운항실적_리포트에는 데이터가 있는데, 여기는 데이터가 없다고 나옴._x000a_"/>
    <s v="신문호"/>
    <x v="1"/>
    <s v="결함"/>
    <s v="기능"/>
    <s v="최종확인    "/>
    <x v="1"/>
    <x v="1"/>
    <s v="기능 미동작 또는 오류"/>
    <x v="8"/>
  </r>
  <r>
    <s v="UT-GO-SP8"/>
    <x v="1"/>
    <x v="8"/>
    <s v="DEF-03517"/>
    <s v="[S_1] DECLARE문 실행시 계속 실행되고 종료가 안됨"/>
    <s v="신문호"/>
    <x v="0"/>
    <s v="결함"/>
    <s v="데이터"/>
    <s v="최종확인    "/>
    <x v="1"/>
    <x v="1"/>
    <s v="기능 미동작 또는 오류"/>
    <x v="8"/>
  </r>
  <r>
    <s v="UT-GO-SP9"/>
    <x v="1"/>
    <x v="8"/>
    <s v="DEF-03515"/>
    <s v="[S_1] DECLARE문 실행시 계속 실행되고 종료가 안됨"/>
    <s v="신문호"/>
    <x v="0"/>
    <s v="결함"/>
    <s v="데이터"/>
    <s v="최종확인    "/>
    <x v="1"/>
    <x v="1"/>
    <s v="구현 화면 비정상"/>
    <x v="6"/>
  </r>
  <r>
    <s v="UT-CASY043S"/>
    <x v="1"/>
    <x v="9"/>
    <s v="DEF-03582"/>
    <s v="[S_2] 최대 조회기간이 2일을 초과 할수 없는데 Timestamp에 값을 넣지 않으면 전체 Data를 다 가져 옴 "/>
    <s v="김명준"/>
    <x v="1"/>
    <s v="결함"/>
    <s v="기능"/>
    <s v="최종확인    "/>
    <x v="1"/>
    <x v="1"/>
    <s v="구현 화면 비정상"/>
    <x v="6"/>
  </r>
  <r>
    <s v="UT-CASY046S"/>
    <x v="1"/>
    <x v="9"/>
    <s v="DEF-03597"/>
    <s v="[S_3]DATA에 값을 넣지 않으면 전체 DATA가 조회 됨"/>
    <s v="김명준"/>
    <x v="1"/>
    <s v="결함"/>
    <s v="기능"/>
    <s v="최종확인    "/>
    <x v="1"/>
    <x v="1"/>
    <s v="테스트 결과 값 오류"/>
    <x v="0"/>
  </r>
  <r>
    <s v="UT-CASY047S"/>
    <x v="1"/>
    <x v="9"/>
    <s v="DEF-03603"/>
    <s v="[S_3] DATE값을 넣지 않으면 최대조회기간 8일 초과 할수 없으나 전체가 조회 됨 "/>
    <s v="김명준"/>
    <x v="1"/>
    <s v="결함"/>
    <s v="기능"/>
    <s v="최종확인    "/>
    <x v="1"/>
    <x v="1"/>
    <s v="기능 미동작 또는 오류"/>
    <x v="8"/>
  </r>
  <r>
    <s v="UT-CASY049S"/>
    <x v="1"/>
    <x v="9"/>
    <s v="DEF-03627"/>
    <s v="[X_001] 현재일로 부터 2일전 데이타는 볼수 없음_x000a_업무정의가 그렇게 되어 있다면 기각 해 주세요. "/>
    <s v="김명준"/>
    <x v="1"/>
    <s v="개선/변경"/>
    <s v="기능"/>
    <s v="최종확인    "/>
    <x v="1"/>
    <x v="1"/>
    <s v="기능 미동작 또는 오류"/>
    <x v="8"/>
  </r>
  <r>
    <s v="UT-CASY052S"/>
    <x v="1"/>
    <x v="9"/>
    <s v="DEF-03614"/>
    <s v="[S_2] date에 값을 넣지 않을때 오류_x000a_[C-3] 화면의 첫 째 필드에 커셔가 Set focus되어 있지 않음"/>
    <s v="김명준"/>
    <x v="1"/>
    <s v="결함"/>
    <s v="기능"/>
    <s v="최종확인    "/>
    <x v="1"/>
    <x v="1"/>
    <s v="기능 미동작 또는 오류"/>
    <x v="8"/>
  </r>
  <r>
    <s v="UT-CASY052S"/>
    <x v="1"/>
    <x v="9"/>
    <s v="DEF-03628"/>
    <s v="[S_2]과거일을 조회할 수 없음 "/>
    <s v="김명준"/>
    <x v="1"/>
    <s v="결함"/>
    <s v="기능"/>
    <s v="최종확인    "/>
    <x v="1"/>
    <x v="1"/>
    <s v="기타 결함"/>
    <x v="7"/>
  </r>
  <r>
    <s v="UT-CASY053S"/>
    <x v="1"/>
    <x v="9"/>
    <s v="DEF-03616"/>
    <s v="[c_2]필수입력 오류 _x000a_[c_3] 화면의 첫 째 필드에 커셔가 Set focus되어 있지않음_x000a_[x_001] 시나리오문서상  메세지 값과 실제 메세지 내용이 다름"/>
    <s v="김명준"/>
    <x v="1"/>
    <s v="결함"/>
    <s v="기능"/>
    <s v="최종확인    "/>
    <x v="1"/>
    <x v="1"/>
    <s v="기타 결함"/>
    <x v="7"/>
  </r>
  <r>
    <s v="UT-CARF011S"/>
    <x v="1"/>
    <x v="9"/>
    <s v="DEF-03633"/>
    <s v="[s_3] Runway ID 한글로 입력하면 에레 _x000a_[S_6]여러건 입력시 Use Y/N을 1건만 입력하고 다른건은 입력하지 않아도  저장됨_x000a_"/>
    <s v="김명준"/>
    <x v="1"/>
    <s v="결함"/>
    <s v="기능"/>
    <s v="최종확인    "/>
    <x v="0"/>
    <x v="1"/>
    <s v="기능 미동작 또는 오류"/>
    <x v="8"/>
  </r>
  <r>
    <s v="UT-CARF026S"/>
    <x v="1"/>
    <x v="9"/>
    <s v="DEF-03645"/>
    <s v="[S_3]여러건 동시에 입력시 use yn 및 sort order 입력 하지 않아도 저장 됨"/>
    <s v="김명준"/>
    <x v="1"/>
    <s v="결함"/>
    <s v="기능"/>
    <s v="최종확인    "/>
    <x v="1"/>
    <x v="1"/>
    <s v="기능 미동작 또는 오류"/>
    <x v="8"/>
  </r>
  <r>
    <s v="UT-CARF029S"/>
    <x v="1"/>
    <x v="9"/>
    <s v="DEF-03651"/>
    <s v="[S_3]여러건 입력시 필수필드 입력 하지 않아도 저장 "/>
    <s v="김명준"/>
    <x v="1"/>
    <s v="결함"/>
    <s v="기능"/>
    <s v="최종확인    "/>
    <x v="1"/>
    <x v="1"/>
    <s v="기능 미동작 또는 오류"/>
    <x v="8"/>
  </r>
  <r>
    <s v="UT-CARF030S"/>
    <x v="1"/>
    <x v="9"/>
    <s v="DEF-03652"/>
    <s v="[S_3]여러건 입력시 필수필드 누락 되어도 처리 _x000a_"/>
    <s v="김명준"/>
    <x v="1"/>
    <s v="결함"/>
    <s v="기능"/>
    <s v="최종확인    "/>
    <x v="1"/>
    <x v="1"/>
    <s v="기능 미동작 또는 오류"/>
    <x v="8"/>
  </r>
  <r>
    <s v="UT-CARF035S"/>
    <x v="1"/>
    <x v="9"/>
    <s v="DEF-03662"/>
    <s v="[S_3] Count ID  5자리이상 입력 하면 오류 , 한글도 입력 됨"/>
    <s v="김명준"/>
    <x v="1"/>
    <s v="결함"/>
    <s v="기능"/>
    <s v="최종확인    "/>
    <x v="1"/>
    <x v="1"/>
    <s v="기능 미동작 또는 오류"/>
    <x v="8"/>
  </r>
  <r>
    <s v="UT-CA-SP38"/>
    <x v="1"/>
    <x v="9"/>
    <s v="DEF-03709"/>
    <s v="[S_2]  SMS수신테이블에 UPDATE 오류"/>
    <s v="김명준"/>
    <x v="0"/>
    <s v="결함"/>
    <s v="기능"/>
    <s v="최종확인    "/>
    <x v="1"/>
    <x v="1"/>
    <s v="화면 로딩 불가"/>
    <x v="2"/>
  </r>
  <r>
    <s v="UT-CA-SP39"/>
    <x v="1"/>
    <x v="9"/>
    <s v="DEF-03711"/>
    <s v="[s_2][s_3  'SP_ESB_SMSRPLYFIMS_RCV' 호출 시 인수의 갯수나 유형이 잘못되었습니다_x000a_"/>
    <s v="김명준"/>
    <x v="0"/>
    <s v="결함"/>
    <s v="기능"/>
    <s v="최종확인    "/>
    <x v="1"/>
    <x v="1"/>
    <s v="기능 미동작 또는 오류"/>
    <x v="8"/>
  </r>
  <r>
    <s v="UT-CA-SP41"/>
    <x v="1"/>
    <x v="9"/>
    <s v="DEF-03722"/>
    <s v="[S_1]'CAOWN.SP_CA_PERS_INFO_CONFF_INSERT' 식별자가 정의되어야 합니다_x000a_[S_2] 'CAOWN.SP_CA_PERS_INFO_CONFF_INSERT' 식별자가 정의되어야 합니다"/>
    <s v="김명준"/>
    <x v="0"/>
    <s v="결함"/>
    <s v="기능"/>
    <s v="최종확인    "/>
    <x v="1"/>
    <x v="1"/>
    <s v="화면 로딩 불가"/>
    <x v="2"/>
  </r>
  <r>
    <s v="UT-CA-SP42"/>
    <x v="1"/>
    <x v="9"/>
    <s v="DEF-03723"/>
    <s v="[S_1]SQL ERROR "/>
    <s v="김명준"/>
    <x v="0"/>
    <s v="결함"/>
    <s v="기능"/>
    <s v="최종확인    "/>
    <x v="1"/>
    <x v="1"/>
    <s v="기능 미동작 또는 오류"/>
    <x v="8"/>
  </r>
  <r>
    <s v="UT-RSFI001S"/>
    <x v="1"/>
    <x v="6"/>
    <s v="DEF-03774"/>
    <s v="[S_3] _x000a_시작일이 종료일보다 커도 입력/조회가 됨 _x000a_"/>
    <s v="유경섭"/>
    <x v="1"/>
    <s v="결함"/>
    <s v="기능"/>
    <s v="최종확인    "/>
    <x v="0"/>
    <x v="1"/>
    <s v="기타 결함"/>
    <x v="7"/>
  </r>
  <r>
    <s v="UT-RSFI001S"/>
    <x v="1"/>
    <x v="6"/>
    <s v="DEF-03775"/>
    <s v="[X_1]_x000a_엔터로 검색이 되면 좋을것같습니다 "/>
    <s v="유경섭"/>
    <x v="1"/>
    <s v="개선/변경"/>
    <s v="UI"/>
    <s v="최종확인    "/>
    <x v="1"/>
    <x v="1"/>
    <s v="개선/변경 또는 신규 요청"/>
    <x v="1"/>
  </r>
  <r>
    <s v="UT-RSPK059S"/>
    <x v="1"/>
    <x v="6"/>
    <s v="DEF-03685"/>
    <s v="[X-1] _x000a_데이터가 없어 테스트 불가_x000a_(테스트 결과서에서 제시한 2025-05-01, 2025-05-03)"/>
    <s v="유경섭"/>
    <x v="1"/>
    <s v="개선/변경"/>
    <s v="데이터"/>
    <s v="최종확인    "/>
    <x v="0"/>
    <x v="1"/>
    <s v="구현 화면 비정상"/>
    <x v="6"/>
  </r>
  <r>
    <s v="UT-RSCI022S"/>
    <x v="1"/>
    <x v="6"/>
    <s v="DEF-03558"/>
    <s v="[S_5] _x000a_엑셀 업로드 오류_x000a__x000a_1. 2025년에 다운받은 양식 그대로 업로드 함_x000a_2. 엑셀에는 2015-10-25, 2016-03-26 인 값이 _x000a_   업로드 후 2026-10-25, 2027-03-27이 됨_x000a_3. 저장하면 화면에 아무것도 보이지 않음_x000a_4. 년도를 2026년으로 변경하면 방금 업로드 했던 데이터 확인 가능_x000a_5. 동일하게 2025년으로 업로드하면 3,4번 과정이 반복되며_x000a_   중복 업로드도 가능한것으로 확인 "/>
    <s v="유경섭"/>
    <x v="1"/>
    <s v="결함"/>
    <s v="기능"/>
    <s v="최종확인    "/>
    <x v="0"/>
    <x v="1"/>
    <s v="테스트 데이터 불충분"/>
    <x v="4"/>
  </r>
  <r>
    <s v="UT-RSCI022S"/>
    <x v="1"/>
    <x v="6"/>
    <s v="DEF-03579"/>
    <s v="[X_1]_x000a_기본 사이즈에서 요일이 잘려보임 "/>
    <s v="유경섭"/>
    <x v="1"/>
    <s v="개선/변경"/>
    <s v="UI"/>
    <s v="최종확인    "/>
    <x v="1"/>
    <x v="1"/>
    <s v="개선/변경 또는 신규 요청"/>
    <x v="1"/>
  </r>
  <r>
    <s v="UT-RSCI022S"/>
    <x v="1"/>
    <x v="6"/>
    <s v="DEF-03756"/>
    <s v="[C_11] _x000a_입력값 제한이 필요해 보임 "/>
    <s v="유경섭"/>
    <x v="1"/>
    <s v="개선/변경"/>
    <s v="표준"/>
    <s v="최종확인    "/>
    <x v="0"/>
    <x v="1"/>
    <s v="개선/변경 또는 신규 요청"/>
    <x v="1"/>
  </r>
  <r>
    <s v="UT-RSCI022S"/>
    <x v="1"/>
    <x v="6"/>
    <s v="DEF-03561"/>
    <s v="[S_4]_x000a_STD 시간 이상하게 입력했을때 다음 에러가 남_x000a_- 시간유효성 체크 필요_x000a__x000a_08:05로 변경하고 저장해도 동일한 제약조건 에러가 남"/>
    <s v="유경섭"/>
    <x v="1"/>
    <s v="결함"/>
    <s v="기능"/>
    <s v="최종확인    "/>
    <x v="0"/>
    <x v="1"/>
    <s v="개선/변경 또는 신규 요청"/>
    <x v="1"/>
  </r>
  <r>
    <s v="UT-RSCI022S"/>
    <x v="1"/>
    <x v="6"/>
    <s v="DEF-03550"/>
    <s v="[C_7]_x000a_값 수정 후 원복해도 왼쪽 아이콘이 사라지지 않음"/>
    <s v="유경섭"/>
    <x v="1"/>
    <s v="개선/변경"/>
    <s v="표준"/>
    <s v="최종확인    "/>
    <x v="1"/>
    <x v="1"/>
    <s v="개선/변경 또는 신규 요청"/>
    <x v="1"/>
  </r>
  <r>
    <s v="UT-CARF036S"/>
    <x v="1"/>
    <x v="9"/>
    <s v="DEF-03663"/>
    <s v="[S_3]여러건 처리시 필수항목 입려하지 않아도 저장 "/>
    <s v="김명준"/>
    <x v="1"/>
    <s v="결함"/>
    <s v="기능"/>
    <s v="최종확인    "/>
    <x v="1"/>
    <x v="1"/>
    <s v="테스트 데이터 불충분"/>
    <x v="4"/>
  </r>
  <r>
    <s v="UT-GO21401S"/>
    <x v="1"/>
    <x v="8"/>
    <s v="DEF-03394"/>
    <s v="[S_6] 저장 버튼 클릭시 저장되지 않음"/>
    <s v="신문호"/>
    <x v="1"/>
    <s v="결함"/>
    <s v="기능"/>
    <s v="최종확인    "/>
    <x v="1"/>
    <x v="1"/>
    <s v="구현 화면 비정상"/>
    <x v="6"/>
  </r>
  <r>
    <s v="UT-CASY044S"/>
    <x v="1"/>
    <x v="9"/>
    <s v="DEF-03592"/>
    <s v="[S_2] Timestamp에 값을 넣지 않으면 전체가 조회 됨"/>
    <s v="김명준"/>
    <x v="1"/>
    <s v="결함"/>
    <s v="기능"/>
    <s v="최종확인    "/>
    <x v="1"/>
    <x v="1"/>
    <s v="기타 결함"/>
    <x v="7"/>
  </r>
  <r>
    <s v="UT-CASY046S(A)"/>
    <x v="1"/>
    <x v="12"/>
    <s v="DEF-03402"/>
    <s v="{S_5]메세지는 조회기간 8일을 초과 할구 없다고 나오나 DATE를 입력하지 않으면 전체일자가 모두 조회 됨"/>
    <s v="김명준"/>
    <x v="1"/>
    <s v="결함"/>
    <s v="기능"/>
    <s v="최종확인    "/>
    <x v="1"/>
    <x v="1"/>
    <s v="테스트 데이터 불충분"/>
    <x v="4"/>
  </r>
  <r>
    <s v="UT-CM10301S"/>
    <x v="1"/>
    <x v="5"/>
    <s v="DEF-03401"/>
    <s v="[X_1]영문단어수정필요_x000a_Defination -&gt;Definition"/>
    <s v="이지연"/>
    <x v="1"/>
    <s v="개선/변경"/>
    <s v="기타"/>
    <s v="최종확인    "/>
    <x v="1"/>
    <x v="1"/>
    <s v="테스트 데이터 불충분"/>
    <x v="4"/>
  </r>
  <r>
    <s v="UT-CM10301S"/>
    <x v="1"/>
    <x v="5"/>
    <s v="DEF-03764"/>
    <s v="[S_8]Common Code Detail 의 Code Description 입력 시 자리수 체크 _x000a__x000a_영문 및 숫자는 입력하는 동안 최대 허용 byte 초과시 입력되지 않고 바로 alert 메시지를 나타내나(정상), 한글을 입력하는 경우 1200자까지 입력이 되고 &quot;저장&quot; 버튼 클릭 시 alert 메시지가 표출됩니다 _x000a__x000a_*공통업무 체크 지침 상 작성하는 동안 alert 메시지가 표출되는 것이 원칙이라 전달받아 해당내용 남깁니다."/>
    <s v="이지연"/>
    <x v="1"/>
    <s v="결함"/>
    <s v="기타"/>
    <s v="최종확인    "/>
    <x v="1"/>
    <x v="1"/>
    <s v="기타 결함"/>
    <x v="7"/>
  </r>
  <r>
    <s v="UT-CARF001S"/>
    <x v="1"/>
    <x v="9"/>
    <s v="DEF-03669"/>
    <s v="[S_5] Aircraft Type에 Work List를 추가하거나, Detail을 변경 하면 오류가 남"/>
    <s v="김명준"/>
    <x v="1"/>
    <s v="결함"/>
    <s v="기능"/>
    <s v="최종확인    "/>
    <x v="1"/>
    <x v="1"/>
    <s v="테스트 데이터 불충분"/>
    <x v="4"/>
  </r>
  <r>
    <s v="UT-WESRS011S"/>
    <x v="1"/>
    <x v="0"/>
    <s v="DEF-03596"/>
    <s v="[X_2]데이터가 없어 테스트 불가"/>
    <s v="임지훈"/>
    <x v="1"/>
    <s v="개선/변경"/>
    <s v="데이터"/>
    <s v="최종확인    "/>
    <x v="1"/>
    <x v="1"/>
    <s v="개선/변경 또는 신규 요청"/>
    <x v="1"/>
  </r>
  <r>
    <s v="UT-CARF031S"/>
    <x v="1"/>
    <x v="9"/>
    <s v="DEF-03654"/>
    <s v="[s_3] 데이터 입력시 알수없는 오류가 남"/>
    <s v="김명준"/>
    <x v="1"/>
    <s v="결함"/>
    <s v="기능"/>
    <s v="최종확인    "/>
    <x v="1"/>
    <x v="1"/>
    <s v="개선/변경 또는 신규 요청"/>
    <x v="1"/>
  </r>
  <r>
    <s v="UT-CASY051S"/>
    <x v="1"/>
    <x v="9"/>
    <s v="DEF-03611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김명준"/>
    <x v="1"/>
    <s v="결함"/>
    <s v="기능"/>
    <s v="최종확인    "/>
    <x v="1"/>
    <x v="1"/>
    <s v="개선/변경 또는 신규 요청"/>
    <x v="1"/>
  </r>
  <r>
    <s v="UT-GO11960S"/>
    <x v="1"/>
    <x v="8"/>
    <s v="DEF-03384"/>
    <s v="[S_4] 운항실적 기준 탭에서 엑셀 다운로드시  승객예약 기준 자료가 다운로드 됨 확인 필요"/>
    <s v="신문호"/>
    <x v="1"/>
    <s v="결함"/>
    <s v="기능"/>
    <s v="최종확인    "/>
    <x v="1"/>
    <x v="1"/>
    <s v="개선/변경 또는 신규 요청"/>
    <x v="1"/>
  </r>
  <r>
    <s v="UT-GO12506R"/>
    <x v="1"/>
    <x v="8"/>
    <s v="DEF-03400"/>
    <s v="[S_1] 2019년도 하계성수기만 조회 가능함 확인 핗료"/>
    <s v="신문호"/>
    <x v="1"/>
    <s v="결함"/>
    <s v="기능"/>
    <s v="최종확인    "/>
    <x v="1"/>
    <x v="1"/>
    <s v="기능 미동작 또는 오류"/>
    <x v="8"/>
  </r>
  <r>
    <s v="UT-GO12903S"/>
    <x v="1"/>
    <x v="8"/>
    <s v="DEF-03403"/>
    <s v="[C_2] 조회에서 주기장이 필수항목으로 푯되여 있으나 입력없이도 조회됨"/>
    <s v="신문호"/>
    <x v="1"/>
    <s v="결함"/>
    <s v="기능"/>
    <s v="최종확인    "/>
    <x v="1"/>
    <x v="1"/>
    <s v="구현 화면 비정상"/>
    <x v="6"/>
  </r>
  <r>
    <s v="UT-REPK005S"/>
    <x v="1"/>
    <x v="14"/>
    <s v="DEF-03737"/>
    <s v="[X_1] 테스트 결과서 확인불가"/>
    <s v="문현희"/>
    <x v="1"/>
    <s v="결함"/>
    <s v="문서화"/>
    <s v="최종확인    "/>
    <x v="0"/>
    <x v="1"/>
    <s v="기타 결함"/>
    <x v="7"/>
  </r>
  <r>
    <s v="UT-CA-SP22(A)"/>
    <x v="1"/>
    <x v="12"/>
    <s v="DEF-03689"/>
    <s v="[s_1] TN_CA_SMS_USER(SMS사용자) 테이블에 INSERT 시 SQL Error [ERRTX]: JDBC-21008:Savepoint 'SVP1' was not found. "/>
    <s v="김명준"/>
    <x v="0"/>
    <s v="결함"/>
    <s v="기능"/>
    <s v="최종확인    "/>
    <x v="1"/>
    <x v="1"/>
    <s v="기능 미동작 또는 오류"/>
    <x v="8"/>
  </r>
  <r>
    <s v="UT-CA-SP28(A)"/>
    <x v="1"/>
    <x v="12"/>
    <s v="DEF-03697"/>
    <s v="[S_1] SQL ERROR "/>
    <s v="김명준"/>
    <x v="0"/>
    <s v="결함"/>
    <s v="기능"/>
    <s v="최종확인    "/>
    <x v="1"/>
    <x v="1"/>
    <s v="기능 미동작 또는 오류"/>
    <x v="8"/>
  </r>
  <r>
    <s v="UT-CA-SP30(A)"/>
    <x v="1"/>
    <x v="12"/>
    <s v="DEF-03767"/>
    <s v="[S_2] SQL Error [ERRPS]: JDBC-15146:PSM compilation error"/>
    <s v="김명준"/>
    <x v="0"/>
    <s v="개선/변경"/>
    <s v="기능"/>
    <s v="최종확인    "/>
    <x v="1"/>
    <x v="1"/>
    <s v="개선/변경 또는 신규 요청"/>
    <x v="1"/>
  </r>
  <r>
    <s v="UT-CA-SP33(A)"/>
    <x v="1"/>
    <x v="12"/>
    <s v="DEF-03720"/>
    <s v="[S_1,2,3,4,5]  JDBC-90603:Invalid operation: disconnected from the server._x000a_"/>
    <s v="김명준"/>
    <x v="0"/>
    <s v="결함"/>
    <s v="기능"/>
    <s v="최종확인    "/>
    <x v="1"/>
    <x v="1"/>
    <s v="구현 화면 비정상"/>
    <x v="6"/>
  </r>
  <r>
    <s v="UT-CASY047S(A)"/>
    <x v="1"/>
    <x v="12"/>
    <s v="DEF-03404"/>
    <s v="[S_3] 최대조회기간 8일 초과 할수 없으나 전체가 조회 됨_x000a_[X_001]테스트 시나리오의 메세지 내용과 테스트시 메세지 내용이 다름"/>
    <s v="김명준"/>
    <x v="1"/>
    <s v="결함"/>
    <s v="기능"/>
    <s v="최종확인    "/>
    <x v="1"/>
    <x v="1"/>
    <s v="구현 화면 비정상"/>
    <x v="6"/>
  </r>
  <r>
    <s v="UT-CASY048S(A)"/>
    <x v="1"/>
    <x v="12"/>
    <s v="DEF-03405"/>
    <s v="[C_5] 8일 초과 할수 없다고 메세지는 나오나 데이터 값을 넣지 않으면 전체가 조회 됨_x000a__x000a_PS : 시나리오에 해당 테스트가 작성 되지 않아 메세지가 적정하게 표출되지 않는 것으로 판단 공통에러로 표기 함"/>
    <s v="김명준"/>
    <x v="1"/>
    <s v="결함"/>
    <s v="기능"/>
    <s v="최종확인    "/>
    <x v="1"/>
    <x v="1"/>
    <s v="개선/변경 또는 신규 요청"/>
    <x v="1"/>
  </r>
  <r>
    <s v="UT-CASY052S(A)"/>
    <x v="1"/>
    <x v="12"/>
    <s v="DEF-03411"/>
    <s v="[C_2] Date 값은 필수입력 값으로 보이나 값을 넣지 않아도 조회가 됨_x000a_[C-3] 화면의 첫 째 필드에 커셔가 Set focus되어 있지 않음"/>
    <s v="김명준"/>
    <x v="1"/>
    <s v="결함"/>
    <s v="기능"/>
    <s v="최종확인    "/>
    <x v="1"/>
    <x v="1"/>
    <s v="개선/변경 또는 신규 요청"/>
    <x v="1"/>
  </r>
  <r>
    <s v="UT-CASY053S(A)"/>
    <x v="1"/>
    <x v="12"/>
    <s v="DEF-03416"/>
    <s v="[c_2]필수입력 오루 _x000a_[c_3] 화면의 첫 째 필드에 커셔가 Set focus되어 있지않음_x000a_[x_001] 시나리오문서상  메세지 값과 실제 메세지 내용이 다"/>
    <s v="김명준"/>
    <x v="1"/>
    <s v="결함"/>
    <s v="기능"/>
    <s v="최종확인    "/>
    <x v="1"/>
    <x v="1"/>
    <s v="개선/변경 또는 신규 요청"/>
    <x v="1"/>
  </r>
  <r>
    <s v="UT-CARF001S(A)"/>
    <x v="1"/>
    <x v="12"/>
    <s v="DEF-03533"/>
    <s v="[S_4]Min Work Time을 3분에서 4분으로 바꾸었더니 서버오류가 남_x000a_왜 에러가 났는지  알기 어려움"/>
    <s v="김명준"/>
    <x v="1"/>
    <s v="결함"/>
    <s v="기능"/>
    <s v="최종확인    "/>
    <x v="1"/>
    <x v="1"/>
    <s v="기능 미동작 또는 오류"/>
    <x v="8"/>
  </r>
  <r>
    <s v="UT-CARF002S(A)"/>
    <x v="1"/>
    <x v="12"/>
    <s v="DEF-03546"/>
    <s v="[S_4] Average Flight Speed 입력시 5자리 넘으면 서버 오류 메세지 "/>
    <s v="김명준"/>
    <x v="1"/>
    <s v="결함"/>
    <s v="기능"/>
    <s v="최종확인    "/>
    <x v="1"/>
    <x v="1"/>
    <s v="기능 미동작 또는 오류"/>
    <x v="8"/>
  </r>
  <r>
    <s v="UT-CARF010S(A)"/>
    <x v="1"/>
    <x v="12"/>
    <s v="DEF-03455"/>
    <s v="[C_3] Set focus가  첫 화면에 위치하지 않음"/>
    <s v="김명준"/>
    <x v="1"/>
    <s v="결함"/>
    <s v="기능"/>
    <s v="최종확인    "/>
    <x v="1"/>
    <x v="1"/>
    <s v="테스트 요구 권한 누락"/>
    <x v="11"/>
  </r>
  <r>
    <s v="UT-CARF011S(A)"/>
    <x v="1"/>
    <x v="12"/>
    <s v="DEF-03458"/>
    <s v="[C_3] 화면의 첫 째 필드에 커셔가 Set focus되어 있지 않음 "/>
    <s v="김명준"/>
    <x v="1"/>
    <s v="결함"/>
    <s v="기능"/>
    <s v="최종확인    "/>
    <x v="1"/>
    <x v="1"/>
    <s v="개선/변경 또는 신규 요청"/>
    <x v="1"/>
  </r>
  <r>
    <s v="UT-CARF031S(A)"/>
    <x v="1"/>
    <x v="12"/>
    <s v="DEF-03484"/>
    <s v="[S_3]Cancel Code 값을 넣지 않고 저장시 오류 "/>
    <s v="김명준"/>
    <x v="1"/>
    <s v="결함"/>
    <s v="기능"/>
    <s v="최종확인    "/>
    <x v="1"/>
    <x v="1"/>
    <s v="구현 화면 비정상"/>
    <x v="6"/>
  </r>
  <r>
    <s v="UT-CARF032S(A)"/>
    <x v="1"/>
    <x v="12"/>
    <s v="DEF-03492"/>
    <s v="[s_5]이미지 Upload후 다시 조회 하면 이미지가 보이지 않음"/>
    <s v="김명준"/>
    <x v="1"/>
    <s v="결함"/>
    <s v="기능"/>
    <s v="최종확인    "/>
    <x v="1"/>
    <x v="1"/>
    <s v="프로시져 호출 오류"/>
    <x v="10"/>
  </r>
  <r>
    <s v="UT-CARF038S(A)"/>
    <x v="1"/>
    <x v="12"/>
    <s v="DEF-03522"/>
    <s v="[S_3] 수정시 오류 _x000a_[C_11] 입력항목 값 입력 시 한글필드가 입력 됨"/>
    <s v="김명준"/>
    <x v="1"/>
    <s v="결함"/>
    <s v="기능"/>
    <s v="최종확인    "/>
    <x v="1"/>
    <x v="1"/>
    <s v="스키마명 보완 또는 DB 권한 필요"/>
    <x v="9"/>
  </r>
  <r>
    <s v="UT-CARF039S(A)"/>
    <x v="1"/>
    <x v="12"/>
    <s v="DEF-03526"/>
    <s v="[[S_3]이름필드에 한글 25자 넘어가면 다음과 같은 에러가 남"/>
    <s v="김명준"/>
    <x v="1"/>
    <s v="결함"/>
    <s v="기능"/>
    <s v="최종확인    "/>
    <x v="1"/>
    <x v="1"/>
    <s v="기능 미동작 또는 오류"/>
    <x v="8"/>
  </r>
  <r>
    <s v="UT-SLOTRM002R"/>
    <x v="1"/>
    <x v="4"/>
    <s v="DEF-03577"/>
    <s v="[x_1] 초기화면 로딩후 모즌 버튼이 눌러도 작동하지 않음"/>
    <s v="김형진"/>
    <x v="1"/>
    <s v="결함"/>
    <s v="기능"/>
    <s v="최종확인    "/>
    <x v="1"/>
    <x v="1"/>
    <s v="개선/변경 또는 신규 요청"/>
    <x v="1"/>
  </r>
  <r>
    <s v="UT-SLOTRM003R"/>
    <x v="1"/>
    <x v="4"/>
    <s v="DEF-03580"/>
    <s v="[s_1] Season은 필수 항목인데 안넣어도 조회가 됨"/>
    <s v="김형진"/>
    <x v="1"/>
    <s v="결함"/>
    <s v="기능"/>
    <s v="최종확인    "/>
    <x v="1"/>
    <x v="1"/>
    <s v="기타 결함"/>
    <x v="7"/>
  </r>
  <r>
    <s v="UT-MESRS022S"/>
    <x v="1"/>
    <x v="2"/>
    <s v="DEF-03399"/>
    <s v="[S_7]Reason 수정후 저장이 안됨"/>
    <s v="임지훈"/>
    <x v="1"/>
    <s v="개선/변경"/>
    <s v="기능"/>
    <s v="최종확인    "/>
    <x v="0"/>
    <x v="1"/>
    <s v="기능 미동작 또는 오류"/>
    <x v="8"/>
  </r>
  <r>
    <s v="UT-MESMF013S"/>
    <x v="1"/>
    <x v="2"/>
    <s v="DEF-03503"/>
    <s v="[C_11]제목, 내용 입력란에 길이제한이 없음"/>
    <s v="임지훈"/>
    <x v="1"/>
    <s v="개선/변경"/>
    <s v="기능"/>
    <s v="최종확인    "/>
    <x v="1"/>
    <x v="1"/>
    <s v="기능 미동작 또는 오류"/>
    <x v="8"/>
  </r>
  <r>
    <s v="UT-MESMF031S"/>
    <x v="1"/>
    <x v="2"/>
    <s v="DEF-03536"/>
    <s v="[X_1]화면깨짐 (와이드 모니터)"/>
    <s v="임지훈"/>
    <x v="1"/>
    <s v="개선/변경"/>
    <s v="UI"/>
    <s v="최종확인    "/>
    <x v="1"/>
    <x v="1"/>
    <s v="기능 미동작 또는 오류"/>
    <x v="8"/>
  </r>
  <r>
    <s v="UT-MESMF041S"/>
    <x v="1"/>
    <x v="2"/>
    <s v="DEF-03508"/>
    <s v="[S_9]그룹 대상자 목록 수정 후 저장시 변경사항이 없다는 메세지창 뜸."/>
    <s v="임지훈"/>
    <x v="1"/>
    <s v="결함"/>
    <s v="기능"/>
    <s v="최종확인    "/>
    <x v="0"/>
    <x v="1"/>
    <s v="기능 미동작 또는 오류"/>
    <x v="8"/>
  </r>
  <r>
    <s v="UT-PM10107S"/>
    <x v="1"/>
    <x v="3"/>
    <s v="DEF-03488"/>
    <s v="[C_19] _x000a_행 수정 후 저장완료하였는데 왼쪽 수정 아이콘이 사라지지 않음"/>
    <s v="염희석"/>
    <x v="1"/>
    <s v="결함"/>
    <s v="표준"/>
    <s v="최종확인    "/>
    <x v="1"/>
    <x v="1"/>
    <s v="기타 결함"/>
    <x v="7"/>
  </r>
  <r>
    <s v="UT-PM10107S"/>
    <x v="1"/>
    <x v="3"/>
    <s v="DEF-03489"/>
    <s v="[S_6] _x000a_화면: 검색조건에 맞는 데이터가 하나도 나오지 않음_x000a_엑셀다운로드: 전체 데이터가 나오는 듯함_x000a__x000a_(검색조건 다르게 걸어도 화면과 동일하게 엑셀 다운되지 않음)"/>
    <s v="염희석"/>
    <x v="1"/>
    <s v="결함"/>
    <s v="기능"/>
    <s v="최종확인    "/>
    <x v="0"/>
    <x v="1"/>
    <s v="기타 결함"/>
    <x v="7"/>
  </r>
  <r>
    <s v="UT-CASY011S(A)"/>
    <x v="1"/>
    <x v="12"/>
    <s v="DEF-03760"/>
    <s v="[S_44] 그룹리스트 상위그룹명,상세그룹명  자리수 check _x000a_[s_63] excel Upload시 check 없이 그대로 저장됨 _x000a_[S_68] 발송요청일 값을 안넣어도 조회됨_x000a_[s_69] 응답일시 시간 체크 필요_x000a_[s_70] 요청일시(2차)는 수정이 안됨(display mode)_x000a_[s_74] 엑셀 추출권한이 없음"/>
    <s v="김명준"/>
    <x v="1"/>
    <s v="결함"/>
    <s v="기능"/>
    <s v="최종확인    "/>
    <x v="0"/>
    <x v="1"/>
    <s v="개선/변경 또는 신규 요청"/>
    <x v="1"/>
  </r>
  <r>
    <s v="UT-CASY011S(A)"/>
    <x v="1"/>
    <x v="12"/>
    <s v="DEF-03385"/>
    <s v="[X_001] 관리자 로그인 하면 SMS 통합관리 메뉴가 보이지 않음"/>
    <s v="김명준"/>
    <x v="1"/>
    <s v="개선/변경"/>
    <s v="기타"/>
    <s v="최종확인    "/>
    <x v="1"/>
    <x v="1"/>
    <s v="기능 미동작 또는 오류"/>
    <x v="8"/>
  </r>
  <r>
    <s v="UT-GO-SP133"/>
    <x v="1"/>
    <x v="8"/>
    <s v="DEF-03504"/>
    <s v="[S_2-1] SQL 실행 에러"/>
    <s v="신문호"/>
    <x v="0"/>
    <s v="결함"/>
    <s v="데이터"/>
    <s v="최종확인    "/>
    <x v="1"/>
    <x v="1"/>
    <s v="공통 체크리스트 구현 불충분"/>
    <x v="5"/>
  </r>
  <r>
    <s v="UT-FPMG059M"/>
    <x v="1"/>
    <x v="1"/>
    <s v="DEF-03605"/>
    <s v="[C_15] 날짜 포맷에 맞지 않는 형식이 저장됨"/>
    <s v="장경진"/>
    <x v="1"/>
    <s v="결함"/>
    <s v="데이터"/>
    <s v="최종확인    "/>
    <x v="2"/>
    <x v="1"/>
    <s v="개선/변경 또는 신규 요청"/>
    <x v="1"/>
  </r>
  <r>
    <s v="UT-CASY048S"/>
    <x v="1"/>
    <x v="9"/>
    <s v="DEF-03609"/>
    <s v="[S_2] Date값을 넣지 않으면 최대조회기간 8일 초과 할수 없으나 전체가 조회 됨"/>
    <s v="김명준"/>
    <x v="1"/>
    <s v="결함"/>
    <s v="기능"/>
    <s v="최종확인    "/>
    <x v="1"/>
    <x v="1"/>
    <s v="기능 미동작 또는 오류"/>
    <x v="8"/>
  </r>
  <r>
    <s v="UT-CM10103R"/>
    <x v="1"/>
    <x v="5"/>
    <s v="DEF-03766"/>
    <s v="[S_1]리포트 &quot;저장&quot; 시 리포트 포맷 확인, 조회 및 저장 시 표기 방식 확인 필요_x000a__x000a_1.리포트 &quot;저장&quot; 버튼 클릭으로 나타나는 각종 형식의 파일(PDF, EXCEL 등등)로 저장후 파일 확인을 해보면, ETC 부분이 하위 테이블에 겹쳐져 표기됩니다._x000a__x000a_2. 화면 조회 및 저장 시 _x000a_상단 우측 ETC 셀의 경우 값표기가 _x000a_0/0, 1/98 등의 형식이 아닌 0/, 1/ 로 모수가 표기되지 않습니다. _x000a_ "/>
    <s v="이지연"/>
    <x v="1"/>
    <s v="개선/변경"/>
    <s v="기능"/>
    <s v="최종확인    "/>
    <x v="1"/>
    <x v="1"/>
    <s v="개선/변경 또는 신규 요청"/>
    <x v="1"/>
  </r>
  <r>
    <s v="UT-CM10103R"/>
    <x v="1"/>
    <x v="5"/>
    <s v="DEF-03423"/>
    <s v="[S_1]조회 시 오류 발생_x000a_기준일자 2025-10-01, 2025-10-02로 조회 시 오류 발생(첨부참조)_x000a_그외 몇개 일자 조회시 정상 조회됨"/>
    <s v="이지연"/>
    <x v="1"/>
    <s v="결함"/>
    <s v="데이터"/>
    <s v="최종확인    "/>
    <x v="1"/>
    <x v="1"/>
    <s v="개선/변경 또는 신규 요청"/>
    <x v="1"/>
  </r>
  <r>
    <s v="UT-REPK003S"/>
    <x v="1"/>
    <x v="14"/>
    <s v="DEF-03677"/>
    <s v="[C_7] 실행결과 행 선택할 때, Stand 값이 0일 경우, '검색 결과가 없습니다' 대신 갯수가 0이라는 의미의 문구를 명시적으로 보여주는게 적절할 것 같음"/>
    <s v="문현희"/>
    <x v="1"/>
    <s v="개선/변경"/>
    <s v="UI"/>
    <s v="최종확인    "/>
    <x v="1"/>
    <x v="1"/>
    <s v="기능 미동작 또는 오류"/>
    <x v="8"/>
  </r>
  <r>
    <s v="UT-REPK003S"/>
    <x v="1"/>
    <x v="14"/>
    <s v="DEF-03676"/>
    <s v="[C_1] Search 버튼이 겹쳐서 가려짐"/>
    <s v="문현희"/>
    <x v="1"/>
    <s v="결함"/>
    <s v="UI"/>
    <s v="최종확인    "/>
    <x v="2"/>
    <x v="1"/>
    <s v="개선/변경 또는 신규 요청"/>
    <x v="1"/>
  </r>
  <r>
    <s v="UT-RCCR002L"/>
    <x v="1"/>
    <x v="11"/>
    <s v="DEF-03739"/>
    <s v="[C_4] 검색 결과가 없을 때도 조회 건수가 0건으로 표기하는 것이 명확할 듯 함"/>
    <s v="이미라"/>
    <x v="1"/>
    <s v="개선/변경"/>
    <s v="UI"/>
    <s v="최종확인    "/>
    <x v="1"/>
    <x v="1"/>
    <s v="구현 화면 비정상"/>
    <x v="6"/>
  </r>
  <r>
    <s v="UT-RCCR002L"/>
    <x v="1"/>
    <x v="11"/>
    <s v="DEF-03738"/>
    <s v="[C_9] 아이콘이 'Alarm' 메뉴 겹쳐져 있어, 깨진 현상이 발생. MicroSoft edge 에서 테스트"/>
    <s v="이미라"/>
    <x v="1"/>
    <s v="결함"/>
    <s v="UI"/>
    <s v="최종확인    "/>
    <x v="2"/>
    <x v="1"/>
    <s v="구현 화면 비정상"/>
    <x v="6"/>
  </r>
  <r>
    <s v="UT-FSEX080S"/>
    <x v="1"/>
    <x v="10"/>
    <s v="DEF-03454"/>
    <s v="[S_4] 행추가 저장시 오류 발생"/>
    <s v="임소정"/>
    <x v="1"/>
    <s v="결함"/>
    <s v="기능"/>
    <s v="최종확인    "/>
    <x v="1"/>
    <x v="1"/>
    <s v="개선/변경 또는 신규 요청"/>
    <x v="1"/>
  </r>
  <r>
    <s v="UT-FSEX080M"/>
    <x v="1"/>
    <x v="10"/>
    <s v="DEF-03452"/>
    <s v="[S_4] 저장시 저장 오류가 남"/>
    <s v="임소정"/>
    <x v="1"/>
    <s v="결함"/>
    <s v="기능"/>
    <s v="최종확인    "/>
    <x v="1"/>
    <x v="1"/>
    <s v="기능 미동작 또는 오류"/>
    <x v="8"/>
  </r>
  <r>
    <s v="UT-AS77104S"/>
    <x v="1"/>
    <x v="13"/>
    <s v="DEF-03665"/>
    <s v="작성 목적 미입력 후 저장 시 발생하는 ALERT 텍스트 오타"/>
    <s v="장은성"/>
    <x v="1"/>
    <s v="결함"/>
    <s v="기타"/>
    <s v="최종확인    "/>
    <x v="1"/>
    <x v="1"/>
    <s v="기능 미동작 또는 오류"/>
    <x v="8"/>
  </r>
  <r>
    <s v="UT-AC50010S"/>
    <x v="1"/>
    <x v="7"/>
    <s v="DEF-03595"/>
    <s v="[S_38] 제빙종료시간 입력 시 입력한 값이 반영되지 않음"/>
    <s v="조수일"/>
    <x v="1"/>
    <s v="결함"/>
    <s v="기능"/>
    <s v="최종확인    "/>
    <x v="1"/>
    <x v="1"/>
    <s v="테스트 결과서 증적 미흡 또는 부재"/>
    <x v="3"/>
  </r>
  <r>
    <s v="UT-CP-SP13"/>
    <x v="1"/>
    <x v="15"/>
    <s v="DEF-03686"/>
    <s v="[S_2] SQL 오류남"/>
    <s v="장경진"/>
    <x v="0"/>
    <s v="결함"/>
    <s v="기능"/>
    <s v="최종확인    "/>
    <x v="0"/>
    <x v="1"/>
    <s v="기능 미동작 또는 오류"/>
    <x v="8"/>
  </r>
  <r>
    <s v="UT-CARF003S(A)"/>
    <x v="1"/>
    <x v="12"/>
    <s v="DEF-03551"/>
    <s v="[S_4] Aircraft Crew Count 4자리 이상 입력 경우 오류 "/>
    <s v="김명준"/>
    <x v="1"/>
    <s v="결함"/>
    <s v="기능"/>
    <s v="최종확인    "/>
    <x v="1"/>
    <x v="1"/>
    <s v="테스트 결과 값 오류"/>
    <x v="0"/>
  </r>
  <r>
    <s v="UT-PM10201S"/>
    <x v="1"/>
    <x v="3"/>
    <s v="DEF-03717"/>
    <s v="[C_11]_x000a_&quot;메모&quot; 입력 자리수 제한 필요_x000a_(출국장운영시간설정관리 페이지 동일)"/>
    <s v="염희석"/>
    <x v="1"/>
    <s v="결함"/>
    <s v="표준"/>
    <s v="최종확인    "/>
    <x v="1"/>
    <x v="1"/>
    <s v="개선/변경 또는 신규 요청"/>
    <x v="1"/>
  </r>
  <r>
    <s v="UT-PM10201S"/>
    <x v="1"/>
    <x v="3"/>
    <s v="DEF-03721"/>
    <s v="[X_1] _x000a_오후 2시 -&gt;  14시로 표시되면 좋을것같습니다_x000a_(출국장 페이지 동일)"/>
    <s v="염희석"/>
    <x v="1"/>
    <s v="개선/변경"/>
    <s v="UI"/>
    <s v="최종확인    "/>
    <x v="1"/>
    <x v="1"/>
    <s v="테스트 결과서 증적 미흡 또는 부재"/>
    <x v="3"/>
  </r>
  <r>
    <s v="UT-PM10201S"/>
    <x v="1"/>
    <x v="3"/>
    <s v="DEF-03719"/>
    <s v="[S_2]_x000a_운영여부 변경후 완료버튼 누르면 서버오류 알림이 뜸 "/>
    <s v="염희석"/>
    <x v="1"/>
    <s v="결함"/>
    <s v="기능"/>
    <s v="최종확인    "/>
    <x v="0"/>
    <x v="1"/>
    <s v="개선/변경 또는 신규 요청"/>
    <x v="1"/>
  </r>
  <r>
    <s v="UT-CASY051S(A)"/>
    <x v="1"/>
    <x v="12"/>
    <s v="DEF-03407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김명준"/>
    <x v="1"/>
    <s v="결함"/>
    <s v="기능"/>
    <s v="최종확인    "/>
    <x v="1"/>
    <x v="1"/>
    <s v="개선/변경 또는 신규 요청"/>
    <x v="1"/>
  </r>
  <r>
    <s v="UT-RS-SP73"/>
    <x v="1"/>
    <x v="6"/>
    <s v="DEF-03666"/>
    <s v="[S_1]_x000a_1번 ESB 샘플데이터 INSERT후, ESB수신 테이블 조회시_x000a_테스트 결과서는 2건인데, 총 12건이 조회됨_x000a__x000a_이후 무시하고 진행해도 결국 프로시저 _x000a_(CALL SP_RS_WESGAPADREQ_RCV()) 실행시 다음 에러가 남_x000a__x000a_SQL Error [30926] [99999]: ORA-30926: 원본 테이블의 고정 행 집합을 가져올 수 없습니다_x000a_ORA-06512: &quot;RSOWN.SP_RS_WESGAPADREQ_RCV&quot;,  155행_x000a_ORA-06512: &quot;RSOWN.SP_RS_WESGAPADREQ_RCV&quot;,  45행_x000a__x000a_https://docs.oracle.com/error-help/db/ora-30926/_x000a_"/>
    <s v="유경섭"/>
    <x v="0"/>
    <s v="결함"/>
    <s v="데이터"/>
    <s v="최종확인    "/>
    <x v="0"/>
    <x v="1"/>
    <s v="테스트 결과서 증적 미흡 또는 부재"/>
    <x v="3"/>
  </r>
  <r>
    <s v="UT-RS-SP53"/>
    <x v="1"/>
    <x v="6"/>
    <s v="DEF-03729"/>
    <s v="[S_1] _x000a_체크인카운터 신규데이터를 인서트시 무결성제약조건 에러가 발생"/>
    <s v="유경섭"/>
    <x v="0"/>
    <s v="결함"/>
    <s v="기능"/>
    <s v="최종확인    "/>
    <x v="0"/>
    <x v="1"/>
    <s v="기타 결함"/>
    <x v="7"/>
  </r>
  <r>
    <s v="UT-RS-SP66"/>
    <x v="1"/>
    <x v="6"/>
    <s v="DEF-03736"/>
    <s v="[S_2] _x000a_프로시저 실행 후 데이터 반영 (SELECT ) 확인시 0건 조회됨_x000a__x000a_SP_RS_WESCKNCTSSNPRESCH_RCV_x000a_(체크인카운터 가스케쥴입력 데이터 수신)_x000a_프로시저 테스트시에도 동일하게 0건 조회됨"/>
    <s v="유경섭"/>
    <x v="0"/>
    <s v="결함"/>
    <s v="기능"/>
    <s v="최종확인    "/>
    <x v="0"/>
    <x v="1"/>
    <s v="기능 미동작 또는 오류"/>
    <x v="8"/>
  </r>
  <r>
    <s v="UT-RS-SP68"/>
    <x v="1"/>
    <x v="6"/>
    <s v="DEF-03747"/>
    <s v="[S_2]_x000a_샘플데이터 생성 후 프로시저 실행시 다음 무결성제약에러가 발생 "/>
    <s v="유경섭"/>
    <x v="0"/>
    <s v="결함"/>
    <s v="기능"/>
    <s v="최종확인    "/>
    <x v="0"/>
    <x v="1"/>
    <s v="개선/변경 또는 신규 요청"/>
    <x v="1"/>
  </r>
  <r>
    <s v="UT-RS-SP69"/>
    <x v="1"/>
    <x v="6"/>
    <s v="DEF-03768"/>
    <s v="[S_2]_x000a_프로시저 실행시 무결성 에러 남 "/>
    <s v="유경섭"/>
    <x v="0"/>
    <s v="결함"/>
    <s v="기능"/>
    <s v="최종확인    "/>
    <x v="0"/>
    <x v="1"/>
    <s v="개선/변경 또는 신규 요청"/>
    <x v="1"/>
  </r>
  <r>
    <s v="UT-RS-SP70"/>
    <x v="1"/>
    <x v="6"/>
    <s v="DEF-03750"/>
    <s v="[S_2]_x000a_샘플데이터 생성후 프로시저 실행시 다음 에러가 남_x000a_"/>
    <s v="유경섭"/>
    <x v="0"/>
    <s v="결함"/>
    <s v="기능"/>
    <s v="최종확인    "/>
    <x v="0"/>
    <x v="1"/>
    <s v="개선/변경 또는 신규 요청"/>
    <x v="1"/>
  </r>
  <r>
    <s v="UT-RS-SP71"/>
    <x v="1"/>
    <x v="6"/>
    <s v="DEF-03671"/>
    <s v="[S_2] _x000a_테스트 결과서의 기대결과값과 다르게 나옴_x000a_45-&gt; 90"/>
    <s v="유경섭"/>
    <x v="0"/>
    <s v="결함"/>
    <s v="데이터"/>
    <s v="최종확인    "/>
    <x v="0"/>
    <x v="1"/>
    <s v="기능 미동작 또는 오류"/>
    <x v="8"/>
  </r>
  <r>
    <s v="UT-PM20156S"/>
    <x v="1"/>
    <x v="3"/>
    <s v="DEF-03381"/>
    <s v="[X_1] _x000a_1920*1080, 크롬 100% 배율_x000a_최초 조회시 그래프 이미지 사이즈가 맞지 않음 (스크롤바도 안보임)_x000a_한번 배율 조정후에야 스크롤바 보임_x000a__x000a_(동일건들은 기각하셔도 됩니다!)"/>
    <s v="염희석"/>
    <x v="1"/>
    <s v="결함"/>
    <s v="UI"/>
    <s v="최종확인    "/>
    <x v="0"/>
    <x v="1"/>
    <s v="공통 체크리스트 구현 불충분"/>
    <x v="5"/>
  </r>
  <r>
    <s v="UT-PM20156S"/>
    <x v="1"/>
    <x v="3"/>
    <s v="DEF-03412"/>
    <s v="[X_2] _x000a_테이블 초기 선택 row가 마지막 행으로 되어있음"/>
    <s v="염희석"/>
    <x v="1"/>
    <s v="결함"/>
    <s v="UI"/>
    <s v="최종확인    "/>
    <x v="1"/>
    <x v="1"/>
    <s v="개선/변경 또는 신규 요청"/>
    <x v="1"/>
  </r>
  <r>
    <s v="UT-PM20156S"/>
    <x v="1"/>
    <x v="3"/>
    <s v="DEF-03388"/>
    <s v="[C_5] _x000a_시뮬레이션 결과값이 정상적으로 저장되었는지의 메시지 표출이 없음"/>
    <s v="염희석"/>
    <x v="1"/>
    <s v="결함"/>
    <s v="표준"/>
    <s v="최종확인    "/>
    <x v="1"/>
    <x v="1"/>
    <s v="기능 미동작 또는 오류"/>
    <x v="8"/>
  </r>
  <r>
    <s v="UT-PM20156S"/>
    <x v="1"/>
    <x v="3"/>
    <s v="DEF-03383"/>
    <s v="[S_2] _x000a_서편 선택시에도 테이블에 동편 데이터로 나옴"/>
    <s v="염희석"/>
    <x v="1"/>
    <s v="결함"/>
    <s v="기능"/>
    <s v="최종확인    "/>
    <x v="0"/>
    <x v="1"/>
    <s v="기타 결함"/>
    <x v="7"/>
  </r>
  <r>
    <s v="UT-PM20158S"/>
    <x v="1"/>
    <x v="3"/>
    <s v="DEF-03434"/>
    <s v="[S_5] _x000a_최초 조회시 (2026-01-19 기준) 그래프 값 정상 확인_x000a_2번째 조회시 (2026-01-01 기준) 값이 이전 값 그대로 유지됨, 업데이트가 되지 않음 "/>
    <s v="염희석"/>
    <x v="1"/>
    <s v="결함"/>
    <s v="기능"/>
    <s v="최종확인    "/>
    <x v="0"/>
    <x v="1"/>
    <s v="기타 결함"/>
    <x v="7"/>
  </r>
  <r>
    <s v="UT-PM20158S"/>
    <x v="1"/>
    <x v="3"/>
    <s v="DEF-03436"/>
    <s v="[C_5] _x000a_시뮬레이션 결과값이 정상적으로 저장되었는지의 메시지 표출이 없음"/>
    <s v="염희석"/>
    <x v="1"/>
    <s v="결함"/>
    <s v="표준"/>
    <s v="최종확인    "/>
    <x v="1"/>
    <x v="1"/>
    <s v="개선/변경 또는 신규 요청"/>
    <x v="1"/>
  </r>
  <r>
    <s v="UT-PM20160S"/>
    <x v="1"/>
    <x v="3"/>
    <s v="DEF-03446"/>
    <s v="[S_5]_x000a_선택한 라디오와 전체 값을 비교했을때_x000a_헤더도 다르고, 숫자값도 다름"/>
    <s v="염희석"/>
    <x v="1"/>
    <s v="결함"/>
    <s v="기능"/>
    <s v="최종확인    "/>
    <x v="0"/>
    <x v="1"/>
    <s v="스키마명 보완 또는 DB 권한 필요"/>
    <x v="9"/>
  </r>
  <r>
    <s v="UT-ES-SP166"/>
    <x v="1"/>
    <x v="0"/>
    <s v="DEF-03629"/>
    <s v="[S_1] sql 오류발생"/>
    <s v="임지훈"/>
    <x v="0"/>
    <s v="결함"/>
    <s v="기능"/>
    <s v="최종확인    "/>
    <x v="0"/>
    <x v="1"/>
    <s v="구현 화면 비정상"/>
    <x v="6"/>
  </r>
  <r>
    <s v="UT-ES-SP167"/>
    <x v="1"/>
    <x v="0"/>
    <s v="DEF-03630"/>
    <s v="[S_1] sql 오류발생"/>
    <s v="임지훈"/>
    <x v="0"/>
    <s v="결함"/>
    <s v="기능"/>
    <s v="최종확인    "/>
    <x v="0"/>
    <x v="1"/>
    <s v="기능 미동작 또는 오류"/>
    <x v="8"/>
  </r>
  <r>
    <s v="UT-FPFA091S"/>
    <x v="1"/>
    <x v="1"/>
    <s v="DEF-03398"/>
    <s v="[C_18] FOIS에 없는 운항편 삭제 후에 삭제된 행이 그대로 남아있음. 기능/데이터상으론 문제없이 삭제된 것으로 보임. 다른 화면처럼 즉각적으로 화면이 업데이트가 되었으면 함"/>
    <s v="장경진"/>
    <x v="1"/>
    <s v="개선/변경"/>
    <s v="UI"/>
    <s v="최종확인    "/>
    <x v="1"/>
    <x v="1"/>
    <s v="기타 결함"/>
    <x v="7"/>
  </r>
  <r>
    <s v="UT-CARF009S(A)"/>
    <x v="1"/>
    <x v="12"/>
    <s v="DEF-03450"/>
    <s v="[C_5]오류에대한 메세지가 정확하지 않"/>
    <s v="김명준"/>
    <x v="1"/>
    <s v="결함"/>
    <s v="기능"/>
    <s v="최종확인    "/>
    <x v="1"/>
    <x v="1"/>
    <s v="개선/변경 또는 신규 요청"/>
    <x v="1"/>
  </r>
  <r>
    <s v="UT-CARF024S(A)"/>
    <x v="1"/>
    <x v="12"/>
    <s v="DEF-03466"/>
    <s v="[C_3] 화면의 첫 째 필드에 커셔가 Set focus되어 있지 않음"/>
    <s v="김명준"/>
    <x v="1"/>
    <s v="결함"/>
    <s v="기능"/>
    <s v="최종확인    "/>
    <x v="1"/>
    <x v="1"/>
    <s v="기능 미동작 또는 오류"/>
    <x v="8"/>
  </r>
  <r>
    <s v="UT-AS72102S"/>
    <x v="1"/>
    <x v="13"/>
    <s v="DEF-03673"/>
    <s v="[S_03] 첨부파일 다운로드 실패"/>
    <s v="장은성"/>
    <x v="1"/>
    <s v="결함"/>
    <s v="기능"/>
    <s v="확인요청"/>
    <x v="1"/>
    <x v="2"/>
    <s v="공통 체크리스트 구현 불충분"/>
    <x v="5"/>
  </r>
  <r>
    <s v="UT-PM20157S"/>
    <x v="1"/>
    <x v="3"/>
    <s v="DEF-03397"/>
    <s v="[C_5] _x000a_시뮬레이션 결과값이 정상적으로 저장되었는지의 메시지 표출이 없음"/>
    <s v="염희석"/>
    <x v="1"/>
    <s v="결함"/>
    <s v="표준"/>
    <s v="확인요청"/>
    <x v="0"/>
    <x v="2"/>
    <s v="스키마명 보완 또는 DB 권한 필요"/>
    <x v="9"/>
  </r>
  <r>
    <s v="UT-AS13101S"/>
    <x v="1"/>
    <x v="13"/>
    <s v="DEF-03734"/>
    <s v="[주제별 통계], [리포트 관리], [Notice], [New Report], [개선의견] 클릭 이동 후 뒤로가기 불가"/>
    <s v="장은성"/>
    <x v="1"/>
    <s v="개선/변경"/>
    <s v="기능"/>
    <s v="확인요청"/>
    <x v="1"/>
    <x v="2"/>
    <s v="기타 결함"/>
    <x v="7"/>
  </r>
  <r>
    <s v="UT-AS11101S"/>
    <x v="1"/>
    <x v="13"/>
    <s v="DEF-03699"/>
    <s v="[S_02]비로그인 상태에서 상단 메뉴 DW 클릭 시, Alert 발생 후 DW 페이지로 이동"/>
    <s v="장은성"/>
    <x v="1"/>
    <s v="결함"/>
    <s v="기능"/>
    <s v="확인요청"/>
    <x v="1"/>
    <x v="2"/>
    <s v="기능 미동작 또는 오류"/>
    <x v="8"/>
  </r>
  <r>
    <s v="UT-AS78101S"/>
    <x v="1"/>
    <x v="13"/>
    <s v="DEF-03667"/>
    <s v="&quot;리포트명&quot; 입력 후 검색 시 서버 오류 ALERT"/>
    <s v="장은성"/>
    <x v="1"/>
    <s v="결함"/>
    <s v="기능"/>
    <s v="확인요청"/>
    <x v="1"/>
    <x v="2"/>
    <s v="프로시져 호출 오류"/>
    <x v="10"/>
  </r>
  <r>
    <s v="UT-FPMG052M"/>
    <x v="1"/>
    <x v="1"/>
    <s v="DEF-03527"/>
    <s v="[S_3] STY가 NEW이지만, 5) via 입력 불가능"/>
    <s v="장경진"/>
    <x v="1"/>
    <s v="개선/변경"/>
    <s v="기능"/>
    <s v="확인요청"/>
    <x v="2"/>
    <x v="2"/>
    <s v="프로시져 호출 오류"/>
    <x v="10"/>
  </r>
  <r>
    <s v="UT-FPMG052M"/>
    <x v="1"/>
    <x v="1"/>
    <s v="DEF-03524"/>
    <s v="[S_2] 4) TYS 수정 시, REG 빈값으로 바뀌는지 확인 불가"/>
    <s v="장경진"/>
    <x v="1"/>
    <s v="개선/변경"/>
    <s v="기능"/>
    <s v="확인요청"/>
    <x v="1"/>
    <x v="2"/>
    <s v="프로시져 호출 오류"/>
    <x v="10"/>
  </r>
  <r>
    <s v="UT-CARF002S"/>
    <x v="1"/>
    <x v="9"/>
    <s v="DEF-03601"/>
    <s v="[C_11] Aircraft Type Description 입력란이 500byte 까지 인데 500byte 이상 입력이 가능함. 단, 500byte 이상 입력 후 저장 시 오류메세지 뜸"/>
    <s v="김명준"/>
    <x v="1"/>
    <s v="결함"/>
    <s v="UI"/>
    <s v="확인요청"/>
    <x v="1"/>
    <x v="2"/>
    <s v="프로시져 호출 오류"/>
    <x v="10"/>
  </r>
  <r>
    <s v="UT-RCCR008L"/>
    <x v="1"/>
    <x v="11"/>
    <s v="DEF-03751"/>
    <s v="[S_11] Print 클릭시 출력화면이 나오지 않음"/>
    <s v="이미라"/>
    <x v="1"/>
    <s v="결함"/>
    <s v="기능"/>
    <s v="재조치요청"/>
    <x v="1"/>
    <x v="2"/>
    <s v="테스트 결과서 증적 미흡 또는 부재"/>
    <x v="3"/>
  </r>
  <r>
    <s v="UT-RCCR009M"/>
    <x v="1"/>
    <x v="11"/>
    <s v="DEF-03752"/>
    <s v="[S_2] Terminal 선택후 조회하면 모든 터미날 조회됨"/>
    <s v="이미라"/>
    <x v="1"/>
    <s v="결함"/>
    <s v="기능"/>
    <s v="확인요청"/>
    <x v="1"/>
    <x v="2"/>
    <s v="프로시져 호출 오류"/>
    <x v="10"/>
  </r>
  <r>
    <s v="UT-CA-SP31(A)"/>
    <x v="1"/>
    <x v="12"/>
    <s v="DEF-03771"/>
    <s v="[S_1]SQL Error [23000]: JDBC-10007:UNIQUE constraint violation ('CAOWN'.'PK_TN_CA_USER_SESS')._x000a_[S_2] SQL Error [ERRPS]: JDBC-15146:PSM compilation error."/>
    <s v="김명준"/>
    <x v="0"/>
    <s v="결함"/>
    <s v="기능"/>
    <s v="확인요청"/>
    <x v="1"/>
    <x v="2"/>
    <s v="개선/변경 또는 신규 요청"/>
    <x v="1"/>
  </r>
  <r>
    <s v="UT-SLOT00003B"/>
    <x v="1"/>
    <x v="4"/>
    <s v="DEF-03963"/>
    <s v="1. 시스템 컬럼 등록자, 등록자IP, 등록일시 및 수정자 컬럼은_x000a_배치 실행시 배치 작업의 기준으로 등록 되어야함._x000a__x000a_2. 배치 실행 여부 확인 요청 드립니다._x000a_2026년 생성 데이터 없음._x000a_"/>
    <s v="김형진"/>
    <x v="3"/>
    <s v="결함"/>
    <s v="기능"/>
    <s v="확인요청"/>
    <x v="1"/>
    <x v="2"/>
    <s v="프로시져 호출 오류"/>
    <x v="10"/>
  </r>
  <r>
    <s v="UT-AS78102M"/>
    <x v="1"/>
    <x v="13"/>
    <s v="DEF-03668"/>
    <s v="실제 값과 다른 그래프"/>
    <s v="장은성"/>
    <x v="1"/>
    <s v="결함"/>
    <s v="기능"/>
    <s v="확인요청"/>
    <x v="1"/>
    <x v="2"/>
    <s v="테스트 데이터 불충분"/>
    <x v="4"/>
  </r>
  <r>
    <s v="UT-AS33201S"/>
    <x v="1"/>
    <x v="13"/>
    <s v="DEF-03706"/>
    <s v="관계형 그래프로 보기 클릭 시 페이지 로드 에러"/>
    <s v="장은성"/>
    <x v="1"/>
    <s v="결함"/>
    <s v="기능"/>
    <s v="확인요청"/>
    <x v="1"/>
    <x v="2"/>
    <s v="테스트 데이터 불충분"/>
    <x v="4"/>
  </r>
  <r>
    <s v="UT-AS31801S"/>
    <x v="1"/>
    <x v="13"/>
    <s v="DEF-03757"/>
    <s v="검색 UI 미구현"/>
    <s v="장은성"/>
    <x v="1"/>
    <s v="결함"/>
    <s v="UI"/>
    <s v="확인요청"/>
    <x v="1"/>
    <x v="2"/>
    <s v="개선/변경 또는 신규 요청"/>
    <x v="1"/>
  </r>
  <r>
    <s v="UT-AS31901S"/>
    <x v="1"/>
    <x v="13"/>
    <s v="DEF-03759"/>
    <s v="검색 조건 UI 없음"/>
    <s v="장은성"/>
    <x v="1"/>
    <s v="결함"/>
    <s v="UI"/>
    <s v="확인요청"/>
    <x v="1"/>
    <x v="2"/>
    <s v="프로시져 호출 오류"/>
    <x v="10"/>
  </r>
  <r>
    <s v="UT-AS33302S"/>
    <x v="1"/>
    <x v="13"/>
    <s v="DEF-03749"/>
    <s v="검색일자 임의 설정 후 검색 시 항상 데이터 없음 출력_x000a_Default(1일 전 ~ 현재일자)일자로 검색 시 데이터 정상 출력"/>
    <s v="장은성"/>
    <x v="1"/>
    <s v="결함"/>
    <s v="기능"/>
    <s v="확인요청"/>
    <x v="1"/>
    <x v="2"/>
    <s v="프로시져 호출 오류"/>
    <x v="10"/>
  </r>
  <r>
    <s v="UT-AS37401S"/>
    <x v="1"/>
    <x v="13"/>
    <s v="DEF-03753"/>
    <s v="검색 UI 미구현"/>
    <s v="장은성"/>
    <x v="1"/>
    <s v="결함"/>
    <s v="UI"/>
    <s v="확인요청"/>
    <x v="1"/>
    <x v="2"/>
    <s v="개선/변경 또는 신규 요청"/>
    <x v="1"/>
  </r>
  <r>
    <s v="UT-AS37501S"/>
    <x v="1"/>
    <x v="13"/>
    <s v="DEF-03754"/>
    <s v="검색 UI 미구현"/>
    <s v="장은성"/>
    <x v="1"/>
    <s v="결함"/>
    <s v="UI"/>
    <s v="확인요청"/>
    <x v="1"/>
    <x v="2"/>
    <s v="개선/변경 또는 신규 요청"/>
    <x v="1"/>
  </r>
  <r>
    <s v="UT-AS37701S"/>
    <x v="1"/>
    <x v="13"/>
    <s v="DEF-03755"/>
    <s v="검색 UI 미구현"/>
    <s v="장은성"/>
    <x v="1"/>
    <s v="결함"/>
    <s v="UI"/>
    <s v="확인요청"/>
    <x v="1"/>
    <x v="2"/>
    <s v="구현 화면 비정상"/>
    <x v="6"/>
  </r>
  <r>
    <s v="UT-PM10106S"/>
    <x v="1"/>
    <x v="3"/>
    <s v="DEF-03485"/>
    <s v="[C_13] _x000a_종료일이 시작일보다 과거여도 아무 알림이 뜨지 않고 검색도 되지 않음"/>
    <s v="염희석"/>
    <x v="1"/>
    <s v="결함"/>
    <s v="표준"/>
    <s v="확인요청"/>
    <x v="1"/>
    <x v="3"/>
    <s v="기타 결함"/>
    <x v="7"/>
  </r>
  <r>
    <s v="UT-PM10105S"/>
    <x v="1"/>
    <x v="3"/>
    <s v="DEF-03486"/>
    <s v="[C_13] _x000a_종료일이 시작일보다 과거여도 아무 알림이 뜨지 않고 검색도 되지 않음"/>
    <s v="염희석"/>
    <x v="1"/>
    <s v="결함"/>
    <s v="표준"/>
    <s v="확인요청"/>
    <x v="1"/>
    <x v="3"/>
    <s v="기능 미동작 또는 오류"/>
    <x v="8"/>
  </r>
  <r>
    <s v="UT-AS40201S"/>
    <x v="2"/>
    <x v="13"/>
    <s v="DEF-04628"/>
    <s v="[S_2] 중복되는 순위가 있어 확인 부탁드립니다."/>
    <s v="장은성"/>
    <x v="1"/>
    <s v="결함"/>
    <s v="UI"/>
    <s v="결함검토요청"/>
    <x v="1"/>
    <x v="4"/>
    <s v="기능이 부절적하게 동작"/>
    <x v="8"/>
  </r>
  <r>
    <s v="UT-SLOTOF005S"/>
    <x v="2"/>
    <x v="4"/>
    <s v="DEF-04456"/>
    <s v="데이터 업로드 안됨"/>
    <s v="김형진"/>
    <x v="1"/>
    <s v="개선/변경"/>
    <s v="기능"/>
    <s v="결함검토요청"/>
    <x v="1"/>
    <x v="4"/>
    <s v="기능 미동작 또는 오류"/>
    <x v="8"/>
  </r>
  <r>
    <s v="UT-AS42101S"/>
    <x v="2"/>
    <x v="13"/>
    <s v="DEF-04648"/>
    <s v="[X_1] Remark = KE + OZ + OAL + G/A + TOTAL로 계산되고 있는데 TOTAL과 Remark가 바뀐 것은 아닌지 확인 부탁드립니다."/>
    <s v="장은성"/>
    <x v="1"/>
    <s v="개선/변경"/>
    <s v="기능"/>
    <s v="결함검토요청"/>
    <x v="1"/>
    <x v="4"/>
    <s v="기능이 부절적하게 동작"/>
    <x v="8"/>
  </r>
  <r>
    <s v="UT-GO12707S"/>
    <x v="2"/>
    <x v="8"/>
    <s v="DEF-04475"/>
    <s v="네트워크 오류 반복"/>
    <s v="신문호"/>
    <x v="1"/>
    <s v="결함"/>
    <s v="성능"/>
    <s v="결함검토요청"/>
    <x v="1"/>
    <x v="4"/>
    <s v="기타 결함"/>
    <x v="7"/>
  </r>
  <r>
    <s v="UT-GO12707S"/>
    <x v="2"/>
    <x v="8"/>
    <s v="DEF-04506"/>
    <s v="테스트 시나리오의 문서상의 메뉴와 화면이 일치하지 않음"/>
    <s v="신문호"/>
    <x v="1"/>
    <s v="결함"/>
    <s v="기타"/>
    <s v="결함검토요청"/>
    <x v="1"/>
    <x v="4"/>
    <s v="테스트 결과서 증적 미흡 또는 부재"/>
    <x v="3"/>
  </r>
  <r>
    <s v="UT-GO12707R"/>
    <x v="2"/>
    <x v="8"/>
    <s v="DEF-04504"/>
    <s v="단위테스트 결과서 확인 필요 (시나리오ID : GO12505 중복으로 보임) "/>
    <s v="신문호"/>
    <x v="2"/>
    <s v="결함"/>
    <s v="기타"/>
    <s v="결함검토요청"/>
    <x v="1"/>
    <x v="4"/>
    <s v="테스트 결과서 증적 미흡 또는 부재"/>
    <x v="3"/>
  </r>
  <r>
    <s v="UT-AS38101S"/>
    <x v="2"/>
    <x v="13"/>
    <s v="DEF-04600"/>
    <s v="[X_1] 페이지 초기 접근 시 운항실적 탭이 default로 선택되어있어 운항실적이 조회될 것으로 기대되나 그리드 영역에 '데이터가 없습니다.'라고 표출되어 데이터가 없는 것으로 오인될 여지가 있습니다._x000a_탭 변경(여객실적 또는 화물실적) 후 운항실적으로 다시 탭 변경 시 정상적으로 데이터가 표출되어 확인 부탁드립니다."/>
    <s v="장은성"/>
    <x v="1"/>
    <s v="결함"/>
    <s v="프로세스"/>
    <s v="결함검토요청"/>
    <x v="0"/>
    <x v="4"/>
    <s v="공통 체크리스트 구현 불충분"/>
    <x v="5"/>
  </r>
  <r>
    <s v="UT-AS38101S"/>
    <x v="2"/>
    <x v="13"/>
    <s v="DEF-04598"/>
    <s v="[차트설정 공통] [S_13] Y축 최솟값/최댓값, 값표시 체크박스 설정 등 차트설정이 적용되지 않아 확인 부탁드립니다. "/>
    <s v="장은성"/>
    <x v="1"/>
    <s v="결함"/>
    <s v="기능"/>
    <s v="결함검토요청"/>
    <x v="0"/>
    <x v="4"/>
    <s v="공통 체크리스트 구현 불충분"/>
    <x v="5"/>
  </r>
  <r>
    <s v="UT-AS38101S"/>
    <x v="2"/>
    <x v="13"/>
    <s v="DEF-04617"/>
    <s v="[그리드 공통] [S_8] [S_9] 고정된 열의 데이터 영역 z-index가 필터 영역 z-index보다 높아서 필터 영역이 데이터 영역 뒤로 숨겨집니다. 따라서 필터 설정 이후 해당 열 고정은 가능하지만, 열 고정 이후 해당 열 필터 설정은 불가능하여 확인 부탁드립니다."/>
    <s v="장은성"/>
    <x v="1"/>
    <s v="결함"/>
    <s v="UI"/>
    <s v="결함검토요청"/>
    <x v="1"/>
    <x v="4"/>
    <s v="공통 체크리스트 구현 불충분"/>
    <x v="5"/>
  </r>
  <r>
    <s v="UT-AS38101S"/>
    <x v="2"/>
    <x v="13"/>
    <s v="DEF-04634"/>
    <s v="[X_2] 그리드 행 ↔ 열 전환 시 ,가 사라집니다(숫자 출력 포맷이 다릅니다)."/>
    <s v="장은성"/>
    <x v="1"/>
    <s v="결함"/>
    <s v="UI"/>
    <s v="결함검토요청"/>
    <x v="1"/>
    <x v="4"/>
    <s v="공통 체크리스트 구현 불충분"/>
    <x v="5"/>
  </r>
  <r>
    <s v="UT-AS38101S"/>
    <x v="2"/>
    <x v="13"/>
    <s v="DEF-04635"/>
    <s v="[C_XX] 메뉴 네비게이션 표기 오류_x000a_바른표기 : _x000a_HOME &gt; 주제별 통계 &gt; 첨두 &gt; 첨두일 실적"/>
    <s v="장은성"/>
    <x v="1"/>
    <s v="개선/변경"/>
    <s v="데이터"/>
    <s v="결함검토요청"/>
    <x v="1"/>
    <x v="4"/>
    <s v="공통 체크리스트 구현 불충분"/>
    <x v="5"/>
  </r>
  <r>
    <s v="UT-AS38102S"/>
    <x v="2"/>
    <x v="13"/>
    <s v="DEF-04601"/>
    <s v="[C_1] (차트 툴팁 오타) '여객객실적' → '여객실적'"/>
    <s v="장은성"/>
    <x v="1"/>
    <s v="결함"/>
    <s v="UI"/>
    <s v="결함검토요청"/>
    <x v="1"/>
    <x v="4"/>
    <s v="공통 체크리스트 구현 불충분"/>
    <x v="5"/>
  </r>
  <r>
    <s v="UT-AS39101S"/>
    <x v="2"/>
    <x v="13"/>
    <s v="DEF-04620"/>
    <s v="[C_1] (차트 버튼 툴팁 오타) 첨두'일'실적 → 첨두'주'실적"/>
    <s v="장은성"/>
    <x v="1"/>
    <s v="결함"/>
    <s v="UI"/>
    <s v="결함검토요청"/>
    <x v="1"/>
    <x v="4"/>
    <s v="공통 체크리스트 구현 불충분"/>
    <x v="5"/>
  </r>
  <r>
    <s v="UT-AS40301S"/>
    <x v="2"/>
    <x v="13"/>
    <s v="DEF-04630"/>
    <s v="[일부 그리드 공통] [S_2] 중복되는 순위가 있어 확인 부탁드립니다."/>
    <s v="장은성"/>
    <x v="1"/>
    <s v="결함"/>
    <s v="UI"/>
    <s v="결함검토요청"/>
    <x v="1"/>
    <x v="4"/>
    <s v="공통 체크리스트 구현 불충분"/>
    <x v="5"/>
  </r>
  <r>
    <s v="UT-AS40805S"/>
    <x v="2"/>
    <x v="13"/>
    <s v="DEF-04638"/>
    <s v="[국가별 취항도시 공통(AS40805S, AS40806S, AS40807S)] [S_2] 데이터가 존재하지 않아 확인이 불가능합니다."/>
    <s v="장은성"/>
    <x v="1"/>
    <s v="결함"/>
    <s v="데이터"/>
    <s v="결함검토요청"/>
    <x v="1"/>
    <x v="4"/>
    <s v="테스트 데이터 불충분"/>
    <x v="4"/>
  </r>
  <r>
    <s v="UT-AS41501S"/>
    <x v="2"/>
    <x v="13"/>
    <s v="DEF-04660"/>
    <s v="[S_1] 증적 누락"/>
    <s v="장은성"/>
    <x v="1"/>
    <s v="결함"/>
    <s v="문서화"/>
    <s v="결함검토요청"/>
    <x v="1"/>
    <x v="4"/>
    <s v="테스트 결과서 증적 미흡 또는 부재"/>
    <x v="3"/>
  </r>
  <r>
    <s v="UT-AS42201S"/>
    <x v="2"/>
    <x v="13"/>
    <s v="DEF-04649"/>
    <s v="[S_7 관련] 행 ↔ 열 전환 시마다 그리드설정 섹션에 KE 항목이 하나씩 생깁니다."/>
    <s v="장은성"/>
    <x v="1"/>
    <s v="결함"/>
    <s v="UI"/>
    <s v="결함검토요청"/>
    <x v="1"/>
    <x v="4"/>
    <s v="기능 미동작 또는 오류"/>
    <x v="8"/>
  </r>
  <r>
    <s v="UT-AS42601S"/>
    <x v="2"/>
    <x v="13"/>
    <s v="DEF-04655"/>
    <s v="[S_2] 기준일자를 제외한 다른 항목으로 검색이 불가능합니다."/>
    <s v="장은성"/>
    <x v="1"/>
    <s v="결함"/>
    <s v="기능"/>
    <s v="결함검토요청"/>
    <x v="2"/>
    <x v="4"/>
    <s v="테스트 데이터 불충분"/>
    <x v="4"/>
  </r>
  <r>
    <s v="UT-AS42701S"/>
    <x v="2"/>
    <x v="13"/>
    <s v="DEF-04661"/>
    <s v="[X_1] 데이터가 존재하지 않아 확인이 어렵습니다."/>
    <s v="장은성"/>
    <x v="1"/>
    <s v="개선/변경"/>
    <s v="데이터"/>
    <s v="결함검토요청"/>
    <x v="1"/>
    <x v="4"/>
    <s v="테스트 데이터 불충분"/>
    <x v="4"/>
  </r>
  <r>
    <s v="UT-RS-SP81"/>
    <x v="2"/>
    <x v="6"/>
    <s v="DEF-04445"/>
    <s v="[S_1-1] '수치가 부적합합니다' 라는 에러가 발생합니다."/>
    <s v="유경섭"/>
    <x v="0"/>
    <s v="결함"/>
    <s v="데이터"/>
    <s v="결함검토요청"/>
    <x v="1"/>
    <x v="4"/>
    <s v="프로시져 호출 오류"/>
    <x v="10"/>
  </r>
  <r>
    <s v="UT-RS-SP82"/>
    <x v="2"/>
    <x v="6"/>
    <s v="DEF-04446"/>
    <s v="[S_1-1] '수치가 부적합합니다' 라는 에러가 발생합니다."/>
    <s v="유경섭"/>
    <x v="0"/>
    <s v="결함"/>
    <s v="데이터"/>
    <s v="결함검토요청"/>
    <x v="1"/>
    <x v="4"/>
    <s v="프로시져 호출 오류"/>
    <x v="10"/>
  </r>
  <r>
    <s v="UT-RS-SP84"/>
    <x v="2"/>
    <x v="6"/>
    <s v="DEF-04447"/>
    <s v="[S_1-1] '무결성 제약 조건(RSOWN.TN_RS_CKNCT_ALTMNT_EXCN_OPT_PK)에 위배됩니다' 라는 에러가 발생합니다."/>
    <s v="유경섭"/>
    <x v="0"/>
    <s v="결함"/>
    <s v="데이터"/>
    <s v="결함검토요청"/>
    <x v="0"/>
    <x v="4"/>
    <s v="프로시져 호출 오류"/>
    <x v="10"/>
  </r>
  <r>
    <s v="UT-RS-SP85"/>
    <x v="2"/>
    <x v="6"/>
    <s v="DEF-04448"/>
    <s v="[S_1-1] 'ORA-00947: 값의 수가 충분하지 않습니다_x000a_Error position: line: 1 pos: 12' 라는 에러가 발생합니다."/>
    <s v="유경섭"/>
    <x v="0"/>
    <s v="결함"/>
    <s v="데이터"/>
    <s v="결함검토요청"/>
    <x v="0"/>
    <x v="4"/>
    <s v="프로시져 호출 오류"/>
    <x v="10"/>
  </r>
  <r>
    <s v="UT-RS-SP87"/>
    <x v="2"/>
    <x v="6"/>
    <s v="DEF-04449"/>
    <s v="[S_1-1] 'ORA-00904: &quot;CRSL_STAT_CD&quot;: 부적합한 식별자' 라는 에러가 발생합니다."/>
    <s v="유경섭"/>
    <x v="0"/>
    <s v="결함"/>
    <s v="데이터"/>
    <s v="결함검토요청"/>
    <x v="0"/>
    <x v="4"/>
    <s v="프로시져 호출 오류"/>
    <x v="10"/>
  </r>
  <r>
    <s v="UT-RS-SP90"/>
    <x v="2"/>
    <x v="6"/>
    <s v="DEF-04450"/>
    <s v="[S_0] 쿼리 자체의 에러는 아니지만 '*' 오타가 있습니다."/>
    <s v="유경섭"/>
    <x v="0"/>
    <s v="결함"/>
    <s v="문서화"/>
    <s v="결함검토요청"/>
    <x v="1"/>
    <x v="4"/>
    <s v="공통 체크리스트 구현 불충분"/>
    <x v="5"/>
  </r>
  <r>
    <s v="UT-AS-SP11"/>
    <x v="2"/>
    <x v="13"/>
    <s v="DEF-04763"/>
    <s v="[S_2] 프로시저 호출 시 오류: SQL Error [42000]: JDBC-8052:Invalid object status._x000a_at line 1, column 2 of null:_x000a_CALL GOOWN.SP_GO_FIMSACSTDALYOPER_RCV_x000a_^"/>
    <s v="장은성"/>
    <x v="0"/>
    <s v="결함"/>
    <s v="기능"/>
    <s v="결함검토요청"/>
    <x v="1"/>
    <x v="4"/>
    <s v="프로시져 호출 오류"/>
    <x v="10"/>
  </r>
  <r>
    <s v="UT-AS-SP12"/>
    <x v="2"/>
    <x v="13"/>
    <s v="DEF-04765"/>
    <s v="[S_2] 프로시저 호출 시 에러 발생: SQL Error [42000]: JDBC-8052:Invalid object status._x000a_at line 1, column 2 of null:_x000a_CALL GOOWN.SP_GO_FIMSACSTDALYOPER_RCV_x000a_^"/>
    <s v="장은성"/>
    <x v="0"/>
    <s v="결함"/>
    <s v="기능"/>
    <s v="결함검토요청"/>
    <x v="1"/>
    <x v="4"/>
    <s v="프로시져 호출 오류"/>
    <x v="10"/>
  </r>
  <r>
    <s v="UT-GO12906S"/>
    <x v="2"/>
    <x v="8"/>
    <s v="DEF-04514"/>
    <s v="조회조건 시분 입력 시 정상적인 시분이 아닐 경우 오류 발생"/>
    <s v="신문호"/>
    <x v="1"/>
    <s v="결함"/>
    <s v="기능"/>
    <s v="결함검토요청"/>
    <x v="0"/>
    <x v="4"/>
    <s v="공통 체크리스트 구현 불충분"/>
    <x v="5"/>
  </r>
  <r>
    <s v="UT-GO12906S"/>
    <x v="2"/>
    <x v="8"/>
    <s v="DEF-04515"/>
    <s v="정상적인 조회 후 시분을 99:99로 변경 후 아래 상세항목 클릭 시 오류 발생_x000a_(정상 조회 조건 :_x000a_Date : 직접입력_x000a_날짜 : 2025-06-10_x000a_시분 : 13:00_x000a_GRADE : 전체)"/>
    <s v="신문호"/>
    <x v="1"/>
    <s v="결함"/>
    <s v="기능"/>
    <s v="결함검토요청"/>
    <x v="0"/>
    <x v="4"/>
    <s v="공통 체크리스트 구현 불충분"/>
    <x v="5"/>
  </r>
  <r>
    <s v="UT-GO-SP999"/>
    <x v="2"/>
    <x v="8"/>
    <s v="DEF-04762"/>
    <s v="테스트 결과서 부재"/>
    <s v="신문호"/>
    <x v="0"/>
    <s v="신규"/>
    <s v="기타"/>
    <s v="결함검토요청"/>
    <x v="1"/>
    <x v="4"/>
    <s v="테스트 결과서 증적 미흡 또는 부재"/>
    <x v="3"/>
  </r>
  <r>
    <s v="UT-GO-SP998"/>
    <x v="2"/>
    <x v="8"/>
    <s v="DEF-04761"/>
    <s v="테스트 결과서 부재"/>
    <s v="신문호"/>
    <x v="0"/>
    <s v="신규"/>
    <s v="기타"/>
    <s v="결함검토요청"/>
    <x v="1"/>
    <x v="4"/>
    <s v="테스트 결과서 증적 미흡 또는 부재"/>
    <x v="3"/>
  </r>
  <r>
    <s v="UT-GO-SP997"/>
    <x v="2"/>
    <x v="8"/>
    <s v="DEF-04760"/>
    <s v="테스트 결과서 부재"/>
    <s v="신문호"/>
    <x v="0"/>
    <s v="결함"/>
    <s v="기타"/>
    <s v="결함검토요청"/>
    <x v="1"/>
    <x v="4"/>
    <s v="테스트 결과서 증적 미흡 또는 부재"/>
    <x v="3"/>
  </r>
  <r>
    <s v="UT-GO-SP996"/>
    <x v="2"/>
    <x v="8"/>
    <s v="DEF-04757"/>
    <s v="테스트 결과서 부재"/>
    <s v="신문호"/>
    <x v="0"/>
    <s v="결함"/>
    <s v="기타"/>
    <s v="결함검토요청"/>
    <x v="1"/>
    <x v="4"/>
    <s v="테스트 결과서 증적 미흡 또는 부재"/>
    <x v="3"/>
  </r>
  <r>
    <s v="UT-GO12505S"/>
    <x v="2"/>
    <x v="8"/>
    <s v="DEF-04501"/>
    <s v="검색조건 기준시간 입력 시 시작 시간이 종료 시간 보다 늦은 시간 입력이 가능함."/>
    <s v="신문호"/>
    <x v="1"/>
    <s v="결함"/>
    <s v="기타"/>
    <s v="결함검토요청"/>
    <x v="1"/>
    <x v="4"/>
    <s v="공통 체크리스트 구현 불충분"/>
    <x v="5"/>
  </r>
  <r>
    <s v="UT-GO12937S"/>
    <x v="2"/>
    <x v="8"/>
    <s v="DEF-04530"/>
    <s v="조회조건 시분 입력 시 정상적인 시분이 아닐 경우 오류 발생"/>
    <s v="신문호"/>
    <x v="1"/>
    <s v="결함"/>
    <s v="기능"/>
    <s v="결함검토요청"/>
    <x v="0"/>
    <x v="4"/>
    <s v="공통 체크리스트 구현 불충분"/>
    <x v="5"/>
  </r>
  <r>
    <s v="UT-GO12937S"/>
    <x v="2"/>
    <x v="8"/>
    <s v="DEF-04531"/>
    <s v="정상적인 조회 후 시분을 99:99로 변경 후 아래 T1 현황에서 38번 클릭 시 오류 발생_x000a_(정상 조회 조건_x000a_Date : 직접입력_x000a_날짜 : 2025-06-10_x000a_시분 : 13:00_x000a_GRADE : 전체)"/>
    <s v="신문호"/>
    <x v="1"/>
    <s v="결함"/>
    <s v="기능"/>
    <s v="결함검토요청"/>
    <x v="0"/>
    <x v="4"/>
    <s v="공통 체크리스트 구현 불충분"/>
    <x v="5"/>
  </r>
  <r>
    <s v="UT-GO12938S"/>
    <x v="2"/>
    <x v="8"/>
    <s v="DEF-04534"/>
    <s v="조회조건 시분 입력 시 정상적인 시분이 아닐 경우 오류 발생"/>
    <s v="신문호"/>
    <x v="1"/>
    <s v="결함"/>
    <s v="기능"/>
    <s v="결함검토요청"/>
    <x v="0"/>
    <x v="4"/>
    <s v="공통 체크리스트 구현 불충분"/>
    <x v="5"/>
  </r>
  <r>
    <s v="UT-GO12938S"/>
    <x v="2"/>
    <x v="8"/>
    <s v="DEF-04535"/>
    <s v="정상적인 조회 후 시분을 99:99로 변경 후 아래 T2 현황에서 247번 클릭 시 오류 발생_x000a_(정상 조회 조건_x000a_Date : 직접입력_x000a_날짜 : 2025-06-15_x000a_시분 : 13:00_x000a_GRADE : 전체)"/>
    <s v="신문호"/>
    <x v="1"/>
    <s v="결함"/>
    <s v="기능"/>
    <s v="결함검토요청"/>
    <x v="0"/>
    <x v="4"/>
    <s v="공통 체크리스트 구현 불충분"/>
    <x v="5"/>
  </r>
  <r>
    <s v="UT-GO12939S"/>
    <x v="2"/>
    <x v="8"/>
    <s v="DEF-04537"/>
    <s v="조회조건 시분 입력 시 정상적인 시분이 아닐 경우 오류 발생"/>
    <s v="신문호"/>
    <x v="1"/>
    <s v="결함"/>
    <s v="기능"/>
    <s v="결함검토요청"/>
    <x v="0"/>
    <x v="4"/>
    <s v="공통 체크리스트 구현 불충분"/>
    <x v="5"/>
  </r>
  <r>
    <s v="UT-GO12939S"/>
    <x v="2"/>
    <x v="8"/>
    <s v="DEF-04540"/>
    <s v="조회조건 시분 입력 시 정상적인 시분이 아닐 경우 오류 발생"/>
    <s v="신문호"/>
    <x v="1"/>
    <s v="결함"/>
    <s v="기능"/>
    <s v="결함검토요청"/>
    <x v="0"/>
    <x v="4"/>
    <s v="공통 체크리스트 구현 불충분"/>
    <x v="5"/>
  </r>
  <r>
    <s v="UT-GO12939S"/>
    <x v="2"/>
    <x v="8"/>
    <s v="DEF-04541"/>
    <s v="정상적인 조회 후 시분을 99:99로 변경 후 아래 탑승동 현황에서 110번 클릭 시 오류 발생_x000a_(정상 조회 조건_x000a_Date : 직접입력_x000a_날짜 : 2025-06-07_x000a_시분 : 13:00_x000a_GRADE : 전체)"/>
    <s v="신문호"/>
    <x v="1"/>
    <s v="결함"/>
    <s v="기능"/>
    <s v="결함검토요청"/>
    <x v="0"/>
    <x v="4"/>
    <s v="공통 체크리스트 구현 불충분"/>
    <x v="5"/>
  </r>
  <r>
    <s v="UT-GO12912S"/>
    <x v="2"/>
    <x v="8"/>
    <s v="DEF-04520"/>
    <s v="조회조건 시분 입력 시 정상적인 시분이 아닐 경우 오류 발생"/>
    <s v="신문호"/>
    <x v="1"/>
    <s v="결함"/>
    <s v="기능"/>
    <s v="결함검토요청"/>
    <x v="0"/>
    <x v="4"/>
    <s v="공통 체크리스트 구현 불충분"/>
    <x v="5"/>
  </r>
  <r>
    <s v="UT-GO12912S"/>
    <x v="2"/>
    <x v="8"/>
    <s v="DEF-04523"/>
    <s v="정상적인 조회 후 시분을 99:99로 변경 후 아래 화물 화면에서 652클릭 후 650 클릭 시 오류 발생_x000a_(정상 조회 조건_x000a_Date : 직접입력_x000a_날짜 : 2025-06-10_x000a_시분 : 13:00_x000a_GRADE : 전체)"/>
    <s v="신문호"/>
    <x v="1"/>
    <s v="결함"/>
    <s v="기능"/>
    <s v="결함검토요청"/>
    <x v="0"/>
    <x v="4"/>
    <s v="공통 체크리스트 구현 불충분"/>
    <x v="5"/>
  </r>
  <r>
    <s v="UT-GO12940S"/>
    <x v="2"/>
    <x v="8"/>
    <s v="DEF-04543"/>
    <s v="조회조건 시분 입력 시 정상적인 시분이 아닐 경우 오류 발생"/>
    <s v="신문호"/>
    <x v="1"/>
    <s v="결함"/>
    <s v="기능"/>
    <s v="결함검토요청"/>
    <x v="0"/>
    <x v="4"/>
    <s v="공통 체크리스트 구현 불충분"/>
    <x v="5"/>
  </r>
  <r>
    <s v="UT-GO14001S"/>
    <x v="2"/>
    <x v="8"/>
    <s v="DEF-04547"/>
    <s v="단위테스트결과서 부재"/>
    <s v="신문호"/>
    <x v="1"/>
    <s v="결함"/>
    <s v="기타"/>
    <s v="결함검토요청"/>
    <x v="2"/>
    <x v="4"/>
    <s v="테스트 결과서 증적 미흡 또는 부재"/>
    <x v="3"/>
  </r>
  <r>
    <s v="UT-AS40201S"/>
    <x v="2"/>
    <x v="13"/>
    <s v="DEF-04624"/>
    <s v="[C_1] (차트 버튼 툴팁 오타) '첨두월 실적' → '첨두일 현황'"/>
    <s v="장은성"/>
    <x v="1"/>
    <s v="결함"/>
    <s v="UI"/>
    <s v="결함검토요청"/>
    <x v="1"/>
    <x v="4"/>
    <s v="공통 체크리스트 구현 불충분"/>
    <x v="5"/>
  </r>
  <r>
    <s v="UT-WESCASY051S"/>
    <x v="2"/>
    <x v="0"/>
    <s v="DEF-04524"/>
    <s v="[S_1] 페이지 초기 로드 시 예외가 발생하여 아무 데이터도 조회되지 않았지만 하단에 '총 960 건' 이라고 오기되어 있습니다."/>
    <s v="임지훈"/>
    <x v="1"/>
    <s v="결함"/>
    <s v="UI"/>
    <s v="결함등록기각"/>
    <x v="1"/>
    <x v="0"/>
    <s v="공통 체크리스트 구현 불충분"/>
    <x v="5"/>
  </r>
  <r>
    <s v="UT-WESCASY051S"/>
    <x v="2"/>
    <x v="0"/>
    <s v="DEF-04527"/>
    <s v="[S_2] [S_3] 단위테스트결과서상에는 조회 시작 일자 및 종료 일자가 존재하나 실제론 단일 날짜 조회만 가능합니다(증적과 상이)."/>
    <s v="임지훈"/>
    <x v="1"/>
    <s v="개선/변경"/>
    <s v="문서화"/>
    <s v="결함등록기각"/>
    <x v="1"/>
    <x v="0"/>
    <s v="테스트 결과서 증적 미흡 또는 부재"/>
    <x v="3"/>
  </r>
  <r>
    <s v="UT-FPFS092M"/>
    <x v="2"/>
    <x v="1"/>
    <s v="DEF-04621"/>
    <s v="code share check 아이콘 짤림(겹침)"/>
    <s v="장경진"/>
    <x v="1"/>
    <s v="결함"/>
    <s v="UI"/>
    <s v="결함등록기각"/>
    <x v="0"/>
    <x v="0"/>
    <s v="공통 체크리스트 구현 불충분"/>
    <x v="5"/>
  </r>
  <r>
    <s v="UT-FPFS092M"/>
    <x v="2"/>
    <x v="1"/>
    <s v="DEF-04529"/>
    <s v="[X_001] 테스트 결과서 Create Flight Shere는 시스템 메뉴에는 보이지 않음"/>
    <s v="장경진"/>
    <x v="1"/>
    <s v="개선/변경"/>
    <s v="문서화"/>
    <s v="결함등록기각"/>
    <x v="1"/>
    <x v="0"/>
    <s v="테스트 결과서 증적 미흡 또는 부재"/>
    <x v="3"/>
  </r>
  <r>
    <s v="UT-WESRC001S"/>
    <x v="2"/>
    <x v="0"/>
    <s v="DEF-04533"/>
    <s v="[S_1] Daily Chart 버튼 클릭 시 404 에러가 발생합니다."/>
    <s v="임지훈"/>
    <x v="1"/>
    <s v="개선/변경"/>
    <s v="기능"/>
    <s v="결함등록기각"/>
    <x v="0"/>
    <x v="0"/>
    <s v="기능 미동작 또는 오류"/>
    <x v="8"/>
  </r>
  <r>
    <s v="UT-WESRC002S"/>
    <x v="2"/>
    <x v="0"/>
    <s v="DEF-04536"/>
    <s v="[S_2] Monthly Chart 버튼 클릭 시 404 에러가 발생합니다."/>
    <s v="임지훈"/>
    <x v="1"/>
    <s v="결함"/>
    <s v="기능"/>
    <s v="결함등록기각"/>
    <x v="0"/>
    <x v="0"/>
    <s v="기능 미동작 또는 오류"/>
    <x v="8"/>
  </r>
  <r>
    <s v="UT-WESRC002S"/>
    <x v="2"/>
    <x v="0"/>
    <s v="DEF-04539"/>
    <s v="[S_1] 단위시험시나리오의 시험데이터와 검색 컴포넌트의 입력 가능 항목이 서로 상이합니다."/>
    <s v="임지훈"/>
    <x v="1"/>
    <s v="결함"/>
    <s v="문서화"/>
    <s v="결함등록기각"/>
    <x v="1"/>
    <x v="0"/>
    <s v="테스트 결과서 증적 미흡 또는 부재"/>
    <x v="3"/>
  </r>
  <r>
    <s v="UT-WESRC002S"/>
    <x v="2"/>
    <x v="0"/>
    <s v="DEF-04542"/>
    <s v="[S_1] 배정정보가 존재하는 row를 선택한 뒤 Multi Chart 버튼을 선택해도 404 에러가 발생합니다."/>
    <s v="임지훈"/>
    <x v="1"/>
    <s v="결함"/>
    <s v="기능"/>
    <s v="결함등록기각"/>
    <x v="0"/>
    <x v="0"/>
    <s v="기능이 부절적하게 동작"/>
    <x v="8"/>
  </r>
  <r>
    <s v="UT-CAMN009M"/>
    <x v="2"/>
    <x v="9"/>
    <s v="DEF-04241"/>
    <s v="도움말 아이콘이 비활성화 되어 있음"/>
    <s v="김명준"/>
    <x v="1"/>
    <s v="결함"/>
    <s v="기능"/>
    <s v="결함등록기각"/>
    <x v="0"/>
    <x v="0"/>
    <s v="기능이 부절적하게 동작"/>
    <x v="8"/>
  </r>
  <r>
    <s v="UT-WESRS013S"/>
    <x v="2"/>
    <x v="0"/>
    <s v="DEF-04507"/>
    <s v="[S_4] Showup Rate 합이 1 이상일 땐 100인지 아닌지 validation이 정상적으로 동작하지만 합이 0일 땐 동작하지 않습니다(저장 가능합니다)."/>
    <s v="임지훈"/>
    <x v="1"/>
    <s v="개선/변경"/>
    <s v="데이터"/>
    <s v="결함등록기각"/>
    <x v="1"/>
    <x v="0"/>
    <s v="기능이 부절적하게 동작"/>
    <x v="8"/>
  </r>
  <r>
    <s v="UT-CAMN009M(A)"/>
    <x v="2"/>
    <x v="12"/>
    <s v="DEF-04242"/>
    <s v="온라인 버튼이 비활성화 되어 있음"/>
    <s v="김명준"/>
    <x v="1"/>
    <s v="결함"/>
    <s v="기능"/>
    <s v="결함등록기각"/>
    <x v="0"/>
    <x v="0"/>
    <s v="기능이 부절적하게 동작"/>
    <x v="8"/>
  </r>
  <r>
    <s v="UT-CPCR001S"/>
    <x v="2"/>
    <x v="15"/>
    <s v="DEF-04546"/>
    <s v="1.결함아님"/>
    <s v="장경진"/>
    <x v="1"/>
    <s v="개선/변경"/>
    <s v="기능"/>
    <s v="결함등록기각"/>
    <x v="1"/>
    <x v="0"/>
    <s v="오기입"/>
    <x v="1"/>
  </r>
  <r>
    <s v="UT-RSCI082S"/>
    <x v="2"/>
    <x v="6"/>
    <s v="DEF-04440"/>
    <s v="[x_003]화면의 첫 째 필드에 커셔가 Set focusc 확인 "/>
    <s v="유경섭"/>
    <x v="1"/>
    <s v="개선/변경"/>
    <s v="표준"/>
    <s v="결함등록기각"/>
    <x v="1"/>
    <x v="0"/>
    <s v="공통 체크리스트 구현 불충분"/>
    <x v="5"/>
  </r>
  <r>
    <s v="UT-MESRS052S"/>
    <x v="2"/>
    <x v="2"/>
    <s v="DEF-04455"/>
    <s v="[S_7] 수정 후 저장 시 '-1 error : 시스템 장애로 인해 서비스가 중단되었습니다.' 라는 alert이 표출됩니다. 증적대로 Remark만 수정했음에도 해당 alert이 표출되며 로그인 화면으로 리다이렉트됩니다."/>
    <s v="임지훈"/>
    <x v="1"/>
    <s v="결함"/>
    <s v="기능"/>
    <s v="결함등록기각"/>
    <x v="0"/>
    <x v="0"/>
    <s v="기능 미동작 또는 오류"/>
    <x v="8"/>
  </r>
  <r>
    <s v="UT-MESRS081S"/>
    <x v="2"/>
    <x v="2"/>
    <s v="DEF-04459"/>
    <s v="[S_1] 메뉴 접근 시 '-1 error : 데이터 예외사항입니다. 입력하신 데이터를 확인해 주세요.' 라는 alert이 표출되어 조회가 불가능합니다. 테스트했던 계정은 IDTTEST05, IDTTEST06입니다."/>
    <s v="임지훈"/>
    <x v="1"/>
    <s v="결함"/>
    <s v="기능"/>
    <s v="결함등록기각"/>
    <x v="2"/>
    <x v="0"/>
    <s v="기능 미동작 또는 오류"/>
    <x v="8"/>
  </r>
  <r>
    <s v="UT-MESRS082S"/>
    <x v="2"/>
    <x v="2"/>
    <s v="DEF-04460"/>
    <s v="[S_1] [DEF-04459와 동일]_x000a_메뉴 접근 시 '-1 error : 데이터 예외사항입니다. 입력하신 데이터를 확인해 주세요.' 라는 alert이 표출되어 조회가 불가능합니다. 테스트했던 계정은 IDTTEST05, IDTTEST06입니다."/>
    <s v="임지훈"/>
    <x v="1"/>
    <s v="결함"/>
    <s v="기능"/>
    <s v="결함등록기각"/>
    <x v="2"/>
    <x v="0"/>
    <s v="기능 미동작 또는 오류"/>
    <x v="8"/>
  </r>
  <r>
    <s v="UT-MESMF201S"/>
    <x v="2"/>
    <x v="2"/>
    <s v="DEF-04586"/>
    <s v="[S_2] 단위테스트결과서의 시험 데이터와 예상 결과 및 증적이 상이합니다. (기능은 정상 동작합니다.)"/>
    <s v="임지훈"/>
    <x v="1"/>
    <s v="결함"/>
    <s v="문서화"/>
    <s v="결함등록기각"/>
    <x v="1"/>
    <x v="0"/>
    <s v="테스트 결과서 증적 미흡 또는 부재"/>
    <x v="3"/>
  </r>
  <r>
    <s v="UT-AC06002S"/>
    <x v="2"/>
    <x v="7"/>
    <s v="DEF-04699"/>
    <s v="snow,del_rslt 외 클릭시 화면 겹침 "/>
    <s v="조수일"/>
    <x v="1"/>
    <s v="결함"/>
    <s v="기타"/>
    <s v="결함등록기각"/>
    <x v="1"/>
    <x v="0"/>
    <s v="공통 체크리스트 구현 불충분"/>
    <x v="5"/>
  </r>
  <r>
    <s v="UT-AC06005S"/>
    <x v="2"/>
    <x v="7"/>
    <s v="DEF-04776"/>
    <s v="결함 아님_기각요청"/>
    <s v="조수일"/>
    <x v="1"/>
    <s v="개선/변경"/>
    <s v="기능"/>
    <s v="결함등록기각"/>
    <x v="1"/>
    <x v="0"/>
    <s v="오기입"/>
    <x v="1"/>
  </r>
  <r>
    <s v="UT-AC06005S"/>
    <x v="2"/>
    <x v="7"/>
    <s v="DEF-04777"/>
    <s v="결함아님_기각요청"/>
    <s v="조수일"/>
    <x v="1"/>
    <s v="개선/변경"/>
    <s v="기능"/>
    <s v="결함등록기각"/>
    <x v="1"/>
    <x v="0"/>
    <s v="오기입"/>
    <x v="1"/>
  </r>
  <r>
    <s v="UT-AC06006S"/>
    <x v="2"/>
    <x v="7"/>
    <s v="DEF-04784"/>
    <s v="1.13,14 증적사진_결함아님"/>
    <s v="조수일"/>
    <x v="1"/>
    <s v="개선/변경"/>
    <s v="기능"/>
    <s v="결함등록기각"/>
    <x v="1"/>
    <x v="0"/>
    <s v="테스트 결과서 증적 미흡 또는 부재"/>
    <x v="3"/>
  </r>
  <r>
    <s v="UT-AC06006S"/>
    <x v="2"/>
    <x v="7"/>
    <s v="DEF-04782"/>
    <s v="1.13.14시험내용 General Mode 출,도착 지연편 생성시 Delay에 업로드 안됨 "/>
    <s v="조수일"/>
    <x v="1"/>
    <s v="개선/변경"/>
    <s v="인터페이스"/>
    <s v="결함등록기각"/>
    <x v="1"/>
    <x v="0"/>
    <s v="기능 미동작 또는 오류"/>
    <x v="8"/>
  </r>
  <r>
    <s v="UT-AC07001S"/>
    <x v="2"/>
    <x v="7"/>
    <s v="DEF-04755"/>
    <s v="결함 오등록으로 인하여 기각 부탁드립니다."/>
    <s v="조수일"/>
    <x v="1"/>
    <s v="결함"/>
    <s v="UI"/>
    <s v="결함등록기각"/>
    <x v="1"/>
    <x v="0"/>
    <s v="오기입"/>
    <x v="1"/>
  </r>
  <r>
    <s v="UT-AC07003S"/>
    <x v="2"/>
    <x v="7"/>
    <s v="DEF-04707"/>
    <s v="[S_11] [S_25]_x000a_이미 한 번 조회를 수행하여 그리드에 데이터가 표출된 뒤, FROM / TO 값을 수정하고 조회를 수행하지 않은 상태에서(브라우저에서 값만 바꾼 상태에서) PRINT 버튼을 클릭하면 데이터 조회 기간과 표시되는 기간이 불일치한 상태가 됩니다."/>
    <s v="조수일"/>
    <x v="1"/>
    <s v="결함"/>
    <s v="기능"/>
    <s v="결함등록기각"/>
    <x v="1"/>
    <x v="0"/>
    <s v="기능이 부절적하게 동작"/>
    <x v="8"/>
  </r>
  <r>
    <s v="UT-FP-SP170"/>
    <x v="2"/>
    <x v="1"/>
    <s v="DEF-04716"/>
    <s v="[x_001]테스트결과가 없음"/>
    <s v="장경진"/>
    <x v="0"/>
    <s v="개선/변경"/>
    <s v="문서화"/>
    <s v="결함등록기각"/>
    <x v="1"/>
    <x v="0"/>
    <s v="테스트 결과서 증적 미흡 또는 부재"/>
    <x v="3"/>
  </r>
  <r>
    <s v="UT-FP-SP171"/>
    <x v="2"/>
    <x v="1"/>
    <s v="DEF-04717"/>
    <s v="[x_001] 테스트결과서 문서 없음"/>
    <s v="장경진"/>
    <x v="0"/>
    <s v="개선/변경"/>
    <s v="문서화"/>
    <s v="결함등록기각"/>
    <x v="1"/>
    <x v="0"/>
    <s v="테스트 결과서 증적 미흡 또는 부재"/>
    <x v="3"/>
  </r>
  <r>
    <s v="UT-FP-SP177"/>
    <x v="2"/>
    <x v="1"/>
    <s v="DEF-04591"/>
    <s v="[S_001] 작업을 실행해도 생성이 되지 않음"/>
    <s v="장경진"/>
    <x v="0"/>
    <s v="개선/변경"/>
    <s v="기능"/>
    <s v="결함등록기각"/>
    <x v="1"/>
    <x v="0"/>
    <s v="기능 미동작 또는 오류"/>
    <x v="8"/>
  </r>
  <r>
    <s v="UT-FP-SP179"/>
    <x v="2"/>
    <x v="1"/>
    <s v="DEF-04592"/>
    <s v="[S_001]작업을 실행해도 데이터가 생기지 않음"/>
    <s v="장경진"/>
    <x v="0"/>
    <s v="개선/변경"/>
    <s v="기능"/>
    <s v="결함등록기각"/>
    <x v="1"/>
    <x v="0"/>
    <s v="기능 미동작 또는 오류"/>
    <x v="8"/>
  </r>
  <r>
    <s v="UT-FPFS086M"/>
    <x v="2"/>
    <x v="1"/>
    <s v="DEF-04511"/>
    <s v="[S_002] APPLY 및 DELETE시 DATA 확인 _x000a_AIRLINE KE를 DELETE하였는데 OZ DATA가 삭제 됨 "/>
    <s v="장경진"/>
    <x v="1"/>
    <s v="결함"/>
    <s v="기능"/>
    <s v="결함등록기각"/>
    <x v="0"/>
    <x v="0"/>
    <s v="기능 미동작 또는 오류"/>
    <x v="8"/>
  </r>
  <r>
    <s v="UT-FPFS023S"/>
    <x v="2"/>
    <x v="1"/>
    <s v="DEF-04516"/>
    <s v="[C_001]CodeShere Check 아이콘 짤림 "/>
    <s v="장경진"/>
    <x v="1"/>
    <s v="개선/변경"/>
    <s v="표준"/>
    <s v="결함등록기각"/>
    <x v="1"/>
    <x v="0"/>
    <s v="공통 체크리스트 구현 불충분"/>
    <x v="5"/>
  </r>
  <r>
    <s v="UT-FPFS023S"/>
    <x v="2"/>
    <x v="1"/>
    <s v="DEF-04623"/>
    <s v="Codshare Check 아이콘 짤림 "/>
    <s v="장경진"/>
    <x v="1"/>
    <s v="개선/변경"/>
    <s v="UI"/>
    <s v="결함등록기각"/>
    <x v="0"/>
    <x v="0"/>
    <s v="공통 체크리스트 구현 불충분"/>
    <x v="5"/>
  </r>
  <r>
    <s v="UT-FPMG048M"/>
    <x v="2"/>
    <x v="1"/>
    <s v="DEF-04467"/>
    <s v="[X_001]화면 구성시 초기화면에 SUBMIT ALC REJECT 아이콘에 대한 사용여부_x000a_49M,50M,51M 공통사항"/>
    <s v="장경진"/>
    <x v="1"/>
    <s v="개선/변경"/>
    <s v="표준"/>
    <s v="결함등록기각"/>
    <x v="1"/>
    <x v="0"/>
    <s v="공통 체크리스트 구현 불충분"/>
    <x v="5"/>
  </r>
  <r>
    <s v="UT-RSCI080S"/>
    <x v="2"/>
    <x v="6"/>
    <s v="DEF-04438"/>
    <s v="[C_001] 화면의 첫 째 필드에 커셔가 Set focus되어 있지 않음_x000a_[x_004]필드 초과시 서버오류  "/>
    <s v="유경섭"/>
    <x v="1"/>
    <s v="결함"/>
    <s v="표준"/>
    <s v="결함등록기각"/>
    <x v="1"/>
    <x v="0"/>
    <s v="공통 체크리스트 구현 불충분"/>
    <x v="5"/>
  </r>
  <r>
    <s v="UT-RSCI081S"/>
    <x v="2"/>
    <x v="6"/>
    <s v="DEF-04439"/>
    <s v="[X_001]화면의 첫 째 필드에 커셔가 Set focus "/>
    <s v="유경섭"/>
    <x v="1"/>
    <s v="결함"/>
    <s v="표준"/>
    <s v="결함등록기각"/>
    <x v="1"/>
    <x v="0"/>
    <s v="공통 체크리스트 구현 불충분"/>
    <x v="5"/>
  </r>
  <r>
    <s v="UT-CA-SP29"/>
    <x v="2"/>
    <x v="9"/>
    <s v="DEF-04228"/>
    <s v="[S_1.3] 결과값이 안 나옴."/>
    <s v="김명준"/>
    <x v="0"/>
    <s v="결함"/>
    <s v="기능"/>
    <s v="결함등록기각"/>
    <x v="1"/>
    <x v="0"/>
    <s v="기능 미동작 또는 오류"/>
    <x v="8"/>
  </r>
  <r>
    <s v="UT-AC06005S"/>
    <x v="2"/>
    <x v="7"/>
    <s v="DEF-04781"/>
    <s v="1.2조회테스트 직행(조건에 맞는 데이터 부재_코멘트 있음)"/>
    <s v="조수일"/>
    <x v="1"/>
    <s v="개선/변경"/>
    <s v="기능"/>
    <s v="조치요청"/>
    <x v="1"/>
    <x v="5"/>
    <s v="테스트 데이터 불충분"/>
    <x v="4"/>
  </r>
  <r>
    <s v="UT-AC06010S"/>
    <x v="2"/>
    <x v="7"/>
    <s v="DEF-04770"/>
    <s v="[S_4] 검색일이 2008-05-16 이전이어도 별도의 오류 메시지가 출력되지 않습니다."/>
    <s v="조수일"/>
    <x v="1"/>
    <s v="결함"/>
    <s v="데이터"/>
    <s v="조치요청"/>
    <x v="1"/>
    <x v="5"/>
    <s v="기능 미동작 또는 오류"/>
    <x v="8"/>
  </r>
  <r>
    <s v="UT-AC08018S"/>
    <x v="2"/>
    <x v="7"/>
    <s v="DEF-04671"/>
    <s v="de-icing time history 추가(+) 후 아무것도 입력하지 않고 save 버튼 클릭시 아무 작동도 안함._x000a_한번더 save 클릭시 '변경된 내용이 없습니다' 라는 메세지 창 뜸_x000a_"/>
    <s v="조수일"/>
    <x v="1"/>
    <s v="결함"/>
    <s v="기능"/>
    <s v="조치요청"/>
    <x v="1"/>
    <x v="5"/>
    <s v="기능 미동작 또는 오류"/>
    <x v="8"/>
  </r>
  <r>
    <s v="UT-AC08012S"/>
    <x v="2"/>
    <x v="7"/>
    <s v="DEF-04503"/>
    <s v="[C-000]엑셀 다운로드 버튼 클릭시 아무 작동이 안됨"/>
    <s v="조수일"/>
    <x v="1"/>
    <s v="결함"/>
    <s v="기능"/>
    <s v="조치요청"/>
    <x v="0"/>
    <x v="5"/>
    <s v="기능 미동작 또는 오류"/>
    <x v="8"/>
  </r>
  <r>
    <s v="UT-RSCI083S"/>
    <x v="2"/>
    <x v="6"/>
    <s v="DEF-04441"/>
    <s v="[x_003] focus 확인 _x000a_[C_001] 신청일자 범위 확인 -- 공통시설 전체 검토 요망"/>
    <s v="유경섭"/>
    <x v="1"/>
    <s v="개선/변경"/>
    <s v="표준"/>
    <s v="조치요청"/>
    <x v="1"/>
    <x v="5"/>
    <s v="공통 체크리스트 구현 불충분"/>
    <x v="5"/>
  </r>
  <r>
    <s v="UT-CPCI014S"/>
    <x v="2"/>
    <x v="15"/>
    <s v="DEF-04551"/>
    <s v="1.데이터 수정,삽입,사용제한 및 충도정보,삭제,엑셀처리 안됨_x000a__x000a_"/>
    <s v="장경진"/>
    <x v="1"/>
    <s v="개선/변경"/>
    <s v="기능"/>
    <s v="조치요청"/>
    <x v="1"/>
    <x v="5"/>
    <s v="기능 미동작 또는 오류"/>
    <x v="8"/>
  </r>
  <r>
    <s v="UT-MESRS052S"/>
    <x v="2"/>
    <x v="2"/>
    <s v="DEF-04457"/>
    <s v="[S_9] 삭제 시 '-1 error : 시스템 장애로 인해 서비스가 중단되었습니다.' 라는 alert이 표출됩니다."/>
    <s v="임지훈"/>
    <x v="1"/>
    <s v="결함"/>
    <s v="기능"/>
    <s v="조치요청"/>
    <x v="0"/>
    <x v="5"/>
    <s v="기능 미동작 또는 오류"/>
    <x v="8"/>
  </r>
  <r>
    <s v="UT-MESMF201S"/>
    <x v="2"/>
    <x v="2"/>
    <s v="DEF-04587"/>
    <s v="[S_5] [S_10] '+', '-' 버튼이 보이지 않습니다(표출 선행조건이 있는 것인지 모르겠습니다)."/>
    <s v="임지훈"/>
    <x v="1"/>
    <s v="개선/변경"/>
    <s v="기능"/>
    <s v="조치요청"/>
    <x v="0"/>
    <x v="5"/>
    <s v="기능이 부절적하게 동작"/>
    <x v="8"/>
  </r>
  <r>
    <s v="UT-MESMF201S"/>
    <x v="2"/>
    <x v="2"/>
    <s v="DEF-04588"/>
    <s v="[S_7] 단위테스트결과서상에는 '최종' 변경자/변경일시로 기재되어 있으나 실제론 '최초' 변경자/변경일시로 기재되어 있습니다. 확인 부탁드립니다."/>
    <s v="임지훈"/>
    <x v="1"/>
    <s v="개선/변경"/>
    <s v="UI"/>
    <s v="조치요청"/>
    <x v="1"/>
    <x v="5"/>
    <s v="기능이 부절적하게 동작"/>
    <x v="8"/>
  </r>
  <r>
    <s v="UT-MESMF201S"/>
    <x v="2"/>
    <x v="2"/>
    <s v="DEF-04590"/>
    <s v="[S_9] 통계수집 버튼이 동작하지 않는데(클릭 시에도 반응이 없는데), 테스트 환경상 동작하지 않는 것인지 확인 부탁드립니다."/>
    <s v="임지훈"/>
    <x v="1"/>
    <s v="결함"/>
    <s v="기능"/>
    <s v="조치요청"/>
    <x v="0"/>
    <x v="5"/>
    <s v="기능 미동작 또는 오류"/>
    <x v="8"/>
  </r>
  <r>
    <s v="UT-WESFP004S"/>
    <x v="2"/>
    <x v="0"/>
    <s v="DEF-04502"/>
    <s v="[C_9] 조회 시 3분 이상 소요되어 동작하지 않는 것처럼 느껴졌습니다(Chrome, Edge 모두 수 차례 테스트 시에도 동일하게 느렸습니다)."/>
    <s v="임지훈"/>
    <x v="1"/>
    <s v="개선/변경"/>
    <s v="성능"/>
    <s v="조치요청"/>
    <x v="0"/>
    <x v="5"/>
    <s v="기능 미동작 또는 오류"/>
    <x v="8"/>
  </r>
  <r>
    <s v="UT-CA-SP30"/>
    <x v="2"/>
    <x v="9"/>
    <s v="DEF-04754"/>
    <s v="2번째 시험 시 프로시져 오류 발생._x000a_단위테스트결과에 있는 저장 테이블은 ESBOWN.ESB_CHKINPGTMPLTFID3_RCV 이지만 호출되는 CAOWN.SP_CA_CHKINPGTMPLTFID2_RCV 프로시져에는 ESBOWN.ESB_CHKINPGTMPLTFID2_RCV 테이블에서 조회"/>
    <s v="김명준"/>
    <x v="0"/>
    <s v="결함"/>
    <s v="기능"/>
    <s v="최종확인    "/>
    <x v="1"/>
    <x v="1"/>
    <s v="기능 미동작 또는 오류"/>
    <x v="8"/>
  </r>
  <r>
    <s v="UT-CARF041S"/>
    <x v="2"/>
    <x v="9"/>
    <s v="DEF-04471"/>
    <s v="신규(+) 버튼을 클릭 후 왼쪽 목록에서 기존에 선택된 행을 클릭하면 오른쪽에 수정 불가 항목(keyword Type, Route Keyword)이 수정 가능하게 됨."/>
    <s v="김명준"/>
    <x v="1"/>
    <s v="결함"/>
    <s v="기능"/>
    <s v="최종확인    "/>
    <x v="1"/>
    <x v="1"/>
    <s v="기능 미동작 또는 오류"/>
    <x v="8"/>
  </r>
  <r>
    <s v="UT-CA-SP45"/>
    <x v="2"/>
    <x v="9"/>
    <s v="DEF-04234"/>
    <s v="[S_1] 테스트 데이터가 조회되지 않음"/>
    <s v="김명준"/>
    <x v="0"/>
    <s v="개선/변경"/>
    <s v="기능"/>
    <s v="최종확인    "/>
    <x v="1"/>
    <x v="1"/>
    <s v="테스트 데이터 불충분"/>
    <x v="4"/>
  </r>
  <r>
    <s v="UT-CA-SP47(A)"/>
    <x v="2"/>
    <x v="12"/>
    <s v="DEF-04626"/>
    <s v="단위 테스트 결과서 부재"/>
    <s v="김명준"/>
    <x v="0"/>
    <s v="결함"/>
    <s v="기타"/>
    <s v="최종확인    "/>
    <x v="1"/>
    <x v="1"/>
    <s v="테스트 결과서 증적 미흡 또는 부재"/>
    <x v="3"/>
  </r>
  <r>
    <s v="UT-CPCI015S"/>
    <x v="2"/>
    <x v="15"/>
    <s v="DEF-04544"/>
    <s v="화면 로딩안됨"/>
    <s v="장경진"/>
    <x v="1"/>
    <s v="개선/변경"/>
    <s v="기능"/>
    <s v="최종확인    "/>
    <x v="1"/>
    <x v="1"/>
    <s v="기능이 부절적하게 동작"/>
    <x v="8"/>
  </r>
  <r>
    <s v="UT-WESCASY048S"/>
    <x v="2"/>
    <x v="0"/>
    <s v="DEF-04517"/>
    <s v="[S_1] 단위테스트결과서의 증적에는 Date의 초기값이 &quot;테스트 당일 - 7일 ~ 테스트 당일&quot;이라고 기재되어 있으나 화면 초기 로딩 시 테스트 당일 - 1년 ~ 테스트 당일로 동작하고 있습니다."/>
    <s v="임지훈"/>
    <x v="1"/>
    <s v="개선/변경"/>
    <s v="문서화"/>
    <s v="확인요청"/>
    <x v="1"/>
    <x v="2"/>
    <s v="기능이 부절적하게 동작"/>
    <x v="8"/>
  </r>
  <r>
    <s v="UT-RS-SP91"/>
    <x v="2"/>
    <x v="6"/>
    <s v="DEF-04451"/>
    <s v="[S_0] 'ORA-00942: 테이블 또는 뷰가 존재하지 않습니다' 라는 에러가 발생합니다._x000a_"/>
    <s v="유경섭"/>
    <x v="0"/>
    <s v="결함"/>
    <s v="데이터"/>
    <s v="확인요청"/>
    <x v="0"/>
    <x v="2"/>
    <s v="기능 미동작 또는 오류"/>
    <x v="8"/>
  </r>
  <r>
    <s v="UT-FPFS003R"/>
    <x v="2"/>
    <x v="1"/>
    <s v="DEF-04484"/>
    <s v="[X_001]테스트 결과서가 Season Arrival/Departure Flight Schedule List 인데 Seasonal Arrive  내용으로 되어 있음"/>
    <s v="장경진"/>
    <x v="1"/>
    <s v="개선/변경"/>
    <s v="문서화"/>
    <s v="확인요청"/>
    <x v="1"/>
    <x v="2"/>
    <s v="테스트 결과서 증적 미흡 또는 부재"/>
    <x v="3"/>
  </r>
  <r>
    <s v="UT-FPFS091S"/>
    <x v="2"/>
    <x v="1"/>
    <s v="DEF-04528"/>
    <s v="[C_001] STATUS LIST BOX 상단 전체 표기 "/>
    <s v="장경진"/>
    <x v="1"/>
    <s v="개선/변경"/>
    <s v="표준"/>
    <s v="확인요청"/>
    <x v="1"/>
    <x v="2"/>
    <s v="공통 체크리스트 구현 불충분"/>
    <x v="5"/>
  </r>
  <r>
    <s v="UT-PM10308S"/>
    <x v="2"/>
    <x v="3"/>
    <s v="DEF-04741"/>
    <s v="터미널을 바꾸고 검색해도 차트 모양이 변하지 않음."/>
    <s v="염희석"/>
    <x v="1"/>
    <s v="결함"/>
    <s v="기능"/>
    <s v="확인요청"/>
    <x v="0"/>
    <x v="2"/>
    <s v="기능 미동작 또는 오류"/>
    <x v="8"/>
  </r>
  <r>
    <s v="UT-RSPK012S"/>
    <x v="2"/>
    <x v="6"/>
    <s v="DEF-04444"/>
    <s v="[X_005]메세지가 부정확함_x000a_NAME 혹은 vALUE를 입력하지 않으면 서버오류라고 메세지 처리 됨_x000a_--&gt; 필수항목 오류로 표기"/>
    <s v="유경섭"/>
    <x v="1"/>
    <s v="결함"/>
    <s v="표준"/>
    <s v="확인요청"/>
    <x v="1"/>
    <x v="2"/>
    <s v="기능 미동작 또는 오류"/>
    <x v="8"/>
  </r>
  <r>
    <s v="UT-RSPK029M"/>
    <x v="2"/>
    <x v="6"/>
    <s v="DEF-04622"/>
    <s v="[X_001] 차트네 자체 구현으로 표기가 되고 테스트 시나리오 결과서 문서 별도로 없어 테스트 못함 "/>
    <s v="유경섭"/>
    <x v="1"/>
    <s v="개선/변경"/>
    <s v="문서화"/>
    <s v="확인요청"/>
    <x v="1"/>
    <x v="2"/>
    <s v="테스트 결과서 증적 미흡 또는 부재"/>
    <x v="3"/>
  </r>
  <r>
    <s v="UT-RSPK035M"/>
    <x v="2"/>
    <x v="6"/>
    <s v="DEF-04443"/>
    <s v="[C_001] Date 범위 제한 필요_x000a_ 1900-01-01 ~ 2026-03-24로 조회 하였더니 5분이 지나도 계속 loading상태"/>
    <s v="유경섭"/>
    <x v="1"/>
    <s v="개선/변경"/>
    <s v="기능"/>
    <s v="확인요청"/>
    <x v="1"/>
    <x v="2"/>
    <s v="공통 체크리스트 구현 불충분"/>
    <x v="5"/>
  </r>
  <r>
    <s v="UT-PM10311S"/>
    <x v="2"/>
    <x v="3"/>
    <s v="DEF-04742"/>
    <s v="터미널을 바꾸고 검색해도 차트 모양이 변하지 않음."/>
    <s v="염희석"/>
    <x v="1"/>
    <s v="결함"/>
    <s v="기능"/>
    <s v="확인요청"/>
    <x v="0"/>
    <x v="2"/>
    <s v="기능 미동작 또는 오류"/>
    <x v="8"/>
  </r>
  <r>
    <s v="UT-MESCA401S"/>
    <x v="2"/>
    <x v="2"/>
    <s v="DEF-04464"/>
    <s v="[S_4] '선택적 개인정보 수집 이용내역' 이 '필수'가 아닌 '선택' 항목으로 동작하지만 같은 '[필수]' section 하에 존재하여 '필수'로 느껴집니다. 선택 항목이라면 section을 분리하거나, (선택) 등으로 명확히 분리하면 좋을 것 같습니다."/>
    <s v="임지훈"/>
    <x v="1"/>
    <s v="개선/변경"/>
    <s v="UI"/>
    <s v="확인요청"/>
    <x v="1"/>
    <x v="2"/>
    <s v="공통 체크리스트 구현 불충분"/>
    <x v="5"/>
  </r>
  <r>
    <s v="UT-RSPK034M"/>
    <x v="2"/>
    <x v="6"/>
    <s v="DEF-04442"/>
    <s v="[C_001]Date 범위 제한이 필요 함"/>
    <s v="유경섭"/>
    <x v="1"/>
    <s v="개선/변경"/>
    <s v="기능"/>
    <s v="확인요청"/>
    <x v="1"/>
    <x v="2"/>
    <s v="공통 체크리스트 구현 불충분"/>
    <x v="5"/>
  </r>
  <r>
    <s v="UT-WESCM005S"/>
    <x v="2"/>
    <x v="0"/>
    <s v="DEF-04477"/>
    <s v="[S_1] 테스트 시점의 데이터가 존재하지 않는 것인지 화면상에 아무 것도 표시되지 않습니다."/>
    <s v="임지훈"/>
    <x v="1"/>
    <s v="개선/변경"/>
    <s v="데이터"/>
    <s v="확인요청"/>
    <x v="1"/>
    <x v="2"/>
    <s v="기능 미동작"/>
    <x v="8"/>
  </r>
  <r>
    <s v="UT-WESCM006S"/>
    <x v="2"/>
    <x v="0"/>
    <s v="DEF-04481"/>
    <s v="[S_3] 헤더 위에 커서를 가져다 대도 툴팁이 표시되지 않습니다."/>
    <s v="임지훈"/>
    <x v="1"/>
    <s v="개선/변경"/>
    <s v="기능"/>
    <s v="확인요청"/>
    <x v="1"/>
    <x v="2"/>
    <s v="기능 미동작 또는 오류"/>
    <x v="8"/>
  </r>
  <r>
    <s v="UT-WESCM006S"/>
    <x v="2"/>
    <x v="0"/>
    <s v="DEF-04480"/>
    <s v="[S_1] 단위테스트 결과서상으론 초기값 중 '종료편옵션'이 '종료편제외' 라고 기재되어 있으나 실제론 초기값이 '전체'입니다."/>
    <s v="임지훈"/>
    <x v="1"/>
    <s v="개선/변경"/>
    <s v="문서화"/>
    <s v="확인요청"/>
    <x v="1"/>
    <x v="2"/>
    <s v="공통 체크리스트 구현 불충분"/>
    <x v="5"/>
  </r>
  <r>
    <s v="UT-WESCASY051S"/>
    <x v="2"/>
    <x v="0"/>
    <s v="DEF-04522"/>
    <s v="[S_1] [S_2] Date가 '2026-03-19' 이후일 땐 데이터 예외사항이라는 alert이 표출됩니다."/>
    <s v="임지훈"/>
    <x v="1"/>
    <s v="결함"/>
    <s v="기능"/>
    <s v="확인요청"/>
    <x v="0"/>
    <x v="2"/>
    <s v="기능이 부절적하게 동작"/>
    <x v="8"/>
  </r>
  <r>
    <s v="UT-AC08018S"/>
    <x v="2"/>
    <x v="7"/>
    <s v="DEF-04513"/>
    <s v="[C-000] 엑셀버튼 클릭시 아무 작동 안함."/>
    <s v="조수일"/>
    <x v="1"/>
    <s v="결함"/>
    <s v="기능"/>
    <s v="확인요청"/>
    <x v="0"/>
    <x v="2"/>
    <s v="기능 미동작 또는 오류"/>
    <x v="8"/>
  </r>
  <r>
    <s v="UT-WESFP003S"/>
    <x v="2"/>
    <x v="0"/>
    <s v="DEF-04495"/>
    <s v="[S_2] [C_1] (오타) '자'연실제시간존재여부 → '지'연실제시간존재여부"/>
    <s v="임지훈"/>
    <x v="1"/>
    <s v="개선/변경"/>
    <s v="UI"/>
    <s v="확인요청"/>
    <x v="1"/>
    <x v="2"/>
    <s v="구현 화면 비정상"/>
    <x v="5"/>
  </r>
  <r>
    <s v="UT-SLOTOF004S"/>
    <x v="2"/>
    <x v="4"/>
    <s v="DEF-04452"/>
    <s v="시험내용3_저장 안됨  _x000a_시험내용4_수정 안됨_x000a_시험내용5_삭제 안됨"/>
    <s v="김형진"/>
    <x v="1"/>
    <s v="개선/변경"/>
    <s v="기능"/>
    <s v="확인요청"/>
    <x v="1"/>
    <x v="2"/>
    <s v="기능 미동작 또는 오류"/>
    <x v="8"/>
  </r>
  <r>
    <s v="UT-FP-SP162"/>
    <x v="2"/>
    <x v="1"/>
    <s v="DEF-04553"/>
    <s v="[S_001]테스트 결과서에는 EMP_FLT_STTS_CD 및 PSG_FLT_STTS_CD 값이 ㅜNULL에서 OPEN으로 변경 되는데, 실행시 그 값은 바뀌지 않음"/>
    <s v="장경진"/>
    <x v="0"/>
    <s v="개선/변경"/>
    <s v="데이터"/>
    <s v="확인요청"/>
    <x v="1"/>
    <x v="2"/>
    <s v="기능 미동작 또는 오류"/>
    <x v="8"/>
  </r>
  <r>
    <s v="UT-FP-SP174"/>
    <x v="2"/>
    <x v="1"/>
    <s v="DEF-04584"/>
    <s v="[X_001]테스트 결과서에 실행 프로시져가 없어 테스트 안됨"/>
    <s v="장경진"/>
    <x v="0"/>
    <s v="결함"/>
    <s v="문서화"/>
    <s v="확인요청"/>
    <x v="1"/>
    <x v="2"/>
    <s v="테스트 결과서 증적 미흡 또는 부재"/>
    <x v="3"/>
  </r>
  <r>
    <s v="UT-PM10305S"/>
    <x v="2"/>
    <x v="3"/>
    <s v="DEF-04723"/>
    <s v="터미널 및 구역을 바꾸고 검색을 해도 차트 모양이 바뀌지 않음"/>
    <s v="염희석"/>
    <x v="1"/>
    <s v="결함"/>
    <s v="기능"/>
    <s v="확인요청"/>
    <x v="0"/>
    <x v="2"/>
    <s v="기능이 부절적하게 동작"/>
    <x v="8"/>
  </r>
  <r>
    <s v="UT-PM10307S"/>
    <x v="2"/>
    <x v="3"/>
    <s v="DEF-04739"/>
    <s v="터미널을 바꾸고 검색해도 표 내용이 변하지 않음."/>
    <s v="염희석"/>
    <x v="1"/>
    <s v="결함"/>
    <s v="기능"/>
    <s v="확인요청"/>
    <x v="0"/>
    <x v="2"/>
    <s v="기능이 부절적하게 동작"/>
    <x v="8"/>
  </r>
  <r>
    <s v="UT-CARF041S(A)"/>
    <x v="2"/>
    <x v="12"/>
    <s v="DEF-04473"/>
    <s v="신규(+) 버튼을 클릭 후 왼쪽 목록에서 기존에 선택된 행을 클릭하면 오른쪽에 수정 불가 항목(keyword Type, Route Keyword)이 수정 가능하게 됨."/>
    <s v="김명준"/>
    <x v="1"/>
    <s v="결함"/>
    <s v="기능"/>
    <s v="확인요청"/>
    <x v="1"/>
    <x v="2"/>
    <s v="기능이 부절적하게 동작"/>
    <x v="8"/>
  </r>
  <r>
    <s v="UT-FP-SP203"/>
    <x v="2"/>
    <x v="1"/>
    <s v="DEF-04613"/>
    <s v="[s_002] ESB_FIMSDALYACLFLTRSLT_SND 테이블에 데이터가 적재되는지_x000a_          확인이 안됨(데이터 없음) ."/>
    <s v="장경진"/>
    <x v="0"/>
    <s v="개선/변경"/>
    <s v="기능"/>
    <s v="확인요청"/>
    <x v="1"/>
    <x v="2"/>
    <s v="테스트 데이터 불충분"/>
    <x v="4"/>
  </r>
  <r>
    <s v="UT-MESRS083S"/>
    <x v="2"/>
    <x v="2"/>
    <s v="DEF-04461"/>
    <s v="[S_1] [DEF-04459와 동일]_x000a_메뉴 접근 시 '-1 error : 데이터 예외사항입니다. 입력하신 데이터를 확인해 주세요.' 라는 alert이 표출되어 조회가 불가능합니다. 테스트했던 계정은 IDTTEST05, IDTTEST06입니다."/>
    <s v="임지훈"/>
    <x v="1"/>
    <s v="결함"/>
    <s v="기능"/>
    <s v="확인요청"/>
    <x v="2"/>
    <x v="2"/>
    <s v="기능 미동작 또는 오류"/>
    <x v="8"/>
  </r>
  <r>
    <s v="UT-WESFP009M"/>
    <x v="2"/>
    <x v="0"/>
    <s v="DEF-04491"/>
    <s v="[S_3] 찾아보기 버튼 클릭 시에도 아무 반응이 없습니다."/>
    <s v="임지훈"/>
    <x v="1"/>
    <s v="개선/변경"/>
    <s v="기능"/>
    <s v="확인요청"/>
    <x v="0"/>
    <x v="3"/>
    <s v="기능 미동작"/>
    <x v="8"/>
  </r>
  <r>
    <s v="UT-WESFP009M"/>
    <x v="2"/>
    <x v="0"/>
    <s v="DEF-04490"/>
    <s v="[S_2] 양식 다운로드 옆의 엑셀파일 다운로드 버튼을 눌러도 아무 반응이 없습니다."/>
    <s v="임지훈"/>
    <x v="1"/>
    <s v="개선/변경"/>
    <s v="기능"/>
    <s v="확인요청"/>
    <x v="0"/>
    <x v="3"/>
    <s v="기능 미동작"/>
    <x v="8"/>
  </r>
  <r>
    <s v="UT-AC08014S"/>
    <x v="2"/>
    <x v="7"/>
    <s v="DEF-04677"/>
    <s v="next controller 수정후 'change' 버트 클릭시 아래와 같이 서버 오류남."/>
    <s v="조수일"/>
    <x v="1"/>
    <s v="결함"/>
    <s v="기능"/>
    <s v="확인요청"/>
    <x v="0"/>
    <x v="3"/>
    <s v="기능 미동작 또는 오류"/>
    <x v="8"/>
  </r>
  <r>
    <s v="UT-AC08012S"/>
    <x v="2"/>
    <x v="7"/>
    <s v="DEF-04696"/>
    <s v="contract end date  날짜 크기가 다름 "/>
    <s v="조수일"/>
    <x v="1"/>
    <s v="결함"/>
    <s v="기타"/>
    <s v="확인요청"/>
    <x v="1"/>
    <x v="3"/>
    <s v="공통 체크리스트 구현 불충분"/>
    <x v="5"/>
  </r>
  <r>
    <s v="UT-AC06002S"/>
    <x v="2"/>
    <x v="7"/>
    <s v="DEF-04780"/>
    <s v="1.19시험내용 2008.05.16이후 날짜도 검색됨"/>
    <s v="조수일"/>
    <x v="1"/>
    <s v="개선/변경"/>
    <s v="기능"/>
    <s v="확인요청"/>
    <x v="1"/>
    <x v="3"/>
    <s v="공통 체크리스트 구현 불충분"/>
    <x v="5"/>
  </r>
  <r>
    <s v="UT-ACST019S"/>
    <x v="2"/>
    <x v="7"/>
    <s v="DEF-04706"/>
    <s v="time 입력값 표기 결함"/>
    <s v="조수일"/>
    <x v="1"/>
    <s v="결함"/>
    <s v="기타"/>
    <s v="확인요청"/>
    <x v="1"/>
    <x v="3"/>
    <s v="공통 체크리스트 구현 불충분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DFE57-1EA0-40A9-A66A-681145210005}" name="피벗 테이블7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N83:U97" firstHeaderRow="1" firstDataRow="2" firstDataCol="1" rowPageCount="3" colPageCount="1"/>
  <pivotFields count="14"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Row" showAll="0">
      <items count="17">
        <item x="5"/>
        <item x="4"/>
        <item x="12"/>
        <item x="9"/>
        <item x="8"/>
        <item x="2"/>
        <item x="0"/>
        <item x="15"/>
        <item x="3"/>
        <item x="1"/>
        <item x="6"/>
        <item x="14"/>
        <item x="11"/>
        <item x="7"/>
        <item x="10"/>
        <item x="13"/>
        <item t="default"/>
      </items>
    </pivotField>
    <pivotField dataField="1" showAll="0"/>
    <pivotField showAll="0"/>
    <pivotField showAll="0"/>
    <pivotField axis="axisPage" multipleItemSelectionAllowed="1" showAll="0">
      <items count="5">
        <item h="1"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x="4"/>
        <item h="1" x="0"/>
        <item x="5"/>
        <item x="1"/>
        <item x="2"/>
        <item x="3"/>
        <item t="default"/>
      </items>
    </pivotField>
    <pivotField showAll="0"/>
    <pivotField axis="axisCol" showAll="0">
      <items count="13">
        <item x="0"/>
        <item x="1"/>
        <item x="5"/>
        <item x="11"/>
        <item x="8"/>
        <item x="7"/>
        <item x="4"/>
        <item x="3"/>
        <item x="9"/>
        <item x="10"/>
        <item x="6"/>
        <item x="2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 t="grand">
      <x/>
    </i>
  </rowItems>
  <colFields count="1">
    <field x="13"/>
  </colFields>
  <colItems count="7">
    <i>
      <x v="2"/>
    </i>
    <i>
      <x v="4"/>
    </i>
    <i>
      <x v="5"/>
    </i>
    <i>
      <x v="6"/>
    </i>
    <i>
      <x v="7"/>
    </i>
    <i>
      <x v="9"/>
    </i>
    <i t="grand">
      <x/>
    </i>
  </colItems>
  <pageFields count="3">
    <pageField fld="1" hier="-1"/>
    <pageField fld="6" hier="-1"/>
    <pageField fld="11" hier="-1"/>
  </pageFields>
  <dataFields count="1">
    <dataField name="개수 : 결함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D7399-8EAC-4996-A91A-67CF44CB6CB8}" name="피벗 테이블12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A55:H69" firstHeaderRow="1" firstDataRow="2" firstDataCol="1" rowPageCount="2" colPageCount="1"/>
  <pivotFields count="16"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Row" showAll="0">
      <items count="17">
        <item x="5"/>
        <item x="4"/>
        <item x="12"/>
        <item x="9"/>
        <item x="8"/>
        <item x="2"/>
        <item x="0"/>
        <item x="15"/>
        <item x="3"/>
        <item x="1"/>
        <item x="6"/>
        <item x="14"/>
        <item x="11"/>
        <item x="7"/>
        <item x="10"/>
        <item x="13"/>
        <item t="default"/>
      </items>
    </pivotField>
    <pivotField dataField="1" showAll="0"/>
    <pivotField showAll="0"/>
    <pivotField showAll="0"/>
    <pivotField axis="axisPage" multipleItemSelectionAllowed="1" showAll="0">
      <items count="5">
        <item h="1"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Col" multipleItemSelectionAllowed="1" showAll="0">
      <items count="7">
        <item x="4"/>
        <item x="0"/>
        <item x="5"/>
        <item x="1"/>
        <item x="2"/>
        <item x="3"/>
        <item t="default"/>
      </items>
    </pivotField>
    <pivotField numFmtId="22" showAll="0"/>
    <pivotField numFmtId="22" showAll="0"/>
    <pivotField showAll="0"/>
    <pivotField showAll="0">
      <items count="13">
        <item x="0"/>
        <item x="1"/>
        <item x="5"/>
        <item x="11"/>
        <item x="8"/>
        <item x="7"/>
        <item x="4"/>
        <item x="3"/>
        <item x="9"/>
        <item x="10"/>
        <item x="6"/>
        <item x="2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6" hier="-1"/>
    <pageField fld="1" hier="-1"/>
  </pageFields>
  <dataFields count="1">
    <dataField name="개수 : 결함ID" fld="3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4CB6B-7222-4DC9-B78D-A96D99C08E9F}" name="피벗 테이블1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A32:E46" firstHeaderRow="1" firstDataRow="2" firstDataCol="1" rowPageCount="2" colPageCount="1"/>
  <pivotFields count="16"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17">
        <item x="5"/>
        <item x="4"/>
        <item x="12"/>
        <item x="9"/>
        <item x="8"/>
        <item x="2"/>
        <item x="0"/>
        <item x="15"/>
        <item x="3"/>
        <item x="1"/>
        <item x="6"/>
        <item x="14"/>
        <item x="11"/>
        <item x="7"/>
        <item x="10"/>
        <item x="13"/>
        <item t="default"/>
      </items>
    </pivotField>
    <pivotField dataField="1" showAll="0"/>
    <pivotField showAll="0"/>
    <pivotField showAll="0"/>
    <pivotField axis="axisPage" multipleItemSelectionAllowed="1" showAll="0">
      <items count="5">
        <item h="1"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h="1" x="4"/>
        <item x="0"/>
        <item h="1" x="5"/>
        <item h="1" x="1"/>
        <item h="1" x="2"/>
        <item h="1" x="3"/>
        <item t="default"/>
      </items>
    </pivotField>
    <pivotField numFmtId="22" showAll="0"/>
    <pivotField numFmtId="22" showAll="0"/>
    <pivotField showAll="0"/>
    <pivotField showAll="0">
      <items count="13">
        <item x="0"/>
        <item x="1"/>
        <item x="5"/>
        <item x="11"/>
        <item x="8"/>
        <item x="7"/>
        <item x="4"/>
        <item x="3"/>
        <item x="9"/>
        <item x="10"/>
        <item x="6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2">
    <pageField fld="6" hier="-1"/>
    <pageField fld="11" hier="-1"/>
  </pageFields>
  <dataFields count="1">
    <dataField name="개수 : 결함ID" fld="3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D83FF-BFAC-4356-A171-C6F323616AE7}" name="피벗 테이블6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I4:M12" firstHeaderRow="1" firstDataRow="2" firstDataCol="1" rowPageCount="1" colPageCount="1"/>
  <pivotFields count="16"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axis="axisPage" multipleItemSelectionAllowed="1" showAll="0">
      <items count="5">
        <item h="1"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multipleItemSelectionAllowed="1" showAll="0">
      <items count="7">
        <item x="4"/>
        <item x="0"/>
        <item x="5"/>
        <item x="1"/>
        <item x="2"/>
        <item x="3"/>
        <item t="default"/>
      </items>
    </pivotField>
    <pivotField numFmtId="22" showAll="0"/>
    <pivotField numFmtId="22" showAll="0"/>
    <pivotField showAll="0"/>
    <pivotField showAll="0">
      <items count="13">
        <item x="0"/>
        <item x="1"/>
        <item x="5"/>
        <item x="11"/>
        <item x="8"/>
        <item x="7"/>
        <item x="4"/>
        <item x="3"/>
        <item x="9"/>
        <item x="10"/>
        <item x="6"/>
        <item x="2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개수 : 결함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5FFA1-EC3C-46F5-BF57-D0843F206E24}" name="피벗 테이블5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4:E18" firstHeaderRow="1" firstDataRow="2" firstDataCol="1" rowPageCount="2" colPageCount="1"/>
  <pivotFields count="16"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axis="axisPage" multipleItemSelectionAllowed="1" showAll="0">
      <items count="5">
        <item h="1"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x="4"/>
        <item h="1" x="0"/>
        <item x="5"/>
        <item x="1"/>
        <item x="2"/>
        <item x="3"/>
        <item t="default"/>
      </items>
    </pivotField>
    <pivotField numFmtId="22" showAll="0"/>
    <pivotField numFmtId="22" showAll="0"/>
    <pivotField showAll="0"/>
    <pivotField axis="axisRow" showAll="0">
      <items count="13">
        <item x="0"/>
        <item x="1"/>
        <item x="5"/>
        <item x="11"/>
        <item x="8"/>
        <item x="7"/>
        <item x="4"/>
        <item x="3"/>
        <item x="9"/>
        <item x="10"/>
        <item x="6"/>
        <item x="2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2">
    <pageField fld="6" hier="-1"/>
    <pageField fld="11" hier="-1"/>
  </pageFields>
  <dataFields count="1">
    <dataField name="개수 : 결함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E6D65-A5BA-4753-A2EE-4F5D7F49D7B7}" name="피벗 테이블4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27:E41" firstHeaderRow="1" firstDataRow="2" firstDataCol="1" rowPageCount="3" colPageCount="1"/>
  <pivotFields count="14"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Row" showAll="0">
      <items count="17">
        <item x="5"/>
        <item x="4"/>
        <item x="12"/>
        <item x="9"/>
        <item x="8"/>
        <item x="2"/>
        <item x="0"/>
        <item x="15"/>
        <item x="3"/>
        <item x="1"/>
        <item x="6"/>
        <item x="14"/>
        <item x="11"/>
        <item x="7"/>
        <item x="10"/>
        <item x="13"/>
        <item t="default"/>
      </items>
    </pivotField>
    <pivotField dataField="1" showAll="0"/>
    <pivotField showAll="0"/>
    <pivotField showAll="0"/>
    <pivotField axis="axisPage" multipleItemSelectionAllowed="1" showAll="0">
      <items count="5">
        <item h="1" x="3"/>
        <item x="1"/>
        <item x="2"/>
        <item x="0"/>
        <item t="default"/>
      </items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Page" multipleItemSelectionAllowed="1" showAll="0">
      <items count="7">
        <item x="4"/>
        <item h="1" x="0"/>
        <item x="5"/>
        <item x="1"/>
        <item x="2"/>
        <item x="3"/>
        <item t="default"/>
      </items>
    </pivotField>
    <pivotField showAll="0"/>
    <pivotField showAll="0">
      <items count="13">
        <item x="0"/>
        <item x="1"/>
        <item x="5"/>
        <item x="11"/>
        <item x="8"/>
        <item x="7"/>
        <item x="4"/>
        <item x="3"/>
        <item x="9"/>
        <item x="10"/>
        <item x="6"/>
        <item x="2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3">
    <pageField fld="1" hier="-1"/>
    <pageField fld="6" hier="-1"/>
    <pageField fld="11" hier="-1"/>
  </pageFields>
  <dataFields count="1">
    <dataField name="개수 : 결함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EBBE1-FF8E-447A-AAF3-824EEE18FEA0}" name="피벗 테이블3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5:H19" firstHeaderRow="1" firstDataRow="2" firstDataCol="1" rowPageCount="3" colPageCount="1"/>
  <pivotFields count="14"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Row" showAll="0">
      <items count="17">
        <item x="5"/>
        <item x="4"/>
        <item x="12"/>
        <item x="9"/>
        <item x="8"/>
        <item x="2"/>
        <item x="0"/>
        <item x="15"/>
        <item x="3"/>
        <item x="1"/>
        <item x="6"/>
        <item x="14"/>
        <item x="11"/>
        <item x="7"/>
        <item x="10"/>
        <item x="13"/>
        <item t="default"/>
      </items>
    </pivotField>
    <pivotField dataField="1" showAll="0"/>
    <pivotField showAll="0"/>
    <pivotField showAll="0"/>
    <pivotField axis="axisPage" multipleItemSelectionAllowed="1" showAll="0">
      <items count="5">
        <item h="1"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x="4"/>
        <item h="1" x="0"/>
        <item x="5"/>
        <item x="1"/>
        <item x="2"/>
        <item x="3"/>
        <item t="default"/>
      </items>
    </pivotField>
    <pivotField showAll="0"/>
    <pivotField axis="axisCol" showAll="0">
      <items count="13">
        <item x="0"/>
        <item x="1"/>
        <item x="5"/>
        <item x="11"/>
        <item x="8"/>
        <item x="7"/>
        <item x="4"/>
        <item x="3"/>
        <item x="9"/>
        <item x="10"/>
        <item x="6"/>
        <item x="2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 t="grand">
      <x/>
    </i>
  </rowItems>
  <colFields count="1">
    <field x="13"/>
  </colFields>
  <colItems count="7">
    <i>
      <x v="2"/>
    </i>
    <i>
      <x v="4"/>
    </i>
    <i>
      <x v="5"/>
    </i>
    <i>
      <x v="6"/>
    </i>
    <i>
      <x v="7"/>
    </i>
    <i>
      <x v="9"/>
    </i>
    <i t="grand">
      <x/>
    </i>
  </colItems>
  <pageFields count="3">
    <pageField fld="1" hier="-1"/>
    <pageField fld="6" hier="-1"/>
    <pageField fld="11" hier="-1"/>
  </pageFields>
  <dataFields count="1">
    <dataField name="개수 : 결함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3F87C-8916-4E29-B112-74E1C459CF31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20" firstHeaderRow="1" firstDataRow="2" firstDataCol="1"/>
  <pivotFields count="32">
    <pivotField axis="axisRow" showAll="0">
      <items count="16">
        <item x="4"/>
        <item x="14"/>
        <item x="0"/>
        <item x="1"/>
        <item x="8"/>
        <item x="11"/>
        <item x="10"/>
        <item x="3"/>
        <item x="6"/>
        <item x="2"/>
        <item x="12"/>
        <item x="13"/>
        <item x="5"/>
        <item x="7"/>
        <item x="9"/>
        <item t="default"/>
      </items>
    </pivotField>
    <pivotField showAll="0"/>
    <pivotField showAll="0"/>
    <pivotField axis="axisCol" showAll="0">
      <items count="6">
        <item h="1" x="1"/>
        <item h="1" x="3"/>
        <item x="0"/>
        <item x="4"/>
        <item x="2"/>
        <item t="default"/>
      </items>
    </pivotField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4">
    <i>
      <x v="2"/>
    </i>
    <i>
      <x v="3"/>
    </i>
    <i>
      <x v="4"/>
    </i>
    <i t="grand">
      <x/>
    </i>
  </colItems>
  <dataFields count="1">
    <dataField name="개수 : 프로그램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ration2_3_테스트_결함20260401" displayName="Iteration2_3_테스트_결함20260401" ref="A1:N638">
  <sortState xmlns:xlrd2="http://schemas.microsoft.com/office/spreadsheetml/2017/richdata2" ref="A2:N638">
    <sortCondition ref="B2:B638"/>
  </sortState>
  <tableColumns count="14">
    <tableColumn id="1" xr3:uid="{00000000-0010-0000-0000-000001000000}" name="시나리오ID"/>
    <tableColumn id="2" xr3:uid="{00000000-0010-0000-0000-000002000000}" name="테스트차수"/>
    <tableColumn id="4" xr3:uid="{00000000-0010-0000-0000-000004000000}" name="업무모듈명"/>
    <tableColumn id="5" xr3:uid="{00000000-0010-0000-0000-000005000000}" name="결함ID"/>
    <tableColumn id="6" xr3:uid="{00000000-0010-0000-0000-000006000000}" name="결함내용"/>
    <tableColumn id="8" xr3:uid="{00000000-0010-0000-0000-000008000000}" name="PL"/>
    <tableColumn id="11" xr3:uid="{00000000-0010-0000-0000-00000B000000}" name="기능유형"/>
    <tableColumn id="12" xr3:uid="{00000000-0010-0000-0000-00000C000000}" name="결함구분"/>
    <tableColumn id="13" xr3:uid="{00000000-0010-0000-0000-00000D000000}" name="결함유형"/>
    <tableColumn id="14" xr3:uid="{00000000-0010-0000-0000-00000E000000}" name="결함상태"/>
    <tableColumn id="16" xr3:uid="{00000000-0010-0000-0000-000010000000}" name="심각도"/>
    <tableColumn id="17" xr3:uid="{00000000-0010-0000-0000-000011000000}" name="조치상태"/>
    <tableColumn id="18" xr3:uid="{00000000-0010-0000-0000-000012000000}" name="결함등록일" dataDxfId="6"/>
    <tableColumn id="19" xr3:uid="{00000000-0010-0000-0000-000013000000}" name="결함수정일시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ration2_3_테스트_결과20260401" displayName="Iteration2_3_테스트_결과20260401" ref="A1:AF503">
  <autoFilter ref="A1:AF503" xr:uid="{00000000-0009-0000-0100-000002000000}"/>
  <tableColumns count="32">
    <tableColumn id="1" xr3:uid="{00000000-0010-0000-0100-000001000000}" name="업무"/>
    <tableColumn id="2" xr3:uid="{00000000-0010-0000-0100-000002000000}" name="업무분류1"/>
    <tableColumn id="3" xr3:uid="{00000000-0010-0000-0100-000003000000}" name="업무분류2"/>
    <tableColumn id="4" xr3:uid="{00000000-0010-0000-0100-000004000000}" name="기능유형"/>
    <tableColumn id="5" xr3:uid="{00000000-0010-0000-0100-000005000000}" name="프로그램ID"/>
    <tableColumn id="6" xr3:uid="{00000000-0010-0000-0100-000006000000}" name="프로그램명"/>
    <tableColumn id="7" xr3:uid="{00000000-0010-0000-0100-000007000000}" name="개발자"/>
    <tableColumn id="8" xr3:uid="{00000000-0010-0000-0100-000008000000}" name="개발완료계획일" dataDxfId="4"/>
    <tableColumn id="9" xr3:uid="{00000000-0010-0000-0100-000009000000}" name="개발완료일" dataDxfId="3"/>
    <tableColumn id="10" xr3:uid="{00000000-0010-0000-0100-00000A000000}" name="UT_SN_ID"/>
    <tableColumn id="11" xr3:uid="{00000000-0010-0000-0100-00000B000000}" name="차수"/>
    <tableColumn id="12" xr3:uid="{00000000-0010-0000-0100-00000C000000}" name="순번"/>
    <tableColumn id="13" xr3:uid="{00000000-0010-0000-0100-00000D000000}" name="3자테스트완료일" dataDxfId="2"/>
    <tableColumn id="14" xr3:uid="{00000000-0010-0000-0100-00000E000000}" name="3자TEST결과"/>
    <tableColumn id="15" xr3:uid="{00000000-0010-0000-0100-00000F000000}" name="순수결함건수"/>
    <tableColumn id="16" xr3:uid="{00000000-0010-0000-0100-000010000000}" name="3자테스터명"/>
    <tableColumn id="17" xr3:uid="{00000000-0010-0000-0100-000011000000}" name="3자최종결과"/>
    <tableColumn id="18" xr3:uid="{00000000-0010-0000-0100-000012000000}" name="공사테스트완료계획일" dataDxfId="1"/>
    <tableColumn id="19" xr3:uid="{00000000-0010-0000-0100-000013000000}" name="공사테스트완료일"/>
    <tableColumn id="20" xr3:uid="{00000000-0010-0000-0100-000014000000}" name="공사테스트결과"/>
    <tableColumn id="21" xr3:uid="{00000000-0010-0000-0100-000015000000}" name="순수결함건수(공사)"/>
    <tableColumn id="22" xr3:uid="{00000000-0010-0000-0100-000016000000}" name="공사테스터명"/>
    <tableColumn id="23" xr3:uid="{00000000-0010-0000-0100-000017000000}" name="공사최종결과"/>
    <tableColumn id="24" xr3:uid="{00000000-0010-0000-0100-000018000000}" name="현업테스트완료계획일" dataDxfId="0"/>
    <tableColumn id="25" xr3:uid="{00000000-0010-0000-0100-000019000000}" name="현업테스트완료일"/>
    <tableColumn id="26" xr3:uid="{00000000-0010-0000-0100-00001A000000}" name="현업테스트결과"/>
    <tableColumn id="27" xr3:uid="{00000000-0010-0000-0100-00001B000000}" name="순수결함건수(현업)"/>
    <tableColumn id="28" xr3:uid="{00000000-0010-0000-0100-00001C000000}" name="현업테스터명"/>
    <tableColumn id="29" xr3:uid="{00000000-0010-0000-0100-00001D000000}" name="현업최종결과"/>
    <tableColumn id="30" xr3:uid="{00000000-0010-0000-0100-00001E000000}" name="감리테스트완료일"/>
    <tableColumn id="31" xr3:uid="{00000000-0010-0000-0100-00001F000000}" name="감리테스트결과"/>
    <tableColumn id="32" xr3:uid="{00000000-0010-0000-0100-000020000000}" name="순수결함건수(감리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C130-6AB8-4CF9-A610-47BD7FA6751F}">
  <dimension ref="A1:U121"/>
  <sheetViews>
    <sheetView tabSelected="1" topLeftCell="C96" zoomScale="85" zoomScaleNormal="85" workbookViewId="0">
      <selection activeCell="C111" sqref="C111"/>
    </sheetView>
  </sheetViews>
  <sheetFormatPr defaultRowHeight="17.399999999999999"/>
  <cols>
    <col min="1" max="1" width="11" customWidth="1"/>
    <col min="2" max="2" width="18" customWidth="1"/>
    <col min="3" max="3" width="56.19921875" customWidth="1"/>
    <col min="4" max="5" width="8.59765625" bestFit="1" customWidth="1"/>
    <col min="6" max="7" width="5" bestFit="1" customWidth="1"/>
    <col min="8" max="9" width="10.3984375" bestFit="1" customWidth="1"/>
    <col min="10" max="10" width="8.59765625" bestFit="1" customWidth="1"/>
    <col min="11" max="11" width="5" bestFit="1" customWidth="1"/>
    <col min="12" max="12" width="6.796875" bestFit="1" customWidth="1"/>
    <col min="13" max="13" width="7.3984375" bestFit="1" customWidth="1"/>
    <col min="14" max="15" width="9.19921875" bestFit="1" customWidth="1"/>
    <col min="16" max="16" width="7.3984375" bestFit="1" customWidth="1"/>
    <col min="17" max="17" width="9.19921875" bestFit="1" customWidth="1"/>
    <col min="18" max="18" width="11.8984375" bestFit="1" customWidth="1"/>
    <col min="19" max="20" width="9.19921875" bestFit="1" customWidth="1"/>
    <col min="21" max="21" width="11.09765625" bestFit="1" customWidth="1"/>
    <col min="22" max="22" width="7.3984375" bestFit="1" customWidth="1"/>
  </cols>
  <sheetData>
    <row r="1" spans="1:19">
      <c r="A1" s="7" t="s">
        <v>7</v>
      </c>
      <c r="B1" t="s">
        <v>3392</v>
      </c>
    </row>
    <row r="2" spans="1:19">
      <c r="A2" s="7" t="s">
        <v>12</v>
      </c>
      <c r="B2" t="s">
        <v>3392</v>
      </c>
      <c r="I2" s="7" t="s">
        <v>7</v>
      </c>
      <c r="J2" t="s">
        <v>3392</v>
      </c>
    </row>
    <row r="3" spans="1:19">
      <c r="O3" s="2" t="s">
        <v>3398</v>
      </c>
    </row>
    <row r="4" spans="1:19">
      <c r="A4" s="7" t="s">
        <v>3394</v>
      </c>
      <c r="B4" s="7" t="s">
        <v>3393</v>
      </c>
      <c r="I4" s="7" t="s">
        <v>3394</v>
      </c>
      <c r="J4" s="7" t="s">
        <v>3393</v>
      </c>
    </row>
    <row r="5" spans="1:19">
      <c r="A5" s="7" t="s">
        <v>3390</v>
      </c>
      <c r="B5" t="s">
        <v>215</v>
      </c>
      <c r="C5" t="s">
        <v>183</v>
      </c>
      <c r="D5" t="s">
        <v>18</v>
      </c>
      <c r="E5" t="s">
        <v>3391</v>
      </c>
      <c r="I5" s="7" t="s">
        <v>3390</v>
      </c>
      <c r="J5" t="s">
        <v>215</v>
      </c>
      <c r="K5" t="s">
        <v>183</v>
      </c>
      <c r="L5" t="s">
        <v>18</v>
      </c>
      <c r="M5" t="s">
        <v>3391</v>
      </c>
      <c r="P5" s="9" t="s">
        <v>215</v>
      </c>
      <c r="Q5" s="9" t="s">
        <v>183</v>
      </c>
      <c r="R5" s="9" t="s">
        <v>18</v>
      </c>
    </row>
    <row r="6" spans="1:19">
      <c r="A6" s="8" t="s">
        <v>31</v>
      </c>
      <c r="B6">
        <v>2</v>
      </c>
      <c r="C6">
        <v>5</v>
      </c>
      <c r="D6">
        <v>1</v>
      </c>
      <c r="E6">
        <v>8</v>
      </c>
      <c r="I6" s="8" t="s">
        <v>28</v>
      </c>
      <c r="L6">
        <v>46</v>
      </c>
      <c r="M6">
        <v>46</v>
      </c>
      <c r="O6" s="2" t="s">
        <v>3396</v>
      </c>
      <c r="P6">
        <f>P8-P7</f>
        <v>220</v>
      </c>
      <c r="Q6">
        <f t="shared" ref="Q6:R6" si="0">Q8-Q7</f>
        <v>155</v>
      </c>
      <c r="R6">
        <f t="shared" si="0"/>
        <v>93</v>
      </c>
    </row>
    <row r="7" spans="1:19">
      <c r="A7" s="8" t="s">
        <v>41</v>
      </c>
      <c r="B7">
        <v>65</v>
      </c>
      <c r="C7">
        <v>41</v>
      </c>
      <c r="D7">
        <v>42</v>
      </c>
      <c r="E7">
        <v>148</v>
      </c>
      <c r="I7" s="8" t="s">
        <v>189</v>
      </c>
      <c r="J7">
        <v>26</v>
      </c>
      <c r="K7">
        <v>107</v>
      </c>
      <c r="L7">
        <v>35</v>
      </c>
      <c r="M7">
        <v>168</v>
      </c>
      <c r="O7" s="2" t="s">
        <v>3395</v>
      </c>
      <c r="P7">
        <v>26</v>
      </c>
      <c r="Q7">
        <v>107</v>
      </c>
      <c r="R7">
        <v>35</v>
      </c>
    </row>
    <row r="8" spans="1:19">
      <c r="A8" s="8" t="s">
        <v>73</v>
      </c>
      <c r="B8">
        <v>4</v>
      </c>
      <c r="C8">
        <v>5</v>
      </c>
      <c r="D8">
        <v>3</v>
      </c>
      <c r="E8">
        <v>12</v>
      </c>
      <c r="I8" s="8" t="s">
        <v>694</v>
      </c>
      <c r="L8">
        <v>11</v>
      </c>
      <c r="M8">
        <v>11</v>
      </c>
      <c r="O8" s="2" t="s">
        <v>3397</v>
      </c>
      <c r="P8" s="10">
        <v>246</v>
      </c>
      <c r="Q8" s="10">
        <v>262</v>
      </c>
      <c r="R8" s="10">
        <v>128</v>
      </c>
      <c r="S8" s="10"/>
    </row>
    <row r="9" spans="1:19">
      <c r="A9" s="8" t="s">
        <v>480</v>
      </c>
      <c r="B9">
        <v>2</v>
      </c>
      <c r="C9">
        <v>1</v>
      </c>
      <c r="D9">
        <v>1</v>
      </c>
      <c r="E9">
        <v>4</v>
      </c>
      <c r="I9" s="8" t="s">
        <v>724</v>
      </c>
      <c r="J9">
        <v>220</v>
      </c>
      <c r="K9">
        <v>134</v>
      </c>
      <c r="L9">
        <v>5</v>
      </c>
      <c r="M9">
        <v>359</v>
      </c>
    </row>
    <row r="10" spans="1:19">
      <c r="A10" s="8" t="s">
        <v>39</v>
      </c>
      <c r="B10">
        <v>41</v>
      </c>
      <c r="C10">
        <v>39</v>
      </c>
      <c r="D10">
        <v>12</v>
      </c>
      <c r="E10">
        <v>92</v>
      </c>
      <c r="I10" s="8" t="s">
        <v>1716</v>
      </c>
      <c r="K10">
        <v>19</v>
      </c>
      <c r="L10">
        <v>25</v>
      </c>
      <c r="M10">
        <v>44</v>
      </c>
    </row>
    <row r="11" spans="1:19">
      <c r="A11" s="8" t="s">
        <v>56</v>
      </c>
      <c r="B11">
        <v>32</v>
      </c>
      <c r="C11">
        <v>20</v>
      </c>
      <c r="D11">
        <v>11</v>
      </c>
      <c r="E11">
        <v>63</v>
      </c>
      <c r="I11" s="8" t="s">
        <v>1715</v>
      </c>
      <c r="K11">
        <v>2</v>
      </c>
      <c r="L11">
        <v>6</v>
      </c>
      <c r="M11">
        <v>8</v>
      </c>
    </row>
    <row r="12" spans="1:19">
      <c r="A12" s="8" t="s">
        <v>69</v>
      </c>
      <c r="B12">
        <v>5</v>
      </c>
      <c r="C12">
        <v>8</v>
      </c>
      <c r="D12">
        <v>8</v>
      </c>
      <c r="E12">
        <v>21</v>
      </c>
      <c r="I12" s="8" t="s">
        <v>3391</v>
      </c>
      <c r="J12">
        <v>246</v>
      </c>
      <c r="K12">
        <v>262</v>
      </c>
      <c r="L12">
        <v>128</v>
      </c>
      <c r="M12">
        <v>636</v>
      </c>
    </row>
    <row r="13" spans="1:19">
      <c r="A13" s="8" t="s">
        <v>58</v>
      </c>
      <c r="B13">
        <v>9</v>
      </c>
      <c r="C13">
        <v>6</v>
      </c>
      <c r="E13">
        <v>15</v>
      </c>
    </row>
    <row r="14" spans="1:19">
      <c r="A14" s="8" t="s">
        <v>127</v>
      </c>
      <c r="B14">
        <v>26</v>
      </c>
      <c r="C14">
        <v>5</v>
      </c>
      <c r="D14">
        <v>5</v>
      </c>
      <c r="E14">
        <v>36</v>
      </c>
      <c r="J14" s="2"/>
      <c r="K14" s="2"/>
      <c r="L14" s="2"/>
    </row>
    <row r="15" spans="1:19">
      <c r="A15" s="8" t="s">
        <v>66</v>
      </c>
      <c r="B15">
        <v>7</v>
      </c>
      <c r="C15">
        <v>9</v>
      </c>
      <c r="D15">
        <v>4</v>
      </c>
      <c r="E15">
        <v>20</v>
      </c>
      <c r="I15" s="9"/>
      <c r="L15" s="10"/>
    </row>
    <row r="16" spans="1:19">
      <c r="A16" s="8" t="s">
        <v>77</v>
      </c>
      <c r="B16">
        <v>27</v>
      </c>
      <c r="C16">
        <v>14</v>
      </c>
      <c r="D16">
        <v>6</v>
      </c>
      <c r="E16">
        <v>47</v>
      </c>
      <c r="I16" s="9"/>
      <c r="L16" s="10"/>
    </row>
    <row r="17" spans="1:12">
      <c r="A17" s="8" t="s">
        <v>53</v>
      </c>
      <c r="C17">
        <v>2</v>
      </c>
      <c r="E17">
        <v>2</v>
      </c>
      <c r="I17" s="9"/>
      <c r="L17" s="10"/>
    </row>
    <row r="18" spans="1:12">
      <c r="A18" s="8" t="s">
        <v>3391</v>
      </c>
      <c r="B18">
        <v>220</v>
      </c>
      <c r="C18">
        <v>155</v>
      </c>
      <c r="D18">
        <v>93</v>
      </c>
      <c r="E18">
        <v>468</v>
      </c>
    </row>
    <row r="29" spans="1:12">
      <c r="A29" s="7" t="s">
        <v>7</v>
      </c>
      <c r="B29" t="s">
        <v>3392</v>
      </c>
    </row>
    <row r="30" spans="1:12">
      <c r="A30" s="7" t="s">
        <v>12</v>
      </c>
      <c r="B30" t="s">
        <v>189</v>
      </c>
    </row>
    <row r="32" spans="1:12">
      <c r="A32" s="7" t="s">
        <v>3394</v>
      </c>
      <c r="B32" s="7" t="s">
        <v>3393</v>
      </c>
    </row>
    <row r="33" spans="1:5">
      <c r="A33" s="7" t="s">
        <v>3390</v>
      </c>
      <c r="B33" t="s">
        <v>215</v>
      </c>
      <c r="C33" t="s">
        <v>183</v>
      </c>
      <c r="D33" t="s">
        <v>18</v>
      </c>
      <c r="E33" t="s">
        <v>3391</v>
      </c>
    </row>
    <row r="34" spans="1:5">
      <c r="A34" s="8" t="s">
        <v>580</v>
      </c>
      <c r="B34">
        <v>3</v>
      </c>
      <c r="C34">
        <v>1</v>
      </c>
      <c r="E34">
        <v>4</v>
      </c>
    </row>
    <row r="35" spans="1:5">
      <c r="A35" s="8" t="s">
        <v>33</v>
      </c>
      <c r="B35">
        <v>1</v>
      </c>
      <c r="C35">
        <v>2</v>
      </c>
      <c r="E35">
        <v>3</v>
      </c>
    </row>
    <row r="36" spans="1:5">
      <c r="A36" s="8" t="s">
        <v>301</v>
      </c>
      <c r="C36">
        <v>9</v>
      </c>
      <c r="D36">
        <v>1</v>
      </c>
      <c r="E36">
        <v>10</v>
      </c>
    </row>
    <row r="37" spans="1:5">
      <c r="A37" s="8" t="s">
        <v>266</v>
      </c>
      <c r="C37">
        <v>10</v>
      </c>
      <c r="D37">
        <v>2</v>
      </c>
      <c r="E37">
        <v>12</v>
      </c>
    </row>
    <row r="38" spans="1:5">
      <c r="A38" s="8" t="s">
        <v>261</v>
      </c>
      <c r="B38">
        <v>3</v>
      </c>
      <c r="C38">
        <v>2</v>
      </c>
      <c r="D38">
        <v>4</v>
      </c>
      <c r="E38">
        <v>9</v>
      </c>
    </row>
    <row r="39" spans="1:5">
      <c r="A39" s="8" t="s">
        <v>216</v>
      </c>
      <c r="B39">
        <v>2</v>
      </c>
      <c r="C39">
        <v>2</v>
      </c>
      <c r="D39">
        <v>7</v>
      </c>
      <c r="E39">
        <v>11</v>
      </c>
    </row>
    <row r="40" spans="1:5">
      <c r="A40" s="8" t="s">
        <v>306</v>
      </c>
      <c r="D40">
        <v>1</v>
      </c>
      <c r="E40">
        <v>1</v>
      </c>
    </row>
    <row r="41" spans="1:5">
      <c r="A41" s="8" t="s">
        <v>184</v>
      </c>
      <c r="B41">
        <v>6</v>
      </c>
      <c r="C41">
        <v>17</v>
      </c>
      <c r="E41">
        <v>23</v>
      </c>
    </row>
    <row r="42" spans="1:5">
      <c r="A42" s="8" t="s">
        <v>229</v>
      </c>
      <c r="B42">
        <v>7</v>
      </c>
      <c r="C42">
        <v>21</v>
      </c>
      <c r="D42">
        <v>10</v>
      </c>
      <c r="E42">
        <v>38</v>
      </c>
    </row>
    <row r="43" spans="1:5">
      <c r="A43" s="8" t="s">
        <v>111</v>
      </c>
      <c r="B43">
        <v>4</v>
      </c>
      <c r="C43">
        <v>14</v>
      </c>
      <c r="D43">
        <v>3</v>
      </c>
      <c r="E43">
        <v>21</v>
      </c>
    </row>
    <row r="44" spans="1:5">
      <c r="A44" s="8" t="s">
        <v>402</v>
      </c>
      <c r="C44">
        <v>3</v>
      </c>
      <c r="E44">
        <v>3</v>
      </c>
    </row>
    <row r="45" spans="1:5">
      <c r="A45" s="8" t="s">
        <v>275</v>
      </c>
      <c r="C45">
        <v>26</v>
      </c>
      <c r="D45">
        <v>7</v>
      </c>
      <c r="E45">
        <v>33</v>
      </c>
    </row>
    <row r="46" spans="1:5">
      <c r="A46" s="8" t="s">
        <v>3391</v>
      </c>
      <c r="B46">
        <v>26</v>
      </c>
      <c r="C46">
        <v>107</v>
      </c>
      <c r="D46">
        <v>35</v>
      </c>
      <c r="E46">
        <v>168</v>
      </c>
    </row>
    <row r="52" spans="1:9">
      <c r="A52" s="7" t="s">
        <v>7</v>
      </c>
      <c r="B52" t="s">
        <v>3392</v>
      </c>
    </row>
    <row r="53" spans="1:9">
      <c r="A53" s="7" t="s">
        <v>1</v>
      </c>
      <c r="B53" t="s">
        <v>18</v>
      </c>
    </row>
    <row r="55" spans="1:9">
      <c r="A55" s="7" t="s">
        <v>3394</v>
      </c>
      <c r="B55" s="7" t="s">
        <v>3393</v>
      </c>
    </row>
    <row r="56" spans="1:9">
      <c r="A56" s="7" t="s">
        <v>3390</v>
      </c>
      <c r="B56" t="s">
        <v>28</v>
      </c>
      <c r="C56" t="s">
        <v>189</v>
      </c>
      <c r="D56" t="s">
        <v>694</v>
      </c>
      <c r="E56" t="s">
        <v>724</v>
      </c>
      <c r="F56" t="s">
        <v>1716</v>
      </c>
      <c r="G56" t="s">
        <v>1715</v>
      </c>
      <c r="H56" t="s">
        <v>3391</v>
      </c>
    </row>
    <row r="57" spans="1:9">
      <c r="A57" s="8" t="s">
        <v>33</v>
      </c>
      <c r="B57">
        <v>1</v>
      </c>
      <c r="F57">
        <v>1</v>
      </c>
      <c r="H57">
        <v>2</v>
      </c>
      <c r="I57" s="11">
        <f>C57/H57</f>
        <v>0</v>
      </c>
    </row>
    <row r="58" spans="1:9">
      <c r="A58" s="8" t="s">
        <v>301</v>
      </c>
      <c r="C58">
        <v>1</v>
      </c>
      <c r="E58">
        <v>1</v>
      </c>
      <c r="F58">
        <v>1</v>
      </c>
      <c r="H58">
        <v>3</v>
      </c>
      <c r="I58" s="11">
        <f t="shared" ref="I58:I69" si="1">C58/H58</f>
        <v>0.33333333333333331</v>
      </c>
    </row>
    <row r="59" spans="1:9">
      <c r="A59" s="8" t="s">
        <v>266</v>
      </c>
      <c r="C59">
        <v>2</v>
      </c>
      <c r="E59">
        <v>3</v>
      </c>
      <c r="H59">
        <v>5</v>
      </c>
      <c r="I59" s="11">
        <f t="shared" si="1"/>
        <v>0.4</v>
      </c>
    </row>
    <row r="60" spans="1:9">
      <c r="A60" s="8" t="s">
        <v>46</v>
      </c>
      <c r="B60">
        <v>21</v>
      </c>
      <c r="H60">
        <v>21</v>
      </c>
      <c r="I60" s="11">
        <f t="shared" si="1"/>
        <v>0</v>
      </c>
    </row>
    <row r="61" spans="1:9">
      <c r="A61" s="8" t="s">
        <v>261</v>
      </c>
      <c r="C61">
        <v>4</v>
      </c>
      <c r="D61">
        <v>4</v>
      </c>
      <c r="F61">
        <v>2</v>
      </c>
      <c r="H61">
        <v>10</v>
      </c>
      <c r="I61" s="11">
        <f t="shared" si="1"/>
        <v>0.4</v>
      </c>
    </row>
    <row r="62" spans="1:9">
      <c r="A62" s="8" t="s">
        <v>216</v>
      </c>
      <c r="C62">
        <v>7</v>
      </c>
      <c r="D62">
        <v>1</v>
      </c>
      <c r="F62">
        <v>6</v>
      </c>
      <c r="G62">
        <v>2</v>
      </c>
      <c r="H62">
        <v>16</v>
      </c>
      <c r="I62" s="11">
        <f t="shared" si="1"/>
        <v>0.4375</v>
      </c>
    </row>
    <row r="63" spans="1:9">
      <c r="A63" s="8" t="s">
        <v>306</v>
      </c>
      <c r="C63">
        <v>1</v>
      </c>
      <c r="D63">
        <v>1</v>
      </c>
      <c r="E63">
        <v>1</v>
      </c>
      <c r="H63">
        <v>3</v>
      </c>
      <c r="I63" s="11">
        <f t="shared" si="1"/>
        <v>0.33333333333333331</v>
      </c>
    </row>
    <row r="64" spans="1:9">
      <c r="A64" s="8" t="s">
        <v>184</v>
      </c>
      <c r="F64">
        <v>4</v>
      </c>
      <c r="H64">
        <v>4</v>
      </c>
      <c r="I64" s="11">
        <f t="shared" si="1"/>
        <v>0</v>
      </c>
    </row>
    <row r="65" spans="1:15">
      <c r="A65" s="8" t="s">
        <v>229</v>
      </c>
      <c r="C65">
        <v>10</v>
      </c>
      <c r="F65">
        <v>5</v>
      </c>
      <c r="H65">
        <v>15</v>
      </c>
      <c r="I65" s="11">
        <f t="shared" si="1"/>
        <v>0.66666666666666663</v>
      </c>
    </row>
    <row r="66" spans="1:15">
      <c r="A66" s="8" t="s">
        <v>111</v>
      </c>
      <c r="B66">
        <v>6</v>
      </c>
      <c r="C66">
        <v>3</v>
      </c>
      <c r="D66">
        <v>1</v>
      </c>
      <c r="F66">
        <v>5</v>
      </c>
      <c r="H66">
        <v>15</v>
      </c>
      <c r="I66" s="11">
        <f t="shared" si="1"/>
        <v>0.2</v>
      </c>
    </row>
    <row r="67" spans="1:15">
      <c r="A67" s="8" t="s">
        <v>275</v>
      </c>
      <c r="C67">
        <v>7</v>
      </c>
      <c r="D67">
        <v>4</v>
      </c>
      <c r="F67">
        <v>1</v>
      </c>
      <c r="G67">
        <v>4</v>
      </c>
      <c r="H67">
        <v>16</v>
      </c>
      <c r="I67" s="11">
        <f t="shared" si="1"/>
        <v>0.4375</v>
      </c>
    </row>
    <row r="68" spans="1:15">
      <c r="A68" s="8" t="s">
        <v>19</v>
      </c>
      <c r="B68">
        <v>18</v>
      </c>
      <c r="H68">
        <v>18</v>
      </c>
      <c r="I68" s="11">
        <f t="shared" si="1"/>
        <v>0</v>
      </c>
    </row>
    <row r="69" spans="1:15">
      <c r="A69" s="8" t="s">
        <v>3391</v>
      </c>
      <c r="B69">
        <v>46</v>
      </c>
      <c r="C69">
        <v>35</v>
      </c>
      <c r="D69">
        <v>11</v>
      </c>
      <c r="E69">
        <v>5</v>
      </c>
      <c r="F69">
        <v>25</v>
      </c>
      <c r="G69">
        <v>6</v>
      </c>
      <c r="H69">
        <v>128</v>
      </c>
      <c r="I69" s="11">
        <f t="shared" si="1"/>
        <v>0.2734375</v>
      </c>
    </row>
    <row r="79" spans="1:15" ht="46.8">
      <c r="A79" s="24" t="s">
        <v>3399</v>
      </c>
      <c r="B79" s="25"/>
      <c r="C79" s="26" t="s">
        <v>3400</v>
      </c>
      <c r="D79" s="27" t="s">
        <v>66</v>
      </c>
      <c r="E79" s="27" t="s">
        <v>58</v>
      </c>
      <c r="F79" s="27" t="s">
        <v>39</v>
      </c>
      <c r="G79" s="27" t="s">
        <v>3443</v>
      </c>
      <c r="H79" s="27" t="s">
        <v>3417</v>
      </c>
      <c r="I79" s="27" t="s">
        <v>3441</v>
      </c>
      <c r="J79" s="28" t="s">
        <v>3401</v>
      </c>
      <c r="N79" s="7" t="s">
        <v>1</v>
      </c>
      <c r="O79" t="s">
        <v>18</v>
      </c>
    </row>
    <row r="80" spans="1:15">
      <c r="A80" s="29" t="s">
        <v>3402</v>
      </c>
      <c r="B80" s="30" t="s">
        <v>184</v>
      </c>
      <c r="C80" s="31">
        <f>VLOOKUP(B80,Test_list,5,FALSE)</f>
        <v>29</v>
      </c>
      <c r="D80" s="44">
        <v>0</v>
      </c>
      <c r="E80" s="44">
        <v>0</v>
      </c>
      <c r="F80" s="45">
        <v>4</v>
      </c>
      <c r="G80" s="44">
        <v>0</v>
      </c>
      <c r="H80" s="44">
        <v>0</v>
      </c>
      <c r="I80" s="44">
        <v>0</v>
      </c>
      <c r="J80" s="45">
        <f>SUM(D80:I80)</f>
        <v>4</v>
      </c>
      <c r="N80" s="7" t="s">
        <v>7</v>
      </c>
      <c r="O80" t="s">
        <v>3392</v>
      </c>
    </row>
    <row r="81" spans="1:21">
      <c r="A81" s="29"/>
      <c r="B81" s="30" t="s">
        <v>974</v>
      </c>
      <c r="C81" s="31">
        <v>0</v>
      </c>
      <c r="D81" s="44">
        <v>0</v>
      </c>
      <c r="E81" s="44">
        <v>0</v>
      </c>
      <c r="F81" s="45">
        <v>0</v>
      </c>
      <c r="G81" s="44">
        <v>0</v>
      </c>
      <c r="H81" s="44">
        <v>0</v>
      </c>
      <c r="I81" s="44">
        <v>0</v>
      </c>
      <c r="J81" s="45">
        <f t="shared" ref="J81:J96" si="2">SUM(D81:I81)</f>
        <v>0</v>
      </c>
      <c r="N81" s="7" t="s">
        <v>12</v>
      </c>
      <c r="O81" t="s">
        <v>3392</v>
      </c>
    </row>
    <row r="82" spans="1:21">
      <c r="A82" s="29"/>
      <c r="B82" s="30" t="s">
        <v>46</v>
      </c>
      <c r="C82" s="31">
        <f>VLOOKUP(B82,Test_list,5,FALSE)</f>
        <v>28</v>
      </c>
      <c r="D82" s="44">
        <v>0</v>
      </c>
      <c r="E82" s="44">
        <v>7</v>
      </c>
      <c r="F82" s="45">
        <v>0</v>
      </c>
      <c r="G82" s="44">
        <v>13</v>
      </c>
      <c r="H82" s="44">
        <v>0</v>
      </c>
      <c r="I82" s="44">
        <v>1</v>
      </c>
      <c r="J82" s="45">
        <f t="shared" si="2"/>
        <v>21</v>
      </c>
    </row>
    <row r="83" spans="1:21">
      <c r="A83" s="29"/>
      <c r="B83" s="30" t="s">
        <v>19</v>
      </c>
      <c r="C83" s="31">
        <f>VLOOKUP(B83,Test_list,5,FALSE)</f>
        <v>121</v>
      </c>
      <c r="D83" s="44">
        <v>2</v>
      </c>
      <c r="E83" s="44">
        <v>1</v>
      </c>
      <c r="F83" s="45">
        <v>3</v>
      </c>
      <c r="G83" s="44">
        <v>9</v>
      </c>
      <c r="H83" s="44">
        <v>3</v>
      </c>
      <c r="I83" s="44">
        <v>0</v>
      </c>
      <c r="J83" s="45">
        <f t="shared" si="2"/>
        <v>18</v>
      </c>
      <c r="N83" s="7" t="s">
        <v>3394</v>
      </c>
      <c r="O83" s="7" t="s">
        <v>3393</v>
      </c>
    </row>
    <row r="84" spans="1:21">
      <c r="A84" s="29"/>
      <c r="B84" s="30" t="s">
        <v>301</v>
      </c>
      <c r="C84" s="31">
        <f>VLOOKUP(B84,Test_list,5,FALSE)</f>
        <v>7</v>
      </c>
      <c r="D84" s="44">
        <v>0</v>
      </c>
      <c r="E84" s="44">
        <v>1</v>
      </c>
      <c r="F84" s="45">
        <v>1</v>
      </c>
      <c r="G84" s="44">
        <v>0</v>
      </c>
      <c r="H84" s="44">
        <v>0</v>
      </c>
      <c r="I84" s="44">
        <v>0</v>
      </c>
      <c r="J84" s="45">
        <f t="shared" si="2"/>
        <v>2</v>
      </c>
      <c r="N84" s="7" t="s">
        <v>3390</v>
      </c>
      <c r="O84" t="s">
        <v>73</v>
      </c>
      <c r="P84" t="s">
        <v>39</v>
      </c>
      <c r="Q84" t="s">
        <v>56</v>
      </c>
      <c r="R84" t="s">
        <v>69</v>
      </c>
      <c r="S84" t="s">
        <v>58</v>
      </c>
      <c r="T84" t="s">
        <v>66</v>
      </c>
      <c r="U84" t="s">
        <v>3391</v>
      </c>
    </row>
    <row r="85" spans="1:21">
      <c r="A85" s="29" t="s">
        <v>3403</v>
      </c>
      <c r="B85" s="30" t="s">
        <v>580</v>
      </c>
      <c r="C85" s="31">
        <f>VLOOKUP(B85,Test_list,5,FALSE)</f>
        <v>36</v>
      </c>
      <c r="D85" s="44">
        <v>0</v>
      </c>
      <c r="E85" s="44">
        <v>0</v>
      </c>
      <c r="F85" s="45">
        <v>0</v>
      </c>
      <c r="G85" s="44">
        <v>0</v>
      </c>
      <c r="H85" s="44">
        <v>0</v>
      </c>
      <c r="I85" s="44">
        <v>0</v>
      </c>
      <c r="J85" s="45">
        <f t="shared" si="2"/>
        <v>0</v>
      </c>
      <c r="N85" s="8" t="s">
        <v>33</v>
      </c>
      <c r="O85" s="37"/>
      <c r="P85" s="37">
        <v>2</v>
      </c>
      <c r="Q85" s="37"/>
      <c r="R85" s="37"/>
      <c r="S85" s="37"/>
      <c r="T85" s="37"/>
      <c r="U85" s="37">
        <v>2</v>
      </c>
    </row>
    <row r="86" spans="1:21">
      <c r="A86" s="29"/>
      <c r="B86" s="30" t="s">
        <v>266</v>
      </c>
      <c r="C86" s="31">
        <f>VLOOKUP(B86,Test_list,5,FALSE)</f>
        <v>13</v>
      </c>
      <c r="D86" s="44">
        <v>0</v>
      </c>
      <c r="E86" s="44">
        <v>0</v>
      </c>
      <c r="F86" s="45">
        <v>2</v>
      </c>
      <c r="G86" s="44">
        <v>0</v>
      </c>
      <c r="H86" s="44">
        <v>1</v>
      </c>
      <c r="I86" s="44">
        <v>0</v>
      </c>
      <c r="J86" s="45">
        <f t="shared" si="2"/>
        <v>3</v>
      </c>
      <c r="N86" s="8" t="s">
        <v>301</v>
      </c>
      <c r="O86" s="37"/>
      <c r="P86" s="37">
        <v>1</v>
      </c>
      <c r="Q86" s="37"/>
      <c r="R86" s="37"/>
      <c r="S86" s="37">
        <v>1</v>
      </c>
      <c r="T86" s="37"/>
      <c r="U86" s="37">
        <v>2</v>
      </c>
    </row>
    <row r="87" spans="1:21">
      <c r="A87" s="29"/>
      <c r="B87" s="30" t="s">
        <v>306</v>
      </c>
      <c r="C87" s="31">
        <f>VLOOKUP(B87,Test_list,5,FALSE)-1</f>
        <v>20</v>
      </c>
      <c r="D87" s="44">
        <v>0</v>
      </c>
      <c r="E87" s="44">
        <v>0</v>
      </c>
      <c r="F87" s="45">
        <v>2</v>
      </c>
      <c r="G87" s="44">
        <v>0</v>
      </c>
      <c r="H87" s="44">
        <v>0</v>
      </c>
      <c r="I87" s="44">
        <v>0</v>
      </c>
      <c r="J87" s="45">
        <f t="shared" si="2"/>
        <v>2</v>
      </c>
      <c r="N87" s="8" t="s">
        <v>266</v>
      </c>
      <c r="O87" s="37"/>
      <c r="P87" s="37">
        <v>2</v>
      </c>
      <c r="Q87" s="37"/>
      <c r="R87" s="37">
        <v>1</v>
      </c>
      <c r="S87" s="37"/>
      <c r="T87" s="37"/>
      <c r="U87" s="37">
        <v>3</v>
      </c>
    </row>
    <row r="88" spans="1:21">
      <c r="A88" s="29"/>
      <c r="B88" s="30" t="s">
        <v>229</v>
      </c>
      <c r="C88" s="31">
        <f>VLOOKUP(B88,Test_list,5,FALSE)</f>
        <v>68</v>
      </c>
      <c r="D88" s="44">
        <v>0</v>
      </c>
      <c r="E88" s="44">
        <v>2</v>
      </c>
      <c r="F88" s="45">
        <v>1</v>
      </c>
      <c r="G88" s="44">
        <v>1</v>
      </c>
      <c r="H88" s="44">
        <v>1</v>
      </c>
      <c r="I88" s="44">
        <v>0</v>
      </c>
      <c r="J88" s="45">
        <f t="shared" si="2"/>
        <v>5</v>
      </c>
      <c r="N88" s="8" t="s">
        <v>46</v>
      </c>
      <c r="O88" s="37">
        <v>13</v>
      </c>
      <c r="P88" s="37"/>
      <c r="Q88" s="37">
        <v>1</v>
      </c>
      <c r="R88" s="37"/>
      <c r="S88" s="37">
        <v>7</v>
      </c>
      <c r="T88" s="37"/>
      <c r="U88" s="37">
        <v>21</v>
      </c>
    </row>
    <row r="89" spans="1:21">
      <c r="A89" s="29"/>
      <c r="B89" s="30" t="s">
        <v>111</v>
      </c>
      <c r="C89" s="31">
        <f>VLOOKUP(B89,Test_list,5,FALSE)</f>
        <v>30</v>
      </c>
      <c r="D89" s="44">
        <v>5</v>
      </c>
      <c r="E89" s="44">
        <v>1</v>
      </c>
      <c r="F89" s="45">
        <v>2</v>
      </c>
      <c r="G89" s="44">
        <v>4</v>
      </c>
      <c r="H89" s="44">
        <v>0</v>
      </c>
      <c r="I89" s="44">
        <v>0</v>
      </c>
      <c r="J89" s="45">
        <f t="shared" si="2"/>
        <v>12</v>
      </c>
      <c r="N89" s="8" t="s">
        <v>261</v>
      </c>
      <c r="O89" s="37">
        <v>1</v>
      </c>
      <c r="P89" s="37">
        <v>5</v>
      </c>
      <c r="Q89" s="37"/>
      <c r="R89" s="37"/>
      <c r="S89" s="37"/>
      <c r="T89" s="37"/>
      <c r="U89" s="37">
        <v>6</v>
      </c>
    </row>
    <row r="90" spans="1:21">
      <c r="A90" s="29"/>
      <c r="B90" s="30" t="s">
        <v>275</v>
      </c>
      <c r="C90" s="31">
        <f>VLOOKUP(B90,Test_list,5,FALSE)-1</f>
        <v>16</v>
      </c>
      <c r="D90" s="44">
        <v>0</v>
      </c>
      <c r="E90" s="44">
        <v>0</v>
      </c>
      <c r="F90" s="45">
        <v>5</v>
      </c>
      <c r="G90" s="44">
        <v>3</v>
      </c>
      <c r="H90" s="44">
        <v>1</v>
      </c>
      <c r="I90" s="44">
        <v>0</v>
      </c>
      <c r="J90" s="45">
        <f t="shared" si="2"/>
        <v>9</v>
      </c>
      <c r="N90" s="8" t="s">
        <v>216</v>
      </c>
      <c r="O90" s="37">
        <v>2</v>
      </c>
      <c r="P90" s="37">
        <v>7</v>
      </c>
      <c r="Q90" s="37"/>
      <c r="R90" s="37"/>
      <c r="S90" s="37"/>
      <c r="T90" s="37"/>
      <c r="U90" s="37">
        <v>9</v>
      </c>
    </row>
    <row r="91" spans="1:21">
      <c r="A91" s="32" t="s">
        <v>3404</v>
      </c>
      <c r="B91" s="30" t="s">
        <v>1128</v>
      </c>
      <c r="C91" s="31">
        <v>0</v>
      </c>
      <c r="D91" s="44">
        <v>0</v>
      </c>
      <c r="E91" s="44">
        <v>0</v>
      </c>
      <c r="F91" s="45">
        <v>0</v>
      </c>
      <c r="G91" s="44">
        <v>0</v>
      </c>
      <c r="H91" s="44">
        <v>0</v>
      </c>
      <c r="I91" s="44">
        <v>0</v>
      </c>
      <c r="J91" s="45">
        <f t="shared" si="2"/>
        <v>0</v>
      </c>
      <c r="N91" s="8" t="s">
        <v>306</v>
      </c>
      <c r="O91" s="37"/>
      <c r="P91" s="37">
        <v>2</v>
      </c>
      <c r="Q91" s="37"/>
      <c r="R91" s="37"/>
      <c r="S91" s="37"/>
      <c r="T91" s="37"/>
      <c r="U91" s="37">
        <v>2</v>
      </c>
    </row>
    <row r="92" spans="1:21">
      <c r="A92" s="32"/>
      <c r="B92" s="30" t="s">
        <v>33</v>
      </c>
      <c r="C92" s="31">
        <f>VLOOKUP(B92,Test_list,5,FALSE)</f>
        <v>6</v>
      </c>
      <c r="D92" s="44">
        <v>0</v>
      </c>
      <c r="E92" s="44">
        <v>0</v>
      </c>
      <c r="F92" s="45">
        <v>2</v>
      </c>
      <c r="G92" s="44">
        <v>0</v>
      </c>
      <c r="H92" s="44">
        <v>0</v>
      </c>
      <c r="I92" s="44">
        <v>0</v>
      </c>
      <c r="J92" s="45">
        <f t="shared" si="2"/>
        <v>2</v>
      </c>
      <c r="N92" s="8" t="s">
        <v>184</v>
      </c>
      <c r="O92" s="37"/>
      <c r="P92" s="37">
        <v>4</v>
      </c>
      <c r="Q92" s="37"/>
      <c r="R92" s="37"/>
      <c r="S92" s="37"/>
      <c r="T92" s="37"/>
      <c r="U92" s="37">
        <v>4</v>
      </c>
    </row>
    <row r="93" spans="1:21">
      <c r="A93" s="32"/>
      <c r="B93" s="30" t="s">
        <v>261</v>
      </c>
      <c r="C93" s="31">
        <f>VLOOKUP(B93,Test_list,5,FALSE)</f>
        <v>21</v>
      </c>
      <c r="D93" s="44">
        <v>0</v>
      </c>
      <c r="E93" s="44">
        <v>0</v>
      </c>
      <c r="F93" s="45">
        <v>5</v>
      </c>
      <c r="G93" s="44">
        <v>1</v>
      </c>
      <c r="H93" s="44">
        <v>0</v>
      </c>
      <c r="I93" s="44">
        <v>0</v>
      </c>
      <c r="J93" s="45">
        <f t="shared" si="2"/>
        <v>6</v>
      </c>
      <c r="N93" s="8" t="s">
        <v>229</v>
      </c>
      <c r="O93" s="37">
        <v>1</v>
      </c>
      <c r="P93" s="37">
        <v>1</v>
      </c>
      <c r="Q93" s="37"/>
      <c r="R93" s="37">
        <v>1</v>
      </c>
      <c r="S93" s="37">
        <v>2</v>
      </c>
      <c r="T93" s="37"/>
      <c r="U93" s="37">
        <v>5</v>
      </c>
    </row>
    <row r="94" spans="1:21">
      <c r="A94" s="32"/>
      <c r="B94" s="30" t="s">
        <v>216</v>
      </c>
      <c r="C94" s="31">
        <f>VLOOKUP(B94,Test_list,5,FALSE)</f>
        <v>44</v>
      </c>
      <c r="D94" s="44">
        <v>0</v>
      </c>
      <c r="E94" s="44">
        <v>0</v>
      </c>
      <c r="F94" s="45">
        <v>7</v>
      </c>
      <c r="G94" s="44">
        <v>2</v>
      </c>
      <c r="H94" s="44">
        <v>0</v>
      </c>
      <c r="I94" s="44">
        <v>0</v>
      </c>
      <c r="J94" s="45">
        <f t="shared" si="2"/>
        <v>9</v>
      </c>
      <c r="N94" s="8" t="s">
        <v>111</v>
      </c>
      <c r="O94" s="37">
        <v>4</v>
      </c>
      <c r="P94" s="37">
        <v>2</v>
      </c>
      <c r="Q94" s="37"/>
      <c r="R94" s="37"/>
      <c r="S94" s="37">
        <v>1</v>
      </c>
      <c r="T94" s="37">
        <v>5</v>
      </c>
      <c r="U94" s="37">
        <v>12</v>
      </c>
    </row>
    <row r="95" spans="1:21">
      <c r="A95" s="32"/>
      <c r="B95" s="33" t="s">
        <v>402</v>
      </c>
      <c r="C95" s="31">
        <f>VLOOKUP(B95,Test_list,5,FALSE)</f>
        <v>1</v>
      </c>
      <c r="D95" s="44">
        <v>0</v>
      </c>
      <c r="E95" s="44">
        <v>0</v>
      </c>
      <c r="F95" s="45">
        <v>0</v>
      </c>
      <c r="G95" s="44">
        <v>0</v>
      </c>
      <c r="H95" s="44">
        <v>0</v>
      </c>
      <c r="I95" s="44">
        <v>0</v>
      </c>
      <c r="J95" s="45">
        <f t="shared" si="2"/>
        <v>0</v>
      </c>
      <c r="N95" s="8" t="s">
        <v>275</v>
      </c>
      <c r="O95" s="37">
        <v>3</v>
      </c>
      <c r="P95" s="37">
        <v>5</v>
      </c>
      <c r="Q95" s="37"/>
      <c r="R95" s="37">
        <v>1</v>
      </c>
      <c r="S95" s="37"/>
      <c r="T95" s="37"/>
      <c r="U95" s="37">
        <v>9</v>
      </c>
    </row>
    <row r="96" spans="1:21">
      <c r="A96" s="32"/>
      <c r="B96" s="30" t="s">
        <v>3405</v>
      </c>
      <c r="C96" s="31">
        <v>0</v>
      </c>
      <c r="D96" s="44">
        <v>0</v>
      </c>
      <c r="E96" s="44">
        <v>0</v>
      </c>
      <c r="F96" s="45">
        <v>0</v>
      </c>
      <c r="G96" s="44">
        <v>0</v>
      </c>
      <c r="H96" s="44">
        <v>0</v>
      </c>
      <c r="I96" s="44">
        <v>0</v>
      </c>
      <c r="J96" s="45">
        <f t="shared" si="2"/>
        <v>0</v>
      </c>
      <c r="N96" s="8" t="s">
        <v>19</v>
      </c>
      <c r="O96" s="37">
        <v>9</v>
      </c>
      <c r="P96" s="37">
        <v>3</v>
      </c>
      <c r="Q96" s="37"/>
      <c r="R96" s="37">
        <v>3</v>
      </c>
      <c r="S96" s="37">
        <v>1</v>
      </c>
      <c r="T96" s="37">
        <v>2</v>
      </c>
      <c r="U96" s="37">
        <v>18</v>
      </c>
    </row>
    <row r="97" spans="1:21">
      <c r="A97" s="34" t="s">
        <v>3401</v>
      </c>
      <c r="B97" s="34"/>
      <c r="C97" s="35">
        <f>SUM(C80:C96)</f>
        <v>440</v>
      </c>
      <c r="D97" s="36">
        <f>SUM(D80:D96)</f>
        <v>7</v>
      </c>
      <c r="E97" s="36">
        <f t="shared" ref="E97:I97" si="3">SUM(E80:E96)</f>
        <v>12</v>
      </c>
      <c r="F97" s="36">
        <f t="shared" si="3"/>
        <v>34</v>
      </c>
      <c r="G97" s="36">
        <f t="shared" si="3"/>
        <v>33</v>
      </c>
      <c r="H97" s="36">
        <f t="shared" si="3"/>
        <v>6</v>
      </c>
      <c r="I97" s="36">
        <f t="shared" si="3"/>
        <v>1</v>
      </c>
      <c r="J97" s="35">
        <f>SUM(J80:J96)</f>
        <v>93</v>
      </c>
      <c r="N97" s="8" t="s">
        <v>3391</v>
      </c>
      <c r="O97" s="37">
        <v>33</v>
      </c>
      <c r="P97" s="37">
        <v>34</v>
      </c>
      <c r="Q97" s="37">
        <v>1</v>
      </c>
      <c r="R97" s="37">
        <v>6</v>
      </c>
      <c r="S97" s="37">
        <v>12</v>
      </c>
      <c r="T97" s="37">
        <v>7</v>
      </c>
      <c r="U97" s="37">
        <v>93</v>
      </c>
    </row>
    <row r="101" spans="1:21">
      <c r="A101" s="58" t="s">
        <v>3444</v>
      </c>
      <c r="B101" s="59"/>
      <c r="C101" s="46" t="s">
        <v>3445</v>
      </c>
      <c r="D101" s="46" t="s">
        <v>3446</v>
      </c>
      <c r="E101" s="46" t="s">
        <v>1892</v>
      </c>
      <c r="F101" s="46" t="s">
        <v>3461</v>
      </c>
    </row>
    <row r="102" spans="1:21">
      <c r="A102" s="47" t="s">
        <v>3447</v>
      </c>
      <c r="B102" s="41" t="s">
        <v>53</v>
      </c>
      <c r="C102" s="51" t="s">
        <v>52</v>
      </c>
      <c r="D102" s="52">
        <v>2</v>
      </c>
      <c r="E102" s="52">
        <v>0</v>
      </c>
      <c r="F102">
        <v>0</v>
      </c>
    </row>
    <row r="103" spans="1:21">
      <c r="A103" s="48" t="s">
        <v>3448</v>
      </c>
      <c r="B103" s="41" t="s">
        <v>3449</v>
      </c>
      <c r="C103" s="51" t="s">
        <v>3450</v>
      </c>
      <c r="D103" s="52">
        <v>34</v>
      </c>
      <c r="E103" s="52">
        <v>0</v>
      </c>
      <c r="F103">
        <v>0</v>
      </c>
    </row>
    <row r="104" spans="1:21">
      <c r="A104" s="49"/>
      <c r="B104" s="41" t="s">
        <v>66</v>
      </c>
      <c r="C104" s="51" t="s">
        <v>3451</v>
      </c>
      <c r="D104" s="52">
        <v>18</v>
      </c>
      <c r="E104" s="52">
        <v>14</v>
      </c>
      <c r="F104">
        <v>7</v>
      </c>
    </row>
    <row r="105" spans="1:21">
      <c r="A105" s="50"/>
      <c r="B105" s="41" t="s">
        <v>58</v>
      </c>
      <c r="C105" s="51" t="s">
        <v>3452</v>
      </c>
      <c r="D105" s="52">
        <v>32</v>
      </c>
      <c r="E105" s="52">
        <v>4</v>
      </c>
      <c r="F105">
        <v>12</v>
      </c>
    </row>
    <row r="106" spans="1:21">
      <c r="A106" s="47" t="s">
        <v>3453</v>
      </c>
      <c r="B106" s="53" t="s">
        <v>39</v>
      </c>
      <c r="C106" s="54" t="s">
        <v>3454</v>
      </c>
      <c r="D106" s="55">
        <v>99</v>
      </c>
      <c r="E106" s="55">
        <v>87</v>
      </c>
      <c r="F106">
        <v>34</v>
      </c>
    </row>
    <row r="107" spans="1:21">
      <c r="A107" s="48" t="s">
        <v>3448</v>
      </c>
      <c r="B107" s="41" t="s">
        <v>31</v>
      </c>
      <c r="C107" s="51" t="s">
        <v>30</v>
      </c>
      <c r="D107" s="52">
        <v>9</v>
      </c>
      <c r="E107" s="52">
        <v>6</v>
      </c>
      <c r="F107">
        <v>0</v>
      </c>
    </row>
    <row r="108" spans="1:21">
      <c r="A108" s="49"/>
      <c r="B108" s="41" t="s">
        <v>77</v>
      </c>
      <c r="C108" s="51" t="s">
        <v>3455</v>
      </c>
      <c r="D108" s="52">
        <v>3</v>
      </c>
      <c r="E108" s="52">
        <v>8</v>
      </c>
      <c r="F108">
        <v>0</v>
      </c>
    </row>
    <row r="109" spans="1:21">
      <c r="A109" s="49"/>
      <c r="B109" s="41" t="s">
        <v>69</v>
      </c>
      <c r="C109" s="51" t="s">
        <v>3456</v>
      </c>
      <c r="D109" s="52">
        <v>26</v>
      </c>
      <c r="E109" s="52">
        <v>2</v>
      </c>
      <c r="F109">
        <v>6</v>
      </c>
    </row>
    <row r="110" spans="1:21">
      <c r="A110" s="50"/>
      <c r="B110" s="41" t="s">
        <v>480</v>
      </c>
      <c r="C110" s="51" t="s">
        <v>3457</v>
      </c>
      <c r="D110" s="52">
        <v>6</v>
      </c>
      <c r="E110" s="52">
        <v>0</v>
      </c>
      <c r="F110">
        <v>0</v>
      </c>
      <c r="M110" s="2" t="s">
        <v>3462</v>
      </c>
      <c r="N110" s="46" t="s">
        <v>3446</v>
      </c>
      <c r="O110" s="46" t="s">
        <v>1892</v>
      </c>
      <c r="P110" s="46" t="s">
        <v>3461</v>
      </c>
    </row>
    <row r="111" spans="1:21" ht="31.2">
      <c r="A111" s="60" t="s">
        <v>56</v>
      </c>
      <c r="B111" s="53" t="s">
        <v>73</v>
      </c>
      <c r="C111" s="54" t="s">
        <v>3458</v>
      </c>
      <c r="D111" s="55">
        <v>9</v>
      </c>
      <c r="E111" s="55">
        <v>39</v>
      </c>
      <c r="F111">
        <v>33</v>
      </c>
      <c r="M111" s="41" t="s">
        <v>53</v>
      </c>
      <c r="N111" s="52">
        <v>2</v>
      </c>
      <c r="O111" s="52">
        <v>0</v>
      </c>
      <c r="P111">
        <v>0</v>
      </c>
    </row>
    <row r="112" spans="1:21" ht="31.2">
      <c r="A112" s="61"/>
      <c r="B112" s="47" t="s">
        <v>3459</v>
      </c>
      <c r="C112" s="56" t="s">
        <v>3460</v>
      </c>
      <c r="D112" s="57">
        <v>7</v>
      </c>
      <c r="E112" s="57">
        <v>97</v>
      </c>
      <c r="F112">
        <v>1</v>
      </c>
      <c r="M112" s="41" t="s">
        <v>3449</v>
      </c>
      <c r="N112" s="52">
        <v>34</v>
      </c>
      <c r="O112" s="52">
        <v>0</v>
      </c>
      <c r="P112">
        <v>0</v>
      </c>
    </row>
    <row r="113" spans="13:16" ht="31.2">
      <c r="M113" s="41" t="s">
        <v>66</v>
      </c>
      <c r="N113" s="52">
        <v>18</v>
      </c>
      <c r="O113" s="52">
        <v>14</v>
      </c>
      <c r="P113">
        <v>7</v>
      </c>
    </row>
    <row r="114" spans="13:16">
      <c r="M114" s="41" t="s">
        <v>58</v>
      </c>
      <c r="N114" s="52">
        <v>32</v>
      </c>
      <c r="O114" s="52">
        <v>4</v>
      </c>
      <c r="P114">
        <v>12</v>
      </c>
    </row>
    <row r="115" spans="13:16">
      <c r="M115" s="53" t="s">
        <v>39</v>
      </c>
      <c r="N115" s="55">
        <v>99</v>
      </c>
      <c r="O115" s="55">
        <v>87</v>
      </c>
      <c r="P115">
        <v>34</v>
      </c>
    </row>
    <row r="116" spans="13:16">
      <c r="M116" s="41" t="s">
        <v>31</v>
      </c>
      <c r="N116" s="52">
        <v>9</v>
      </c>
      <c r="O116" s="52">
        <v>6</v>
      </c>
      <c r="P116">
        <v>0</v>
      </c>
    </row>
    <row r="117" spans="13:16">
      <c r="M117" s="41" t="s">
        <v>77</v>
      </c>
      <c r="N117" s="52">
        <v>3</v>
      </c>
      <c r="O117" s="52">
        <v>8</v>
      </c>
      <c r="P117">
        <v>0</v>
      </c>
    </row>
    <row r="118" spans="13:16" ht="31.2">
      <c r="M118" s="41" t="s">
        <v>69</v>
      </c>
      <c r="N118" s="52">
        <v>26</v>
      </c>
      <c r="O118" s="52">
        <v>2</v>
      </c>
      <c r="P118">
        <v>6</v>
      </c>
    </row>
    <row r="119" spans="13:16" ht="31.2">
      <c r="M119" s="41" t="s">
        <v>480</v>
      </c>
      <c r="N119" s="52">
        <v>6</v>
      </c>
      <c r="O119" s="52">
        <v>0</v>
      </c>
      <c r="P119">
        <v>0</v>
      </c>
    </row>
    <row r="120" spans="13:16" ht="31.2">
      <c r="M120" s="53" t="s">
        <v>73</v>
      </c>
      <c r="N120" s="55">
        <v>9</v>
      </c>
      <c r="O120" s="55">
        <v>39</v>
      </c>
      <c r="P120">
        <v>33</v>
      </c>
    </row>
    <row r="121" spans="13:16">
      <c r="M121" s="47" t="s">
        <v>3459</v>
      </c>
      <c r="N121" s="57">
        <v>7</v>
      </c>
      <c r="O121" s="57">
        <v>97</v>
      </c>
      <c r="P121">
        <v>1</v>
      </c>
    </row>
  </sheetData>
  <mergeCells count="7">
    <mergeCell ref="A101:B101"/>
    <mergeCell ref="A111:A112"/>
    <mergeCell ref="A79:B79"/>
    <mergeCell ref="A80:A84"/>
    <mergeCell ref="A85:A90"/>
    <mergeCell ref="A91:A96"/>
    <mergeCell ref="A97:B97"/>
  </mergeCells>
  <phoneticPr fontId="5" type="noConversion"/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ACB8-DB83-4134-8CFF-EF6F78D23E26}">
  <dimension ref="A1:P42"/>
  <sheetViews>
    <sheetView workbookViewId="0">
      <selection sqref="A1:H19"/>
    </sheetView>
  </sheetViews>
  <sheetFormatPr defaultRowHeight="17.399999999999999"/>
  <cols>
    <col min="1" max="1" width="18.59765625" bestFit="1" customWidth="1"/>
    <col min="2" max="2" width="12.296875" bestFit="1" customWidth="1"/>
    <col min="3" max="3" width="6.5" bestFit="1" customWidth="1"/>
    <col min="4" max="4" width="6.59765625" bestFit="1" customWidth="1"/>
    <col min="5" max="5" width="7.296875" bestFit="1" customWidth="1"/>
    <col min="6" max="6" width="5" bestFit="1" customWidth="1"/>
    <col min="7" max="7" width="8.59765625" bestFit="1" customWidth="1"/>
    <col min="8" max="9" width="6.796875" bestFit="1" customWidth="1"/>
  </cols>
  <sheetData>
    <row r="1" spans="1:16">
      <c r="A1" s="7" t="s">
        <v>1</v>
      </c>
      <c r="B1" t="s">
        <v>18</v>
      </c>
    </row>
    <row r="2" spans="1:16">
      <c r="A2" s="7" t="s">
        <v>7</v>
      </c>
      <c r="B2" t="s">
        <v>3392</v>
      </c>
    </row>
    <row r="3" spans="1:16">
      <c r="A3" s="7" t="s">
        <v>12</v>
      </c>
      <c r="B3" t="s">
        <v>3392</v>
      </c>
      <c r="M3" s="41" t="s">
        <v>39</v>
      </c>
      <c r="N3" s="41" t="s">
        <v>3433</v>
      </c>
      <c r="O3">
        <v>41</v>
      </c>
      <c r="P3" s="39">
        <f>O3/$O$7</f>
        <v>0.44086021505376344</v>
      </c>
    </row>
    <row r="4" spans="1:16">
      <c r="M4" s="41" t="s">
        <v>27</v>
      </c>
      <c r="N4" s="41" t="s">
        <v>3434</v>
      </c>
      <c r="O4">
        <v>33</v>
      </c>
      <c r="P4" s="39">
        <f t="shared" ref="P4:P6" si="0">O4/$O$7</f>
        <v>0.35483870967741937</v>
      </c>
    </row>
    <row r="5" spans="1:16">
      <c r="A5" s="7" t="s">
        <v>3394</v>
      </c>
      <c r="B5" s="7" t="s">
        <v>3393</v>
      </c>
      <c r="M5" s="41" t="s">
        <v>82</v>
      </c>
      <c r="N5" s="41" t="s">
        <v>3435</v>
      </c>
      <c r="O5">
        <v>6</v>
      </c>
      <c r="P5" s="39">
        <f t="shared" si="0"/>
        <v>6.4516129032258063E-2</v>
      </c>
    </row>
    <row r="6" spans="1:16" ht="31.2">
      <c r="A6" s="7" t="s">
        <v>3390</v>
      </c>
      <c r="B6" t="s">
        <v>73</v>
      </c>
      <c r="C6" t="s">
        <v>39</v>
      </c>
      <c r="D6" t="s">
        <v>56</v>
      </c>
      <c r="E6" t="s">
        <v>69</v>
      </c>
      <c r="F6" t="s">
        <v>58</v>
      </c>
      <c r="G6" t="s">
        <v>66</v>
      </c>
      <c r="H6" t="s">
        <v>3391</v>
      </c>
      <c r="M6" s="41" t="s">
        <v>3436</v>
      </c>
      <c r="N6" s="41" t="s">
        <v>3437</v>
      </c>
      <c r="O6">
        <v>13</v>
      </c>
      <c r="P6" s="39">
        <f t="shared" si="0"/>
        <v>0.13978494623655913</v>
      </c>
    </row>
    <row r="7" spans="1:16">
      <c r="A7" s="8" t="s">
        <v>33</v>
      </c>
      <c r="B7" s="37"/>
      <c r="C7" s="37">
        <v>2</v>
      </c>
      <c r="D7" s="37"/>
      <c r="E7" s="37"/>
      <c r="F7" s="37"/>
      <c r="G7" s="37"/>
      <c r="H7" s="37">
        <v>2</v>
      </c>
      <c r="M7" s="42" t="s">
        <v>3438</v>
      </c>
      <c r="N7" s="42" t="s">
        <v>3439</v>
      </c>
      <c r="O7">
        <v>93</v>
      </c>
    </row>
    <row r="8" spans="1:16">
      <c r="A8" s="8" t="s">
        <v>301</v>
      </c>
      <c r="B8" s="37"/>
      <c r="C8" s="37">
        <v>1</v>
      </c>
      <c r="D8" s="37"/>
      <c r="E8" s="37"/>
      <c r="F8" s="37">
        <v>1</v>
      </c>
      <c r="G8" s="37"/>
      <c r="H8" s="37">
        <v>2</v>
      </c>
    </row>
    <row r="9" spans="1:16">
      <c r="A9" s="8" t="s">
        <v>266</v>
      </c>
      <c r="B9" s="37"/>
      <c r="C9" s="37">
        <v>2</v>
      </c>
      <c r="D9" s="37"/>
      <c r="E9" s="37">
        <v>1</v>
      </c>
      <c r="F9" s="37"/>
      <c r="G9" s="37"/>
      <c r="H9" s="37">
        <v>3</v>
      </c>
    </row>
    <row r="10" spans="1:16">
      <c r="A10" s="8" t="s">
        <v>46</v>
      </c>
      <c r="B10" s="37">
        <v>13</v>
      </c>
      <c r="C10" s="37"/>
      <c r="D10" s="37">
        <v>1</v>
      </c>
      <c r="E10" s="37"/>
      <c r="F10" s="37">
        <v>7</v>
      </c>
      <c r="G10" s="37"/>
      <c r="H10" s="37">
        <v>21</v>
      </c>
      <c r="M10" s="41" t="s">
        <v>39</v>
      </c>
      <c r="N10">
        <v>41</v>
      </c>
      <c r="O10">
        <v>41</v>
      </c>
    </row>
    <row r="11" spans="1:16">
      <c r="A11" s="8" t="s">
        <v>261</v>
      </c>
      <c r="B11" s="37">
        <v>1</v>
      </c>
      <c r="C11" s="37">
        <v>5</v>
      </c>
      <c r="D11" s="37"/>
      <c r="E11" s="37"/>
      <c r="F11" s="37"/>
      <c r="G11" s="37"/>
      <c r="H11" s="37">
        <v>6</v>
      </c>
      <c r="M11" s="41" t="s">
        <v>3442</v>
      </c>
      <c r="N11">
        <v>33</v>
      </c>
      <c r="O11">
        <v>33</v>
      </c>
    </row>
    <row r="12" spans="1:16">
      <c r="A12" s="8" t="s">
        <v>216</v>
      </c>
      <c r="B12" s="37">
        <v>2</v>
      </c>
      <c r="C12" s="37">
        <v>7</v>
      </c>
      <c r="D12" s="37"/>
      <c r="E12" s="37"/>
      <c r="F12" s="37"/>
      <c r="G12" s="37"/>
      <c r="H12" s="37">
        <v>9</v>
      </c>
      <c r="M12" s="41" t="s">
        <v>82</v>
      </c>
      <c r="N12">
        <v>6</v>
      </c>
      <c r="O12">
        <v>6</v>
      </c>
    </row>
    <row r="13" spans="1:16">
      <c r="A13" s="8" t="s">
        <v>306</v>
      </c>
      <c r="B13" s="37"/>
      <c r="C13" s="37">
        <v>2</v>
      </c>
      <c r="D13" s="37"/>
      <c r="E13" s="37"/>
      <c r="F13" s="37"/>
      <c r="G13" s="37"/>
      <c r="H13" s="37">
        <v>2</v>
      </c>
      <c r="M13" s="41" t="s">
        <v>3440</v>
      </c>
      <c r="N13">
        <v>12</v>
      </c>
      <c r="O13">
        <v>12</v>
      </c>
    </row>
    <row r="14" spans="1:16">
      <c r="A14" s="8" t="s">
        <v>184</v>
      </c>
      <c r="B14" s="37"/>
      <c r="C14" s="37">
        <v>4</v>
      </c>
      <c r="D14" s="37"/>
      <c r="E14" s="37"/>
      <c r="F14" s="37"/>
      <c r="G14" s="37"/>
      <c r="H14" s="37">
        <v>4</v>
      </c>
      <c r="M14" s="43" t="s">
        <v>3441</v>
      </c>
      <c r="N14">
        <v>1</v>
      </c>
      <c r="O14">
        <v>1</v>
      </c>
    </row>
    <row r="15" spans="1:16">
      <c r="A15" s="8" t="s">
        <v>229</v>
      </c>
      <c r="B15" s="37">
        <v>1</v>
      </c>
      <c r="C15" s="37">
        <v>1</v>
      </c>
      <c r="D15" s="37"/>
      <c r="E15" s="37">
        <v>1</v>
      </c>
      <c r="F15" s="37">
        <v>2</v>
      </c>
      <c r="G15" s="37"/>
      <c r="H15" s="37">
        <v>5</v>
      </c>
      <c r="M15" s="42" t="s">
        <v>3438</v>
      </c>
      <c r="N15">
        <v>93</v>
      </c>
      <c r="O15">
        <v>93</v>
      </c>
    </row>
    <row r="16" spans="1:16">
      <c r="A16" s="8" t="s">
        <v>111</v>
      </c>
      <c r="B16" s="37">
        <v>4</v>
      </c>
      <c r="C16" s="37">
        <v>2</v>
      </c>
      <c r="D16" s="37"/>
      <c r="E16" s="37"/>
      <c r="F16" s="37">
        <v>1</v>
      </c>
      <c r="G16" s="37">
        <v>5</v>
      </c>
      <c r="H16" s="37">
        <v>12</v>
      </c>
    </row>
    <row r="17" spans="1:8">
      <c r="A17" s="8" t="s">
        <v>275</v>
      </c>
      <c r="B17" s="37">
        <v>3</v>
      </c>
      <c r="C17" s="37">
        <v>5</v>
      </c>
      <c r="D17" s="37"/>
      <c r="E17" s="37">
        <v>1</v>
      </c>
      <c r="F17" s="37"/>
      <c r="G17" s="37"/>
      <c r="H17" s="37">
        <v>9</v>
      </c>
    </row>
    <row r="18" spans="1:8">
      <c r="A18" s="8" t="s">
        <v>19</v>
      </c>
      <c r="B18" s="37">
        <v>9</v>
      </c>
      <c r="C18" s="37">
        <v>3</v>
      </c>
      <c r="D18" s="37"/>
      <c r="E18" s="37">
        <v>3</v>
      </c>
      <c r="F18" s="37">
        <v>1</v>
      </c>
      <c r="G18" s="37">
        <v>2</v>
      </c>
      <c r="H18" s="37">
        <v>18</v>
      </c>
    </row>
    <row r="19" spans="1:8">
      <c r="A19" s="8" t="s">
        <v>3391</v>
      </c>
      <c r="B19" s="37">
        <v>33</v>
      </c>
      <c r="C19" s="37">
        <v>34</v>
      </c>
      <c r="D19" s="37">
        <v>1</v>
      </c>
      <c r="E19" s="37">
        <v>6</v>
      </c>
      <c r="F19" s="37">
        <v>12</v>
      </c>
      <c r="G19" s="37">
        <v>7</v>
      </c>
      <c r="H19" s="37">
        <v>93</v>
      </c>
    </row>
    <row r="23" spans="1:8">
      <c r="A23" s="7" t="s">
        <v>1</v>
      </c>
      <c r="B23" t="s">
        <v>18</v>
      </c>
    </row>
    <row r="24" spans="1:8">
      <c r="A24" s="7" t="s">
        <v>7</v>
      </c>
      <c r="B24" t="s">
        <v>3392</v>
      </c>
    </row>
    <row r="25" spans="1:8">
      <c r="A25" s="7" t="s">
        <v>12</v>
      </c>
      <c r="B25" t="s">
        <v>3392</v>
      </c>
    </row>
    <row r="27" spans="1:8">
      <c r="A27" s="7" t="s">
        <v>3394</v>
      </c>
      <c r="B27" s="7" t="s">
        <v>3393</v>
      </c>
    </row>
    <row r="28" spans="1:8">
      <c r="A28" s="7" t="s">
        <v>3390</v>
      </c>
      <c r="B28" t="s">
        <v>106</v>
      </c>
      <c r="C28" t="s">
        <v>67</v>
      </c>
      <c r="D28" t="s">
        <v>29</v>
      </c>
      <c r="E28" t="s">
        <v>3391</v>
      </c>
    </row>
    <row r="29" spans="1:8">
      <c r="A29" s="8" t="s">
        <v>33</v>
      </c>
      <c r="B29" s="37"/>
      <c r="C29" s="37"/>
      <c r="D29" s="37">
        <v>2</v>
      </c>
      <c r="E29" s="37">
        <v>2</v>
      </c>
    </row>
    <row r="30" spans="1:8">
      <c r="A30" s="8" t="s">
        <v>301</v>
      </c>
      <c r="B30" s="37"/>
      <c r="C30" s="37"/>
      <c r="D30" s="37">
        <v>2</v>
      </c>
      <c r="E30" s="37">
        <v>2</v>
      </c>
    </row>
    <row r="31" spans="1:8">
      <c r="A31" s="8" t="s">
        <v>266</v>
      </c>
      <c r="B31" s="37"/>
      <c r="C31" s="37"/>
      <c r="D31" s="37">
        <v>3</v>
      </c>
      <c r="E31" s="37">
        <v>3</v>
      </c>
    </row>
    <row r="32" spans="1:8">
      <c r="A32" s="8" t="s">
        <v>46</v>
      </c>
      <c r="B32" s="37">
        <v>1</v>
      </c>
      <c r="C32" s="37">
        <v>12</v>
      </c>
      <c r="D32" s="37">
        <v>8</v>
      </c>
      <c r="E32" s="37">
        <v>21</v>
      </c>
    </row>
    <row r="33" spans="1:5">
      <c r="A33" s="8" t="s">
        <v>261</v>
      </c>
      <c r="B33" s="37">
        <v>1</v>
      </c>
      <c r="C33" s="37">
        <v>3</v>
      </c>
      <c r="D33" s="37">
        <v>2</v>
      </c>
      <c r="E33" s="37">
        <v>6</v>
      </c>
    </row>
    <row r="34" spans="1:5">
      <c r="A34" s="8" t="s">
        <v>216</v>
      </c>
      <c r="B34" s="37"/>
      <c r="C34" s="37">
        <v>4</v>
      </c>
      <c r="D34" s="37">
        <v>5</v>
      </c>
      <c r="E34" s="37">
        <v>9</v>
      </c>
    </row>
    <row r="35" spans="1:5">
      <c r="A35" s="8" t="s">
        <v>306</v>
      </c>
      <c r="B35" s="37"/>
      <c r="C35" s="37"/>
      <c r="D35" s="37">
        <v>2</v>
      </c>
      <c r="E35" s="37">
        <v>2</v>
      </c>
    </row>
    <row r="36" spans="1:5">
      <c r="A36" s="8" t="s">
        <v>184</v>
      </c>
      <c r="B36" s="37"/>
      <c r="C36" s="37">
        <v>4</v>
      </c>
      <c r="D36" s="37"/>
      <c r="E36" s="37">
        <v>4</v>
      </c>
    </row>
    <row r="37" spans="1:5">
      <c r="A37" s="8" t="s">
        <v>229</v>
      </c>
      <c r="B37" s="37"/>
      <c r="C37" s="37"/>
      <c r="D37" s="37">
        <v>5</v>
      </c>
      <c r="E37" s="37">
        <v>5</v>
      </c>
    </row>
    <row r="38" spans="1:5">
      <c r="A38" s="8" t="s">
        <v>111</v>
      </c>
      <c r="B38" s="37"/>
      <c r="C38" s="37">
        <v>4</v>
      </c>
      <c r="D38" s="37">
        <v>8</v>
      </c>
      <c r="E38" s="37">
        <v>12</v>
      </c>
    </row>
    <row r="39" spans="1:5">
      <c r="A39" s="8" t="s">
        <v>275</v>
      </c>
      <c r="B39" s="37"/>
      <c r="C39" s="37">
        <v>3</v>
      </c>
      <c r="D39" s="37">
        <v>6</v>
      </c>
      <c r="E39" s="37">
        <v>9</v>
      </c>
    </row>
    <row r="40" spans="1:5">
      <c r="A40" s="8" t="s">
        <v>19</v>
      </c>
      <c r="B40" s="37">
        <v>1</v>
      </c>
      <c r="C40" s="37">
        <v>2</v>
      </c>
      <c r="D40" s="37">
        <v>15</v>
      </c>
      <c r="E40" s="37">
        <v>18</v>
      </c>
    </row>
    <row r="41" spans="1:5">
      <c r="A41" s="8" t="s">
        <v>3391</v>
      </c>
      <c r="B41" s="37">
        <v>3</v>
      </c>
      <c r="C41" s="37">
        <v>32</v>
      </c>
      <c r="D41" s="37">
        <v>58</v>
      </c>
      <c r="E41" s="37">
        <v>93</v>
      </c>
    </row>
    <row r="42" spans="1:5">
      <c r="B42" s="39">
        <f>B41/$E$41</f>
        <v>3.2258064516129031E-2</v>
      </c>
      <c r="C42" s="39">
        <f t="shared" ref="C42:E42" si="1">C41/$E$41</f>
        <v>0.34408602150537637</v>
      </c>
      <c r="D42" s="39">
        <f t="shared" si="1"/>
        <v>0.62365591397849462</v>
      </c>
      <c r="E42" s="39">
        <f t="shared" si="1"/>
        <v>1</v>
      </c>
    </row>
  </sheetData>
  <phoneticPr fontId="5" type="noConversion"/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068B-D436-44D6-9D1C-55494F431385}">
  <dimension ref="A1:N638"/>
  <sheetViews>
    <sheetView topLeftCell="A501" workbookViewId="0">
      <selection activeCell="D516" sqref="D516:E516"/>
    </sheetView>
  </sheetViews>
  <sheetFormatPr defaultRowHeight="17.399999999999999"/>
  <cols>
    <col min="4" max="4" width="13.59765625" customWidth="1"/>
    <col min="5" max="5" width="30.09765625" customWidth="1"/>
    <col min="10" max="10" width="21.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15</v>
      </c>
      <c r="N1" t="s">
        <v>16</v>
      </c>
    </row>
    <row r="2" spans="1:14">
      <c r="A2" t="s">
        <v>214</v>
      </c>
      <c r="B2" t="s">
        <v>215</v>
      </c>
      <c r="C2" t="s">
        <v>216</v>
      </c>
      <c r="D2" t="s">
        <v>217</v>
      </c>
      <c r="E2" t="s">
        <v>218</v>
      </c>
      <c r="F2" t="s">
        <v>219</v>
      </c>
      <c r="G2" t="s">
        <v>116</v>
      </c>
      <c r="H2" t="s">
        <v>38</v>
      </c>
      <c r="I2" t="s">
        <v>99</v>
      </c>
      <c r="J2" t="s">
        <v>189</v>
      </c>
      <c r="K2" t="s">
        <v>67</v>
      </c>
      <c r="L2" t="s">
        <v>189</v>
      </c>
      <c r="M2" t="s">
        <v>30</v>
      </c>
      <c r="N2" t="s">
        <v>31</v>
      </c>
    </row>
    <row r="3" spans="1:14">
      <c r="A3" t="s">
        <v>247</v>
      </c>
      <c r="B3" t="s">
        <v>215</v>
      </c>
      <c r="C3" t="s">
        <v>229</v>
      </c>
      <c r="D3" t="s">
        <v>248</v>
      </c>
      <c r="E3" t="s">
        <v>249</v>
      </c>
      <c r="F3" t="s">
        <v>232</v>
      </c>
      <c r="G3" t="s">
        <v>116</v>
      </c>
      <c r="H3" t="s">
        <v>26</v>
      </c>
      <c r="I3" t="s">
        <v>82</v>
      </c>
      <c r="J3" t="s">
        <v>189</v>
      </c>
      <c r="K3" t="s">
        <v>67</v>
      </c>
      <c r="L3" t="s">
        <v>189</v>
      </c>
      <c r="M3" t="s">
        <v>40</v>
      </c>
      <c r="N3" t="s">
        <v>41</v>
      </c>
    </row>
    <row r="4" spans="1:14">
      <c r="A4" t="s">
        <v>251</v>
      </c>
      <c r="B4" t="s">
        <v>215</v>
      </c>
      <c r="C4" t="s">
        <v>229</v>
      </c>
      <c r="D4" t="s">
        <v>252</v>
      </c>
      <c r="E4" t="s">
        <v>253</v>
      </c>
      <c r="F4" t="s">
        <v>232</v>
      </c>
      <c r="G4" t="s">
        <v>116</v>
      </c>
      <c r="H4" t="s">
        <v>26</v>
      </c>
      <c r="I4" t="s">
        <v>82</v>
      </c>
      <c r="J4" t="s">
        <v>189</v>
      </c>
      <c r="K4" t="s">
        <v>67</v>
      </c>
      <c r="L4" t="s">
        <v>189</v>
      </c>
      <c r="M4" t="s">
        <v>40</v>
      </c>
      <c r="N4" t="s">
        <v>41</v>
      </c>
    </row>
    <row r="5" spans="1:14">
      <c r="A5" t="s">
        <v>254</v>
      </c>
      <c r="B5" t="s">
        <v>215</v>
      </c>
      <c r="C5" t="s">
        <v>229</v>
      </c>
      <c r="D5" t="s">
        <v>255</v>
      </c>
      <c r="E5" t="s">
        <v>256</v>
      </c>
      <c r="F5" t="s">
        <v>232</v>
      </c>
      <c r="G5" t="s">
        <v>116</v>
      </c>
      <c r="H5" t="s">
        <v>26</v>
      </c>
      <c r="I5" t="s">
        <v>82</v>
      </c>
      <c r="J5" t="s">
        <v>189</v>
      </c>
      <c r="K5" t="s">
        <v>29</v>
      </c>
      <c r="L5" t="s">
        <v>189</v>
      </c>
      <c r="M5" t="s">
        <v>52</v>
      </c>
      <c r="N5" t="s">
        <v>53</v>
      </c>
    </row>
    <row r="6" spans="1:14">
      <c r="A6" t="s">
        <v>260</v>
      </c>
      <c r="B6" t="s">
        <v>215</v>
      </c>
      <c r="C6" t="s">
        <v>261</v>
      </c>
      <c r="D6" t="s">
        <v>262</v>
      </c>
      <c r="E6" t="s">
        <v>263</v>
      </c>
      <c r="F6" t="s">
        <v>219</v>
      </c>
      <c r="G6" t="s">
        <v>25</v>
      </c>
      <c r="H6" t="s">
        <v>26</v>
      </c>
      <c r="I6" t="s">
        <v>39</v>
      </c>
      <c r="J6" t="s">
        <v>189</v>
      </c>
      <c r="K6" t="s">
        <v>67</v>
      </c>
      <c r="L6" t="s">
        <v>189</v>
      </c>
      <c r="M6" t="s">
        <v>57</v>
      </c>
      <c r="N6" t="s">
        <v>58</v>
      </c>
    </row>
    <row r="7" spans="1:14">
      <c r="A7" t="s">
        <v>297</v>
      </c>
      <c r="B7" t="s">
        <v>215</v>
      </c>
      <c r="C7" t="s">
        <v>229</v>
      </c>
      <c r="D7" t="s">
        <v>298</v>
      </c>
      <c r="E7" t="s">
        <v>299</v>
      </c>
      <c r="F7" t="s">
        <v>232</v>
      </c>
      <c r="G7" t="s">
        <v>116</v>
      </c>
      <c r="H7" t="s">
        <v>26</v>
      </c>
      <c r="I7" t="s">
        <v>82</v>
      </c>
      <c r="J7" t="s">
        <v>189</v>
      </c>
      <c r="K7" t="s">
        <v>67</v>
      </c>
      <c r="L7" t="s">
        <v>189</v>
      </c>
      <c r="M7" t="s">
        <v>57</v>
      </c>
      <c r="N7" t="s">
        <v>58</v>
      </c>
    </row>
    <row r="8" spans="1:14">
      <c r="A8" t="s">
        <v>355</v>
      </c>
      <c r="B8" t="s">
        <v>215</v>
      </c>
      <c r="C8" t="s">
        <v>184</v>
      </c>
      <c r="D8" t="s">
        <v>356</v>
      </c>
      <c r="E8" t="s">
        <v>357</v>
      </c>
      <c r="F8" t="s">
        <v>187</v>
      </c>
      <c r="G8" t="s">
        <v>116</v>
      </c>
      <c r="H8" t="s">
        <v>38</v>
      </c>
      <c r="I8" t="s">
        <v>99</v>
      </c>
      <c r="J8" t="s">
        <v>189</v>
      </c>
      <c r="K8" t="s">
        <v>29</v>
      </c>
      <c r="L8" t="s">
        <v>189</v>
      </c>
      <c r="M8" t="s">
        <v>68</v>
      </c>
      <c r="N8" t="s">
        <v>69</v>
      </c>
    </row>
    <row r="9" spans="1:14">
      <c r="A9" t="s">
        <v>358</v>
      </c>
      <c r="B9" t="s">
        <v>215</v>
      </c>
      <c r="C9" t="s">
        <v>184</v>
      </c>
      <c r="D9" t="s">
        <v>359</v>
      </c>
      <c r="E9" t="s">
        <v>360</v>
      </c>
      <c r="F9" t="s">
        <v>187</v>
      </c>
      <c r="G9" t="s">
        <v>116</v>
      </c>
      <c r="H9" t="s">
        <v>38</v>
      </c>
      <c r="I9" t="s">
        <v>99</v>
      </c>
      <c r="J9" t="s">
        <v>189</v>
      </c>
      <c r="K9" t="s">
        <v>29</v>
      </c>
      <c r="L9" t="s">
        <v>189</v>
      </c>
      <c r="M9" t="s">
        <v>72</v>
      </c>
      <c r="N9" t="s">
        <v>73</v>
      </c>
    </row>
    <row r="10" spans="1:14">
      <c r="A10" t="s">
        <v>361</v>
      </c>
      <c r="B10" t="s">
        <v>215</v>
      </c>
      <c r="C10" t="s">
        <v>184</v>
      </c>
      <c r="D10" t="s">
        <v>362</v>
      </c>
      <c r="E10" t="s">
        <v>363</v>
      </c>
      <c r="F10" t="s">
        <v>187</v>
      </c>
      <c r="G10" t="s">
        <v>116</v>
      </c>
      <c r="H10" t="s">
        <v>38</v>
      </c>
      <c r="I10" t="s">
        <v>99</v>
      </c>
      <c r="J10" t="s">
        <v>189</v>
      </c>
      <c r="K10" t="s">
        <v>29</v>
      </c>
      <c r="L10" t="s">
        <v>189</v>
      </c>
      <c r="M10" t="s">
        <v>76</v>
      </c>
      <c r="N10" t="s">
        <v>77</v>
      </c>
    </row>
    <row r="11" spans="1:14">
      <c r="A11" t="s">
        <v>446</v>
      </c>
      <c r="B11" t="s">
        <v>215</v>
      </c>
      <c r="C11" t="s">
        <v>216</v>
      </c>
      <c r="D11" t="s">
        <v>447</v>
      </c>
      <c r="E11" t="s">
        <v>448</v>
      </c>
      <c r="F11" t="s">
        <v>219</v>
      </c>
      <c r="G11" t="s">
        <v>25</v>
      </c>
      <c r="H11" t="s">
        <v>26</v>
      </c>
      <c r="I11" t="s">
        <v>39</v>
      </c>
      <c r="J11" t="s">
        <v>189</v>
      </c>
      <c r="K11" t="s">
        <v>67</v>
      </c>
      <c r="L11" t="s">
        <v>189</v>
      </c>
      <c r="M11" t="s">
        <v>76</v>
      </c>
      <c r="N11" t="s">
        <v>77</v>
      </c>
    </row>
    <row r="12" spans="1:14">
      <c r="A12" t="s">
        <v>455</v>
      </c>
      <c r="B12" t="s">
        <v>215</v>
      </c>
      <c r="C12" t="s">
        <v>33</v>
      </c>
      <c r="D12" t="s">
        <v>456</v>
      </c>
      <c r="E12" t="s">
        <v>457</v>
      </c>
      <c r="F12" t="s">
        <v>36</v>
      </c>
      <c r="G12" t="s">
        <v>25</v>
      </c>
      <c r="H12" t="s">
        <v>26</v>
      </c>
      <c r="I12" t="s">
        <v>27</v>
      </c>
      <c r="J12" t="s">
        <v>189</v>
      </c>
      <c r="K12" t="s">
        <v>67</v>
      </c>
      <c r="L12" t="s">
        <v>189</v>
      </c>
      <c r="M12" t="s">
        <v>40</v>
      </c>
      <c r="N12" t="s">
        <v>41</v>
      </c>
    </row>
    <row r="13" spans="1:14">
      <c r="A13" t="s">
        <v>458</v>
      </c>
      <c r="B13" t="s">
        <v>215</v>
      </c>
      <c r="C13" t="s">
        <v>261</v>
      </c>
      <c r="D13" t="s">
        <v>459</v>
      </c>
      <c r="E13" t="s">
        <v>460</v>
      </c>
      <c r="F13" t="s">
        <v>219</v>
      </c>
      <c r="G13" t="s">
        <v>25</v>
      </c>
      <c r="H13" t="s">
        <v>26</v>
      </c>
      <c r="I13" t="s">
        <v>39</v>
      </c>
      <c r="J13" t="s">
        <v>189</v>
      </c>
      <c r="K13" t="s">
        <v>29</v>
      </c>
      <c r="L13" t="s">
        <v>189</v>
      </c>
      <c r="M13" t="s">
        <v>76</v>
      </c>
      <c r="N13" t="s">
        <v>77</v>
      </c>
    </row>
    <row r="14" spans="1:14">
      <c r="A14" t="s">
        <v>467</v>
      </c>
      <c r="B14" t="s">
        <v>215</v>
      </c>
      <c r="C14" t="s">
        <v>184</v>
      </c>
      <c r="D14" t="s">
        <v>468</v>
      </c>
      <c r="E14" t="s">
        <v>469</v>
      </c>
      <c r="F14" t="s">
        <v>187</v>
      </c>
      <c r="G14" t="s">
        <v>116</v>
      </c>
      <c r="H14" t="s">
        <v>26</v>
      </c>
      <c r="I14" t="s">
        <v>39</v>
      </c>
      <c r="J14" t="s">
        <v>189</v>
      </c>
      <c r="K14" t="s">
        <v>67</v>
      </c>
      <c r="L14" t="s">
        <v>189</v>
      </c>
      <c r="M14" t="s">
        <v>76</v>
      </c>
      <c r="N14" t="s">
        <v>77</v>
      </c>
    </row>
    <row r="15" spans="1:14">
      <c r="A15" t="s">
        <v>470</v>
      </c>
      <c r="B15" t="s">
        <v>215</v>
      </c>
      <c r="C15" t="s">
        <v>261</v>
      </c>
      <c r="D15" t="s">
        <v>471</v>
      </c>
      <c r="E15" t="s">
        <v>472</v>
      </c>
      <c r="F15" t="s">
        <v>219</v>
      </c>
      <c r="G15" t="s">
        <v>25</v>
      </c>
      <c r="H15" t="s">
        <v>26</v>
      </c>
      <c r="I15" t="s">
        <v>39</v>
      </c>
      <c r="J15" t="s">
        <v>189</v>
      </c>
      <c r="K15" t="s">
        <v>67</v>
      </c>
      <c r="L15" t="s">
        <v>189</v>
      </c>
      <c r="M15" t="s">
        <v>30</v>
      </c>
      <c r="N15" t="s">
        <v>31</v>
      </c>
    </row>
    <row r="16" spans="1:14">
      <c r="A16" t="s">
        <v>487</v>
      </c>
      <c r="B16" t="s">
        <v>215</v>
      </c>
      <c r="C16" t="s">
        <v>184</v>
      </c>
      <c r="D16" t="s">
        <v>488</v>
      </c>
      <c r="E16" t="s">
        <v>489</v>
      </c>
      <c r="F16" t="s">
        <v>187</v>
      </c>
      <c r="G16" t="s">
        <v>116</v>
      </c>
      <c r="H16" t="s">
        <v>26</v>
      </c>
      <c r="I16" t="s">
        <v>39</v>
      </c>
      <c r="J16" t="s">
        <v>189</v>
      </c>
      <c r="K16" t="s">
        <v>67</v>
      </c>
      <c r="L16" t="s">
        <v>189</v>
      </c>
      <c r="M16" t="s">
        <v>95</v>
      </c>
      <c r="N16" t="s">
        <v>56</v>
      </c>
    </row>
    <row r="17" spans="1:14">
      <c r="A17" t="s">
        <v>497</v>
      </c>
      <c r="B17" t="s">
        <v>215</v>
      </c>
      <c r="C17" t="s">
        <v>184</v>
      </c>
      <c r="D17" t="s">
        <v>498</v>
      </c>
      <c r="E17" t="s">
        <v>499</v>
      </c>
      <c r="F17" t="s">
        <v>187</v>
      </c>
      <c r="G17" t="s">
        <v>116</v>
      </c>
      <c r="H17" t="s">
        <v>26</v>
      </c>
      <c r="I17" t="s">
        <v>39</v>
      </c>
      <c r="J17" t="s">
        <v>189</v>
      </c>
      <c r="K17" t="s">
        <v>67</v>
      </c>
      <c r="L17" t="s">
        <v>189</v>
      </c>
      <c r="M17" t="s">
        <v>57</v>
      </c>
      <c r="N17" t="s">
        <v>58</v>
      </c>
    </row>
    <row r="18" spans="1:14">
      <c r="A18" t="s">
        <v>500</v>
      </c>
      <c r="B18" t="s">
        <v>215</v>
      </c>
      <c r="C18" t="s">
        <v>229</v>
      </c>
      <c r="D18" t="s">
        <v>501</v>
      </c>
      <c r="E18" t="s">
        <v>502</v>
      </c>
      <c r="F18" t="s">
        <v>232</v>
      </c>
      <c r="G18" t="s">
        <v>116</v>
      </c>
      <c r="H18" t="s">
        <v>38</v>
      </c>
      <c r="I18" t="s">
        <v>99</v>
      </c>
      <c r="J18" t="s">
        <v>189</v>
      </c>
      <c r="K18" t="s">
        <v>29</v>
      </c>
      <c r="L18" t="s">
        <v>189</v>
      </c>
      <c r="M18" t="s">
        <v>76</v>
      </c>
      <c r="N18" t="s">
        <v>77</v>
      </c>
    </row>
    <row r="19" spans="1:14">
      <c r="A19" t="s">
        <v>503</v>
      </c>
      <c r="B19" t="s">
        <v>215</v>
      </c>
      <c r="C19" t="s">
        <v>229</v>
      </c>
      <c r="D19" t="s">
        <v>504</v>
      </c>
      <c r="E19" t="s">
        <v>299</v>
      </c>
      <c r="F19" t="s">
        <v>232</v>
      </c>
      <c r="G19" t="s">
        <v>116</v>
      </c>
      <c r="H19" t="s">
        <v>26</v>
      </c>
      <c r="I19" t="s">
        <v>82</v>
      </c>
      <c r="J19" t="s">
        <v>189</v>
      </c>
      <c r="K19" t="s">
        <v>67</v>
      </c>
      <c r="L19" t="s">
        <v>189</v>
      </c>
      <c r="M19" t="s">
        <v>68</v>
      </c>
      <c r="N19" t="s">
        <v>69</v>
      </c>
    </row>
    <row r="20" spans="1:14">
      <c r="A20" t="s">
        <v>539</v>
      </c>
      <c r="B20" t="s">
        <v>215</v>
      </c>
      <c r="C20" t="s">
        <v>229</v>
      </c>
      <c r="D20" t="s">
        <v>540</v>
      </c>
      <c r="E20" t="s">
        <v>541</v>
      </c>
      <c r="F20" t="s">
        <v>232</v>
      </c>
      <c r="G20" t="s">
        <v>116</v>
      </c>
      <c r="H20" t="s">
        <v>26</v>
      </c>
      <c r="I20" t="s">
        <v>82</v>
      </c>
      <c r="J20" t="s">
        <v>189</v>
      </c>
      <c r="K20" t="s">
        <v>67</v>
      </c>
      <c r="L20" t="s">
        <v>189</v>
      </c>
      <c r="M20" t="s">
        <v>40</v>
      </c>
      <c r="N20" t="s">
        <v>41</v>
      </c>
    </row>
    <row r="21" spans="1:14">
      <c r="A21" t="s">
        <v>579</v>
      </c>
      <c r="B21" t="s">
        <v>215</v>
      </c>
      <c r="C21" t="s">
        <v>580</v>
      </c>
      <c r="D21" t="s">
        <v>581</v>
      </c>
      <c r="E21" t="s">
        <v>41</v>
      </c>
      <c r="F21" t="s">
        <v>582</v>
      </c>
      <c r="G21" t="s">
        <v>25</v>
      </c>
      <c r="H21" t="s">
        <v>38</v>
      </c>
      <c r="I21" t="s">
        <v>39</v>
      </c>
      <c r="J21" t="s">
        <v>189</v>
      </c>
      <c r="K21" t="s">
        <v>67</v>
      </c>
      <c r="L21" t="s">
        <v>189</v>
      </c>
      <c r="M21" t="s">
        <v>72</v>
      </c>
      <c r="N21" t="s">
        <v>73</v>
      </c>
    </row>
    <row r="22" spans="1:14">
      <c r="A22" t="s">
        <v>604</v>
      </c>
      <c r="B22" t="s">
        <v>215</v>
      </c>
      <c r="C22" t="s">
        <v>580</v>
      </c>
      <c r="D22" t="s">
        <v>605</v>
      </c>
      <c r="E22" t="s">
        <v>606</v>
      </c>
      <c r="F22" t="s">
        <v>582</v>
      </c>
      <c r="G22" t="s">
        <v>116</v>
      </c>
      <c r="H22" t="s">
        <v>26</v>
      </c>
      <c r="I22" t="s">
        <v>82</v>
      </c>
      <c r="J22" t="s">
        <v>189</v>
      </c>
      <c r="K22" t="s">
        <v>29</v>
      </c>
      <c r="L22" t="s">
        <v>189</v>
      </c>
      <c r="M22" t="s">
        <v>72</v>
      </c>
      <c r="N22" t="s">
        <v>73</v>
      </c>
    </row>
    <row r="23" spans="1:14">
      <c r="A23" t="s">
        <v>616</v>
      </c>
      <c r="B23" t="s">
        <v>215</v>
      </c>
      <c r="C23" t="s">
        <v>580</v>
      </c>
      <c r="D23" t="s">
        <v>617</v>
      </c>
      <c r="E23" t="s">
        <v>618</v>
      </c>
      <c r="F23" t="s">
        <v>582</v>
      </c>
      <c r="G23" t="s">
        <v>116</v>
      </c>
      <c r="H23" t="s">
        <v>26</v>
      </c>
      <c r="I23" t="s">
        <v>82</v>
      </c>
      <c r="J23" t="s">
        <v>189</v>
      </c>
      <c r="K23" t="s">
        <v>29</v>
      </c>
      <c r="L23" t="s">
        <v>189</v>
      </c>
      <c r="M23" t="s">
        <v>122</v>
      </c>
      <c r="N23" t="s">
        <v>39</v>
      </c>
    </row>
    <row r="24" spans="1:14">
      <c r="A24" t="s">
        <v>642</v>
      </c>
      <c r="B24" t="s">
        <v>215</v>
      </c>
      <c r="C24" t="s">
        <v>111</v>
      </c>
      <c r="D24" t="s">
        <v>643</v>
      </c>
      <c r="E24" t="s">
        <v>644</v>
      </c>
      <c r="F24" t="s">
        <v>114</v>
      </c>
      <c r="G24" t="s">
        <v>25</v>
      </c>
      <c r="H24" t="s">
        <v>38</v>
      </c>
      <c r="I24" t="s">
        <v>66</v>
      </c>
      <c r="J24" t="s">
        <v>189</v>
      </c>
      <c r="K24" t="s">
        <v>29</v>
      </c>
      <c r="L24" t="s">
        <v>189</v>
      </c>
      <c r="M24" t="s">
        <v>126</v>
      </c>
      <c r="N24" t="s">
        <v>127</v>
      </c>
    </row>
    <row r="25" spans="1:14">
      <c r="A25" t="s">
        <v>652</v>
      </c>
      <c r="B25" t="s">
        <v>215</v>
      </c>
      <c r="C25" t="s">
        <v>111</v>
      </c>
      <c r="D25" t="s">
        <v>653</v>
      </c>
      <c r="E25" t="s">
        <v>654</v>
      </c>
      <c r="F25" t="s">
        <v>114</v>
      </c>
      <c r="G25" t="s">
        <v>116</v>
      </c>
      <c r="H25" t="s">
        <v>26</v>
      </c>
      <c r="I25" t="s">
        <v>39</v>
      </c>
      <c r="J25" t="s">
        <v>189</v>
      </c>
      <c r="K25" t="s">
        <v>67</v>
      </c>
      <c r="L25" t="s">
        <v>189</v>
      </c>
      <c r="M25" t="s">
        <v>126</v>
      </c>
      <c r="N25" t="s">
        <v>127</v>
      </c>
    </row>
    <row r="26" spans="1:14">
      <c r="A26" t="s">
        <v>655</v>
      </c>
      <c r="B26" t="s">
        <v>215</v>
      </c>
      <c r="C26" t="s">
        <v>111</v>
      </c>
      <c r="D26" t="s">
        <v>656</v>
      </c>
      <c r="E26" t="s">
        <v>657</v>
      </c>
      <c r="F26" t="s">
        <v>114</v>
      </c>
      <c r="G26" t="s">
        <v>116</v>
      </c>
      <c r="H26" t="s">
        <v>38</v>
      </c>
      <c r="I26" t="s">
        <v>39</v>
      </c>
      <c r="J26" t="s">
        <v>189</v>
      </c>
      <c r="K26" t="s">
        <v>67</v>
      </c>
      <c r="L26" t="s">
        <v>189</v>
      </c>
      <c r="M26" t="s">
        <v>122</v>
      </c>
      <c r="N26" t="s">
        <v>39</v>
      </c>
    </row>
    <row r="27" spans="1:14">
      <c r="A27" t="s">
        <v>682</v>
      </c>
      <c r="B27" t="s">
        <v>215</v>
      </c>
      <c r="C27" t="s">
        <v>111</v>
      </c>
      <c r="D27" t="s">
        <v>683</v>
      </c>
      <c r="E27" t="s">
        <v>684</v>
      </c>
      <c r="F27" t="s">
        <v>114</v>
      </c>
      <c r="G27" t="s">
        <v>25</v>
      </c>
      <c r="H27" t="s">
        <v>26</v>
      </c>
      <c r="I27" t="s">
        <v>39</v>
      </c>
      <c r="J27" t="s">
        <v>189</v>
      </c>
      <c r="K27" t="s">
        <v>29</v>
      </c>
      <c r="L27" t="s">
        <v>189</v>
      </c>
      <c r="M27" t="s">
        <v>126</v>
      </c>
      <c r="N27" t="s">
        <v>127</v>
      </c>
    </row>
    <row r="28" spans="1:14">
      <c r="A28" t="s">
        <v>721</v>
      </c>
      <c r="B28" t="s">
        <v>215</v>
      </c>
      <c r="C28" t="s">
        <v>275</v>
      </c>
      <c r="D28" t="s">
        <v>722</v>
      </c>
      <c r="E28" t="s">
        <v>723</v>
      </c>
      <c r="F28" t="s">
        <v>278</v>
      </c>
      <c r="G28" t="s">
        <v>116</v>
      </c>
      <c r="H28" t="s">
        <v>26</v>
      </c>
      <c r="I28" t="s">
        <v>39</v>
      </c>
      <c r="J28" t="s">
        <v>724</v>
      </c>
      <c r="K28" t="s">
        <v>29</v>
      </c>
      <c r="L28" t="s">
        <v>724</v>
      </c>
      <c r="M28" t="s">
        <v>126</v>
      </c>
      <c r="N28" t="s">
        <v>127</v>
      </c>
    </row>
    <row r="29" spans="1:14">
      <c r="A29" t="s">
        <v>731</v>
      </c>
      <c r="B29" t="s">
        <v>215</v>
      </c>
      <c r="C29" t="s">
        <v>46</v>
      </c>
      <c r="D29" t="s">
        <v>732</v>
      </c>
      <c r="E29" t="s">
        <v>733</v>
      </c>
      <c r="F29" t="s">
        <v>49</v>
      </c>
      <c r="G29" t="s">
        <v>116</v>
      </c>
      <c r="H29" t="s">
        <v>26</v>
      </c>
      <c r="I29" t="s">
        <v>39</v>
      </c>
      <c r="J29" t="s">
        <v>724</v>
      </c>
      <c r="K29" t="s">
        <v>29</v>
      </c>
      <c r="L29" t="s">
        <v>724</v>
      </c>
      <c r="M29" t="s">
        <v>122</v>
      </c>
      <c r="N29" t="s">
        <v>39</v>
      </c>
    </row>
    <row r="30" spans="1:14">
      <c r="A30" t="s">
        <v>731</v>
      </c>
      <c r="B30" t="s">
        <v>215</v>
      </c>
      <c r="C30" t="s">
        <v>46</v>
      </c>
      <c r="D30" t="s">
        <v>734</v>
      </c>
      <c r="E30" t="s">
        <v>735</v>
      </c>
      <c r="F30" t="s">
        <v>49</v>
      </c>
      <c r="G30" t="s">
        <v>116</v>
      </c>
      <c r="H30" t="s">
        <v>26</v>
      </c>
      <c r="I30" t="s">
        <v>39</v>
      </c>
      <c r="J30" t="s">
        <v>724</v>
      </c>
      <c r="K30" t="s">
        <v>67</v>
      </c>
      <c r="L30" t="s">
        <v>724</v>
      </c>
      <c r="M30" t="s">
        <v>122</v>
      </c>
      <c r="N30" t="s">
        <v>39</v>
      </c>
    </row>
    <row r="31" spans="1:14">
      <c r="A31" t="s">
        <v>736</v>
      </c>
      <c r="B31" t="s">
        <v>215</v>
      </c>
      <c r="C31" t="s">
        <v>46</v>
      </c>
      <c r="D31" t="s">
        <v>737</v>
      </c>
      <c r="E31" t="s">
        <v>738</v>
      </c>
      <c r="F31" t="s">
        <v>49</v>
      </c>
      <c r="G31" t="s">
        <v>116</v>
      </c>
      <c r="H31" t="s">
        <v>26</v>
      </c>
      <c r="I31" t="s">
        <v>39</v>
      </c>
      <c r="J31" t="s">
        <v>724</v>
      </c>
      <c r="K31" t="s">
        <v>67</v>
      </c>
      <c r="L31" t="s">
        <v>724</v>
      </c>
      <c r="M31" t="s">
        <v>40</v>
      </c>
      <c r="N31" t="s">
        <v>41</v>
      </c>
    </row>
    <row r="32" spans="1:14">
      <c r="A32" t="s">
        <v>739</v>
      </c>
      <c r="B32" t="s">
        <v>215</v>
      </c>
      <c r="C32" t="s">
        <v>46</v>
      </c>
      <c r="D32" t="s">
        <v>740</v>
      </c>
      <c r="E32" t="s">
        <v>741</v>
      </c>
      <c r="F32" t="s">
        <v>49</v>
      </c>
      <c r="G32" t="s">
        <v>116</v>
      </c>
      <c r="H32" t="s">
        <v>26</v>
      </c>
      <c r="I32" t="s">
        <v>39</v>
      </c>
      <c r="J32" t="s">
        <v>724</v>
      </c>
      <c r="K32" t="s">
        <v>67</v>
      </c>
      <c r="L32" t="s">
        <v>724</v>
      </c>
      <c r="M32" t="s">
        <v>40</v>
      </c>
      <c r="N32" t="s">
        <v>41</v>
      </c>
    </row>
    <row r="33" spans="1:14">
      <c r="A33" t="s">
        <v>742</v>
      </c>
      <c r="B33" t="s">
        <v>215</v>
      </c>
      <c r="C33" t="s">
        <v>229</v>
      </c>
      <c r="D33" t="s">
        <v>743</v>
      </c>
      <c r="E33" t="s">
        <v>41</v>
      </c>
      <c r="F33" t="s">
        <v>232</v>
      </c>
      <c r="G33" t="s">
        <v>116</v>
      </c>
      <c r="H33" t="s">
        <v>38</v>
      </c>
      <c r="I33" t="s">
        <v>82</v>
      </c>
      <c r="J33" t="s">
        <v>724</v>
      </c>
      <c r="K33" t="s">
        <v>29</v>
      </c>
      <c r="L33" t="s">
        <v>724</v>
      </c>
      <c r="M33" t="s">
        <v>57</v>
      </c>
      <c r="N33" t="s">
        <v>58</v>
      </c>
    </row>
    <row r="34" spans="1:14">
      <c r="A34" t="s">
        <v>750</v>
      </c>
      <c r="B34" t="s">
        <v>215</v>
      </c>
      <c r="C34" t="s">
        <v>580</v>
      </c>
      <c r="D34" t="s">
        <v>751</v>
      </c>
      <c r="E34" t="s">
        <v>752</v>
      </c>
      <c r="F34" t="s">
        <v>582</v>
      </c>
      <c r="G34" t="s">
        <v>25</v>
      </c>
      <c r="H34" t="s">
        <v>26</v>
      </c>
      <c r="I34" t="s">
        <v>39</v>
      </c>
      <c r="J34" t="s">
        <v>724</v>
      </c>
      <c r="K34" t="s">
        <v>29</v>
      </c>
      <c r="L34" t="s">
        <v>724</v>
      </c>
      <c r="M34" t="s">
        <v>57</v>
      </c>
      <c r="N34" t="s">
        <v>58</v>
      </c>
    </row>
    <row r="35" spans="1:14">
      <c r="A35" t="s">
        <v>783</v>
      </c>
      <c r="B35" t="s">
        <v>215</v>
      </c>
      <c r="C35" t="s">
        <v>229</v>
      </c>
      <c r="D35" t="s">
        <v>784</v>
      </c>
      <c r="E35" t="s">
        <v>785</v>
      </c>
      <c r="F35" t="s">
        <v>232</v>
      </c>
      <c r="G35" t="s">
        <v>25</v>
      </c>
      <c r="H35" t="s">
        <v>26</v>
      </c>
      <c r="I35" t="s">
        <v>39</v>
      </c>
      <c r="J35" t="s">
        <v>724</v>
      </c>
      <c r="K35" t="s">
        <v>29</v>
      </c>
      <c r="L35" t="s">
        <v>724</v>
      </c>
      <c r="M35" t="s">
        <v>72</v>
      </c>
      <c r="N35" t="s">
        <v>73</v>
      </c>
    </row>
    <row r="36" spans="1:14">
      <c r="A36" t="s">
        <v>786</v>
      </c>
      <c r="B36" t="s">
        <v>215</v>
      </c>
      <c r="C36" t="s">
        <v>229</v>
      </c>
      <c r="D36" t="s">
        <v>787</v>
      </c>
      <c r="E36" t="s">
        <v>785</v>
      </c>
      <c r="F36" t="s">
        <v>232</v>
      </c>
      <c r="G36" t="s">
        <v>25</v>
      </c>
      <c r="H36" t="s">
        <v>26</v>
      </c>
      <c r="I36" t="s">
        <v>39</v>
      </c>
      <c r="J36" t="s">
        <v>724</v>
      </c>
      <c r="K36" t="s">
        <v>29</v>
      </c>
      <c r="L36" t="s">
        <v>724</v>
      </c>
      <c r="M36" t="s">
        <v>122</v>
      </c>
      <c r="N36" t="s">
        <v>39</v>
      </c>
    </row>
    <row r="37" spans="1:14">
      <c r="A37" t="s">
        <v>788</v>
      </c>
      <c r="B37" t="s">
        <v>215</v>
      </c>
      <c r="C37" t="s">
        <v>229</v>
      </c>
      <c r="D37" t="s">
        <v>789</v>
      </c>
      <c r="E37" t="s">
        <v>790</v>
      </c>
      <c r="F37" t="s">
        <v>232</v>
      </c>
      <c r="G37" t="s">
        <v>25</v>
      </c>
      <c r="H37" t="s">
        <v>26</v>
      </c>
      <c r="I37" t="s">
        <v>39</v>
      </c>
      <c r="J37" t="s">
        <v>724</v>
      </c>
      <c r="K37" t="s">
        <v>29</v>
      </c>
      <c r="L37" t="s">
        <v>724</v>
      </c>
      <c r="M37" t="s">
        <v>122</v>
      </c>
      <c r="N37" t="s">
        <v>39</v>
      </c>
    </row>
    <row r="38" spans="1:14">
      <c r="A38" t="s">
        <v>791</v>
      </c>
      <c r="B38" t="s">
        <v>215</v>
      </c>
      <c r="C38" t="s">
        <v>229</v>
      </c>
      <c r="D38" t="s">
        <v>792</v>
      </c>
      <c r="E38" t="s">
        <v>793</v>
      </c>
      <c r="F38" t="s">
        <v>232</v>
      </c>
      <c r="G38" t="s">
        <v>25</v>
      </c>
      <c r="H38" t="s">
        <v>26</v>
      </c>
      <c r="I38" t="s">
        <v>39</v>
      </c>
      <c r="J38" t="s">
        <v>724</v>
      </c>
      <c r="K38" t="s">
        <v>29</v>
      </c>
      <c r="L38" t="s">
        <v>724</v>
      </c>
      <c r="M38" t="s">
        <v>122</v>
      </c>
      <c r="N38" t="s">
        <v>39</v>
      </c>
    </row>
    <row r="39" spans="1:14">
      <c r="A39" t="s">
        <v>794</v>
      </c>
      <c r="B39" t="s">
        <v>215</v>
      </c>
      <c r="C39" t="s">
        <v>229</v>
      </c>
      <c r="D39" t="s">
        <v>795</v>
      </c>
      <c r="E39" t="s">
        <v>796</v>
      </c>
      <c r="F39" t="s">
        <v>232</v>
      </c>
      <c r="G39" t="s">
        <v>25</v>
      </c>
      <c r="H39" t="s">
        <v>26</v>
      </c>
      <c r="I39" t="s">
        <v>39</v>
      </c>
      <c r="J39" t="s">
        <v>724</v>
      </c>
      <c r="K39" t="s">
        <v>29</v>
      </c>
      <c r="L39" t="s">
        <v>724</v>
      </c>
      <c r="M39" t="s">
        <v>122</v>
      </c>
      <c r="N39" t="s">
        <v>39</v>
      </c>
    </row>
    <row r="40" spans="1:14">
      <c r="A40" t="s">
        <v>797</v>
      </c>
      <c r="B40" t="s">
        <v>215</v>
      </c>
      <c r="C40" t="s">
        <v>229</v>
      </c>
      <c r="D40" t="s">
        <v>798</v>
      </c>
      <c r="E40" t="s">
        <v>799</v>
      </c>
      <c r="F40" t="s">
        <v>232</v>
      </c>
      <c r="G40" t="s">
        <v>25</v>
      </c>
      <c r="H40" t="s">
        <v>26</v>
      </c>
      <c r="I40" t="s">
        <v>39</v>
      </c>
      <c r="J40" t="s">
        <v>724</v>
      </c>
      <c r="K40" t="s">
        <v>29</v>
      </c>
      <c r="L40" t="s">
        <v>724</v>
      </c>
      <c r="M40" t="s">
        <v>122</v>
      </c>
      <c r="N40" t="s">
        <v>39</v>
      </c>
    </row>
    <row r="41" spans="1:14">
      <c r="A41" t="s">
        <v>800</v>
      </c>
      <c r="B41" t="s">
        <v>215</v>
      </c>
      <c r="C41" t="s">
        <v>229</v>
      </c>
      <c r="D41" t="s">
        <v>801</v>
      </c>
      <c r="E41" t="s">
        <v>802</v>
      </c>
      <c r="F41" t="s">
        <v>232</v>
      </c>
      <c r="G41" t="s">
        <v>25</v>
      </c>
      <c r="H41" t="s">
        <v>26</v>
      </c>
      <c r="I41" t="s">
        <v>39</v>
      </c>
      <c r="J41" t="s">
        <v>724</v>
      </c>
      <c r="K41" t="s">
        <v>29</v>
      </c>
      <c r="L41" t="s">
        <v>724</v>
      </c>
      <c r="M41" t="s">
        <v>122</v>
      </c>
      <c r="N41" t="s">
        <v>39</v>
      </c>
    </row>
    <row r="42" spans="1:14">
      <c r="A42" t="s">
        <v>803</v>
      </c>
      <c r="B42" t="s">
        <v>215</v>
      </c>
      <c r="C42" t="s">
        <v>229</v>
      </c>
      <c r="D42" t="s">
        <v>804</v>
      </c>
      <c r="E42" t="s">
        <v>802</v>
      </c>
      <c r="F42" t="s">
        <v>232</v>
      </c>
      <c r="G42" t="s">
        <v>25</v>
      </c>
      <c r="H42" t="s">
        <v>26</v>
      </c>
      <c r="I42" t="s">
        <v>39</v>
      </c>
      <c r="J42" t="s">
        <v>724</v>
      </c>
      <c r="K42" t="s">
        <v>29</v>
      </c>
      <c r="L42" t="s">
        <v>724</v>
      </c>
      <c r="M42" t="s">
        <v>122</v>
      </c>
      <c r="N42" t="s">
        <v>39</v>
      </c>
    </row>
    <row r="43" spans="1:14">
      <c r="A43" t="s">
        <v>805</v>
      </c>
      <c r="B43" t="s">
        <v>215</v>
      </c>
      <c r="C43" t="s">
        <v>229</v>
      </c>
      <c r="D43" t="s">
        <v>806</v>
      </c>
      <c r="E43" t="s">
        <v>807</v>
      </c>
      <c r="F43" t="s">
        <v>232</v>
      </c>
      <c r="G43" t="s">
        <v>25</v>
      </c>
      <c r="H43" t="s">
        <v>26</v>
      </c>
      <c r="I43" t="s">
        <v>39</v>
      </c>
      <c r="J43" t="s">
        <v>724</v>
      </c>
      <c r="K43" t="s">
        <v>29</v>
      </c>
      <c r="L43" t="s">
        <v>724</v>
      </c>
      <c r="M43" t="s">
        <v>122</v>
      </c>
      <c r="N43" t="s">
        <v>39</v>
      </c>
    </row>
    <row r="44" spans="1:14">
      <c r="A44" t="s">
        <v>808</v>
      </c>
      <c r="B44" t="s">
        <v>215</v>
      </c>
      <c r="C44" t="s">
        <v>229</v>
      </c>
      <c r="D44" t="s">
        <v>809</v>
      </c>
      <c r="E44" t="s">
        <v>807</v>
      </c>
      <c r="F44" t="s">
        <v>232</v>
      </c>
      <c r="G44" t="s">
        <v>25</v>
      </c>
      <c r="H44" t="s">
        <v>26</v>
      </c>
      <c r="I44" t="s">
        <v>39</v>
      </c>
      <c r="J44" t="s">
        <v>724</v>
      </c>
      <c r="K44" t="s">
        <v>29</v>
      </c>
      <c r="L44" t="s">
        <v>724</v>
      </c>
      <c r="M44" t="s">
        <v>76</v>
      </c>
      <c r="N44" t="s">
        <v>77</v>
      </c>
    </row>
    <row r="45" spans="1:14">
      <c r="A45" t="s">
        <v>810</v>
      </c>
      <c r="B45" t="s">
        <v>215</v>
      </c>
      <c r="C45" t="s">
        <v>229</v>
      </c>
      <c r="D45" t="s">
        <v>811</v>
      </c>
      <c r="E45" t="s">
        <v>812</v>
      </c>
      <c r="F45" t="s">
        <v>232</v>
      </c>
      <c r="G45" t="s">
        <v>25</v>
      </c>
      <c r="H45" t="s">
        <v>26</v>
      </c>
      <c r="I45" t="s">
        <v>39</v>
      </c>
      <c r="J45" t="s">
        <v>724</v>
      </c>
      <c r="K45" t="s">
        <v>29</v>
      </c>
      <c r="L45" t="s">
        <v>724</v>
      </c>
      <c r="M45" t="s">
        <v>122</v>
      </c>
      <c r="N45" t="s">
        <v>39</v>
      </c>
    </row>
    <row r="46" spans="1:14">
      <c r="A46" t="s">
        <v>815</v>
      </c>
      <c r="B46" t="s">
        <v>215</v>
      </c>
      <c r="C46" t="s">
        <v>229</v>
      </c>
      <c r="D46" t="s">
        <v>816</v>
      </c>
      <c r="E46" t="s">
        <v>817</v>
      </c>
      <c r="F46" t="s">
        <v>232</v>
      </c>
      <c r="G46" t="s">
        <v>25</v>
      </c>
      <c r="H46" t="s">
        <v>26</v>
      </c>
      <c r="I46" t="s">
        <v>39</v>
      </c>
      <c r="J46" t="s">
        <v>724</v>
      </c>
      <c r="K46" t="s">
        <v>29</v>
      </c>
      <c r="L46" t="s">
        <v>724</v>
      </c>
      <c r="M46" t="s">
        <v>57</v>
      </c>
      <c r="N46" t="s">
        <v>58</v>
      </c>
    </row>
    <row r="47" spans="1:14">
      <c r="A47" t="s">
        <v>818</v>
      </c>
      <c r="B47" t="s">
        <v>215</v>
      </c>
      <c r="C47" t="s">
        <v>229</v>
      </c>
      <c r="D47" t="s">
        <v>819</v>
      </c>
      <c r="E47" t="s">
        <v>820</v>
      </c>
      <c r="F47" t="s">
        <v>232</v>
      </c>
      <c r="G47" t="s">
        <v>116</v>
      </c>
      <c r="H47" t="s">
        <v>38</v>
      </c>
      <c r="I47" t="s">
        <v>56</v>
      </c>
      <c r="J47" t="s">
        <v>724</v>
      </c>
      <c r="K47" t="s">
        <v>29</v>
      </c>
      <c r="L47" t="s">
        <v>724</v>
      </c>
      <c r="M47" t="s">
        <v>76</v>
      </c>
      <c r="N47" t="s">
        <v>77</v>
      </c>
    </row>
    <row r="48" spans="1:14">
      <c r="A48" t="s">
        <v>821</v>
      </c>
      <c r="B48" t="s">
        <v>215</v>
      </c>
      <c r="C48" t="s">
        <v>46</v>
      </c>
      <c r="D48" t="s">
        <v>822</v>
      </c>
      <c r="E48" t="s">
        <v>823</v>
      </c>
      <c r="F48" t="s">
        <v>49</v>
      </c>
      <c r="G48" t="s">
        <v>116</v>
      </c>
      <c r="H48" t="s">
        <v>26</v>
      </c>
      <c r="I48" t="s">
        <v>39</v>
      </c>
      <c r="J48" t="s">
        <v>724</v>
      </c>
      <c r="K48" t="s">
        <v>29</v>
      </c>
      <c r="L48" t="s">
        <v>724</v>
      </c>
      <c r="M48" t="s">
        <v>122</v>
      </c>
      <c r="N48" t="s">
        <v>39</v>
      </c>
    </row>
    <row r="49" spans="1:14">
      <c r="A49" t="s">
        <v>824</v>
      </c>
      <c r="B49" t="s">
        <v>215</v>
      </c>
      <c r="C49" t="s">
        <v>229</v>
      </c>
      <c r="D49" t="s">
        <v>825</v>
      </c>
      <c r="E49" t="s">
        <v>826</v>
      </c>
      <c r="F49" t="s">
        <v>232</v>
      </c>
      <c r="G49" t="s">
        <v>25</v>
      </c>
      <c r="H49" t="s">
        <v>26</v>
      </c>
      <c r="I49" t="s">
        <v>39</v>
      </c>
      <c r="J49" t="s">
        <v>724</v>
      </c>
      <c r="K49" t="s">
        <v>29</v>
      </c>
      <c r="L49" t="s">
        <v>724</v>
      </c>
      <c r="M49" t="s">
        <v>122</v>
      </c>
      <c r="N49" t="s">
        <v>39</v>
      </c>
    </row>
    <row r="50" spans="1:14">
      <c r="A50" t="s">
        <v>858</v>
      </c>
      <c r="B50" t="s">
        <v>215</v>
      </c>
      <c r="C50" t="s">
        <v>111</v>
      </c>
      <c r="D50" t="s">
        <v>859</v>
      </c>
      <c r="E50" t="s">
        <v>860</v>
      </c>
      <c r="F50" t="s">
        <v>114</v>
      </c>
      <c r="G50" t="s">
        <v>116</v>
      </c>
      <c r="H50" t="s">
        <v>26</v>
      </c>
      <c r="I50" t="s">
        <v>39</v>
      </c>
      <c r="J50" t="s">
        <v>724</v>
      </c>
      <c r="K50" t="s">
        <v>29</v>
      </c>
      <c r="L50" t="s">
        <v>724</v>
      </c>
      <c r="M50" t="s">
        <v>95</v>
      </c>
      <c r="N50" t="s">
        <v>56</v>
      </c>
    </row>
    <row r="51" spans="1:14">
      <c r="A51" t="s">
        <v>864</v>
      </c>
      <c r="B51" t="s">
        <v>215</v>
      </c>
      <c r="C51" t="s">
        <v>46</v>
      </c>
      <c r="D51" t="s">
        <v>865</v>
      </c>
      <c r="E51" t="s">
        <v>866</v>
      </c>
      <c r="F51" t="s">
        <v>49</v>
      </c>
      <c r="G51" t="s">
        <v>25</v>
      </c>
      <c r="H51" t="s">
        <v>38</v>
      </c>
      <c r="I51" t="s">
        <v>27</v>
      </c>
      <c r="J51" t="s">
        <v>724</v>
      </c>
      <c r="K51" t="s">
        <v>29</v>
      </c>
      <c r="L51" t="s">
        <v>724</v>
      </c>
      <c r="M51" t="s">
        <v>95</v>
      </c>
      <c r="N51" t="s">
        <v>56</v>
      </c>
    </row>
    <row r="52" spans="1:14">
      <c r="A52" t="s">
        <v>870</v>
      </c>
      <c r="B52" t="s">
        <v>215</v>
      </c>
      <c r="C52" t="s">
        <v>46</v>
      </c>
      <c r="D52" t="s">
        <v>871</v>
      </c>
      <c r="E52" t="s">
        <v>872</v>
      </c>
      <c r="F52" t="s">
        <v>49</v>
      </c>
      <c r="G52" t="s">
        <v>25</v>
      </c>
      <c r="H52" t="s">
        <v>26</v>
      </c>
      <c r="I52" t="s">
        <v>39</v>
      </c>
      <c r="J52" t="s">
        <v>724</v>
      </c>
      <c r="K52" t="s">
        <v>67</v>
      </c>
      <c r="L52" t="s">
        <v>724</v>
      </c>
      <c r="M52" t="s">
        <v>76</v>
      </c>
      <c r="N52" t="s">
        <v>77</v>
      </c>
    </row>
    <row r="53" spans="1:14">
      <c r="A53" t="s">
        <v>878</v>
      </c>
      <c r="B53" t="s">
        <v>215</v>
      </c>
      <c r="C53" t="s">
        <v>46</v>
      </c>
      <c r="D53" t="s">
        <v>879</v>
      </c>
      <c r="E53" t="s">
        <v>880</v>
      </c>
      <c r="F53" t="s">
        <v>49</v>
      </c>
      <c r="G53" t="s">
        <v>116</v>
      </c>
      <c r="H53" t="s">
        <v>26</v>
      </c>
      <c r="I53" t="s">
        <v>39</v>
      </c>
      <c r="J53" t="s">
        <v>724</v>
      </c>
      <c r="K53" t="s">
        <v>29</v>
      </c>
      <c r="L53" t="s">
        <v>724</v>
      </c>
      <c r="M53" t="s">
        <v>122</v>
      </c>
      <c r="N53" t="s">
        <v>39</v>
      </c>
    </row>
    <row r="54" spans="1:14">
      <c r="A54" t="s">
        <v>881</v>
      </c>
      <c r="B54" t="s">
        <v>215</v>
      </c>
      <c r="C54" t="s">
        <v>266</v>
      </c>
      <c r="D54" t="s">
        <v>882</v>
      </c>
      <c r="E54" t="s">
        <v>883</v>
      </c>
      <c r="F54" t="s">
        <v>269</v>
      </c>
      <c r="G54" t="s">
        <v>25</v>
      </c>
      <c r="H54" t="s">
        <v>38</v>
      </c>
      <c r="I54" t="s">
        <v>39</v>
      </c>
      <c r="J54" t="s">
        <v>724</v>
      </c>
      <c r="K54" t="s">
        <v>29</v>
      </c>
      <c r="L54" t="s">
        <v>724</v>
      </c>
      <c r="M54" t="s">
        <v>76</v>
      </c>
      <c r="N54" t="s">
        <v>77</v>
      </c>
    </row>
    <row r="55" spans="1:14">
      <c r="A55" t="s">
        <v>884</v>
      </c>
      <c r="B55" t="s">
        <v>215</v>
      </c>
      <c r="C55" t="s">
        <v>266</v>
      </c>
      <c r="D55" t="s">
        <v>885</v>
      </c>
      <c r="E55" t="s">
        <v>886</v>
      </c>
      <c r="F55" t="s">
        <v>269</v>
      </c>
      <c r="G55" t="s">
        <v>25</v>
      </c>
      <c r="H55" t="s">
        <v>38</v>
      </c>
      <c r="I55" t="s">
        <v>39</v>
      </c>
      <c r="J55" t="s">
        <v>724</v>
      </c>
      <c r="K55" t="s">
        <v>29</v>
      </c>
      <c r="L55" t="s">
        <v>724</v>
      </c>
      <c r="M55" t="s">
        <v>122</v>
      </c>
      <c r="N55" t="s">
        <v>39</v>
      </c>
    </row>
    <row r="56" spans="1:14">
      <c r="A56" t="s">
        <v>887</v>
      </c>
      <c r="B56" t="s">
        <v>215</v>
      </c>
      <c r="C56" t="s">
        <v>266</v>
      </c>
      <c r="D56" t="s">
        <v>888</v>
      </c>
      <c r="E56" t="s">
        <v>889</v>
      </c>
      <c r="F56" t="s">
        <v>269</v>
      </c>
      <c r="G56" t="s">
        <v>25</v>
      </c>
      <c r="H56" t="s">
        <v>26</v>
      </c>
      <c r="I56" t="s">
        <v>39</v>
      </c>
      <c r="J56" t="s">
        <v>724</v>
      </c>
      <c r="K56" t="s">
        <v>29</v>
      </c>
      <c r="L56" t="s">
        <v>724</v>
      </c>
      <c r="M56" t="s">
        <v>95</v>
      </c>
      <c r="N56" t="s">
        <v>56</v>
      </c>
    </row>
    <row r="57" spans="1:14">
      <c r="A57" t="s">
        <v>887</v>
      </c>
      <c r="B57" t="s">
        <v>215</v>
      </c>
      <c r="C57" t="s">
        <v>266</v>
      </c>
      <c r="D57" t="s">
        <v>890</v>
      </c>
      <c r="E57" t="s">
        <v>886</v>
      </c>
      <c r="F57" t="s">
        <v>269</v>
      </c>
      <c r="G57" t="s">
        <v>25</v>
      </c>
      <c r="H57" t="s">
        <v>26</v>
      </c>
      <c r="I57" t="s">
        <v>39</v>
      </c>
      <c r="J57" t="s">
        <v>724</v>
      </c>
      <c r="K57" t="s">
        <v>29</v>
      </c>
      <c r="L57" t="s">
        <v>724</v>
      </c>
      <c r="M57" t="s">
        <v>95</v>
      </c>
      <c r="N57" t="s">
        <v>56</v>
      </c>
    </row>
    <row r="58" spans="1:14">
      <c r="A58" t="s">
        <v>926</v>
      </c>
      <c r="B58" t="s">
        <v>215</v>
      </c>
      <c r="C58" t="s">
        <v>266</v>
      </c>
      <c r="D58" t="s">
        <v>927</v>
      </c>
      <c r="E58" t="s">
        <v>928</v>
      </c>
      <c r="F58" t="s">
        <v>269</v>
      </c>
      <c r="G58" t="s">
        <v>116</v>
      </c>
      <c r="H58" t="s">
        <v>26</v>
      </c>
      <c r="I58" t="s">
        <v>99</v>
      </c>
      <c r="J58" t="s">
        <v>724</v>
      </c>
      <c r="K58" t="s">
        <v>67</v>
      </c>
      <c r="L58" t="s">
        <v>724</v>
      </c>
      <c r="M58" t="s">
        <v>95</v>
      </c>
      <c r="N58" t="s">
        <v>56</v>
      </c>
    </row>
    <row r="59" spans="1:14">
      <c r="A59" t="s">
        <v>932</v>
      </c>
      <c r="B59" t="s">
        <v>215</v>
      </c>
      <c r="C59" t="s">
        <v>266</v>
      </c>
      <c r="D59" t="s">
        <v>933</v>
      </c>
      <c r="E59" t="s">
        <v>934</v>
      </c>
      <c r="F59" t="s">
        <v>269</v>
      </c>
      <c r="G59" t="s">
        <v>116</v>
      </c>
      <c r="H59" t="s">
        <v>26</v>
      </c>
      <c r="I59" t="s">
        <v>82</v>
      </c>
      <c r="J59" t="s">
        <v>724</v>
      </c>
      <c r="K59" t="s">
        <v>67</v>
      </c>
      <c r="L59" t="s">
        <v>724</v>
      </c>
      <c r="M59" t="s">
        <v>122</v>
      </c>
      <c r="N59" t="s">
        <v>39</v>
      </c>
    </row>
    <row r="60" spans="1:14">
      <c r="A60" t="s">
        <v>947</v>
      </c>
      <c r="B60" t="s">
        <v>215</v>
      </c>
      <c r="C60" t="s">
        <v>111</v>
      </c>
      <c r="D60" t="s">
        <v>948</v>
      </c>
      <c r="E60" t="s">
        <v>949</v>
      </c>
      <c r="F60" t="s">
        <v>114</v>
      </c>
      <c r="G60" t="s">
        <v>25</v>
      </c>
      <c r="H60" t="s">
        <v>26</v>
      </c>
      <c r="I60" t="s">
        <v>39</v>
      </c>
      <c r="J60" t="s">
        <v>724</v>
      </c>
      <c r="K60" t="s">
        <v>29</v>
      </c>
      <c r="L60" t="s">
        <v>724</v>
      </c>
      <c r="M60" t="s">
        <v>76</v>
      </c>
      <c r="N60" t="s">
        <v>77</v>
      </c>
    </row>
    <row r="61" spans="1:14">
      <c r="A61" t="s">
        <v>950</v>
      </c>
      <c r="B61" t="s">
        <v>215</v>
      </c>
      <c r="C61" t="s">
        <v>111</v>
      </c>
      <c r="D61" t="s">
        <v>951</v>
      </c>
      <c r="E61" t="s">
        <v>952</v>
      </c>
      <c r="F61" t="s">
        <v>114</v>
      </c>
      <c r="G61" t="s">
        <v>25</v>
      </c>
      <c r="H61" t="s">
        <v>38</v>
      </c>
      <c r="I61" t="s">
        <v>203</v>
      </c>
      <c r="J61" t="s">
        <v>724</v>
      </c>
      <c r="K61" t="s">
        <v>29</v>
      </c>
      <c r="L61" t="s">
        <v>724</v>
      </c>
      <c r="M61" t="s">
        <v>40</v>
      </c>
      <c r="N61" t="s">
        <v>41</v>
      </c>
    </row>
    <row r="62" spans="1:14">
      <c r="A62" t="s">
        <v>953</v>
      </c>
      <c r="B62" t="s">
        <v>215</v>
      </c>
      <c r="C62" t="s">
        <v>111</v>
      </c>
      <c r="D62" t="s">
        <v>954</v>
      </c>
      <c r="E62" t="s">
        <v>955</v>
      </c>
      <c r="F62" t="s">
        <v>114</v>
      </c>
      <c r="G62" t="s">
        <v>25</v>
      </c>
      <c r="H62" t="s">
        <v>38</v>
      </c>
      <c r="I62" t="s">
        <v>39</v>
      </c>
      <c r="J62" t="s">
        <v>724</v>
      </c>
      <c r="K62" t="s">
        <v>29</v>
      </c>
      <c r="L62" t="s">
        <v>724</v>
      </c>
      <c r="M62" t="s">
        <v>122</v>
      </c>
      <c r="N62" t="s">
        <v>39</v>
      </c>
    </row>
    <row r="63" spans="1:14">
      <c r="A63" t="s">
        <v>973</v>
      </c>
      <c r="B63" t="s">
        <v>215</v>
      </c>
      <c r="C63" t="s">
        <v>974</v>
      </c>
      <c r="D63" t="s">
        <v>975</v>
      </c>
      <c r="E63" t="s">
        <v>976</v>
      </c>
      <c r="F63" t="s">
        <v>23</v>
      </c>
      <c r="G63" t="s">
        <v>25</v>
      </c>
      <c r="H63" t="s">
        <v>26</v>
      </c>
      <c r="I63" t="s">
        <v>82</v>
      </c>
      <c r="J63" t="s">
        <v>724</v>
      </c>
      <c r="K63" t="s">
        <v>29</v>
      </c>
      <c r="L63" t="s">
        <v>724</v>
      </c>
      <c r="M63" t="s">
        <v>40</v>
      </c>
      <c r="N63" t="s">
        <v>41</v>
      </c>
    </row>
    <row r="64" spans="1:14">
      <c r="A64" t="s">
        <v>977</v>
      </c>
      <c r="B64" t="s">
        <v>215</v>
      </c>
      <c r="C64" t="s">
        <v>974</v>
      </c>
      <c r="D64" t="s">
        <v>978</v>
      </c>
      <c r="E64" t="s">
        <v>979</v>
      </c>
      <c r="F64" t="s">
        <v>23</v>
      </c>
      <c r="G64" t="s">
        <v>25</v>
      </c>
      <c r="H64" t="s">
        <v>38</v>
      </c>
      <c r="I64" t="s">
        <v>82</v>
      </c>
      <c r="J64" t="s">
        <v>724</v>
      </c>
      <c r="K64" t="s">
        <v>29</v>
      </c>
      <c r="L64" t="s">
        <v>724</v>
      </c>
      <c r="M64" t="s">
        <v>76</v>
      </c>
      <c r="N64" t="s">
        <v>77</v>
      </c>
    </row>
    <row r="65" spans="1:14">
      <c r="A65" t="s">
        <v>980</v>
      </c>
      <c r="B65" t="s">
        <v>215</v>
      </c>
      <c r="C65" t="s">
        <v>974</v>
      </c>
      <c r="D65" t="s">
        <v>981</v>
      </c>
      <c r="E65" t="s">
        <v>982</v>
      </c>
      <c r="F65" t="s">
        <v>23</v>
      </c>
      <c r="G65" t="s">
        <v>25</v>
      </c>
      <c r="H65" t="s">
        <v>38</v>
      </c>
      <c r="I65" t="s">
        <v>82</v>
      </c>
      <c r="J65" t="s">
        <v>724</v>
      </c>
      <c r="K65" t="s">
        <v>29</v>
      </c>
      <c r="L65" t="s">
        <v>724</v>
      </c>
      <c r="M65" t="s">
        <v>40</v>
      </c>
      <c r="N65" t="s">
        <v>41</v>
      </c>
    </row>
    <row r="66" spans="1:14">
      <c r="A66" t="s">
        <v>983</v>
      </c>
      <c r="B66" t="s">
        <v>215</v>
      </c>
      <c r="C66" t="s">
        <v>974</v>
      </c>
      <c r="D66" t="s">
        <v>984</v>
      </c>
      <c r="E66" t="s">
        <v>985</v>
      </c>
      <c r="F66" t="s">
        <v>23</v>
      </c>
      <c r="G66" t="s">
        <v>25</v>
      </c>
      <c r="H66" t="s">
        <v>38</v>
      </c>
      <c r="I66" t="s">
        <v>82</v>
      </c>
      <c r="J66" t="s">
        <v>724</v>
      </c>
      <c r="K66" t="s">
        <v>29</v>
      </c>
      <c r="L66" t="s">
        <v>724</v>
      </c>
      <c r="M66" t="s">
        <v>40</v>
      </c>
      <c r="N66" t="s">
        <v>41</v>
      </c>
    </row>
    <row r="67" spans="1:14">
      <c r="A67" t="s">
        <v>986</v>
      </c>
      <c r="B67" t="s">
        <v>215</v>
      </c>
      <c r="C67" t="s">
        <v>974</v>
      </c>
      <c r="D67" t="s">
        <v>987</v>
      </c>
      <c r="E67" t="s">
        <v>988</v>
      </c>
      <c r="F67" t="s">
        <v>23</v>
      </c>
      <c r="G67" t="s">
        <v>25</v>
      </c>
      <c r="H67" t="s">
        <v>38</v>
      </c>
      <c r="I67" t="s">
        <v>66</v>
      </c>
      <c r="J67" t="s">
        <v>724</v>
      </c>
      <c r="K67" t="s">
        <v>29</v>
      </c>
      <c r="L67" t="s">
        <v>724</v>
      </c>
      <c r="M67" t="s">
        <v>122</v>
      </c>
      <c r="N67" t="s">
        <v>39</v>
      </c>
    </row>
    <row r="68" spans="1:14">
      <c r="A68" t="s">
        <v>989</v>
      </c>
      <c r="B68" t="s">
        <v>215</v>
      </c>
      <c r="C68" t="s">
        <v>974</v>
      </c>
      <c r="D68" t="s">
        <v>990</v>
      </c>
      <c r="E68" t="s">
        <v>991</v>
      </c>
      <c r="F68" t="s">
        <v>23</v>
      </c>
      <c r="G68" t="s">
        <v>25</v>
      </c>
      <c r="H68" t="s">
        <v>26</v>
      </c>
      <c r="I68" t="s">
        <v>82</v>
      </c>
      <c r="J68" t="s">
        <v>724</v>
      </c>
      <c r="K68" t="s">
        <v>29</v>
      </c>
      <c r="L68" t="s">
        <v>724</v>
      </c>
      <c r="M68" t="s">
        <v>95</v>
      </c>
      <c r="N68" t="s">
        <v>56</v>
      </c>
    </row>
    <row r="69" spans="1:14">
      <c r="A69" t="s">
        <v>989</v>
      </c>
      <c r="B69" t="s">
        <v>215</v>
      </c>
      <c r="C69" t="s">
        <v>974</v>
      </c>
      <c r="D69" t="s">
        <v>992</v>
      </c>
      <c r="E69" t="s">
        <v>993</v>
      </c>
      <c r="F69" t="s">
        <v>23</v>
      </c>
      <c r="G69" t="s">
        <v>25</v>
      </c>
      <c r="H69" t="s">
        <v>26</v>
      </c>
      <c r="I69" t="s">
        <v>39</v>
      </c>
      <c r="J69" t="s">
        <v>724</v>
      </c>
      <c r="K69" t="s">
        <v>106</v>
      </c>
      <c r="L69" t="s">
        <v>724</v>
      </c>
      <c r="M69" t="s">
        <v>122</v>
      </c>
      <c r="N69" t="s">
        <v>39</v>
      </c>
    </row>
    <row r="70" spans="1:14">
      <c r="A70" t="s">
        <v>994</v>
      </c>
      <c r="B70" t="s">
        <v>215</v>
      </c>
      <c r="C70" t="s">
        <v>974</v>
      </c>
      <c r="D70" t="s">
        <v>995</v>
      </c>
      <c r="E70" t="s">
        <v>996</v>
      </c>
      <c r="F70" t="s">
        <v>23</v>
      </c>
      <c r="G70" t="s">
        <v>25</v>
      </c>
      <c r="H70" t="s">
        <v>38</v>
      </c>
      <c r="I70" t="s">
        <v>27</v>
      </c>
      <c r="J70" t="s">
        <v>724</v>
      </c>
      <c r="K70" t="s">
        <v>29</v>
      </c>
      <c r="L70" t="s">
        <v>724</v>
      </c>
      <c r="M70" t="s">
        <v>95</v>
      </c>
      <c r="N70" t="s">
        <v>56</v>
      </c>
    </row>
    <row r="71" spans="1:14">
      <c r="A71" t="s">
        <v>994</v>
      </c>
      <c r="B71" t="s">
        <v>215</v>
      </c>
      <c r="C71" t="s">
        <v>974</v>
      </c>
      <c r="D71" t="s">
        <v>997</v>
      </c>
      <c r="E71" t="s">
        <v>998</v>
      </c>
      <c r="F71" t="s">
        <v>23</v>
      </c>
      <c r="G71" t="s">
        <v>25</v>
      </c>
      <c r="H71" t="s">
        <v>26</v>
      </c>
      <c r="I71" t="s">
        <v>39</v>
      </c>
      <c r="J71" t="s">
        <v>724</v>
      </c>
      <c r="K71" t="s">
        <v>29</v>
      </c>
      <c r="L71" t="s">
        <v>724</v>
      </c>
      <c r="M71" t="s">
        <v>95</v>
      </c>
      <c r="N71" t="s">
        <v>56</v>
      </c>
    </row>
    <row r="72" spans="1:14">
      <c r="A72" t="s">
        <v>999</v>
      </c>
      <c r="B72" t="s">
        <v>215</v>
      </c>
      <c r="C72" t="s">
        <v>974</v>
      </c>
      <c r="D72" t="s">
        <v>1000</v>
      </c>
      <c r="E72" t="s">
        <v>1001</v>
      </c>
      <c r="F72" t="s">
        <v>23</v>
      </c>
      <c r="G72" t="s">
        <v>25</v>
      </c>
      <c r="H72" t="s">
        <v>26</v>
      </c>
      <c r="I72" t="s">
        <v>39</v>
      </c>
      <c r="J72" t="s">
        <v>724</v>
      </c>
      <c r="K72" t="s">
        <v>67</v>
      </c>
      <c r="L72" t="s">
        <v>724</v>
      </c>
      <c r="M72" t="s">
        <v>95</v>
      </c>
      <c r="N72" t="s">
        <v>56</v>
      </c>
    </row>
    <row r="73" spans="1:14">
      <c r="A73" t="s">
        <v>1002</v>
      </c>
      <c r="B73" t="s">
        <v>215</v>
      </c>
      <c r="C73" t="s">
        <v>974</v>
      </c>
      <c r="D73" t="s">
        <v>1003</v>
      </c>
      <c r="E73" t="s">
        <v>1004</v>
      </c>
      <c r="F73" t="s">
        <v>23</v>
      </c>
      <c r="G73" t="s">
        <v>25</v>
      </c>
      <c r="H73" t="s">
        <v>26</v>
      </c>
      <c r="I73" t="s">
        <v>39</v>
      </c>
      <c r="J73" t="s">
        <v>724</v>
      </c>
      <c r="K73" t="s">
        <v>106</v>
      </c>
      <c r="L73" t="s">
        <v>724</v>
      </c>
      <c r="M73" t="s">
        <v>40</v>
      </c>
      <c r="N73" t="s">
        <v>41</v>
      </c>
    </row>
    <row r="74" spans="1:14">
      <c r="A74" t="s">
        <v>1002</v>
      </c>
      <c r="B74" t="s">
        <v>215</v>
      </c>
      <c r="C74" t="s">
        <v>974</v>
      </c>
      <c r="D74" t="s">
        <v>1005</v>
      </c>
      <c r="E74" t="s">
        <v>1006</v>
      </c>
      <c r="F74" t="s">
        <v>23</v>
      </c>
      <c r="G74" t="s">
        <v>25</v>
      </c>
      <c r="H74" t="s">
        <v>38</v>
      </c>
      <c r="I74" t="s">
        <v>39</v>
      </c>
      <c r="J74" t="s">
        <v>724</v>
      </c>
      <c r="K74" t="s">
        <v>29</v>
      </c>
      <c r="L74" t="s">
        <v>724</v>
      </c>
      <c r="M74" t="s">
        <v>122</v>
      </c>
      <c r="N74" t="s">
        <v>39</v>
      </c>
    </row>
    <row r="75" spans="1:14">
      <c r="A75" t="s">
        <v>1007</v>
      </c>
      <c r="B75" t="s">
        <v>215</v>
      </c>
      <c r="C75" t="s">
        <v>974</v>
      </c>
      <c r="D75" t="s">
        <v>1008</v>
      </c>
      <c r="E75" t="s">
        <v>1009</v>
      </c>
      <c r="F75" t="s">
        <v>23</v>
      </c>
      <c r="G75" t="s">
        <v>25</v>
      </c>
      <c r="H75" t="s">
        <v>26</v>
      </c>
      <c r="I75" t="s">
        <v>39</v>
      </c>
      <c r="J75" t="s">
        <v>724</v>
      </c>
      <c r="K75" t="s">
        <v>106</v>
      </c>
      <c r="L75" t="s">
        <v>724</v>
      </c>
      <c r="M75" t="s">
        <v>76</v>
      </c>
      <c r="N75" t="s">
        <v>77</v>
      </c>
    </row>
    <row r="76" spans="1:14">
      <c r="A76" t="s">
        <v>1010</v>
      </c>
      <c r="B76" t="s">
        <v>215</v>
      </c>
      <c r="C76" t="s">
        <v>46</v>
      </c>
      <c r="D76" t="s">
        <v>1011</v>
      </c>
      <c r="E76" t="s">
        <v>1012</v>
      </c>
      <c r="F76" t="s">
        <v>49</v>
      </c>
      <c r="G76" t="s">
        <v>25</v>
      </c>
      <c r="H76" t="s">
        <v>26</v>
      </c>
      <c r="I76" t="s">
        <v>39</v>
      </c>
      <c r="J76" t="s">
        <v>724</v>
      </c>
      <c r="K76" t="s">
        <v>67</v>
      </c>
      <c r="L76" t="s">
        <v>724</v>
      </c>
      <c r="M76" t="s">
        <v>30</v>
      </c>
      <c r="N76" t="s">
        <v>31</v>
      </c>
    </row>
    <row r="77" spans="1:14">
      <c r="A77" t="s">
        <v>1045</v>
      </c>
      <c r="B77" t="s">
        <v>215</v>
      </c>
      <c r="C77" t="s">
        <v>46</v>
      </c>
      <c r="D77" t="s">
        <v>1046</v>
      </c>
      <c r="E77" t="s">
        <v>1047</v>
      </c>
      <c r="F77" t="s">
        <v>49</v>
      </c>
      <c r="G77" t="s">
        <v>25</v>
      </c>
      <c r="H77" t="s">
        <v>26</v>
      </c>
      <c r="I77" t="s">
        <v>39</v>
      </c>
      <c r="J77" t="s">
        <v>724</v>
      </c>
      <c r="K77" t="s">
        <v>67</v>
      </c>
      <c r="L77" t="s">
        <v>724</v>
      </c>
      <c r="M77" t="s">
        <v>126</v>
      </c>
      <c r="N77" t="s">
        <v>127</v>
      </c>
    </row>
    <row r="78" spans="1:14">
      <c r="A78" t="s">
        <v>1045</v>
      </c>
      <c r="B78" t="s">
        <v>215</v>
      </c>
      <c r="C78" t="s">
        <v>46</v>
      </c>
      <c r="D78" t="s">
        <v>1048</v>
      </c>
      <c r="E78" t="s">
        <v>1049</v>
      </c>
      <c r="F78" t="s">
        <v>49</v>
      </c>
      <c r="G78" t="s">
        <v>25</v>
      </c>
      <c r="H78" t="s">
        <v>26</v>
      </c>
      <c r="I78" t="s">
        <v>39</v>
      </c>
      <c r="J78" t="s">
        <v>724</v>
      </c>
      <c r="K78" t="s">
        <v>29</v>
      </c>
      <c r="L78" t="s">
        <v>724</v>
      </c>
      <c r="M78" t="s">
        <v>40</v>
      </c>
      <c r="N78" t="s">
        <v>41</v>
      </c>
    </row>
    <row r="79" spans="1:14">
      <c r="A79" t="s">
        <v>1053</v>
      </c>
      <c r="B79" t="s">
        <v>215</v>
      </c>
      <c r="C79" t="s">
        <v>46</v>
      </c>
      <c r="D79" t="s">
        <v>1054</v>
      </c>
      <c r="E79" t="s">
        <v>1055</v>
      </c>
      <c r="F79" t="s">
        <v>49</v>
      </c>
      <c r="G79" t="s">
        <v>25</v>
      </c>
      <c r="H79" t="s">
        <v>26</v>
      </c>
      <c r="I79" t="s">
        <v>39</v>
      </c>
      <c r="J79" t="s">
        <v>724</v>
      </c>
      <c r="K79" t="s">
        <v>29</v>
      </c>
      <c r="L79" t="s">
        <v>724</v>
      </c>
      <c r="M79" t="s">
        <v>76</v>
      </c>
      <c r="N79" t="s">
        <v>77</v>
      </c>
    </row>
    <row r="80" spans="1:14">
      <c r="A80" t="s">
        <v>1059</v>
      </c>
      <c r="B80" t="s">
        <v>215</v>
      </c>
      <c r="C80" t="s">
        <v>46</v>
      </c>
      <c r="D80" t="s">
        <v>1060</v>
      </c>
      <c r="E80" t="s">
        <v>1061</v>
      </c>
      <c r="F80" t="s">
        <v>49</v>
      </c>
      <c r="G80" t="s">
        <v>25</v>
      </c>
      <c r="H80" t="s">
        <v>26</v>
      </c>
      <c r="I80" t="s">
        <v>39</v>
      </c>
      <c r="J80" t="s">
        <v>724</v>
      </c>
      <c r="K80" t="s">
        <v>29</v>
      </c>
      <c r="L80" t="s">
        <v>724</v>
      </c>
      <c r="M80" t="s">
        <v>72</v>
      </c>
      <c r="N80" t="s">
        <v>73</v>
      </c>
    </row>
    <row r="81" spans="1:14">
      <c r="A81" t="s">
        <v>1062</v>
      </c>
      <c r="B81" t="s">
        <v>215</v>
      </c>
      <c r="C81" t="s">
        <v>46</v>
      </c>
      <c r="D81" t="s">
        <v>1063</v>
      </c>
      <c r="E81" t="s">
        <v>1064</v>
      </c>
      <c r="F81" t="s">
        <v>49</v>
      </c>
      <c r="G81" t="s">
        <v>25</v>
      </c>
      <c r="H81" t="s">
        <v>38</v>
      </c>
      <c r="I81" t="s">
        <v>66</v>
      </c>
      <c r="J81" t="s">
        <v>724</v>
      </c>
      <c r="K81" t="s">
        <v>29</v>
      </c>
      <c r="L81" t="s">
        <v>724</v>
      </c>
      <c r="M81" t="s">
        <v>126</v>
      </c>
      <c r="N81" t="s">
        <v>127</v>
      </c>
    </row>
    <row r="82" spans="1:14">
      <c r="A82" t="s">
        <v>1065</v>
      </c>
      <c r="B82" t="s">
        <v>215</v>
      </c>
      <c r="C82" t="s">
        <v>46</v>
      </c>
      <c r="D82" t="s">
        <v>1066</v>
      </c>
      <c r="E82" t="s">
        <v>1067</v>
      </c>
      <c r="F82" t="s">
        <v>49</v>
      </c>
      <c r="G82" t="s">
        <v>25</v>
      </c>
      <c r="H82" t="s">
        <v>26</v>
      </c>
      <c r="I82" t="s">
        <v>39</v>
      </c>
      <c r="J82" t="s">
        <v>724</v>
      </c>
      <c r="K82" t="s">
        <v>67</v>
      </c>
      <c r="L82" t="s">
        <v>724</v>
      </c>
      <c r="M82" t="s">
        <v>126</v>
      </c>
      <c r="N82" t="s">
        <v>127</v>
      </c>
    </row>
    <row r="83" spans="1:14">
      <c r="A83" t="s">
        <v>1068</v>
      </c>
      <c r="B83" t="s">
        <v>215</v>
      </c>
      <c r="C83" t="s">
        <v>46</v>
      </c>
      <c r="D83" t="s">
        <v>1069</v>
      </c>
      <c r="E83" t="s">
        <v>1070</v>
      </c>
      <c r="F83" t="s">
        <v>49</v>
      </c>
      <c r="G83" t="s">
        <v>25</v>
      </c>
      <c r="H83" t="s">
        <v>26</v>
      </c>
      <c r="I83" t="s">
        <v>82</v>
      </c>
      <c r="J83" t="s">
        <v>724</v>
      </c>
      <c r="K83" t="s">
        <v>29</v>
      </c>
      <c r="L83" t="s">
        <v>724</v>
      </c>
      <c r="M83" t="s">
        <v>40</v>
      </c>
      <c r="N83" t="s">
        <v>41</v>
      </c>
    </row>
    <row r="84" spans="1:14">
      <c r="A84" t="s">
        <v>1071</v>
      </c>
      <c r="B84" t="s">
        <v>215</v>
      </c>
      <c r="C84" t="s">
        <v>46</v>
      </c>
      <c r="D84" t="s">
        <v>1072</v>
      </c>
      <c r="E84" t="s">
        <v>1073</v>
      </c>
      <c r="F84" t="s">
        <v>49</v>
      </c>
      <c r="G84" t="s">
        <v>25</v>
      </c>
      <c r="H84" t="s">
        <v>38</v>
      </c>
      <c r="I84" t="s">
        <v>27</v>
      </c>
      <c r="J84" t="s">
        <v>724</v>
      </c>
      <c r="K84" t="s">
        <v>29</v>
      </c>
      <c r="L84" t="s">
        <v>724</v>
      </c>
      <c r="M84" t="s">
        <v>95</v>
      </c>
      <c r="N84" t="s">
        <v>56</v>
      </c>
    </row>
    <row r="85" spans="1:14">
      <c r="A85" t="s">
        <v>1074</v>
      </c>
      <c r="B85" t="s">
        <v>215</v>
      </c>
      <c r="C85" t="s">
        <v>46</v>
      </c>
      <c r="D85" t="s">
        <v>1075</v>
      </c>
      <c r="E85" t="s">
        <v>1076</v>
      </c>
      <c r="F85" t="s">
        <v>49</v>
      </c>
      <c r="G85" t="s">
        <v>25</v>
      </c>
      <c r="H85" t="s">
        <v>26</v>
      </c>
      <c r="I85" t="s">
        <v>39</v>
      </c>
      <c r="J85" t="s">
        <v>724</v>
      </c>
      <c r="K85" t="s">
        <v>67</v>
      </c>
      <c r="L85" t="s">
        <v>724</v>
      </c>
      <c r="M85" t="s">
        <v>122</v>
      </c>
      <c r="N85" t="s">
        <v>39</v>
      </c>
    </row>
    <row r="86" spans="1:14">
      <c r="A86" t="s">
        <v>1077</v>
      </c>
      <c r="B86" t="s">
        <v>215</v>
      </c>
      <c r="C86" t="s">
        <v>46</v>
      </c>
      <c r="D86" t="s">
        <v>1078</v>
      </c>
      <c r="E86" t="s">
        <v>1079</v>
      </c>
      <c r="F86" t="s">
        <v>49</v>
      </c>
      <c r="G86" t="s">
        <v>25</v>
      </c>
      <c r="H86" t="s">
        <v>26</v>
      </c>
      <c r="I86" t="s">
        <v>82</v>
      </c>
      <c r="J86" t="s">
        <v>724</v>
      </c>
      <c r="K86" t="s">
        <v>67</v>
      </c>
      <c r="L86" t="s">
        <v>724</v>
      </c>
      <c r="M86" t="s">
        <v>40</v>
      </c>
      <c r="N86" t="s">
        <v>41</v>
      </c>
    </row>
    <row r="87" spans="1:14">
      <c r="A87" t="s">
        <v>1080</v>
      </c>
      <c r="B87" t="s">
        <v>215</v>
      </c>
      <c r="C87" t="s">
        <v>46</v>
      </c>
      <c r="D87" t="s">
        <v>1081</v>
      </c>
      <c r="E87" t="s">
        <v>1082</v>
      </c>
      <c r="F87" t="s">
        <v>49</v>
      </c>
      <c r="G87" t="s">
        <v>25</v>
      </c>
      <c r="H87" t="s">
        <v>38</v>
      </c>
      <c r="I87" t="s">
        <v>82</v>
      </c>
      <c r="J87" t="s">
        <v>724</v>
      </c>
      <c r="K87" t="s">
        <v>29</v>
      </c>
      <c r="L87" t="s">
        <v>724</v>
      </c>
      <c r="M87" t="s">
        <v>126</v>
      </c>
      <c r="N87" t="s">
        <v>127</v>
      </c>
    </row>
    <row r="88" spans="1:14">
      <c r="A88" t="s">
        <v>1080</v>
      </c>
      <c r="B88" t="s">
        <v>215</v>
      </c>
      <c r="C88" t="s">
        <v>46</v>
      </c>
      <c r="D88" t="s">
        <v>1083</v>
      </c>
      <c r="E88" t="s">
        <v>1084</v>
      </c>
      <c r="F88" t="s">
        <v>49</v>
      </c>
      <c r="G88" t="s">
        <v>25</v>
      </c>
      <c r="H88" t="s">
        <v>26</v>
      </c>
      <c r="I88" t="s">
        <v>82</v>
      </c>
      <c r="J88" t="s">
        <v>724</v>
      </c>
      <c r="K88" t="s">
        <v>29</v>
      </c>
      <c r="L88" t="s">
        <v>724</v>
      </c>
      <c r="M88" t="s">
        <v>126</v>
      </c>
      <c r="N88" t="s">
        <v>127</v>
      </c>
    </row>
    <row r="89" spans="1:14">
      <c r="A89" t="s">
        <v>1085</v>
      </c>
      <c r="B89" t="s">
        <v>215</v>
      </c>
      <c r="C89" t="s">
        <v>46</v>
      </c>
      <c r="D89" t="s">
        <v>1086</v>
      </c>
      <c r="E89" t="s">
        <v>1087</v>
      </c>
      <c r="F89" t="s">
        <v>49</v>
      </c>
      <c r="G89" t="s">
        <v>25</v>
      </c>
      <c r="H89" t="s">
        <v>26</v>
      </c>
      <c r="I89" t="s">
        <v>82</v>
      </c>
      <c r="J89" t="s">
        <v>724</v>
      </c>
      <c r="K89" t="s">
        <v>67</v>
      </c>
      <c r="L89" t="s">
        <v>724</v>
      </c>
      <c r="M89" t="s">
        <v>126</v>
      </c>
      <c r="N89" t="s">
        <v>127</v>
      </c>
    </row>
    <row r="90" spans="1:14">
      <c r="A90" t="s">
        <v>1088</v>
      </c>
      <c r="B90" t="s">
        <v>215</v>
      </c>
      <c r="C90" t="s">
        <v>46</v>
      </c>
      <c r="D90" t="s">
        <v>1089</v>
      </c>
      <c r="E90" t="s">
        <v>1090</v>
      </c>
      <c r="F90" t="s">
        <v>49</v>
      </c>
      <c r="G90" t="s">
        <v>25</v>
      </c>
      <c r="H90" t="s">
        <v>26</v>
      </c>
      <c r="I90" t="s">
        <v>82</v>
      </c>
      <c r="J90" t="s">
        <v>724</v>
      </c>
      <c r="K90" t="s">
        <v>29</v>
      </c>
      <c r="L90" t="s">
        <v>724</v>
      </c>
      <c r="M90" t="s">
        <v>126</v>
      </c>
      <c r="N90" t="s">
        <v>127</v>
      </c>
    </row>
    <row r="91" spans="1:14">
      <c r="A91" t="s">
        <v>1091</v>
      </c>
      <c r="B91" t="s">
        <v>215</v>
      </c>
      <c r="C91" t="s">
        <v>46</v>
      </c>
      <c r="D91" t="s">
        <v>1092</v>
      </c>
      <c r="E91" t="s">
        <v>1093</v>
      </c>
      <c r="F91" t="s">
        <v>49</v>
      </c>
      <c r="G91" t="s">
        <v>25</v>
      </c>
      <c r="H91" t="s">
        <v>26</v>
      </c>
      <c r="I91" t="s">
        <v>82</v>
      </c>
      <c r="J91" t="s">
        <v>724</v>
      </c>
      <c r="K91" t="s">
        <v>29</v>
      </c>
      <c r="L91" t="s">
        <v>724</v>
      </c>
      <c r="M91" t="s">
        <v>126</v>
      </c>
      <c r="N91" t="s">
        <v>127</v>
      </c>
    </row>
    <row r="92" spans="1:14">
      <c r="A92" t="s">
        <v>1094</v>
      </c>
      <c r="B92" t="s">
        <v>215</v>
      </c>
      <c r="C92" t="s">
        <v>46</v>
      </c>
      <c r="D92" t="s">
        <v>1095</v>
      </c>
      <c r="E92" t="s">
        <v>1096</v>
      </c>
      <c r="F92" t="s">
        <v>49</v>
      </c>
      <c r="G92" t="s">
        <v>25</v>
      </c>
      <c r="H92" t="s">
        <v>26</v>
      </c>
      <c r="I92" t="s">
        <v>82</v>
      </c>
      <c r="J92" t="s">
        <v>724</v>
      </c>
      <c r="K92" t="s">
        <v>29</v>
      </c>
      <c r="L92" t="s">
        <v>724</v>
      </c>
      <c r="M92" t="s">
        <v>126</v>
      </c>
      <c r="N92" t="s">
        <v>127</v>
      </c>
    </row>
    <row r="93" spans="1:14">
      <c r="A93" t="s">
        <v>1097</v>
      </c>
      <c r="B93" t="s">
        <v>215</v>
      </c>
      <c r="C93" t="s">
        <v>46</v>
      </c>
      <c r="D93" t="s">
        <v>1098</v>
      </c>
      <c r="E93" t="s">
        <v>1099</v>
      </c>
      <c r="F93" t="s">
        <v>49</v>
      </c>
      <c r="G93" t="s">
        <v>25</v>
      </c>
      <c r="H93" t="s">
        <v>38</v>
      </c>
      <c r="I93" t="s">
        <v>66</v>
      </c>
      <c r="J93" t="s">
        <v>724</v>
      </c>
      <c r="K93" t="s">
        <v>29</v>
      </c>
      <c r="L93" t="s">
        <v>724</v>
      </c>
      <c r="M93" t="s">
        <v>126</v>
      </c>
      <c r="N93" t="s">
        <v>127</v>
      </c>
    </row>
    <row r="94" spans="1:14">
      <c r="A94" t="s">
        <v>1100</v>
      </c>
      <c r="B94" t="s">
        <v>215</v>
      </c>
      <c r="C94" t="s">
        <v>46</v>
      </c>
      <c r="D94" t="s">
        <v>1101</v>
      </c>
      <c r="E94" t="s">
        <v>1102</v>
      </c>
      <c r="F94" t="s">
        <v>49</v>
      </c>
      <c r="G94" t="s">
        <v>25</v>
      </c>
      <c r="H94" t="s">
        <v>26</v>
      </c>
      <c r="I94" t="s">
        <v>82</v>
      </c>
      <c r="J94" t="s">
        <v>724</v>
      </c>
      <c r="K94" t="s">
        <v>29</v>
      </c>
      <c r="L94" t="s">
        <v>724</v>
      </c>
      <c r="M94" t="s">
        <v>126</v>
      </c>
      <c r="N94" t="s">
        <v>127</v>
      </c>
    </row>
    <row r="95" spans="1:14">
      <c r="A95" t="s">
        <v>1103</v>
      </c>
      <c r="B95" t="s">
        <v>215</v>
      </c>
      <c r="C95" t="s">
        <v>46</v>
      </c>
      <c r="D95" t="s">
        <v>1104</v>
      </c>
      <c r="E95" t="s">
        <v>1105</v>
      </c>
      <c r="F95" t="s">
        <v>49</v>
      </c>
      <c r="G95" t="s">
        <v>25</v>
      </c>
      <c r="H95" t="s">
        <v>38</v>
      </c>
      <c r="I95" t="s">
        <v>66</v>
      </c>
      <c r="J95" t="s">
        <v>724</v>
      </c>
      <c r="K95" t="s">
        <v>29</v>
      </c>
      <c r="L95" t="s">
        <v>724</v>
      </c>
      <c r="M95" t="s">
        <v>40</v>
      </c>
      <c r="N95" t="s">
        <v>41</v>
      </c>
    </row>
    <row r="96" spans="1:14">
      <c r="A96" t="s">
        <v>1106</v>
      </c>
      <c r="B96" t="s">
        <v>215</v>
      </c>
      <c r="C96" t="s">
        <v>46</v>
      </c>
      <c r="D96" t="s">
        <v>1107</v>
      </c>
      <c r="E96" t="s">
        <v>1108</v>
      </c>
      <c r="F96" t="s">
        <v>49</v>
      </c>
      <c r="G96" t="s">
        <v>25</v>
      </c>
      <c r="H96" t="s">
        <v>26</v>
      </c>
      <c r="I96" t="s">
        <v>82</v>
      </c>
      <c r="J96" t="s">
        <v>724</v>
      </c>
      <c r="K96" t="s">
        <v>29</v>
      </c>
      <c r="L96" t="s">
        <v>724</v>
      </c>
      <c r="M96" t="s">
        <v>126</v>
      </c>
      <c r="N96" t="s">
        <v>127</v>
      </c>
    </row>
    <row r="97" spans="1:14">
      <c r="A97" t="s">
        <v>1109</v>
      </c>
      <c r="B97" t="s">
        <v>215</v>
      </c>
      <c r="C97" t="s">
        <v>46</v>
      </c>
      <c r="D97" t="s">
        <v>1110</v>
      </c>
      <c r="E97" t="s">
        <v>1111</v>
      </c>
      <c r="F97" t="s">
        <v>49</v>
      </c>
      <c r="G97" t="s">
        <v>25</v>
      </c>
      <c r="H97" t="s">
        <v>26</v>
      </c>
      <c r="I97" t="s">
        <v>82</v>
      </c>
      <c r="J97" t="s">
        <v>724</v>
      </c>
      <c r="K97" t="s">
        <v>29</v>
      </c>
      <c r="L97" t="s">
        <v>724</v>
      </c>
      <c r="M97" t="s">
        <v>126</v>
      </c>
      <c r="N97" t="s">
        <v>127</v>
      </c>
    </row>
    <row r="98" spans="1:14">
      <c r="A98" t="s">
        <v>1112</v>
      </c>
      <c r="B98" t="s">
        <v>215</v>
      </c>
      <c r="C98" t="s">
        <v>46</v>
      </c>
      <c r="D98" t="s">
        <v>1113</v>
      </c>
      <c r="E98" t="s">
        <v>1114</v>
      </c>
      <c r="F98" t="s">
        <v>49</v>
      </c>
      <c r="G98" t="s">
        <v>25</v>
      </c>
      <c r="H98" t="s">
        <v>38</v>
      </c>
      <c r="I98" t="s">
        <v>82</v>
      </c>
      <c r="J98" t="s">
        <v>724</v>
      </c>
      <c r="K98" t="s">
        <v>29</v>
      </c>
      <c r="L98" t="s">
        <v>724</v>
      </c>
      <c r="M98" t="s">
        <v>40</v>
      </c>
      <c r="N98" t="s">
        <v>41</v>
      </c>
    </row>
    <row r="99" spans="1:14">
      <c r="A99" t="s">
        <v>1115</v>
      </c>
      <c r="B99" t="s">
        <v>215</v>
      </c>
      <c r="C99" t="s">
        <v>46</v>
      </c>
      <c r="D99" t="s">
        <v>1116</v>
      </c>
      <c r="E99" t="s">
        <v>1117</v>
      </c>
      <c r="F99" t="s">
        <v>49</v>
      </c>
      <c r="G99" t="s">
        <v>25</v>
      </c>
      <c r="H99" t="s">
        <v>26</v>
      </c>
      <c r="I99" t="s">
        <v>82</v>
      </c>
      <c r="J99" t="s">
        <v>724</v>
      </c>
      <c r="K99" t="s">
        <v>29</v>
      </c>
      <c r="L99" t="s">
        <v>724</v>
      </c>
      <c r="M99" t="s">
        <v>126</v>
      </c>
      <c r="N99" t="s">
        <v>127</v>
      </c>
    </row>
    <row r="100" spans="1:14">
      <c r="A100" t="s">
        <v>1118</v>
      </c>
      <c r="B100" t="s">
        <v>215</v>
      </c>
      <c r="C100" t="s">
        <v>46</v>
      </c>
      <c r="D100" t="s">
        <v>1119</v>
      </c>
      <c r="E100" t="s">
        <v>1120</v>
      </c>
      <c r="F100" t="s">
        <v>49</v>
      </c>
      <c r="G100" t="s">
        <v>25</v>
      </c>
      <c r="H100" t="s">
        <v>38</v>
      </c>
      <c r="I100" t="s">
        <v>39</v>
      </c>
      <c r="J100" t="s">
        <v>724</v>
      </c>
      <c r="K100" t="s">
        <v>29</v>
      </c>
      <c r="L100" t="s">
        <v>724</v>
      </c>
      <c r="M100" t="s">
        <v>126</v>
      </c>
      <c r="N100" t="s">
        <v>127</v>
      </c>
    </row>
    <row r="101" spans="1:14">
      <c r="A101" t="s">
        <v>1121</v>
      </c>
      <c r="B101" t="s">
        <v>215</v>
      </c>
      <c r="C101" t="s">
        <v>46</v>
      </c>
      <c r="D101" t="s">
        <v>1122</v>
      </c>
      <c r="E101" t="s">
        <v>1123</v>
      </c>
      <c r="F101" t="s">
        <v>49</v>
      </c>
      <c r="G101" t="s">
        <v>25</v>
      </c>
      <c r="H101" t="s">
        <v>26</v>
      </c>
      <c r="I101" t="s">
        <v>39</v>
      </c>
      <c r="J101" t="s">
        <v>724</v>
      </c>
      <c r="K101" t="s">
        <v>67</v>
      </c>
      <c r="L101" t="s">
        <v>724</v>
      </c>
      <c r="M101" t="s">
        <v>126</v>
      </c>
      <c r="N101" t="s">
        <v>127</v>
      </c>
    </row>
    <row r="102" spans="1:14">
      <c r="A102" t="s">
        <v>1127</v>
      </c>
      <c r="B102" t="s">
        <v>215</v>
      </c>
      <c r="C102" t="s">
        <v>1128</v>
      </c>
      <c r="D102" t="s">
        <v>1129</v>
      </c>
      <c r="E102" t="s">
        <v>1130</v>
      </c>
      <c r="F102" t="s">
        <v>1131</v>
      </c>
      <c r="G102" t="s">
        <v>25</v>
      </c>
      <c r="H102" t="s">
        <v>26</v>
      </c>
      <c r="I102" t="s">
        <v>39</v>
      </c>
      <c r="J102" t="s">
        <v>724</v>
      </c>
      <c r="K102" t="s">
        <v>67</v>
      </c>
      <c r="L102" t="s">
        <v>724</v>
      </c>
      <c r="M102" t="s">
        <v>40</v>
      </c>
      <c r="N102" t="s">
        <v>41</v>
      </c>
    </row>
    <row r="103" spans="1:14">
      <c r="A103" t="s">
        <v>1132</v>
      </c>
      <c r="B103" t="s">
        <v>215</v>
      </c>
      <c r="C103" t="s">
        <v>1128</v>
      </c>
      <c r="D103" t="s">
        <v>1133</v>
      </c>
      <c r="E103" t="s">
        <v>1134</v>
      </c>
      <c r="F103" t="s">
        <v>1131</v>
      </c>
      <c r="G103" t="s">
        <v>25</v>
      </c>
      <c r="H103" t="s">
        <v>26</v>
      </c>
      <c r="I103" t="s">
        <v>39</v>
      </c>
      <c r="J103" t="s">
        <v>724</v>
      </c>
      <c r="K103" t="s">
        <v>67</v>
      </c>
      <c r="L103" t="s">
        <v>724</v>
      </c>
      <c r="M103" t="s">
        <v>40</v>
      </c>
      <c r="N103" t="s">
        <v>41</v>
      </c>
    </row>
    <row r="104" spans="1:14">
      <c r="A104" t="s">
        <v>1135</v>
      </c>
      <c r="B104" t="s">
        <v>215</v>
      </c>
      <c r="C104" t="s">
        <v>301</v>
      </c>
      <c r="D104" t="s">
        <v>1136</v>
      </c>
      <c r="E104" t="s">
        <v>886</v>
      </c>
      <c r="F104" t="s">
        <v>269</v>
      </c>
      <c r="G104" t="s">
        <v>25</v>
      </c>
      <c r="H104" t="s">
        <v>38</v>
      </c>
      <c r="I104" t="s">
        <v>39</v>
      </c>
      <c r="J104" t="s">
        <v>724</v>
      </c>
      <c r="K104" t="s">
        <v>29</v>
      </c>
      <c r="L104" t="s">
        <v>724</v>
      </c>
      <c r="M104" t="s">
        <v>40</v>
      </c>
      <c r="N104" t="s">
        <v>41</v>
      </c>
    </row>
    <row r="105" spans="1:14">
      <c r="A105" t="s">
        <v>1137</v>
      </c>
      <c r="B105" t="s">
        <v>215</v>
      </c>
      <c r="C105" t="s">
        <v>301</v>
      </c>
      <c r="D105" t="s">
        <v>1138</v>
      </c>
      <c r="E105" t="s">
        <v>1139</v>
      </c>
      <c r="F105" t="s">
        <v>269</v>
      </c>
      <c r="G105" t="s">
        <v>116</v>
      </c>
      <c r="H105" t="s">
        <v>26</v>
      </c>
      <c r="I105" t="s">
        <v>39</v>
      </c>
      <c r="J105" t="s">
        <v>724</v>
      </c>
      <c r="K105" t="s">
        <v>29</v>
      </c>
      <c r="L105" t="s">
        <v>724</v>
      </c>
      <c r="M105" t="s">
        <v>76</v>
      </c>
      <c r="N105" t="s">
        <v>77</v>
      </c>
    </row>
    <row r="106" spans="1:14">
      <c r="A106" t="s">
        <v>1187</v>
      </c>
      <c r="B106" t="s">
        <v>215</v>
      </c>
      <c r="C106" t="s">
        <v>46</v>
      </c>
      <c r="D106" t="s">
        <v>1188</v>
      </c>
      <c r="E106" t="s">
        <v>1189</v>
      </c>
      <c r="F106" t="s">
        <v>49</v>
      </c>
      <c r="G106" t="s">
        <v>25</v>
      </c>
      <c r="H106" t="s">
        <v>26</v>
      </c>
      <c r="I106" t="s">
        <v>82</v>
      </c>
      <c r="J106" t="s">
        <v>724</v>
      </c>
      <c r="K106" t="s">
        <v>29</v>
      </c>
      <c r="L106" t="s">
        <v>724</v>
      </c>
      <c r="M106" t="s">
        <v>76</v>
      </c>
      <c r="N106" t="s">
        <v>77</v>
      </c>
    </row>
    <row r="107" spans="1:14">
      <c r="A107" t="s">
        <v>1190</v>
      </c>
      <c r="B107" t="s">
        <v>215</v>
      </c>
      <c r="C107" t="s">
        <v>216</v>
      </c>
      <c r="D107" t="s">
        <v>1191</v>
      </c>
      <c r="E107" t="s">
        <v>1192</v>
      </c>
      <c r="F107" t="s">
        <v>219</v>
      </c>
      <c r="G107" t="s">
        <v>25</v>
      </c>
      <c r="H107" t="s">
        <v>26</v>
      </c>
      <c r="I107" t="s">
        <v>82</v>
      </c>
      <c r="J107" t="s">
        <v>724</v>
      </c>
      <c r="K107" t="s">
        <v>29</v>
      </c>
      <c r="L107" t="s">
        <v>724</v>
      </c>
      <c r="M107" t="s">
        <v>95</v>
      </c>
      <c r="N107" t="s">
        <v>56</v>
      </c>
    </row>
    <row r="108" spans="1:14">
      <c r="A108" t="s">
        <v>1193</v>
      </c>
      <c r="B108" t="s">
        <v>215</v>
      </c>
      <c r="C108" t="s">
        <v>46</v>
      </c>
      <c r="D108" t="s">
        <v>1194</v>
      </c>
      <c r="E108" t="s">
        <v>1195</v>
      </c>
      <c r="F108" t="s">
        <v>49</v>
      </c>
      <c r="G108" t="s">
        <v>25</v>
      </c>
      <c r="H108" t="s">
        <v>26</v>
      </c>
      <c r="I108" t="s">
        <v>39</v>
      </c>
      <c r="J108" t="s">
        <v>724</v>
      </c>
      <c r="K108" t="s">
        <v>67</v>
      </c>
      <c r="L108" t="s">
        <v>724</v>
      </c>
      <c r="M108" t="s">
        <v>76</v>
      </c>
      <c r="N108" t="s">
        <v>77</v>
      </c>
    </row>
    <row r="109" spans="1:14">
      <c r="A109" t="s">
        <v>1196</v>
      </c>
      <c r="B109" t="s">
        <v>215</v>
      </c>
      <c r="C109" t="s">
        <v>46</v>
      </c>
      <c r="D109" t="s">
        <v>1197</v>
      </c>
      <c r="E109" t="s">
        <v>1198</v>
      </c>
      <c r="F109" t="s">
        <v>49</v>
      </c>
      <c r="G109" t="s">
        <v>25</v>
      </c>
      <c r="H109" t="s">
        <v>26</v>
      </c>
      <c r="I109" t="s">
        <v>39</v>
      </c>
      <c r="J109" t="s">
        <v>724</v>
      </c>
      <c r="K109" t="s">
        <v>29</v>
      </c>
      <c r="L109" t="s">
        <v>724</v>
      </c>
      <c r="M109" t="s">
        <v>122</v>
      </c>
      <c r="N109" t="s">
        <v>39</v>
      </c>
    </row>
    <row r="110" spans="1:14">
      <c r="A110" t="s">
        <v>1199</v>
      </c>
      <c r="B110" t="s">
        <v>215</v>
      </c>
      <c r="C110" t="s">
        <v>216</v>
      </c>
      <c r="D110" t="s">
        <v>1200</v>
      </c>
      <c r="E110" t="s">
        <v>1201</v>
      </c>
      <c r="F110" t="s">
        <v>219</v>
      </c>
      <c r="G110" t="s">
        <v>25</v>
      </c>
      <c r="H110" t="s">
        <v>26</v>
      </c>
      <c r="I110" t="s">
        <v>39</v>
      </c>
      <c r="J110" t="s">
        <v>724</v>
      </c>
      <c r="K110" t="s">
        <v>67</v>
      </c>
      <c r="L110" t="s">
        <v>724</v>
      </c>
      <c r="M110" t="s">
        <v>95</v>
      </c>
      <c r="N110" t="s">
        <v>56</v>
      </c>
    </row>
    <row r="111" spans="1:14">
      <c r="A111" t="s">
        <v>1202</v>
      </c>
      <c r="B111" t="s">
        <v>215</v>
      </c>
      <c r="C111" t="s">
        <v>216</v>
      </c>
      <c r="D111" t="s">
        <v>1203</v>
      </c>
      <c r="E111" t="s">
        <v>1204</v>
      </c>
      <c r="F111" t="s">
        <v>219</v>
      </c>
      <c r="G111" t="s">
        <v>25</v>
      </c>
      <c r="H111" t="s">
        <v>26</v>
      </c>
      <c r="I111" t="s">
        <v>39</v>
      </c>
      <c r="J111" t="s">
        <v>724</v>
      </c>
      <c r="K111" t="s">
        <v>67</v>
      </c>
      <c r="L111" t="s">
        <v>724</v>
      </c>
      <c r="M111" t="s">
        <v>76</v>
      </c>
      <c r="N111" t="s">
        <v>77</v>
      </c>
    </row>
    <row r="112" spans="1:14">
      <c r="A112" t="s">
        <v>1205</v>
      </c>
      <c r="B112" t="s">
        <v>215</v>
      </c>
      <c r="C112" t="s">
        <v>216</v>
      </c>
      <c r="D112" t="s">
        <v>1206</v>
      </c>
      <c r="E112" t="s">
        <v>1207</v>
      </c>
      <c r="F112" t="s">
        <v>219</v>
      </c>
      <c r="G112" t="s">
        <v>25</v>
      </c>
      <c r="H112" t="s">
        <v>26</v>
      </c>
      <c r="I112" t="s">
        <v>82</v>
      </c>
      <c r="J112" t="s">
        <v>724</v>
      </c>
      <c r="K112" t="s">
        <v>29</v>
      </c>
      <c r="L112" t="s">
        <v>724</v>
      </c>
      <c r="M112" t="s">
        <v>40</v>
      </c>
      <c r="N112" t="s">
        <v>41</v>
      </c>
    </row>
    <row r="113" spans="1:14">
      <c r="A113" t="s">
        <v>1208</v>
      </c>
      <c r="B113" t="s">
        <v>215</v>
      </c>
      <c r="C113" t="s">
        <v>33</v>
      </c>
      <c r="D113" t="s">
        <v>1209</v>
      </c>
      <c r="E113" t="s">
        <v>1210</v>
      </c>
      <c r="F113" t="s">
        <v>36</v>
      </c>
      <c r="G113" t="s">
        <v>25</v>
      </c>
      <c r="H113" t="s">
        <v>26</v>
      </c>
      <c r="I113" t="s">
        <v>56</v>
      </c>
      <c r="J113" t="s">
        <v>724</v>
      </c>
      <c r="K113" t="s">
        <v>67</v>
      </c>
      <c r="L113" t="s">
        <v>724</v>
      </c>
      <c r="M113" t="s">
        <v>95</v>
      </c>
      <c r="N113" t="s">
        <v>56</v>
      </c>
    </row>
    <row r="114" spans="1:14">
      <c r="A114" t="s">
        <v>1211</v>
      </c>
      <c r="B114" t="s">
        <v>215</v>
      </c>
      <c r="C114" t="s">
        <v>33</v>
      </c>
      <c r="D114" t="s">
        <v>1212</v>
      </c>
      <c r="E114" t="s">
        <v>1213</v>
      </c>
      <c r="F114" t="s">
        <v>36</v>
      </c>
      <c r="G114" t="s">
        <v>25</v>
      </c>
      <c r="H114" t="s">
        <v>26</v>
      </c>
      <c r="I114" t="s">
        <v>39</v>
      </c>
      <c r="J114" t="s">
        <v>724</v>
      </c>
      <c r="K114" t="s">
        <v>67</v>
      </c>
      <c r="L114" t="s">
        <v>724</v>
      </c>
      <c r="M114" t="s">
        <v>40</v>
      </c>
      <c r="N114" t="s">
        <v>41</v>
      </c>
    </row>
    <row r="115" spans="1:14">
      <c r="A115" t="s">
        <v>1220</v>
      </c>
      <c r="B115" t="s">
        <v>215</v>
      </c>
      <c r="C115" t="s">
        <v>33</v>
      </c>
      <c r="D115" t="s">
        <v>1221</v>
      </c>
      <c r="E115" t="s">
        <v>1222</v>
      </c>
      <c r="F115" t="s">
        <v>36</v>
      </c>
      <c r="G115" t="s">
        <v>25</v>
      </c>
      <c r="H115" t="s">
        <v>26</v>
      </c>
      <c r="I115" t="s">
        <v>99</v>
      </c>
      <c r="J115" t="s">
        <v>724</v>
      </c>
      <c r="K115" t="s">
        <v>67</v>
      </c>
      <c r="L115" t="s">
        <v>724</v>
      </c>
      <c r="M115" t="s">
        <v>40</v>
      </c>
      <c r="N115" t="s">
        <v>41</v>
      </c>
    </row>
    <row r="116" spans="1:14">
      <c r="A116" t="s">
        <v>455</v>
      </c>
      <c r="B116" t="s">
        <v>215</v>
      </c>
      <c r="C116" t="s">
        <v>33</v>
      </c>
      <c r="D116" t="s">
        <v>1223</v>
      </c>
      <c r="E116" t="s">
        <v>1224</v>
      </c>
      <c r="F116" t="s">
        <v>36</v>
      </c>
      <c r="G116" t="s">
        <v>25</v>
      </c>
      <c r="H116" t="s">
        <v>38</v>
      </c>
      <c r="I116" t="s">
        <v>82</v>
      </c>
      <c r="J116" t="s">
        <v>724</v>
      </c>
      <c r="K116" t="s">
        <v>29</v>
      </c>
      <c r="L116" t="s">
        <v>724</v>
      </c>
      <c r="M116" t="s">
        <v>126</v>
      </c>
      <c r="N116" t="s">
        <v>127</v>
      </c>
    </row>
    <row r="117" spans="1:14">
      <c r="A117" t="s">
        <v>455</v>
      </c>
      <c r="B117" t="s">
        <v>215</v>
      </c>
      <c r="C117" t="s">
        <v>33</v>
      </c>
      <c r="D117" t="s">
        <v>1225</v>
      </c>
      <c r="E117" t="s">
        <v>1222</v>
      </c>
      <c r="F117" t="s">
        <v>36</v>
      </c>
      <c r="G117" t="s">
        <v>25</v>
      </c>
      <c r="H117" t="s">
        <v>26</v>
      </c>
      <c r="I117" t="s">
        <v>99</v>
      </c>
      <c r="J117" t="s">
        <v>724</v>
      </c>
      <c r="K117" t="s">
        <v>67</v>
      </c>
      <c r="L117" t="s">
        <v>724</v>
      </c>
      <c r="M117" t="s">
        <v>126</v>
      </c>
      <c r="N117" t="s">
        <v>127</v>
      </c>
    </row>
    <row r="118" spans="1:14">
      <c r="A118" t="s">
        <v>1226</v>
      </c>
      <c r="B118" t="s">
        <v>215</v>
      </c>
      <c r="C118" t="s">
        <v>261</v>
      </c>
      <c r="D118" t="s">
        <v>1227</v>
      </c>
      <c r="E118" t="s">
        <v>1228</v>
      </c>
      <c r="F118" t="s">
        <v>219</v>
      </c>
      <c r="G118" t="s">
        <v>25</v>
      </c>
      <c r="H118" t="s">
        <v>26</v>
      </c>
      <c r="I118" t="s">
        <v>39</v>
      </c>
      <c r="J118" t="s">
        <v>724</v>
      </c>
      <c r="K118" t="s">
        <v>67</v>
      </c>
      <c r="L118" t="s">
        <v>724</v>
      </c>
      <c r="M118" t="s">
        <v>40</v>
      </c>
      <c r="N118" t="s">
        <v>41</v>
      </c>
    </row>
    <row r="119" spans="1:14">
      <c r="A119" t="s">
        <v>1229</v>
      </c>
      <c r="B119" t="s">
        <v>215</v>
      </c>
      <c r="C119" t="s">
        <v>261</v>
      </c>
      <c r="D119" t="s">
        <v>1230</v>
      </c>
      <c r="E119" t="s">
        <v>1228</v>
      </c>
      <c r="F119" t="s">
        <v>219</v>
      </c>
      <c r="G119" t="s">
        <v>25</v>
      </c>
      <c r="H119" t="s">
        <v>38</v>
      </c>
      <c r="I119" t="s">
        <v>39</v>
      </c>
      <c r="J119" t="s">
        <v>724</v>
      </c>
      <c r="K119" t="s">
        <v>67</v>
      </c>
      <c r="L119" t="s">
        <v>724</v>
      </c>
      <c r="M119" t="s">
        <v>122</v>
      </c>
      <c r="N119" t="s">
        <v>39</v>
      </c>
    </row>
    <row r="120" spans="1:14">
      <c r="A120" t="s">
        <v>1231</v>
      </c>
      <c r="B120" t="s">
        <v>215</v>
      </c>
      <c r="C120" t="s">
        <v>261</v>
      </c>
      <c r="D120" t="s">
        <v>1232</v>
      </c>
      <c r="E120" t="s">
        <v>1233</v>
      </c>
      <c r="F120" t="s">
        <v>219</v>
      </c>
      <c r="G120" t="s">
        <v>25</v>
      </c>
      <c r="H120" t="s">
        <v>38</v>
      </c>
      <c r="I120" t="s">
        <v>39</v>
      </c>
      <c r="J120" t="s">
        <v>724</v>
      </c>
      <c r="K120" t="s">
        <v>67</v>
      </c>
      <c r="L120" t="s">
        <v>724</v>
      </c>
      <c r="M120" t="s">
        <v>76</v>
      </c>
      <c r="N120" t="s">
        <v>77</v>
      </c>
    </row>
    <row r="121" spans="1:14">
      <c r="A121" t="s">
        <v>1234</v>
      </c>
      <c r="B121" t="s">
        <v>215</v>
      </c>
      <c r="C121" t="s">
        <v>261</v>
      </c>
      <c r="D121" t="s">
        <v>1235</v>
      </c>
      <c r="E121" t="s">
        <v>1228</v>
      </c>
      <c r="F121" t="s">
        <v>219</v>
      </c>
      <c r="G121" t="s">
        <v>25</v>
      </c>
      <c r="H121" t="s">
        <v>38</v>
      </c>
      <c r="I121" t="s">
        <v>39</v>
      </c>
      <c r="J121" t="s">
        <v>724</v>
      </c>
      <c r="K121" t="s">
        <v>67</v>
      </c>
      <c r="L121" t="s">
        <v>724</v>
      </c>
      <c r="M121" t="s">
        <v>76</v>
      </c>
      <c r="N121" t="s">
        <v>77</v>
      </c>
    </row>
    <row r="122" spans="1:14">
      <c r="A122" t="s">
        <v>1236</v>
      </c>
      <c r="B122" t="s">
        <v>215</v>
      </c>
      <c r="C122" t="s">
        <v>261</v>
      </c>
      <c r="D122" t="s">
        <v>1237</v>
      </c>
      <c r="E122" t="s">
        <v>1238</v>
      </c>
      <c r="F122" t="s">
        <v>219</v>
      </c>
      <c r="G122" t="s">
        <v>25</v>
      </c>
      <c r="H122" t="s">
        <v>148</v>
      </c>
      <c r="I122" t="s">
        <v>27</v>
      </c>
      <c r="J122" t="s">
        <v>724</v>
      </c>
      <c r="K122" t="s">
        <v>67</v>
      </c>
      <c r="L122" t="s">
        <v>724</v>
      </c>
      <c r="M122" t="s">
        <v>122</v>
      </c>
      <c r="N122" t="s">
        <v>39</v>
      </c>
    </row>
    <row r="123" spans="1:14">
      <c r="A123" t="s">
        <v>1239</v>
      </c>
      <c r="B123" t="s">
        <v>215</v>
      </c>
      <c r="C123" t="s">
        <v>261</v>
      </c>
      <c r="D123" t="s">
        <v>1240</v>
      </c>
      <c r="E123" t="s">
        <v>1241</v>
      </c>
      <c r="F123" t="s">
        <v>219</v>
      </c>
      <c r="G123" t="s">
        <v>25</v>
      </c>
      <c r="H123" t="s">
        <v>26</v>
      </c>
      <c r="I123" t="s">
        <v>82</v>
      </c>
      <c r="J123" t="s">
        <v>724</v>
      </c>
      <c r="K123" t="s">
        <v>29</v>
      </c>
      <c r="L123" t="s">
        <v>724</v>
      </c>
      <c r="M123" t="s">
        <v>419</v>
      </c>
      <c r="N123" t="s">
        <v>66</v>
      </c>
    </row>
    <row r="124" spans="1:14">
      <c r="A124" t="s">
        <v>1242</v>
      </c>
      <c r="B124" t="s">
        <v>215</v>
      </c>
      <c r="C124" t="s">
        <v>261</v>
      </c>
      <c r="D124" t="s">
        <v>1243</v>
      </c>
      <c r="E124" t="s">
        <v>1244</v>
      </c>
      <c r="F124" t="s">
        <v>219</v>
      </c>
      <c r="G124" t="s">
        <v>25</v>
      </c>
      <c r="H124" t="s">
        <v>26</v>
      </c>
      <c r="I124" t="s">
        <v>82</v>
      </c>
      <c r="J124" t="s">
        <v>724</v>
      </c>
      <c r="K124" t="s">
        <v>67</v>
      </c>
      <c r="L124" t="s">
        <v>724</v>
      </c>
      <c r="M124" t="s">
        <v>57</v>
      </c>
      <c r="N124" t="s">
        <v>58</v>
      </c>
    </row>
    <row r="125" spans="1:14">
      <c r="A125" t="s">
        <v>1245</v>
      </c>
      <c r="B125" t="s">
        <v>215</v>
      </c>
      <c r="C125" t="s">
        <v>261</v>
      </c>
      <c r="D125" t="s">
        <v>1246</v>
      </c>
      <c r="E125" t="s">
        <v>1247</v>
      </c>
      <c r="F125" t="s">
        <v>219</v>
      </c>
      <c r="G125" t="s">
        <v>25</v>
      </c>
      <c r="H125" t="s">
        <v>26</v>
      </c>
      <c r="I125" t="s">
        <v>82</v>
      </c>
      <c r="J125" t="s">
        <v>724</v>
      </c>
      <c r="K125" t="s">
        <v>67</v>
      </c>
      <c r="L125" t="s">
        <v>724</v>
      </c>
      <c r="M125" t="s">
        <v>40</v>
      </c>
      <c r="N125" t="s">
        <v>41</v>
      </c>
    </row>
    <row r="126" spans="1:14">
      <c r="A126" t="s">
        <v>1248</v>
      </c>
      <c r="B126" t="s">
        <v>215</v>
      </c>
      <c r="C126" t="s">
        <v>261</v>
      </c>
      <c r="D126" t="s">
        <v>1249</v>
      </c>
      <c r="E126" t="s">
        <v>1250</v>
      </c>
      <c r="F126" t="s">
        <v>219</v>
      </c>
      <c r="G126" t="s">
        <v>25</v>
      </c>
      <c r="H126" t="s">
        <v>26</v>
      </c>
      <c r="I126" t="s">
        <v>82</v>
      </c>
      <c r="J126" t="s">
        <v>724</v>
      </c>
      <c r="K126" t="s">
        <v>67</v>
      </c>
      <c r="L126" t="s">
        <v>724</v>
      </c>
      <c r="M126" t="s">
        <v>95</v>
      </c>
      <c r="N126" t="s">
        <v>56</v>
      </c>
    </row>
    <row r="127" spans="1:14">
      <c r="A127" t="s">
        <v>1251</v>
      </c>
      <c r="B127" t="s">
        <v>215</v>
      </c>
      <c r="C127" t="s">
        <v>261</v>
      </c>
      <c r="D127" t="s">
        <v>1252</v>
      </c>
      <c r="E127" t="s">
        <v>1250</v>
      </c>
      <c r="F127" t="s">
        <v>219</v>
      </c>
      <c r="G127" t="s">
        <v>25</v>
      </c>
      <c r="H127" t="s">
        <v>26</v>
      </c>
      <c r="I127" t="s">
        <v>82</v>
      </c>
      <c r="J127" t="s">
        <v>724</v>
      </c>
      <c r="K127" t="s">
        <v>67</v>
      </c>
      <c r="L127" t="s">
        <v>724</v>
      </c>
      <c r="M127" t="s">
        <v>40</v>
      </c>
      <c r="N127" t="s">
        <v>41</v>
      </c>
    </row>
    <row r="128" spans="1:14">
      <c r="A128" t="s">
        <v>1253</v>
      </c>
      <c r="B128" t="s">
        <v>215</v>
      </c>
      <c r="C128" t="s">
        <v>261</v>
      </c>
      <c r="D128" t="s">
        <v>1254</v>
      </c>
      <c r="E128" t="s">
        <v>1255</v>
      </c>
      <c r="F128" t="s">
        <v>219</v>
      </c>
      <c r="G128" t="s">
        <v>25</v>
      </c>
      <c r="H128" t="s">
        <v>26</v>
      </c>
      <c r="I128" t="s">
        <v>520</v>
      </c>
      <c r="J128" t="s">
        <v>724</v>
      </c>
      <c r="K128" t="s">
        <v>29</v>
      </c>
      <c r="L128" t="s">
        <v>724</v>
      </c>
      <c r="M128" t="s">
        <v>40</v>
      </c>
      <c r="N128" t="s">
        <v>41</v>
      </c>
    </row>
    <row r="129" spans="1:14">
      <c r="A129" t="s">
        <v>1256</v>
      </c>
      <c r="B129" t="s">
        <v>215</v>
      </c>
      <c r="C129" t="s">
        <v>261</v>
      </c>
      <c r="D129" t="s">
        <v>1257</v>
      </c>
      <c r="E129" t="s">
        <v>1258</v>
      </c>
      <c r="F129" t="s">
        <v>219</v>
      </c>
      <c r="G129" t="s">
        <v>25</v>
      </c>
      <c r="H129" t="s">
        <v>26</v>
      </c>
      <c r="I129" t="s">
        <v>82</v>
      </c>
      <c r="J129" t="s">
        <v>724</v>
      </c>
      <c r="K129" t="s">
        <v>67</v>
      </c>
      <c r="L129" t="s">
        <v>724</v>
      </c>
      <c r="M129" t="s">
        <v>126</v>
      </c>
      <c r="N129" t="s">
        <v>127</v>
      </c>
    </row>
    <row r="130" spans="1:14">
      <c r="A130" t="s">
        <v>1262</v>
      </c>
      <c r="B130" t="s">
        <v>215</v>
      </c>
      <c r="C130" t="s">
        <v>974</v>
      </c>
      <c r="D130" t="s">
        <v>1263</v>
      </c>
      <c r="E130" t="s">
        <v>1264</v>
      </c>
      <c r="F130" t="s">
        <v>23</v>
      </c>
      <c r="G130" t="s">
        <v>25</v>
      </c>
      <c r="H130" t="s">
        <v>38</v>
      </c>
      <c r="I130" t="s">
        <v>82</v>
      </c>
      <c r="J130" t="s">
        <v>724</v>
      </c>
      <c r="K130" t="s">
        <v>29</v>
      </c>
      <c r="L130" t="s">
        <v>724</v>
      </c>
      <c r="M130" t="s">
        <v>68</v>
      </c>
      <c r="N130" t="s">
        <v>69</v>
      </c>
    </row>
    <row r="131" spans="1:14">
      <c r="A131" t="s">
        <v>1274</v>
      </c>
      <c r="B131" t="s">
        <v>215</v>
      </c>
      <c r="C131" t="s">
        <v>261</v>
      </c>
      <c r="D131" t="s">
        <v>1275</v>
      </c>
      <c r="E131" t="s">
        <v>1276</v>
      </c>
      <c r="F131" t="s">
        <v>219</v>
      </c>
      <c r="G131" t="s">
        <v>25</v>
      </c>
      <c r="H131" t="s">
        <v>26</v>
      </c>
      <c r="I131" t="s">
        <v>82</v>
      </c>
      <c r="J131" t="s">
        <v>724</v>
      </c>
      <c r="K131" t="s">
        <v>29</v>
      </c>
      <c r="L131" t="s">
        <v>724</v>
      </c>
      <c r="M131" t="s">
        <v>40</v>
      </c>
      <c r="N131" t="s">
        <v>41</v>
      </c>
    </row>
    <row r="132" spans="1:14">
      <c r="A132" t="s">
        <v>1274</v>
      </c>
      <c r="B132" t="s">
        <v>215</v>
      </c>
      <c r="C132" t="s">
        <v>261</v>
      </c>
      <c r="D132" t="s">
        <v>1277</v>
      </c>
      <c r="E132" t="s">
        <v>1278</v>
      </c>
      <c r="F132" t="s">
        <v>219</v>
      </c>
      <c r="G132" t="s">
        <v>25</v>
      </c>
      <c r="H132" t="s">
        <v>26</v>
      </c>
      <c r="I132" t="s">
        <v>82</v>
      </c>
      <c r="J132" t="s">
        <v>724</v>
      </c>
      <c r="K132" t="s">
        <v>67</v>
      </c>
      <c r="L132" t="s">
        <v>724</v>
      </c>
      <c r="M132" t="s">
        <v>40</v>
      </c>
      <c r="N132" t="s">
        <v>41</v>
      </c>
    </row>
    <row r="133" spans="1:14">
      <c r="A133" t="s">
        <v>1279</v>
      </c>
      <c r="B133" t="s">
        <v>215</v>
      </c>
      <c r="C133" t="s">
        <v>261</v>
      </c>
      <c r="D133" t="s">
        <v>1280</v>
      </c>
      <c r="E133" t="s">
        <v>1281</v>
      </c>
      <c r="F133" t="s">
        <v>219</v>
      </c>
      <c r="G133" t="s">
        <v>25</v>
      </c>
      <c r="H133" t="s">
        <v>26</v>
      </c>
      <c r="I133" t="s">
        <v>39</v>
      </c>
      <c r="J133" t="s">
        <v>724</v>
      </c>
      <c r="K133" t="s">
        <v>67</v>
      </c>
      <c r="L133" t="s">
        <v>724</v>
      </c>
      <c r="M133" t="s">
        <v>122</v>
      </c>
      <c r="N133" t="s">
        <v>39</v>
      </c>
    </row>
    <row r="134" spans="1:14">
      <c r="A134" t="s">
        <v>1282</v>
      </c>
      <c r="B134" t="s">
        <v>215</v>
      </c>
      <c r="C134" t="s">
        <v>184</v>
      </c>
      <c r="D134" t="s">
        <v>1283</v>
      </c>
      <c r="E134" t="s">
        <v>1284</v>
      </c>
      <c r="F134" t="s">
        <v>187</v>
      </c>
      <c r="G134" t="s">
        <v>25</v>
      </c>
      <c r="H134" t="s">
        <v>26</v>
      </c>
      <c r="I134" t="s">
        <v>82</v>
      </c>
      <c r="J134" t="s">
        <v>724</v>
      </c>
      <c r="K134" t="s">
        <v>29</v>
      </c>
      <c r="L134" t="s">
        <v>724</v>
      </c>
      <c r="M134" t="s">
        <v>76</v>
      </c>
      <c r="N134" t="s">
        <v>77</v>
      </c>
    </row>
    <row r="135" spans="1:14">
      <c r="A135" t="s">
        <v>1285</v>
      </c>
      <c r="B135" t="s">
        <v>215</v>
      </c>
      <c r="C135" t="s">
        <v>184</v>
      </c>
      <c r="D135" t="s">
        <v>1286</v>
      </c>
      <c r="E135" t="s">
        <v>1287</v>
      </c>
      <c r="F135" t="s">
        <v>187</v>
      </c>
      <c r="G135" t="s">
        <v>25</v>
      </c>
      <c r="H135" t="s">
        <v>38</v>
      </c>
      <c r="I135" t="s">
        <v>39</v>
      </c>
      <c r="J135" t="s">
        <v>724</v>
      </c>
      <c r="K135" t="s">
        <v>29</v>
      </c>
      <c r="L135" t="s">
        <v>724</v>
      </c>
      <c r="M135" t="s">
        <v>76</v>
      </c>
      <c r="N135" t="s">
        <v>77</v>
      </c>
    </row>
    <row r="136" spans="1:14">
      <c r="A136" t="s">
        <v>1294</v>
      </c>
      <c r="B136" t="s">
        <v>215</v>
      </c>
      <c r="C136" t="s">
        <v>184</v>
      </c>
      <c r="D136" t="s">
        <v>1295</v>
      </c>
      <c r="E136" t="s">
        <v>1296</v>
      </c>
      <c r="F136" t="s">
        <v>187</v>
      </c>
      <c r="G136" t="s">
        <v>25</v>
      </c>
      <c r="H136" t="s">
        <v>38</v>
      </c>
      <c r="I136" t="s">
        <v>27</v>
      </c>
      <c r="J136" t="s">
        <v>724</v>
      </c>
      <c r="K136" t="s">
        <v>29</v>
      </c>
      <c r="L136" t="s">
        <v>724</v>
      </c>
      <c r="M136" t="s">
        <v>76</v>
      </c>
      <c r="N136" t="s">
        <v>77</v>
      </c>
    </row>
    <row r="137" spans="1:14">
      <c r="A137" t="s">
        <v>1297</v>
      </c>
      <c r="B137" t="s">
        <v>215</v>
      </c>
      <c r="C137" t="s">
        <v>184</v>
      </c>
      <c r="D137" t="s">
        <v>1298</v>
      </c>
      <c r="E137" t="s">
        <v>1299</v>
      </c>
      <c r="F137" t="s">
        <v>187</v>
      </c>
      <c r="G137" t="s">
        <v>25</v>
      </c>
      <c r="H137" t="s">
        <v>38</v>
      </c>
      <c r="I137" t="s">
        <v>99</v>
      </c>
      <c r="J137" t="s">
        <v>724</v>
      </c>
      <c r="K137" t="s">
        <v>29</v>
      </c>
      <c r="L137" t="s">
        <v>724</v>
      </c>
      <c r="M137" t="s">
        <v>122</v>
      </c>
      <c r="N137" t="s">
        <v>39</v>
      </c>
    </row>
    <row r="138" spans="1:14">
      <c r="A138" t="s">
        <v>1300</v>
      </c>
      <c r="B138" t="s">
        <v>215</v>
      </c>
      <c r="C138" t="s">
        <v>184</v>
      </c>
      <c r="D138" t="s">
        <v>1301</v>
      </c>
      <c r="E138" t="s">
        <v>1302</v>
      </c>
      <c r="F138" t="s">
        <v>187</v>
      </c>
      <c r="G138" t="s">
        <v>25</v>
      </c>
      <c r="H138" t="s">
        <v>38</v>
      </c>
      <c r="I138" t="s">
        <v>99</v>
      </c>
      <c r="J138" t="s">
        <v>724</v>
      </c>
      <c r="K138" t="s">
        <v>29</v>
      </c>
      <c r="L138" t="s">
        <v>724</v>
      </c>
      <c r="M138" t="s">
        <v>122</v>
      </c>
      <c r="N138" t="s">
        <v>39</v>
      </c>
    </row>
    <row r="139" spans="1:14">
      <c r="A139" t="s">
        <v>1303</v>
      </c>
      <c r="B139" t="s">
        <v>215</v>
      </c>
      <c r="C139" t="s">
        <v>184</v>
      </c>
      <c r="D139" t="s">
        <v>1304</v>
      </c>
      <c r="E139" t="s">
        <v>1305</v>
      </c>
      <c r="F139" t="s">
        <v>187</v>
      </c>
      <c r="G139" t="s">
        <v>25</v>
      </c>
      <c r="H139" t="s">
        <v>26</v>
      </c>
      <c r="I139" t="s">
        <v>39</v>
      </c>
      <c r="J139" t="s">
        <v>724</v>
      </c>
      <c r="K139" t="s">
        <v>67</v>
      </c>
      <c r="L139" t="s">
        <v>724</v>
      </c>
      <c r="M139" t="s">
        <v>95</v>
      </c>
      <c r="N139" t="s">
        <v>56</v>
      </c>
    </row>
    <row r="140" spans="1:14">
      <c r="A140" t="s">
        <v>1306</v>
      </c>
      <c r="B140" t="s">
        <v>215</v>
      </c>
      <c r="C140" t="s">
        <v>184</v>
      </c>
      <c r="D140" t="s">
        <v>1307</v>
      </c>
      <c r="E140" t="s">
        <v>1308</v>
      </c>
      <c r="F140" t="s">
        <v>187</v>
      </c>
      <c r="G140" t="s">
        <v>25</v>
      </c>
      <c r="H140" t="s">
        <v>26</v>
      </c>
      <c r="I140" t="s">
        <v>39</v>
      </c>
      <c r="J140" t="s">
        <v>724</v>
      </c>
      <c r="K140" t="s">
        <v>67</v>
      </c>
      <c r="L140" t="s">
        <v>724</v>
      </c>
      <c r="M140" t="s">
        <v>419</v>
      </c>
      <c r="N140" t="s">
        <v>66</v>
      </c>
    </row>
    <row r="141" spans="1:14">
      <c r="A141" t="s">
        <v>1314</v>
      </c>
      <c r="B141" t="s">
        <v>215</v>
      </c>
      <c r="C141" t="s">
        <v>301</v>
      </c>
      <c r="D141" t="s">
        <v>1315</v>
      </c>
      <c r="E141" t="s">
        <v>1316</v>
      </c>
      <c r="F141" t="s">
        <v>269</v>
      </c>
      <c r="G141" t="s">
        <v>116</v>
      </c>
      <c r="H141" t="s">
        <v>26</v>
      </c>
      <c r="I141" t="s">
        <v>82</v>
      </c>
      <c r="J141" t="s">
        <v>724</v>
      </c>
      <c r="K141" t="s">
        <v>29</v>
      </c>
      <c r="L141" t="s">
        <v>724</v>
      </c>
      <c r="M141" t="s">
        <v>76</v>
      </c>
      <c r="N141" t="s">
        <v>77</v>
      </c>
    </row>
    <row r="142" spans="1:14">
      <c r="A142" t="s">
        <v>1317</v>
      </c>
      <c r="B142" t="s">
        <v>215</v>
      </c>
      <c r="C142" t="s">
        <v>266</v>
      </c>
      <c r="D142" t="s">
        <v>1318</v>
      </c>
      <c r="E142" t="s">
        <v>1319</v>
      </c>
      <c r="F142" t="s">
        <v>269</v>
      </c>
      <c r="G142" t="s">
        <v>116</v>
      </c>
      <c r="H142" t="s">
        <v>26</v>
      </c>
      <c r="I142" t="s">
        <v>39</v>
      </c>
      <c r="J142" t="s">
        <v>724</v>
      </c>
      <c r="K142" t="s">
        <v>67</v>
      </c>
      <c r="L142" t="s">
        <v>724</v>
      </c>
      <c r="M142" t="s">
        <v>57</v>
      </c>
      <c r="N142" t="s">
        <v>58</v>
      </c>
    </row>
    <row r="143" spans="1:14">
      <c r="A143" t="s">
        <v>1317</v>
      </c>
      <c r="B143" t="s">
        <v>215</v>
      </c>
      <c r="C143" t="s">
        <v>266</v>
      </c>
      <c r="D143" t="s">
        <v>1320</v>
      </c>
      <c r="E143" t="s">
        <v>1321</v>
      </c>
      <c r="F143" t="s">
        <v>269</v>
      </c>
      <c r="G143" t="s">
        <v>116</v>
      </c>
      <c r="H143" t="s">
        <v>26</v>
      </c>
      <c r="I143" t="s">
        <v>39</v>
      </c>
      <c r="J143" t="s">
        <v>724</v>
      </c>
      <c r="K143" t="s">
        <v>67</v>
      </c>
      <c r="L143" t="s">
        <v>724</v>
      </c>
      <c r="M143" t="s">
        <v>479</v>
      </c>
      <c r="N143" t="s">
        <v>480</v>
      </c>
    </row>
    <row r="144" spans="1:14">
      <c r="A144" t="s">
        <v>1328</v>
      </c>
      <c r="B144" t="s">
        <v>215</v>
      </c>
      <c r="C144" t="s">
        <v>46</v>
      </c>
      <c r="D144" t="s">
        <v>1329</v>
      </c>
      <c r="E144" t="s">
        <v>1330</v>
      </c>
      <c r="F144" t="s">
        <v>49</v>
      </c>
      <c r="G144" t="s">
        <v>116</v>
      </c>
      <c r="H144" t="s">
        <v>26</v>
      </c>
      <c r="I144" t="s">
        <v>39</v>
      </c>
      <c r="J144" t="s">
        <v>724</v>
      </c>
      <c r="K144" t="s">
        <v>29</v>
      </c>
      <c r="L144" t="s">
        <v>724</v>
      </c>
      <c r="M144" t="s">
        <v>479</v>
      </c>
      <c r="N144" t="s">
        <v>480</v>
      </c>
    </row>
    <row r="145" spans="1:14">
      <c r="A145" t="s">
        <v>1331</v>
      </c>
      <c r="B145" t="s">
        <v>215</v>
      </c>
      <c r="C145" t="s">
        <v>46</v>
      </c>
      <c r="D145" t="s">
        <v>1332</v>
      </c>
      <c r="E145" t="s">
        <v>1333</v>
      </c>
      <c r="F145" t="s">
        <v>49</v>
      </c>
      <c r="G145" t="s">
        <v>116</v>
      </c>
      <c r="H145" t="s">
        <v>26</v>
      </c>
      <c r="I145" t="s">
        <v>39</v>
      </c>
      <c r="J145" t="s">
        <v>724</v>
      </c>
      <c r="K145" t="s">
        <v>67</v>
      </c>
      <c r="L145" t="s">
        <v>724</v>
      </c>
      <c r="M145" t="s">
        <v>57</v>
      </c>
      <c r="N145" t="s">
        <v>58</v>
      </c>
    </row>
    <row r="146" spans="1:14">
      <c r="A146" t="s">
        <v>1337</v>
      </c>
      <c r="B146" t="s">
        <v>215</v>
      </c>
      <c r="C146" t="s">
        <v>46</v>
      </c>
      <c r="D146" t="s">
        <v>1338</v>
      </c>
      <c r="E146" t="s">
        <v>1339</v>
      </c>
      <c r="F146" t="s">
        <v>49</v>
      </c>
      <c r="G146" t="s">
        <v>116</v>
      </c>
      <c r="H146" t="s">
        <v>26</v>
      </c>
      <c r="I146" t="s">
        <v>39</v>
      </c>
      <c r="J146" t="s">
        <v>724</v>
      </c>
      <c r="K146" t="s">
        <v>67</v>
      </c>
      <c r="L146" t="s">
        <v>724</v>
      </c>
      <c r="M146" t="s">
        <v>419</v>
      </c>
      <c r="N146" t="s">
        <v>66</v>
      </c>
    </row>
    <row r="147" spans="1:14">
      <c r="A147" t="s">
        <v>1343</v>
      </c>
      <c r="B147" t="s">
        <v>215</v>
      </c>
      <c r="C147" t="s">
        <v>46</v>
      </c>
      <c r="D147" t="s">
        <v>1344</v>
      </c>
      <c r="E147" t="s">
        <v>1345</v>
      </c>
      <c r="F147" t="s">
        <v>49</v>
      </c>
      <c r="G147" t="s">
        <v>116</v>
      </c>
      <c r="H147" t="s">
        <v>26</v>
      </c>
      <c r="I147" t="s">
        <v>39</v>
      </c>
      <c r="J147" t="s">
        <v>724</v>
      </c>
      <c r="K147" t="s">
        <v>29</v>
      </c>
      <c r="L147" t="s">
        <v>724</v>
      </c>
      <c r="M147" t="s">
        <v>76</v>
      </c>
      <c r="N147" t="s">
        <v>77</v>
      </c>
    </row>
    <row r="148" spans="1:14">
      <c r="A148" t="s">
        <v>1346</v>
      </c>
      <c r="B148" t="s">
        <v>215</v>
      </c>
      <c r="C148" t="s">
        <v>46</v>
      </c>
      <c r="D148" t="s">
        <v>1347</v>
      </c>
      <c r="E148" t="s">
        <v>41</v>
      </c>
      <c r="F148" t="s">
        <v>49</v>
      </c>
      <c r="G148" t="s">
        <v>116</v>
      </c>
      <c r="H148" t="s">
        <v>26</v>
      </c>
      <c r="I148" t="s">
        <v>39</v>
      </c>
      <c r="J148" t="s">
        <v>724</v>
      </c>
      <c r="K148" t="s">
        <v>67</v>
      </c>
      <c r="L148" t="s">
        <v>724</v>
      </c>
      <c r="M148" t="s">
        <v>76</v>
      </c>
      <c r="N148" t="s">
        <v>77</v>
      </c>
    </row>
    <row r="149" spans="1:14">
      <c r="A149" t="s">
        <v>1348</v>
      </c>
      <c r="B149" t="s">
        <v>215</v>
      </c>
      <c r="C149" t="s">
        <v>301</v>
      </c>
      <c r="D149" t="s">
        <v>1349</v>
      </c>
      <c r="E149" t="s">
        <v>886</v>
      </c>
      <c r="F149" t="s">
        <v>269</v>
      </c>
      <c r="G149" t="s">
        <v>25</v>
      </c>
      <c r="H149" t="s">
        <v>38</v>
      </c>
      <c r="I149" t="s">
        <v>39</v>
      </c>
      <c r="J149" t="s">
        <v>724</v>
      </c>
      <c r="K149" t="s">
        <v>29</v>
      </c>
      <c r="L149" t="s">
        <v>724</v>
      </c>
      <c r="M149" t="s">
        <v>419</v>
      </c>
      <c r="N149" t="s">
        <v>66</v>
      </c>
    </row>
    <row r="150" spans="1:14">
      <c r="A150" t="s">
        <v>1348</v>
      </c>
      <c r="B150" t="s">
        <v>215</v>
      </c>
      <c r="C150" t="s">
        <v>301</v>
      </c>
      <c r="D150" t="s">
        <v>1350</v>
      </c>
      <c r="E150" t="s">
        <v>1351</v>
      </c>
      <c r="F150" t="s">
        <v>269</v>
      </c>
      <c r="G150" t="s">
        <v>25</v>
      </c>
      <c r="H150" t="s">
        <v>26</v>
      </c>
      <c r="I150" t="s">
        <v>39</v>
      </c>
      <c r="J150" t="s">
        <v>724</v>
      </c>
      <c r="K150" t="s">
        <v>29</v>
      </c>
      <c r="L150" t="s">
        <v>724</v>
      </c>
      <c r="M150" t="s">
        <v>40</v>
      </c>
      <c r="N150" t="s">
        <v>41</v>
      </c>
    </row>
    <row r="151" spans="1:14">
      <c r="A151" t="s">
        <v>1360</v>
      </c>
      <c r="B151" t="s">
        <v>215</v>
      </c>
      <c r="C151" t="s">
        <v>301</v>
      </c>
      <c r="D151" t="s">
        <v>1361</v>
      </c>
      <c r="E151" t="s">
        <v>1362</v>
      </c>
      <c r="F151" t="s">
        <v>269</v>
      </c>
      <c r="G151" t="s">
        <v>25</v>
      </c>
      <c r="H151" t="s">
        <v>38</v>
      </c>
      <c r="I151" t="s">
        <v>39</v>
      </c>
      <c r="J151" t="s">
        <v>724</v>
      </c>
      <c r="K151" t="s">
        <v>29</v>
      </c>
      <c r="L151" t="s">
        <v>724</v>
      </c>
      <c r="M151" t="s">
        <v>126</v>
      </c>
      <c r="N151" t="s">
        <v>127</v>
      </c>
    </row>
    <row r="152" spans="1:14">
      <c r="A152" t="s">
        <v>1373</v>
      </c>
      <c r="B152" t="s">
        <v>215</v>
      </c>
      <c r="C152" t="s">
        <v>19</v>
      </c>
      <c r="D152" t="s">
        <v>1374</v>
      </c>
      <c r="E152" t="s">
        <v>1375</v>
      </c>
      <c r="F152" t="s">
        <v>22</v>
      </c>
      <c r="G152" t="s">
        <v>25</v>
      </c>
      <c r="H152" t="s">
        <v>26</v>
      </c>
      <c r="I152" t="s">
        <v>39</v>
      </c>
      <c r="J152" t="s">
        <v>724</v>
      </c>
      <c r="K152" t="s">
        <v>67</v>
      </c>
      <c r="L152" t="s">
        <v>724</v>
      </c>
      <c r="M152" t="s">
        <v>76</v>
      </c>
      <c r="N152" t="s">
        <v>77</v>
      </c>
    </row>
    <row r="153" spans="1:14">
      <c r="A153" t="s">
        <v>1376</v>
      </c>
      <c r="B153" t="s">
        <v>215</v>
      </c>
      <c r="C153" t="s">
        <v>111</v>
      </c>
      <c r="D153" t="s">
        <v>1377</v>
      </c>
      <c r="E153" t="s">
        <v>952</v>
      </c>
      <c r="F153" t="s">
        <v>114</v>
      </c>
      <c r="G153" t="s">
        <v>25</v>
      </c>
      <c r="H153" t="s">
        <v>38</v>
      </c>
      <c r="I153" t="s">
        <v>203</v>
      </c>
      <c r="J153" t="s">
        <v>724</v>
      </c>
      <c r="K153" t="s">
        <v>29</v>
      </c>
      <c r="L153" t="s">
        <v>724</v>
      </c>
      <c r="M153" t="s">
        <v>40</v>
      </c>
      <c r="N153" t="s">
        <v>41</v>
      </c>
    </row>
    <row r="154" spans="1:14">
      <c r="A154" t="s">
        <v>1390</v>
      </c>
      <c r="B154" t="s">
        <v>215</v>
      </c>
      <c r="C154" t="s">
        <v>19</v>
      </c>
      <c r="D154" t="s">
        <v>1391</v>
      </c>
      <c r="E154" t="s">
        <v>1392</v>
      </c>
      <c r="F154" t="s">
        <v>22</v>
      </c>
      <c r="G154" t="s">
        <v>25</v>
      </c>
      <c r="H154" t="s">
        <v>26</v>
      </c>
      <c r="I154" t="s">
        <v>39</v>
      </c>
      <c r="J154" t="s">
        <v>724</v>
      </c>
      <c r="K154" t="s">
        <v>29</v>
      </c>
      <c r="L154" t="s">
        <v>724</v>
      </c>
      <c r="M154" t="s">
        <v>40</v>
      </c>
      <c r="N154" t="s">
        <v>41</v>
      </c>
    </row>
    <row r="155" spans="1:14">
      <c r="A155" t="s">
        <v>1390</v>
      </c>
      <c r="B155" t="s">
        <v>215</v>
      </c>
      <c r="C155" t="s">
        <v>19</v>
      </c>
      <c r="D155" t="s">
        <v>1393</v>
      </c>
      <c r="E155" t="s">
        <v>1394</v>
      </c>
      <c r="F155" t="s">
        <v>22</v>
      </c>
      <c r="G155" t="s">
        <v>25</v>
      </c>
      <c r="H155" t="s">
        <v>38</v>
      </c>
      <c r="I155" t="s">
        <v>39</v>
      </c>
      <c r="J155" t="s">
        <v>724</v>
      </c>
      <c r="K155" t="s">
        <v>29</v>
      </c>
      <c r="L155" t="s">
        <v>724</v>
      </c>
      <c r="M155" t="s">
        <v>40</v>
      </c>
      <c r="N155" t="s">
        <v>41</v>
      </c>
    </row>
    <row r="156" spans="1:14">
      <c r="A156" t="s">
        <v>1395</v>
      </c>
      <c r="B156" t="s">
        <v>215</v>
      </c>
      <c r="C156" t="s">
        <v>19</v>
      </c>
      <c r="D156" t="s">
        <v>1396</v>
      </c>
      <c r="E156" t="s">
        <v>1397</v>
      </c>
      <c r="F156" t="s">
        <v>22</v>
      </c>
      <c r="G156" t="s">
        <v>25</v>
      </c>
      <c r="H156" t="s">
        <v>26</v>
      </c>
      <c r="I156" t="s">
        <v>39</v>
      </c>
      <c r="J156" t="s">
        <v>724</v>
      </c>
      <c r="K156" t="s">
        <v>67</v>
      </c>
      <c r="L156" t="s">
        <v>724</v>
      </c>
      <c r="M156" t="s">
        <v>40</v>
      </c>
      <c r="N156" t="s">
        <v>41</v>
      </c>
    </row>
    <row r="157" spans="1:14">
      <c r="A157" t="s">
        <v>1398</v>
      </c>
      <c r="B157" t="s">
        <v>215</v>
      </c>
      <c r="C157" t="s">
        <v>19</v>
      </c>
      <c r="D157" t="s">
        <v>1399</v>
      </c>
      <c r="E157" t="s">
        <v>1400</v>
      </c>
      <c r="F157" t="s">
        <v>22</v>
      </c>
      <c r="G157" t="s">
        <v>25</v>
      </c>
      <c r="H157" t="s">
        <v>38</v>
      </c>
      <c r="I157" t="s">
        <v>39</v>
      </c>
      <c r="J157" t="s">
        <v>724</v>
      </c>
      <c r="K157" t="s">
        <v>29</v>
      </c>
      <c r="L157" t="s">
        <v>724</v>
      </c>
      <c r="M157" t="s">
        <v>419</v>
      </c>
      <c r="N157" t="s">
        <v>66</v>
      </c>
    </row>
    <row r="158" spans="1:14">
      <c r="A158" t="s">
        <v>1398</v>
      </c>
      <c r="B158" t="s">
        <v>215</v>
      </c>
      <c r="C158" t="s">
        <v>19</v>
      </c>
      <c r="D158" t="s">
        <v>1401</v>
      </c>
      <c r="E158" t="s">
        <v>1402</v>
      </c>
      <c r="F158" t="s">
        <v>22</v>
      </c>
      <c r="G158" t="s">
        <v>25</v>
      </c>
      <c r="H158" t="s">
        <v>38</v>
      </c>
      <c r="I158" t="s">
        <v>39</v>
      </c>
      <c r="J158" t="s">
        <v>724</v>
      </c>
      <c r="K158" t="s">
        <v>29</v>
      </c>
      <c r="L158" t="s">
        <v>724</v>
      </c>
      <c r="M158" t="s">
        <v>419</v>
      </c>
      <c r="N158" t="s">
        <v>66</v>
      </c>
    </row>
    <row r="159" spans="1:14">
      <c r="A159" t="s">
        <v>1403</v>
      </c>
      <c r="B159" t="s">
        <v>215</v>
      </c>
      <c r="C159" t="s">
        <v>19</v>
      </c>
      <c r="D159" t="s">
        <v>1404</v>
      </c>
      <c r="E159" t="s">
        <v>1405</v>
      </c>
      <c r="F159" t="s">
        <v>22</v>
      </c>
      <c r="G159" t="s">
        <v>25</v>
      </c>
      <c r="H159" t="s">
        <v>26</v>
      </c>
      <c r="I159" t="s">
        <v>39</v>
      </c>
      <c r="J159" t="s">
        <v>724</v>
      </c>
      <c r="K159" t="s">
        <v>29</v>
      </c>
      <c r="L159" t="s">
        <v>724</v>
      </c>
      <c r="M159" t="s">
        <v>95</v>
      </c>
      <c r="N159" t="s">
        <v>56</v>
      </c>
    </row>
    <row r="160" spans="1:14">
      <c r="A160" t="s">
        <v>1406</v>
      </c>
      <c r="B160" t="s">
        <v>215</v>
      </c>
      <c r="C160" t="s">
        <v>19</v>
      </c>
      <c r="D160" t="s">
        <v>1407</v>
      </c>
      <c r="E160" t="s">
        <v>1408</v>
      </c>
      <c r="F160" t="s">
        <v>22</v>
      </c>
      <c r="G160" t="s">
        <v>25</v>
      </c>
      <c r="H160" t="s">
        <v>26</v>
      </c>
      <c r="I160" t="s">
        <v>82</v>
      </c>
      <c r="J160" t="s">
        <v>724</v>
      </c>
      <c r="K160" t="s">
        <v>67</v>
      </c>
      <c r="L160" t="s">
        <v>724</v>
      </c>
      <c r="M160" t="s">
        <v>126</v>
      </c>
      <c r="N160" t="s">
        <v>127</v>
      </c>
    </row>
    <row r="161" spans="1:14">
      <c r="A161" t="s">
        <v>1406</v>
      </c>
      <c r="B161" t="s">
        <v>215</v>
      </c>
      <c r="C161" t="s">
        <v>19</v>
      </c>
      <c r="D161" t="s">
        <v>1409</v>
      </c>
      <c r="E161" t="s">
        <v>1410</v>
      </c>
      <c r="F161" t="s">
        <v>22</v>
      </c>
      <c r="G161" t="s">
        <v>25</v>
      </c>
      <c r="H161" t="s">
        <v>26</v>
      </c>
      <c r="I161" t="s">
        <v>39</v>
      </c>
      <c r="J161" t="s">
        <v>724</v>
      </c>
      <c r="K161" t="s">
        <v>29</v>
      </c>
      <c r="L161" t="s">
        <v>724</v>
      </c>
      <c r="M161" t="s">
        <v>30</v>
      </c>
      <c r="N161" t="s">
        <v>31</v>
      </c>
    </row>
    <row r="162" spans="1:14">
      <c r="A162" t="s">
        <v>1411</v>
      </c>
      <c r="B162" t="s">
        <v>215</v>
      </c>
      <c r="C162" t="s">
        <v>19</v>
      </c>
      <c r="D162" t="s">
        <v>1412</v>
      </c>
      <c r="E162" t="s">
        <v>1413</v>
      </c>
      <c r="F162" t="s">
        <v>22</v>
      </c>
      <c r="G162" t="s">
        <v>25</v>
      </c>
      <c r="H162" t="s">
        <v>38</v>
      </c>
      <c r="I162" t="s">
        <v>39</v>
      </c>
      <c r="J162" t="s">
        <v>724</v>
      </c>
      <c r="K162" t="s">
        <v>29</v>
      </c>
      <c r="L162" t="s">
        <v>724</v>
      </c>
      <c r="M162" t="s">
        <v>40</v>
      </c>
      <c r="N162" t="s">
        <v>41</v>
      </c>
    </row>
    <row r="163" spans="1:14">
      <c r="A163" t="s">
        <v>1411</v>
      </c>
      <c r="B163" t="s">
        <v>215</v>
      </c>
      <c r="C163" t="s">
        <v>19</v>
      </c>
      <c r="D163" t="s">
        <v>1414</v>
      </c>
      <c r="E163" t="s">
        <v>1415</v>
      </c>
      <c r="F163" t="s">
        <v>22</v>
      </c>
      <c r="G163" t="s">
        <v>25</v>
      </c>
      <c r="H163" t="s">
        <v>38</v>
      </c>
      <c r="I163" t="s">
        <v>27</v>
      </c>
      <c r="J163" t="s">
        <v>724</v>
      </c>
      <c r="K163" t="s">
        <v>29</v>
      </c>
      <c r="L163" t="s">
        <v>724</v>
      </c>
      <c r="M163" t="s">
        <v>126</v>
      </c>
      <c r="N163" t="s">
        <v>127</v>
      </c>
    </row>
    <row r="164" spans="1:14">
      <c r="A164" t="s">
        <v>1411</v>
      </c>
      <c r="B164" t="s">
        <v>215</v>
      </c>
      <c r="C164" t="s">
        <v>19</v>
      </c>
      <c r="D164" t="s">
        <v>1416</v>
      </c>
      <c r="E164" t="s">
        <v>1417</v>
      </c>
      <c r="F164" t="s">
        <v>22</v>
      </c>
      <c r="G164" t="s">
        <v>25</v>
      </c>
      <c r="H164" t="s">
        <v>38</v>
      </c>
      <c r="I164" t="s">
        <v>82</v>
      </c>
      <c r="J164" t="s">
        <v>724</v>
      </c>
      <c r="K164" t="s">
        <v>29</v>
      </c>
      <c r="L164" t="s">
        <v>724</v>
      </c>
      <c r="M164" t="s">
        <v>95</v>
      </c>
      <c r="N164" t="s">
        <v>56</v>
      </c>
    </row>
    <row r="165" spans="1:14">
      <c r="A165" t="s">
        <v>1418</v>
      </c>
      <c r="B165" t="s">
        <v>215</v>
      </c>
      <c r="C165" t="s">
        <v>19</v>
      </c>
      <c r="D165" t="s">
        <v>1419</v>
      </c>
      <c r="E165" t="s">
        <v>1420</v>
      </c>
      <c r="F165" t="s">
        <v>22</v>
      </c>
      <c r="G165" t="s">
        <v>25</v>
      </c>
      <c r="H165" t="s">
        <v>26</v>
      </c>
      <c r="I165" t="s">
        <v>39</v>
      </c>
      <c r="J165" t="s">
        <v>724</v>
      </c>
      <c r="K165" t="s">
        <v>29</v>
      </c>
      <c r="L165" t="s">
        <v>724</v>
      </c>
      <c r="M165" t="s">
        <v>95</v>
      </c>
      <c r="N165" t="s">
        <v>56</v>
      </c>
    </row>
    <row r="166" spans="1:14">
      <c r="A166" t="s">
        <v>1421</v>
      </c>
      <c r="B166" t="s">
        <v>215</v>
      </c>
      <c r="C166" t="s">
        <v>19</v>
      </c>
      <c r="D166" t="s">
        <v>1422</v>
      </c>
      <c r="E166" t="s">
        <v>1423</v>
      </c>
      <c r="F166" t="s">
        <v>22</v>
      </c>
      <c r="G166" t="s">
        <v>25</v>
      </c>
      <c r="H166" t="s">
        <v>26</v>
      </c>
      <c r="I166" t="s">
        <v>39</v>
      </c>
      <c r="J166" t="s">
        <v>724</v>
      </c>
      <c r="K166" t="s">
        <v>106</v>
      </c>
      <c r="L166" t="s">
        <v>724</v>
      </c>
      <c r="M166" t="s">
        <v>95</v>
      </c>
      <c r="N166" t="s">
        <v>56</v>
      </c>
    </row>
    <row r="167" spans="1:14">
      <c r="A167" t="s">
        <v>1421</v>
      </c>
      <c r="B167" t="s">
        <v>215</v>
      </c>
      <c r="C167" t="s">
        <v>19</v>
      </c>
      <c r="D167" t="s">
        <v>1424</v>
      </c>
      <c r="E167" t="s">
        <v>1425</v>
      </c>
      <c r="F167" t="s">
        <v>22</v>
      </c>
      <c r="G167" t="s">
        <v>25</v>
      </c>
      <c r="H167" t="s">
        <v>38</v>
      </c>
      <c r="I167" t="s">
        <v>27</v>
      </c>
      <c r="J167" t="s">
        <v>724</v>
      </c>
      <c r="K167" t="s">
        <v>29</v>
      </c>
      <c r="L167" t="s">
        <v>724</v>
      </c>
      <c r="M167" t="s">
        <v>95</v>
      </c>
      <c r="N167" t="s">
        <v>56</v>
      </c>
    </row>
    <row r="168" spans="1:14">
      <c r="A168" t="s">
        <v>1426</v>
      </c>
      <c r="B168" t="s">
        <v>215</v>
      </c>
      <c r="C168" t="s">
        <v>19</v>
      </c>
      <c r="D168" t="s">
        <v>1427</v>
      </c>
      <c r="E168" t="s">
        <v>1428</v>
      </c>
      <c r="F168" t="s">
        <v>22</v>
      </c>
      <c r="G168" t="s">
        <v>25</v>
      </c>
      <c r="H168" t="s">
        <v>26</v>
      </c>
      <c r="I168" t="s">
        <v>39</v>
      </c>
      <c r="J168" t="s">
        <v>724</v>
      </c>
      <c r="K168" t="s">
        <v>67</v>
      </c>
      <c r="L168" t="s">
        <v>724</v>
      </c>
      <c r="M168" t="s">
        <v>95</v>
      </c>
      <c r="N168" t="s">
        <v>56</v>
      </c>
    </row>
    <row r="169" spans="1:14">
      <c r="A169" t="s">
        <v>1432</v>
      </c>
      <c r="B169" t="s">
        <v>215</v>
      </c>
      <c r="C169" t="s">
        <v>275</v>
      </c>
      <c r="D169" t="s">
        <v>1433</v>
      </c>
      <c r="E169" t="s">
        <v>1434</v>
      </c>
      <c r="F169" t="s">
        <v>278</v>
      </c>
      <c r="G169" t="s">
        <v>25</v>
      </c>
      <c r="H169" t="s">
        <v>26</v>
      </c>
      <c r="I169" t="s">
        <v>203</v>
      </c>
      <c r="J169" t="s">
        <v>724</v>
      </c>
      <c r="K169" t="s">
        <v>67</v>
      </c>
      <c r="L169" t="s">
        <v>724</v>
      </c>
      <c r="M169" t="s">
        <v>40</v>
      </c>
      <c r="N169" t="s">
        <v>41</v>
      </c>
    </row>
    <row r="170" spans="1:14">
      <c r="A170" t="s">
        <v>1441</v>
      </c>
      <c r="B170" t="s">
        <v>215</v>
      </c>
      <c r="C170" t="s">
        <v>301</v>
      </c>
      <c r="D170" t="s">
        <v>1442</v>
      </c>
      <c r="E170" t="s">
        <v>1443</v>
      </c>
      <c r="F170" t="s">
        <v>269</v>
      </c>
      <c r="G170" t="s">
        <v>25</v>
      </c>
      <c r="H170" t="s">
        <v>26</v>
      </c>
      <c r="I170" t="s">
        <v>39</v>
      </c>
      <c r="J170" t="s">
        <v>724</v>
      </c>
      <c r="K170" t="s">
        <v>29</v>
      </c>
      <c r="L170" t="s">
        <v>724</v>
      </c>
      <c r="M170" t="s">
        <v>40</v>
      </c>
      <c r="N170" t="s">
        <v>41</v>
      </c>
    </row>
    <row r="171" spans="1:14">
      <c r="A171" t="s">
        <v>1459</v>
      </c>
      <c r="B171" t="s">
        <v>215</v>
      </c>
      <c r="C171" t="s">
        <v>111</v>
      </c>
      <c r="D171" t="s">
        <v>1460</v>
      </c>
      <c r="E171" t="s">
        <v>1461</v>
      </c>
      <c r="F171" t="s">
        <v>114</v>
      </c>
      <c r="G171" t="s">
        <v>25</v>
      </c>
      <c r="H171" t="s">
        <v>26</v>
      </c>
      <c r="I171" t="s">
        <v>39</v>
      </c>
      <c r="J171" t="s">
        <v>724</v>
      </c>
      <c r="K171" t="s">
        <v>67</v>
      </c>
      <c r="L171" t="s">
        <v>724</v>
      </c>
      <c r="M171" t="s">
        <v>40</v>
      </c>
      <c r="N171" t="s">
        <v>41</v>
      </c>
    </row>
    <row r="172" spans="1:14">
      <c r="A172" t="s">
        <v>1480</v>
      </c>
      <c r="B172" t="s">
        <v>215</v>
      </c>
      <c r="C172" t="s">
        <v>216</v>
      </c>
      <c r="D172" t="s">
        <v>1481</v>
      </c>
      <c r="E172" t="s">
        <v>1482</v>
      </c>
      <c r="F172" t="s">
        <v>219</v>
      </c>
      <c r="G172" t="s">
        <v>116</v>
      </c>
      <c r="H172" t="s">
        <v>26</v>
      </c>
      <c r="I172" t="s">
        <v>39</v>
      </c>
      <c r="J172" t="s">
        <v>724</v>
      </c>
      <c r="K172" t="s">
        <v>67</v>
      </c>
      <c r="L172" t="s">
        <v>724</v>
      </c>
      <c r="M172" t="s">
        <v>40</v>
      </c>
      <c r="N172" t="s">
        <v>41</v>
      </c>
    </row>
    <row r="173" spans="1:14">
      <c r="A173" t="s">
        <v>1483</v>
      </c>
      <c r="B173" t="s">
        <v>215</v>
      </c>
      <c r="C173" t="s">
        <v>216</v>
      </c>
      <c r="D173" t="s">
        <v>1484</v>
      </c>
      <c r="E173" t="s">
        <v>1485</v>
      </c>
      <c r="F173" t="s">
        <v>219</v>
      </c>
      <c r="G173" t="s">
        <v>116</v>
      </c>
      <c r="H173" t="s">
        <v>38</v>
      </c>
      <c r="I173" t="s">
        <v>99</v>
      </c>
      <c r="J173" t="s">
        <v>724</v>
      </c>
      <c r="K173" t="s">
        <v>29</v>
      </c>
      <c r="L173" t="s">
        <v>724</v>
      </c>
      <c r="M173" t="s">
        <v>40</v>
      </c>
      <c r="N173" t="s">
        <v>41</v>
      </c>
    </row>
    <row r="174" spans="1:14">
      <c r="A174" t="s">
        <v>1486</v>
      </c>
      <c r="B174" t="s">
        <v>215</v>
      </c>
      <c r="C174" t="s">
        <v>216</v>
      </c>
      <c r="D174" t="s">
        <v>1487</v>
      </c>
      <c r="E174" t="s">
        <v>1488</v>
      </c>
      <c r="F174" t="s">
        <v>219</v>
      </c>
      <c r="G174" t="s">
        <v>116</v>
      </c>
      <c r="H174" t="s">
        <v>26</v>
      </c>
      <c r="I174" t="s">
        <v>39</v>
      </c>
      <c r="J174" t="s">
        <v>724</v>
      </c>
      <c r="K174" t="s">
        <v>67</v>
      </c>
      <c r="L174" t="s">
        <v>724</v>
      </c>
      <c r="M174" t="s">
        <v>40</v>
      </c>
      <c r="N174" t="s">
        <v>41</v>
      </c>
    </row>
    <row r="175" spans="1:14">
      <c r="A175" t="s">
        <v>1489</v>
      </c>
      <c r="B175" t="s">
        <v>215</v>
      </c>
      <c r="C175" t="s">
        <v>216</v>
      </c>
      <c r="D175" t="s">
        <v>1490</v>
      </c>
      <c r="E175" t="s">
        <v>1491</v>
      </c>
      <c r="F175" t="s">
        <v>219</v>
      </c>
      <c r="G175" t="s">
        <v>116</v>
      </c>
      <c r="H175" t="s">
        <v>26</v>
      </c>
      <c r="I175" t="s">
        <v>82</v>
      </c>
      <c r="J175" t="s">
        <v>724</v>
      </c>
      <c r="K175" t="s">
        <v>67</v>
      </c>
      <c r="L175" t="s">
        <v>724</v>
      </c>
      <c r="M175" t="s">
        <v>40</v>
      </c>
      <c r="N175" t="s">
        <v>41</v>
      </c>
    </row>
    <row r="176" spans="1:14">
      <c r="A176" t="s">
        <v>1492</v>
      </c>
      <c r="B176" t="s">
        <v>215</v>
      </c>
      <c r="C176" t="s">
        <v>216</v>
      </c>
      <c r="D176" t="s">
        <v>1493</v>
      </c>
      <c r="E176" t="s">
        <v>1491</v>
      </c>
      <c r="F176" t="s">
        <v>219</v>
      </c>
      <c r="G176" t="s">
        <v>116</v>
      </c>
      <c r="H176" t="s">
        <v>26</v>
      </c>
      <c r="I176" t="s">
        <v>99</v>
      </c>
      <c r="J176" t="s">
        <v>724</v>
      </c>
      <c r="K176" t="s">
        <v>67</v>
      </c>
      <c r="L176" t="s">
        <v>724</v>
      </c>
      <c r="M176" t="s">
        <v>40</v>
      </c>
      <c r="N176" t="s">
        <v>41</v>
      </c>
    </row>
    <row r="177" spans="1:14">
      <c r="A177" t="s">
        <v>1494</v>
      </c>
      <c r="B177" t="s">
        <v>215</v>
      </c>
      <c r="C177" t="s">
        <v>184</v>
      </c>
      <c r="D177" t="s">
        <v>1495</v>
      </c>
      <c r="E177" t="s">
        <v>1496</v>
      </c>
      <c r="F177" t="s">
        <v>187</v>
      </c>
      <c r="G177" t="s">
        <v>116</v>
      </c>
      <c r="H177" t="s">
        <v>38</v>
      </c>
      <c r="I177" t="s">
        <v>99</v>
      </c>
      <c r="J177" t="s">
        <v>724</v>
      </c>
      <c r="K177" t="s">
        <v>29</v>
      </c>
      <c r="L177" t="s">
        <v>724</v>
      </c>
      <c r="M177" t="s">
        <v>40</v>
      </c>
      <c r="N177" t="s">
        <v>41</v>
      </c>
    </row>
    <row r="178" spans="1:14">
      <c r="A178" t="s">
        <v>355</v>
      </c>
      <c r="B178" t="s">
        <v>215</v>
      </c>
      <c r="C178" t="s">
        <v>184</v>
      </c>
      <c r="D178" t="s">
        <v>1497</v>
      </c>
      <c r="E178" t="s">
        <v>1498</v>
      </c>
      <c r="F178" t="s">
        <v>187</v>
      </c>
      <c r="G178" t="s">
        <v>116</v>
      </c>
      <c r="H178" t="s">
        <v>26</v>
      </c>
      <c r="I178" t="s">
        <v>39</v>
      </c>
      <c r="J178" t="s">
        <v>724</v>
      </c>
      <c r="K178" t="s">
        <v>67</v>
      </c>
      <c r="L178" t="s">
        <v>724</v>
      </c>
      <c r="M178" t="s">
        <v>122</v>
      </c>
      <c r="N178" t="s">
        <v>39</v>
      </c>
    </row>
    <row r="179" spans="1:14">
      <c r="A179" t="s">
        <v>1499</v>
      </c>
      <c r="B179" t="s">
        <v>215</v>
      </c>
      <c r="C179" t="s">
        <v>184</v>
      </c>
      <c r="D179" t="s">
        <v>1500</v>
      </c>
      <c r="E179" t="s">
        <v>1501</v>
      </c>
      <c r="F179" t="s">
        <v>187</v>
      </c>
      <c r="G179" t="s">
        <v>116</v>
      </c>
      <c r="H179" t="s">
        <v>26</v>
      </c>
      <c r="I179" t="s">
        <v>39</v>
      </c>
      <c r="J179" t="s">
        <v>724</v>
      </c>
      <c r="K179" t="s">
        <v>67</v>
      </c>
      <c r="L179" t="s">
        <v>724</v>
      </c>
      <c r="M179" t="s">
        <v>40</v>
      </c>
      <c r="N179" t="s">
        <v>41</v>
      </c>
    </row>
    <row r="180" spans="1:14">
      <c r="A180" t="s">
        <v>1502</v>
      </c>
      <c r="B180" t="s">
        <v>215</v>
      </c>
      <c r="C180" t="s">
        <v>184</v>
      </c>
      <c r="D180" t="s">
        <v>1503</v>
      </c>
      <c r="E180" t="s">
        <v>1504</v>
      </c>
      <c r="F180" t="s">
        <v>187</v>
      </c>
      <c r="G180" t="s">
        <v>116</v>
      </c>
      <c r="H180" t="s">
        <v>38</v>
      </c>
      <c r="I180" t="s">
        <v>99</v>
      </c>
      <c r="J180" t="s">
        <v>724</v>
      </c>
      <c r="K180" t="s">
        <v>29</v>
      </c>
      <c r="L180" t="s">
        <v>724</v>
      </c>
      <c r="M180" t="s">
        <v>40</v>
      </c>
      <c r="N180" t="s">
        <v>41</v>
      </c>
    </row>
    <row r="181" spans="1:14">
      <c r="A181" t="s">
        <v>1505</v>
      </c>
      <c r="B181" t="s">
        <v>215</v>
      </c>
      <c r="C181" t="s">
        <v>184</v>
      </c>
      <c r="D181" t="s">
        <v>1506</v>
      </c>
      <c r="E181" t="s">
        <v>1507</v>
      </c>
      <c r="F181" t="s">
        <v>187</v>
      </c>
      <c r="G181" t="s">
        <v>25</v>
      </c>
      <c r="H181" t="s">
        <v>38</v>
      </c>
      <c r="I181" t="s">
        <v>39</v>
      </c>
      <c r="J181" t="s">
        <v>724</v>
      </c>
      <c r="K181" t="s">
        <v>29</v>
      </c>
      <c r="L181" t="s">
        <v>724</v>
      </c>
      <c r="M181" t="s">
        <v>40</v>
      </c>
      <c r="N181" t="s">
        <v>41</v>
      </c>
    </row>
    <row r="182" spans="1:14">
      <c r="A182" t="s">
        <v>1518</v>
      </c>
      <c r="B182" t="s">
        <v>215</v>
      </c>
      <c r="C182" t="s">
        <v>216</v>
      </c>
      <c r="D182" t="s">
        <v>1519</v>
      </c>
      <c r="E182" t="s">
        <v>1520</v>
      </c>
      <c r="F182" t="s">
        <v>219</v>
      </c>
      <c r="G182" t="s">
        <v>116</v>
      </c>
      <c r="H182" t="s">
        <v>26</v>
      </c>
      <c r="I182" t="s">
        <v>82</v>
      </c>
      <c r="J182" t="s">
        <v>724</v>
      </c>
      <c r="K182" t="s">
        <v>67</v>
      </c>
      <c r="L182" t="s">
        <v>724</v>
      </c>
      <c r="M182" t="s">
        <v>95</v>
      </c>
      <c r="N182" t="s">
        <v>56</v>
      </c>
    </row>
    <row r="183" spans="1:14">
      <c r="A183" t="s">
        <v>1521</v>
      </c>
      <c r="B183" t="s">
        <v>215</v>
      </c>
      <c r="C183" t="s">
        <v>216</v>
      </c>
      <c r="D183" t="s">
        <v>1522</v>
      </c>
      <c r="E183" t="s">
        <v>1523</v>
      </c>
      <c r="F183" t="s">
        <v>219</v>
      </c>
      <c r="G183" t="s">
        <v>116</v>
      </c>
      <c r="H183" t="s">
        <v>26</v>
      </c>
      <c r="I183" t="s">
        <v>39</v>
      </c>
      <c r="J183" t="s">
        <v>724</v>
      </c>
      <c r="K183" t="s">
        <v>67</v>
      </c>
      <c r="L183" t="s">
        <v>724</v>
      </c>
      <c r="M183" t="s">
        <v>122</v>
      </c>
      <c r="N183" t="s">
        <v>39</v>
      </c>
    </row>
    <row r="184" spans="1:14">
      <c r="A184" t="s">
        <v>1524</v>
      </c>
      <c r="B184" t="s">
        <v>215</v>
      </c>
      <c r="C184" t="s">
        <v>216</v>
      </c>
      <c r="D184" t="s">
        <v>1525</v>
      </c>
      <c r="E184" t="s">
        <v>1526</v>
      </c>
      <c r="F184" t="s">
        <v>219</v>
      </c>
      <c r="G184" t="s">
        <v>116</v>
      </c>
      <c r="H184" t="s">
        <v>38</v>
      </c>
      <c r="I184" t="s">
        <v>99</v>
      </c>
      <c r="J184" t="s">
        <v>724</v>
      </c>
      <c r="K184" t="s">
        <v>29</v>
      </c>
      <c r="L184" t="s">
        <v>724</v>
      </c>
      <c r="M184" t="s">
        <v>95</v>
      </c>
      <c r="N184" t="s">
        <v>56</v>
      </c>
    </row>
    <row r="185" spans="1:14">
      <c r="A185" t="s">
        <v>1527</v>
      </c>
      <c r="B185" t="s">
        <v>215</v>
      </c>
      <c r="C185" t="s">
        <v>216</v>
      </c>
      <c r="D185" t="s">
        <v>1528</v>
      </c>
      <c r="E185" t="s">
        <v>1529</v>
      </c>
      <c r="F185" t="s">
        <v>219</v>
      </c>
      <c r="G185" t="s">
        <v>116</v>
      </c>
      <c r="H185" t="s">
        <v>38</v>
      </c>
      <c r="I185" t="s">
        <v>99</v>
      </c>
      <c r="J185" t="s">
        <v>724</v>
      </c>
      <c r="K185" t="s">
        <v>29</v>
      </c>
      <c r="L185" t="s">
        <v>724</v>
      </c>
      <c r="M185" t="s">
        <v>95</v>
      </c>
      <c r="N185" t="s">
        <v>56</v>
      </c>
    </row>
    <row r="186" spans="1:14">
      <c r="A186" t="s">
        <v>1530</v>
      </c>
      <c r="B186" t="s">
        <v>215</v>
      </c>
      <c r="C186" t="s">
        <v>216</v>
      </c>
      <c r="D186" t="s">
        <v>1531</v>
      </c>
      <c r="E186" t="s">
        <v>1532</v>
      </c>
      <c r="F186" t="s">
        <v>219</v>
      </c>
      <c r="G186" t="s">
        <v>116</v>
      </c>
      <c r="H186" t="s">
        <v>38</v>
      </c>
      <c r="I186" t="s">
        <v>99</v>
      </c>
      <c r="J186" t="s">
        <v>724</v>
      </c>
      <c r="K186" t="s">
        <v>29</v>
      </c>
      <c r="L186" t="s">
        <v>724</v>
      </c>
      <c r="M186" t="s">
        <v>40</v>
      </c>
      <c r="N186" t="s">
        <v>41</v>
      </c>
    </row>
    <row r="187" spans="1:14">
      <c r="A187" t="s">
        <v>1533</v>
      </c>
      <c r="B187" t="s">
        <v>215</v>
      </c>
      <c r="C187" t="s">
        <v>216</v>
      </c>
      <c r="D187" t="s">
        <v>1534</v>
      </c>
      <c r="E187" t="s">
        <v>1535</v>
      </c>
      <c r="F187" t="s">
        <v>219</v>
      </c>
      <c r="G187" t="s">
        <v>116</v>
      </c>
      <c r="H187" t="s">
        <v>38</v>
      </c>
      <c r="I187" t="s">
        <v>99</v>
      </c>
      <c r="J187" t="s">
        <v>724</v>
      </c>
      <c r="K187" t="s">
        <v>29</v>
      </c>
      <c r="L187" t="s">
        <v>724</v>
      </c>
      <c r="M187" t="s">
        <v>122</v>
      </c>
      <c r="N187" t="s">
        <v>39</v>
      </c>
    </row>
    <row r="188" spans="1:14">
      <c r="A188" t="s">
        <v>1536</v>
      </c>
      <c r="B188" t="s">
        <v>215</v>
      </c>
      <c r="C188" t="s">
        <v>216</v>
      </c>
      <c r="D188" t="s">
        <v>1537</v>
      </c>
      <c r="E188" t="s">
        <v>1538</v>
      </c>
      <c r="F188" t="s">
        <v>219</v>
      </c>
      <c r="G188" t="s">
        <v>116</v>
      </c>
      <c r="H188" t="s">
        <v>38</v>
      </c>
      <c r="I188" t="s">
        <v>99</v>
      </c>
      <c r="J188" t="s">
        <v>724</v>
      </c>
      <c r="K188" t="s">
        <v>29</v>
      </c>
      <c r="L188" t="s">
        <v>724</v>
      </c>
      <c r="M188" t="s">
        <v>40</v>
      </c>
      <c r="N188" t="s">
        <v>41</v>
      </c>
    </row>
    <row r="189" spans="1:14">
      <c r="A189" t="s">
        <v>1539</v>
      </c>
      <c r="B189" t="s">
        <v>215</v>
      </c>
      <c r="C189" t="s">
        <v>216</v>
      </c>
      <c r="D189" t="s">
        <v>1540</v>
      </c>
      <c r="E189" t="s">
        <v>1538</v>
      </c>
      <c r="F189" t="s">
        <v>219</v>
      </c>
      <c r="G189" t="s">
        <v>116</v>
      </c>
      <c r="H189" t="s">
        <v>38</v>
      </c>
      <c r="I189" t="s">
        <v>99</v>
      </c>
      <c r="J189" t="s">
        <v>724</v>
      </c>
      <c r="K189" t="s">
        <v>29</v>
      </c>
      <c r="L189" t="s">
        <v>724</v>
      </c>
      <c r="M189" t="s">
        <v>122</v>
      </c>
      <c r="N189" t="s">
        <v>39</v>
      </c>
    </row>
    <row r="190" spans="1:14">
      <c r="A190" t="s">
        <v>1541</v>
      </c>
      <c r="B190" t="s">
        <v>215</v>
      </c>
      <c r="C190" t="s">
        <v>216</v>
      </c>
      <c r="D190" t="s">
        <v>1542</v>
      </c>
      <c r="E190" t="s">
        <v>1543</v>
      </c>
      <c r="F190" t="s">
        <v>219</v>
      </c>
      <c r="G190" t="s">
        <v>116</v>
      </c>
      <c r="H190" t="s">
        <v>38</v>
      </c>
      <c r="I190" t="s">
        <v>99</v>
      </c>
      <c r="J190" t="s">
        <v>724</v>
      </c>
      <c r="K190" t="s">
        <v>29</v>
      </c>
      <c r="L190" t="s">
        <v>724</v>
      </c>
      <c r="M190" t="s">
        <v>40</v>
      </c>
      <c r="N190" t="s">
        <v>41</v>
      </c>
    </row>
    <row r="191" spans="1:14">
      <c r="A191" t="s">
        <v>1544</v>
      </c>
      <c r="B191" t="s">
        <v>215</v>
      </c>
      <c r="C191" t="s">
        <v>216</v>
      </c>
      <c r="D191" t="s">
        <v>1545</v>
      </c>
      <c r="E191" t="s">
        <v>1546</v>
      </c>
      <c r="F191" t="s">
        <v>219</v>
      </c>
      <c r="G191" t="s">
        <v>116</v>
      </c>
      <c r="H191" t="s">
        <v>38</v>
      </c>
      <c r="I191" t="s">
        <v>99</v>
      </c>
      <c r="J191" t="s">
        <v>724</v>
      </c>
      <c r="K191" t="s">
        <v>29</v>
      </c>
      <c r="L191" t="s">
        <v>724</v>
      </c>
      <c r="M191" t="s">
        <v>95</v>
      </c>
      <c r="N191" t="s">
        <v>56</v>
      </c>
    </row>
    <row r="192" spans="1:14">
      <c r="A192" t="s">
        <v>1547</v>
      </c>
      <c r="B192" t="s">
        <v>215</v>
      </c>
      <c r="C192" t="s">
        <v>216</v>
      </c>
      <c r="D192" t="s">
        <v>1548</v>
      </c>
      <c r="E192" t="s">
        <v>1549</v>
      </c>
      <c r="F192" t="s">
        <v>219</v>
      </c>
      <c r="G192" t="s">
        <v>116</v>
      </c>
      <c r="H192" t="s">
        <v>26</v>
      </c>
      <c r="I192" t="s">
        <v>99</v>
      </c>
      <c r="J192" t="s">
        <v>724</v>
      </c>
      <c r="K192" t="s">
        <v>67</v>
      </c>
      <c r="L192" t="s">
        <v>724</v>
      </c>
      <c r="M192" t="s">
        <v>95</v>
      </c>
      <c r="N192" t="s">
        <v>56</v>
      </c>
    </row>
    <row r="193" spans="1:14">
      <c r="A193" t="s">
        <v>1550</v>
      </c>
      <c r="B193" t="s">
        <v>215</v>
      </c>
      <c r="C193" t="s">
        <v>46</v>
      </c>
      <c r="D193" t="s">
        <v>1551</v>
      </c>
      <c r="E193" t="s">
        <v>1552</v>
      </c>
      <c r="F193" t="s">
        <v>49</v>
      </c>
      <c r="G193" t="s">
        <v>25</v>
      </c>
      <c r="H193" t="s">
        <v>38</v>
      </c>
      <c r="I193" t="s">
        <v>66</v>
      </c>
      <c r="J193" t="s">
        <v>724</v>
      </c>
      <c r="K193" t="s">
        <v>29</v>
      </c>
      <c r="L193" t="s">
        <v>724</v>
      </c>
      <c r="M193" t="s">
        <v>40</v>
      </c>
      <c r="N193" t="s">
        <v>41</v>
      </c>
    </row>
    <row r="194" spans="1:14">
      <c r="A194" t="s">
        <v>1553</v>
      </c>
      <c r="B194" t="s">
        <v>215</v>
      </c>
      <c r="C194" t="s">
        <v>216</v>
      </c>
      <c r="D194" t="s">
        <v>1554</v>
      </c>
      <c r="E194" t="s">
        <v>1555</v>
      </c>
      <c r="F194" t="s">
        <v>219</v>
      </c>
      <c r="G194" t="s">
        <v>116</v>
      </c>
      <c r="H194" t="s">
        <v>38</v>
      </c>
      <c r="I194" t="s">
        <v>99</v>
      </c>
      <c r="J194" t="s">
        <v>724</v>
      </c>
      <c r="K194" t="s">
        <v>29</v>
      </c>
      <c r="L194" t="s">
        <v>724</v>
      </c>
      <c r="M194" t="s">
        <v>40</v>
      </c>
      <c r="N194" t="s">
        <v>41</v>
      </c>
    </row>
    <row r="195" spans="1:14">
      <c r="A195" t="s">
        <v>1556</v>
      </c>
      <c r="B195" t="s">
        <v>215</v>
      </c>
      <c r="C195" t="s">
        <v>216</v>
      </c>
      <c r="D195" t="s">
        <v>1557</v>
      </c>
      <c r="E195" t="s">
        <v>1558</v>
      </c>
      <c r="F195" t="s">
        <v>219</v>
      </c>
      <c r="G195" t="s">
        <v>116</v>
      </c>
      <c r="H195" t="s">
        <v>38</v>
      </c>
      <c r="I195" t="s">
        <v>99</v>
      </c>
      <c r="J195" t="s">
        <v>724</v>
      </c>
      <c r="K195" t="s">
        <v>29</v>
      </c>
      <c r="L195" t="s">
        <v>724</v>
      </c>
      <c r="M195" t="s">
        <v>95</v>
      </c>
      <c r="N195" t="s">
        <v>56</v>
      </c>
    </row>
    <row r="196" spans="1:14">
      <c r="A196" t="s">
        <v>1559</v>
      </c>
      <c r="B196" t="s">
        <v>215</v>
      </c>
      <c r="C196" t="s">
        <v>216</v>
      </c>
      <c r="D196" t="s">
        <v>1560</v>
      </c>
      <c r="E196" t="s">
        <v>1561</v>
      </c>
      <c r="F196" t="s">
        <v>219</v>
      </c>
      <c r="G196" t="s">
        <v>116</v>
      </c>
      <c r="H196" t="s">
        <v>38</v>
      </c>
      <c r="I196" t="s">
        <v>99</v>
      </c>
      <c r="J196" t="s">
        <v>724</v>
      </c>
      <c r="K196" t="s">
        <v>29</v>
      </c>
      <c r="L196" t="s">
        <v>724</v>
      </c>
      <c r="M196" t="s">
        <v>40</v>
      </c>
      <c r="N196" t="s">
        <v>41</v>
      </c>
    </row>
    <row r="197" spans="1:14">
      <c r="A197" t="s">
        <v>1562</v>
      </c>
      <c r="B197" t="s">
        <v>215</v>
      </c>
      <c r="C197" t="s">
        <v>216</v>
      </c>
      <c r="D197" t="s">
        <v>1563</v>
      </c>
      <c r="E197" t="s">
        <v>1564</v>
      </c>
      <c r="F197" t="s">
        <v>219</v>
      </c>
      <c r="G197" t="s">
        <v>116</v>
      </c>
      <c r="H197" t="s">
        <v>38</v>
      </c>
      <c r="I197" t="s">
        <v>99</v>
      </c>
      <c r="J197" t="s">
        <v>724</v>
      </c>
      <c r="K197" t="s">
        <v>29</v>
      </c>
      <c r="L197" t="s">
        <v>724</v>
      </c>
      <c r="M197" t="s">
        <v>95</v>
      </c>
      <c r="N197" t="s">
        <v>56</v>
      </c>
    </row>
    <row r="198" spans="1:14">
      <c r="A198" t="s">
        <v>1565</v>
      </c>
      <c r="B198" t="s">
        <v>215</v>
      </c>
      <c r="C198" t="s">
        <v>216</v>
      </c>
      <c r="D198" t="s">
        <v>1566</v>
      </c>
      <c r="E198" t="s">
        <v>1567</v>
      </c>
      <c r="F198" t="s">
        <v>219</v>
      </c>
      <c r="G198" t="s">
        <v>116</v>
      </c>
      <c r="H198" t="s">
        <v>38</v>
      </c>
      <c r="I198" t="s">
        <v>99</v>
      </c>
      <c r="J198" t="s">
        <v>724</v>
      </c>
      <c r="K198" t="s">
        <v>29</v>
      </c>
      <c r="L198" t="s">
        <v>724</v>
      </c>
      <c r="M198" t="s">
        <v>40</v>
      </c>
      <c r="N198" t="s">
        <v>41</v>
      </c>
    </row>
    <row r="199" spans="1:14">
      <c r="A199" t="s">
        <v>1568</v>
      </c>
      <c r="B199" t="s">
        <v>215</v>
      </c>
      <c r="C199" t="s">
        <v>216</v>
      </c>
      <c r="D199" t="s">
        <v>1569</v>
      </c>
      <c r="E199" t="s">
        <v>1570</v>
      </c>
      <c r="F199" t="s">
        <v>219</v>
      </c>
      <c r="G199" t="s">
        <v>116</v>
      </c>
      <c r="H199" t="s">
        <v>38</v>
      </c>
      <c r="I199" t="s">
        <v>99</v>
      </c>
      <c r="J199" t="s">
        <v>724</v>
      </c>
      <c r="K199" t="s">
        <v>29</v>
      </c>
      <c r="L199" t="s">
        <v>724</v>
      </c>
      <c r="M199" t="s">
        <v>40</v>
      </c>
      <c r="N199" t="s">
        <v>41</v>
      </c>
    </row>
    <row r="200" spans="1:14">
      <c r="A200" t="s">
        <v>1571</v>
      </c>
      <c r="B200" t="s">
        <v>215</v>
      </c>
      <c r="C200" t="s">
        <v>216</v>
      </c>
      <c r="D200" t="s">
        <v>1572</v>
      </c>
      <c r="E200" t="s">
        <v>1573</v>
      </c>
      <c r="F200" t="s">
        <v>219</v>
      </c>
      <c r="G200" t="s">
        <v>116</v>
      </c>
      <c r="H200" t="s">
        <v>38</v>
      </c>
      <c r="I200" t="s">
        <v>99</v>
      </c>
      <c r="J200" t="s">
        <v>724</v>
      </c>
      <c r="K200" t="s">
        <v>29</v>
      </c>
      <c r="L200" t="s">
        <v>724</v>
      </c>
      <c r="M200" t="s">
        <v>76</v>
      </c>
      <c r="N200" t="s">
        <v>77</v>
      </c>
    </row>
    <row r="201" spans="1:14">
      <c r="A201" t="s">
        <v>1574</v>
      </c>
      <c r="B201" t="s">
        <v>215</v>
      </c>
      <c r="C201" t="s">
        <v>216</v>
      </c>
      <c r="D201" t="s">
        <v>1575</v>
      </c>
      <c r="E201" t="s">
        <v>1576</v>
      </c>
      <c r="F201" t="s">
        <v>219</v>
      </c>
      <c r="G201" t="s">
        <v>116</v>
      </c>
      <c r="H201" t="s">
        <v>38</v>
      </c>
      <c r="I201" t="s">
        <v>99</v>
      </c>
      <c r="J201" t="s">
        <v>724</v>
      </c>
      <c r="K201" t="s">
        <v>29</v>
      </c>
      <c r="L201" t="s">
        <v>724</v>
      </c>
      <c r="M201" t="s">
        <v>76</v>
      </c>
      <c r="N201" t="s">
        <v>77</v>
      </c>
    </row>
    <row r="202" spans="1:14">
      <c r="A202" t="s">
        <v>1577</v>
      </c>
      <c r="B202" t="s">
        <v>215</v>
      </c>
      <c r="C202" t="s">
        <v>216</v>
      </c>
      <c r="D202" t="s">
        <v>1578</v>
      </c>
      <c r="E202" t="s">
        <v>1579</v>
      </c>
      <c r="F202" t="s">
        <v>219</v>
      </c>
      <c r="G202" t="s">
        <v>116</v>
      </c>
      <c r="H202" t="s">
        <v>38</v>
      </c>
      <c r="I202" t="s">
        <v>99</v>
      </c>
      <c r="J202" t="s">
        <v>724</v>
      </c>
      <c r="K202" t="s">
        <v>29</v>
      </c>
      <c r="L202" t="s">
        <v>724</v>
      </c>
      <c r="M202" t="s">
        <v>419</v>
      </c>
      <c r="N202" t="s">
        <v>66</v>
      </c>
    </row>
    <row r="203" spans="1:14">
      <c r="A203" t="s">
        <v>1580</v>
      </c>
      <c r="B203" t="s">
        <v>215</v>
      </c>
      <c r="C203" t="s">
        <v>216</v>
      </c>
      <c r="D203" t="s">
        <v>1581</v>
      </c>
      <c r="E203" t="s">
        <v>1582</v>
      </c>
      <c r="F203" t="s">
        <v>219</v>
      </c>
      <c r="G203" t="s">
        <v>116</v>
      </c>
      <c r="H203" t="s">
        <v>38</v>
      </c>
      <c r="I203" t="s">
        <v>99</v>
      </c>
      <c r="J203" t="s">
        <v>724</v>
      </c>
      <c r="K203" t="s">
        <v>29</v>
      </c>
      <c r="L203" t="s">
        <v>724</v>
      </c>
      <c r="M203" t="s">
        <v>40</v>
      </c>
      <c r="N203" t="s">
        <v>41</v>
      </c>
    </row>
    <row r="204" spans="1:14">
      <c r="A204" t="s">
        <v>1583</v>
      </c>
      <c r="B204" t="s">
        <v>215</v>
      </c>
      <c r="C204" t="s">
        <v>216</v>
      </c>
      <c r="D204" t="s">
        <v>1584</v>
      </c>
      <c r="E204" t="s">
        <v>1585</v>
      </c>
      <c r="F204" t="s">
        <v>219</v>
      </c>
      <c r="G204" t="s">
        <v>116</v>
      </c>
      <c r="H204" t="s">
        <v>38</v>
      </c>
      <c r="I204" t="s">
        <v>99</v>
      </c>
      <c r="J204" t="s">
        <v>724</v>
      </c>
      <c r="K204" t="s">
        <v>29</v>
      </c>
      <c r="L204" t="s">
        <v>724</v>
      </c>
      <c r="M204" t="s">
        <v>57</v>
      </c>
      <c r="N204" t="s">
        <v>58</v>
      </c>
    </row>
    <row r="205" spans="1:14">
      <c r="A205" t="s">
        <v>1586</v>
      </c>
      <c r="B205" t="s">
        <v>215</v>
      </c>
      <c r="C205" t="s">
        <v>216</v>
      </c>
      <c r="D205" t="s">
        <v>1587</v>
      </c>
      <c r="E205" t="s">
        <v>1582</v>
      </c>
      <c r="F205" t="s">
        <v>219</v>
      </c>
      <c r="G205" t="s">
        <v>116</v>
      </c>
      <c r="H205" t="s">
        <v>38</v>
      </c>
      <c r="I205" t="s">
        <v>99</v>
      </c>
      <c r="J205" t="s">
        <v>724</v>
      </c>
      <c r="K205" t="s">
        <v>29</v>
      </c>
      <c r="L205" t="s">
        <v>724</v>
      </c>
      <c r="M205" t="s">
        <v>57</v>
      </c>
      <c r="N205" t="s">
        <v>58</v>
      </c>
    </row>
    <row r="206" spans="1:14">
      <c r="A206" t="s">
        <v>1588</v>
      </c>
      <c r="B206" t="s">
        <v>215</v>
      </c>
      <c r="C206" t="s">
        <v>216</v>
      </c>
      <c r="D206" t="s">
        <v>1589</v>
      </c>
      <c r="E206" t="s">
        <v>1590</v>
      </c>
      <c r="F206" t="s">
        <v>219</v>
      </c>
      <c r="G206" t="s">
        <v>116</v>
      </c>
      <c r="H206" t="s">
        <v>38</v>
      </c>
      <c r="I206" t="s">
        <v>99</v>
      </c>
      <c r="J206" t="s">
        <v>724</v>
      </c>
      <c r="K206" t="s">
        <v>29</v>
      </c>
      <c r="L206" t="s">
        <v>724</v>
      </c>
      <c r="M206" t="s">
        <v>68</v>
      </c>
      <c r="N206" t="s">
        <v>69</v>
      </c>
    </row>
    <row r="207" spans="1:14">
      <c r="A207" t="s">
        <v>1591</v>
      </c>
      <c r="B207" t="s">
        <v>215</v>
      </c>
      <c r="C207" t="s">
        <v>216</v>
      </c>
      <c r="D207" t="s">
        <v>1592</v>
      </c>
      <c r="E207" t="s">
        <v>1582</v>
      </c>
      <c r="F207" t="s">
        <v>219</v>
      </c>
      <c r="G207" t="s">
        <v>116</v>
      </c>
      <c r="H207" t="s">
        <v>38</v>
      </c>
      <c r="I207" t="s">
        <v>99</v>
      </c>
      <c r="J207" t="s">
        <v>724</v>
      </c>
      <c r="K207" t="s">
        <v>29</v>
      </c>
      <c r="L207" t="s">
        <v>724</v>
      </c>
      <c r="M207" t="s">
        <v>72</v>
      </c>
      <c r="N207" t="s">
        <v>73</v>
      </c>
    </row>
    <row r="208" spans="1:14">
      <c r="A208" t="s">
        <v>1593</v>
      </c>
      <c r="B208" t="s">
        <v>215</v>
      </c>
      <c r="C208" t="s">
        <v>216</v>
      </c>
      <c r="D208" t="s">
        <v>1594</v>
      </c>
      <c r="E208" t="s">
        <v>1595</v>
      </c>
      <c r="F208" t="s">
        <v>219</v>
      </c>
      <c r="G208" t="s">
        <v>116</v>
      </c>
      <c r="H208" t="s">
        <v>26</v>
      </c>
      <c r="I208" t="s">
        <v>82</v>
      </c>
      <c r="J208" t="s">
        <v>724</v>
      </c>
      <c r="K208" t="s">
        <v>67</v>
      </c>
      <c r="L208" t="s">
        <v>724</v>
      </c>
      <c r="M208" t="s">
        <v>95</v>
      </c>
      <c r="N208" t="s">
        <v>56</v>
      </c>
    </row>
    <row r="209" spans="1:14">
      <c r="A209" t="s">
        <v>1596</v>
      </c>
      <c r="B209" t="s">
        <v>215</v>
      </c>
      <c r="C209" t="s">
        <v>216</v>
      </c>
      <c r="D209" t="s">
        <v>1597</v>
      </c>
      <c r="E209" t="s">
        <v>1598</v>
      </c>
      <c r="F209" t="s">
        <v>219</v>
      </c>
      <c r="G209" t="s">
        <v>116</v>
      </c>
      <c r="H209" t="s">
        <v>26</v>
      </c>
      <c r="I209" t="s">
        <v>82</v>
      </c>
      <c r="J209" t="s">
        <v>724</v>
      </c>
      <c r="K209" t="s">
        <v>67</v>
      </c>
      <c r="L209" t="s">
        <v>724</v>
      </c>
      <c r="M209" t="s">
        <v>122</v>
      </c>
      <c r="N209" t="s">
        <v>39</v>
      </c>
    </row>
    <row r="210" spans="1:14">
      <c r="A210" t="s">
        <v>1599</v>
      </c>
      <c r="B210" t="s">
        <v>215</v>
      </c>
      <c r="C210" t="s">
        <v>216</v>
      </c>
      <c r="D210" t="s">
        <v>1600</v>
      </c>
      <c r="E210" t="s">
        <v>1601</v>
      </c>
      <c r="F210" t="s">
        <v>219</v>
      </c>
      <c r="G210" t="s">
        <v>116</v>
      </c>
      <c r="H210" t="s">
        <v>26</v>
      </c>
      <c r="I210" t="s">
        <v>82</v>
      </c>
      <c r="J210" t="s">
        <v>724</v>
      </c>
      <c r="K210" t="s">
        <v>67</v>
      </c>
      <c r="L210" t="s">
        <v>724</v>
      </c>
      <c r="M210" t="s">
        <v>72</v>
      </c>
      <c r="N210" t="s">
        <v>73</v>
      </c>
    </row>
    <row r="211" spans="1:14">
      <c r="A211" t="s">
        <v>1602</v>
      </c>
      <c r="B211" t="s">
        <v>215</v>
      </c>
      <c r="C211" t="s">
        <v>216</v>
      </c>
      <c r="D211" t="s">
        <v>1603</v>
      </c>
      <c r="E211" t="s">
        <v>1604</v>
      </c>
      <c r="F211" t="s">
        <v>219</v>
      </c>
      <c r="G211" t="s">
        <v>116</v>
      </c>
      <c r="H211" t="s">
        <v>26</v>
      </c>
      <c r="I211" t="s">
        <v>82</v>
      </c>
      <c r="J211" t="s">
        <v>724</v>
      </c>
      <c r="K211" t="s">
        <v>67</v>
      </c>
      <c r="L211" t="s">
        <v>724</v>
      </c>
      <c r="M211" t="s">
        <v>57</v>
      </c>
      <c r="N211" t="s">
        <v>58</v>
      </c>
    </row>
    <row r="212" spans="1:14">
      <c r="A212" t="s">
        <v>1605</v>
      </c>
      <c r="B212" t="s">
        <v>215</v>
      </c>
      <c r="C212" t="s">
        <v>216</v>
      </c>
      <c r="D212" t="s">
        <v>1606</v>
      </c>
      <c r="E212" t="s">
        <v>1607</v>
      </c>
      <c r="F212" t="s">
        <v>219</v>
      </c>
      <c r="G212" t="s">
        <v>116</v>
      </c>
      <c r="H212" t="s">
        <v>26</v>
      </c>
      <c r="I212" t="s">
        <v>82</v>
      </c>
      <c r="J212" t="s">
        <v>724</v>
      </c>
      <c r="K212" t="s">
        <v>67</v>
      </c>
      <c r="L212" t="s">
        <v>724</v>
      </c>
      <c r="M212" t="s">
        <v>122</v>
      </c>
      <c r="N212" t="s">
        <v>39</v>
      </c>
    </row>
    <row r="213" spans="1:14">
      <c r="A213" t="s">
        <v>1608</v>
      </c>
      <c r="B213" t="s">
        <v>215</v>
      </c>
      <c r="C213" t="s">
        <v>216</v>
      </c>
      <c r="D213" t="s">
        <v>1609</v>
      </c>
      <c r="E213" t="s">
        <v>1610</v>
      </c>
      <c r="F213" t="s">
        <v>219</v>
      </c>
      <c r="G213" t="s">
        <v>116</v>
      </c>
      <c r="H213" t="s">
        <v>26</v>
      </c>
      <c r="I213" t="s">
        <v>99</v>
      </c>
      <c r="J213" t="s">
        <v>724</v>
      </c>
      <c r="K213" t="s">
        <v>67</v>
      </c>
      <c r="L213" t="s">
        <v>724</v>
      </c>
      <c r="M213" t="s">
        <v>95</v>
      </c>
      <c r="N213" t="s">
        <v>56</v>
      </c>
    </row>
    <row r="214" spans="1:14">
      <c r="A214" t="s">
        <v>1611</v>
      </c>
      <c r="B214" t="s">
        <v>215</v>
      </c>
      <c r="C214" t="s">
        <v>216</v>
      </c>
      <c r="D214" t="s">
        <v>1612</v>
      </c>
      <c r="E214" t="s">
        <v>1613</v>
      </c>
      <c r="F214" t="s">
        <v>219</v>
      </c>
      <c r="G214" t="s">
        <v>116</v>
      </c>
      <c r="H214" t="s">
        <v>26</v>
      </c>
      <c r="I214" t="s">
        <v>82</v>
      </c>
      <c r="J214" t="s">
        <v>724</v>
      </c>
      <c r="K214" t="s">
        <v>67</v>
      </c>
      <c r="L214" t="s">
        <v>724</v>
      </c>
      <c r="M214" t="s">
        <v>40</v>
      </c>
      <c r="N214" t="s">
        <v>41</v>
      </c>
    </row>
    <row r="215" spans="1:14">
      <c r="A215" t="s">
        <v>1614</v>
      </c>
      <c r="B215" t="s">
        <v>215</v>
      </c>
      <c r="C215" t="s">
        <v>216</v>
      </c>
      <c r="D215" t="s">
        <v>1615</v>
      </c>
      <c r="E215" t="s">
        <v>1616</v>
      </c>
      <c r="F215" t="s">
        <v>219</v>
      </c>
      <c r="G215" t="s">
        <v>116</v>
      </c>
      <c r="H215" t="s">
        <v>26</v>
      </c>
      <c r="I215" t="s">
        <v>82</v>
      </c>
      <c r="J215" t="s">
        <v>724</v>
      </c>
      <c r="K215" t="s">
        <v>67</v>
      </c>
      <c r="L215" t="s">
        <v>724</v>
      </c>
      <c r="M215" t="s">
        <v>95</v>
      </c>
      <c r="N215" t="s">
        <v>56</v>
      </c>
    </row>
    <row r="216" spans="1:14">
      <c r="A216" t="s">
        <v>1617</v>
      </c>
      <c r="B216" t="s">
        <v>215</v>
      </c>
      <c r="C216" t="s">
        <v>216</v>
      </c>
      <c r="D216" t="s">
        <v>1618</v>
      </c>
      <c r="E216" t="s">
        <v>1619</v>
      </c>
      <c r="F216" t="s">
        <v>219</v>
      </c>
      <c r="G216" t="s">
        <v>116</v>
      </c>
      <c r="H216" t="s">
        <v>26</v>
      </c>
      <c r="I216" t="s">
        <v>99</v>
      </c>
      <c r="J216" t="s">
        <v>724</v>
      </c>
      <c r="K216" t="s">
        <v>67</v>
      </c>
      <c r="L216" t="s">
        <v>724</v>
      </c>
      <c r="M216" t="s">
        <v>40</v>
      </c>
      <c r="N216" t="s">
        <v>41</v>
      </c>
    </row>
    <row r="217" spans="1:14">
      <c r="A217" t="s">
        <v>1620</v>
      </c>
      <c r="B217" t="s">
        <v>215</v>
      </c>
      <c r="C217" t="s">
        <v>216</v>
      </c>
      <c r="D217" t="s">
        <v>1621</v>
      </c>
      <c r="E217" t="s">
        <v>1622</v>
      </c>
      <c r="F217" t="s">
        <v>219</v>
      </c>
      <c r="G217" t="s">
        <v>116</v>
      </c>
      <c r="H217" t="s">
        <v>26</v>
      </c>
      <c r="I217" t="s">
        <v>82</v>
      </c>
      <c r="J217" t="s">
        <v>724</v>
      </c>
      <c r="K217" t="s">
        <v>67</v>
      </c>
      <c r="L217" t="s">
        <v>724</v>
      </c>
      <c r="M217" t="s">
        <v>122</v>
      </c>
      <c r="N217" t="s">
        <v>39</v>
      </c>
    </row>
    <row r="218" spans="1:14">
      <c r="A218" t="s">
        <v>1623</v>
      </c>
      <c r="B218" t="s">
        <v>215</v>
      </c>
      <c r="C218" t="s">
        <v>216</v>
      </c>
      <c r="D218" t="s">
        <v>1624</v>
      </c>
      <c r="E218" t="s">
        <v>1625</v>
      </c>
      <c r="F218" t="s">
        <v>219</v>
      </c>
      <c r="G218" t="s">
        <v>116</v>
      </c>
      <c r="H218" t="s">
        <v>26</v>
      </c>
      <c r="I218" t="s">
        <v>82</v>
      </c>
      <c r="J218" t="s">
        <v>724</v>
      </c>
      <c r="K218" t="s">
        <v>67</v>
      </c>
      <c r="L218" t="s">
        <v>724</v>
      </c>
      <c r="M218" t="s">
        <v>122</v>
      </c>
      <c r="N218" t="s">
        <v>39</v>
      </c>
    </row>
    <row r="219" spans="1:14">
      <c r="A219" t="s">
        <v>1626</v>
      </c>
      <c r="B219" t="s">
        <v>215</v>
      </c>
      <c r="C219" t="s">
        <v>216</v>
      </c>
      <c r="D219" t="s">
        <v>1627</v>
      </c>
      <c r="E219" t="s">
        <v>1491</v>
      </c>
      <c r="F219" t="s">
        <v>219</v>
      </c>
      <c r="G219" t="s">
        <v>116</v>
      </c>
      <c r="H219" t="s">
        <v>26</v>
      </c>
      <c r="I219" t="s">
        <v>99</v>
      </c>
      <c r="J219" t="s">
        <v>724</v>
      </c>
      <c r="K219" t="s">
        <v>67</v>
      </c>
      <c r="L219" t="s">
        <v>724</v>
      </c>
      <c r="M219" t="s">
        <v>122</v>
      </c>
      <c r="N219" t="s">
        <v>39</v>
      </c>
    </row>
    <row r="220" spans="1:14">
      <c r="A220" t="s">
        <v>1628</v>
      </c>
      <c r="B220" t="s">
        <v>215</v>
      </c>
      <c r="C220" t="s">
        <v>216</v>
      </c>
      <c r="D220" t="s">
        <v>1629</v>
      </c>
      <c r="E220" t="s">
        <v>1630</v>
      </c>
      <c r="F220" t="s">
        <v>219</v>
      </c>
      <c r="G220" t="s">
        <v>116</v>
      </c>
      <c r="H220" t="s">
        <v>38</v>
      </c>
      <c r="I220" t="s">
        <v>99</v>
      </c>
      <c r="J220" t="s">
        <v>724</v>
      </c>
      <c r="K220" t="s">
        <v>67</v>
      </c>
      <c r="L220" t="s">
        <v>724</v>
      </c>
      <c r="M220" t="s">
        <v>40</v>
      </c>
      <c r="N220" t="s">
        <v>41</v>
      </c>
    </row>
    <row r="221" spans="1:14">
      <c r="A221" t="s">
        <v>1631</v>
      </c>
      <c r="B221" t="s">
        <v>215</v>
      </c>
      <c r="C221" t="s">
        <v>216</v>
      </c>
      <c r="D221" t="s">
        <v>1632</v>
      </c>
      <c r="E221" t="s">
        <v>1633</v>
      </c>
      <c r="F221" t="s">
        <v>219</v>
      </c>
      <c r="G221" t="s">
        <v>116</v>
      </c>
      <c r="H221" t="s">
        <v>26</v>
      </c>
      <c r="I221" t="s">
        <v>99</v>
      </c>
      <c r="J221" t="s">
        <v>724</v>
      </c>
      <c r="K221" t="s">
        <v>67</v>
      </c>
      <c r="L221" t="s">
        <v>724</v>
      </c>
      <c r="M221" t="s">
        <v>40</v>
      </c>
      <c r="N221" t="s">
        <v>41</v>
      </c>
    </row>
    <row r="222" spans="1:14">
      <c r="A222" t="s">
        <v>1634</v>
      </c>
      <c r="B222" t="s">
        <v>215</v>
      </c>
      <c r="C222" t="s">
        <v>216</v>
      </c>
      <c r="D222" t="s">
        <v>1635</v>
      </c>
      <c r="E222" t="s">
        <v>1633</v>
      </c>
      <c r="F222" t="s">
        <v>219</v>
      </c>
      <c r="G222" t="s">
        <v>116</v>
      </c>
      <c r="H222" t="s">
        <v>26</v>
      </c>
      <c r="I222" t="s">
        <v>99</v>
      </c>
      <c r="J222" t="s">
        <v>724</v>
      </c>
      <c r="K222" t="s">
        <v>67</v>
      </c>
      <c r="L222" t="s">
        <v>724</v>
      </c>
      <c r="M222" t="s">
        <v>122</v>
      </c>
      <c r="N222" t="s">
        <v>39</v>
      </c>
    </row>
    <row r="223" spans="1:14">
      <c r="A223" t="s">
        <v>1636</v>
      </c>
      <c r="B223" t="s">
        <v>215</v>
      </c>
      <c r="C223" t="s">
        <v>216</v>
      </c>
      <c r="D223" t="s">
        <v>1637</v>
      </c>
      <c r="E223" t="s">
        <v>1638</v>
      </c>
      <c r="F223" t="s">
        <v>219</v>
      </c>
      <c r="G223" t="s">
        <v>116</v>
      </c>
      <c r="H223" t="s">
        <v>26</v>
      </c>
      <c r="I223" t="s">
        <v>82</v>
      </c>
      <c r="J223" t="s">
        <v>724</v>
      </c>
      <c r="K223" t="s">
        <v>67</v>
      </c>
      <c r="L223" t="s">
        <v>724</v>
      </c>
      <c r="M223" t="s">
        <v>40</v>
      </c>
      <c r="N223" t="s">
        <v>41</v>
      </c>
    </row>
    <row r="224" spans="1:14">
      <c r="A224" t="s">
        <v>1639</v>
      </c>
      <c r="B224" t="s">
        <v>215</v>
      </c>
      <c r="C224" t="s">
        <v>216</v>
      </c>
      <c r="D224" t="s">
        <v>1640</v>
      </c>
      <c r="E224" t="s">
        <v>1641</v>
      </c>
      <c r="F224" t="s">
        <v>219</v>
      </c>
      <c r="G224" t="s">
        <v>116</v>
      </c>
      <c r="H224" t="s">
        <v>26</v>
      </c>
      <c r="I224" t="s">
        <v>82</v>
      </c>
      <c r="J224" t="s">
        <v>724</v>
      </c>
      <c r="K224" t="s">
        <v>67</v>
      </c>
      <c r="L224" t="s">
        <v>724</v>
      </c>
      <c r="M224" t="s">
        <v>40</v>
      </c>
      <c r="N224" t="s">
        <v>41</v>
      </c>
    </row>
    <row r="225" spans="1:14">
      <c r="A225" t="s">
        <v>214</v>
      </c>
      <c r="B225" t="s">
        <v>215</v>
      </c>
      <c r="C225" t="s">
        <v>216</v>
      </c>
      <c r="D225" t="s">
        <v>1642</v>
      </c>
      <c r="E225" t="s">
        <v>1643</v>
      </c>
      <c r="F225" t="s">
        <v>219</v>
      </c>
      <c r="G225" t="s">
        <v>116</v>
      </c>
      <c r="H225" t="s">
        <v>38</v>
      </c>
      <c r="I225" t="s">
        <v>99</v>
      </c>
      <c r="J225" t="s">
        <v>724</v>
      </c>
      <c r="K225" t="s">
        <v>67</v>
      </c>
      <c r="L225" t="s">
        <v>724</v>
      </c>
      <c r="M225" t="s">
        <v>122</v>
      </c>
      <c r="N225" t="s">
        <v>39</v>
      </c>
    </row>
    <row r="226" spans="1:14">
      <c r="A226" t="s">
        <v>1644</v>
      </c>
      <c r="B226" t="s">
        <v>215</v>
      </c>
      <c r="C226" t="s">
        <v>216</v>
      </c>
      <c r="D226" t="s">
        <v>1645</v>
      </c>
      <c r="E226" t="s">
        <v>1643</v>
      </c>
      <c r="F226" t="s">
        <v>219</v>
      </c>
      <c r="G226" t="s">
        <v>116</v>
      </c>
      <c r="H226" t="s">
        <v>26</v>
      </c>
      <c r="I226" t="s">
        <v>99</v>
      </c>
      <c r="J226" t="s">
        <v>724</v>
      </c>
      <c r="K226" t="s">
        <v>67</v>
      </c>
      <c r="L226" t="s">
        <v>724</v>
      </c>
      <c r="M226" t="s">
        <v>40</v>
      </c>
      <c r="N226" t="s">
        <v>41</v>
      </c>
    </row>
    <row r="227" spans="1:14">
      <c r="A227" t="s">
        <v>1646</v>
      </c>
      <c r="B227" t="s">
        <v>215</v>
      </c>
      <c r="C227" t="s">
        <v>216</v>
      </c>
      <c r="D227" t="s">
        <v>1647</v>
      </c>
      <c r="E227" t="s">
        <v>1643</v>
      </c>
      <c r="F227" t="s">
        <v>219</v>
      </c>
      <c r="G227" t="s">
        <v>116</v>
      </c>
      <c r="H227" t="s">
        <v>26</v>
      </c>
      <c r="I227" t="s">
        <v>99</v>
      </c>
      <c r="J227" t="s">
        <v>724</v>
      </c>
      <c r="K227" t="s">
        <v>67</v>
      </c>
      <c r="L227" t="s">
        <v>724</v>
      </c>
      <c r="M227" t="s">
        <v>126</v>
      </c>
      <c r="N227" t="s">
        <v>127</v>
      </c>
    </row>
    <row r="228" spans="1:14">
      <c r="A228" t="s">
        <v>1648</v>
      </c>
      <c r="B228" t="s">
        <v>215</v>
      </c>
      <c r="C228" t="s">
        <v>216</v>
      </c>
      <c r="D228" t="s">
        <v>1649</v>
      </c>
      <c r="E228" t="s">
        <v>1491</v>
      </c>
      <c r="F228" t="s">
        <v>219</v>
      </c>
      <c r="G228" t="s">
        <v>116</v>
      </c>
      <c r="H228" t="s">
        <v>26</v>
      </c>
      <c r="I228" t="s">
        <v>99</v>
      </c>
      <c r="J228" t="s">
        <v>724</v>
      </c>
      <c r="K228" t="s">
        <v>67</v>
      </c>
      <c r="L228" t="s">
        <v>724</v>
      </c>
      <c r="M228" t="s">
        <v>95</v>
      </c>
      <c r="N228" t="s">
        <v>56</v>
      </c>
    </row>
    <row r="229" spans="1:14">
      <c r="A229" t="s">
        <v>1650</v>
      </c>
      <c r="B229" t="s">
        <v>215</v>
      </c>
      <c r="C229" t="s">
        <v>216</v>
      </c>
      <c r="D229" t="s">
        <v>1651</v>
      </c>
      <c r="E229" t="s">
        <v>1652</v>
      </c>
      <c r="F229" t="s">
        <v>219</v>
      </c>
      <c r="G229" t="s">
        <v>116</v>
      </c>
      <c r="H229" t="s">
        <v>26</v>
      </c>
      <c r="I229" t="s">
        <v>82</v>
      </c>
      <c r="J229" t="s">
        <v>724</v>
      </c>
      <c r="K229" t="s">
        <v>67</v>
      </c>
      <c r="L229" t="s">
        <v>724</v>
      </c>
      <c r="M229" t="s">
        <v>122</v>
      </c>
      <c r="N229" t="s">
        <v>39</v>
      </c>
    </row>
    <row r="230" spans="1:14">
      <c r="A230" t="s">
        <v>1653</v>
      </c>
      <c r="B230" t="s">
        <v>215</v>
      </c>
      <c r="C230" t="s">
        <v>216</v>
      </c>
      <c r="D230" t="s">
        <v>1654</v>
      </c>
      <c r="E230" t="s">
        <v>1652</v>
      </c>
      <c r="F230" t="s">
        <v>219</v>
      </c>
      <c r="G230" t="s">
        <v>116</v>
      </c>
      <c r="H230" t="s">
        <v>26</v>
      </c>
      <c r="I230" t="s">
        <v>99</v>
      </c>
      <c r="J230" t="s">
        <v>724</v>
      </c>
      <c r="K230" t="s">
        <v>67</v>
      </c>
      <c r="L230" t="s">
        <v>724</v>
      </c>
      <c r="M230" t="s">
        <v>68</v>
      </c>
      <c r="N230" t="s">
        <v>69</v>
      </c>
    </row>
    <row r="231" spans="1:14">
      <c r="A231" t="s">
        <v>1653</v>
      </c>
      <c r="B231" t="s">
        <v>215</v>
      </c>
      <c r="C231" t="s">
        <v>216</v>
      </c>
      <c r="D231" t="s">
        <v>1655</v>
      </c>
      <c r="E231" t="s">
        <v>1656</v>
      </c>
      <c r="F231" t="s">
        <v>219</v>
      </c>
      <c r="G231" t="s">
        <v>116</v>
      </c>
      <c r="H231" t="s">
        <v>26</v>
      </c>
      <c r="I231" t="s">
        <v>99</v>
      </c>
      <c r="J231" t="s">
        <v>724</v>
      </c>
      <c r="K231" t="s">
        <v>67</v>
      </c>
      <c r="L231" t="s">
        <v>724</v>
      </c>
      <c r="M231" t="s">
        <v>68</v>
      </c>
      <c r="N231" t="s">
        <v>69</v>
      </c>
    </row>
    <row r="232" spans="1:14">
      <c r="A232" t="s">
        <v>1657</v>
      </c>
      <c r="B232" t="s">
        <v>215</v>
      </c>
      <c r="C232" t="s">
        <v>216</v>
      </c>
      <c r="D232" t="s">
        <v>1658</v>
      </c>
      <c r="E232" t="s">
        <v>1659</v>
      </c>
      <c r="F232" t="s">
        <v>219</v>
      </c>
      <c r="G232" t="s">
        <v>116</v>
      </c>
      <c r="H232" t="s">
        <v>38</v>
      </c>
      <c r="I232" t="s">
        <v>99</v>
      </c>
      <c r="J232" t="s">
        <v>724</v>
      </c>
      <c r="K232" t="s">
        <v>67</v>
      </c>
      <c r="L232" t="s">
        <v>724</v>
      </c>
      <c r="M232" t="s">
        <v>126</v>
      </c>
      <c r="N232" t="s">
        <v>127</v>
      </c>
    </row>
    <row r="233" spans="1:14">
      <c r="A233" t="s">
        <v>1660</v>
      </c>
      <c r="B233" t="s">
        <v>215</v>
      </c>
      <c r="C233" t="s">
        <v>216</v>
      </c>
      <c r="D233" t="s">
        <v>1661</v>
      </c>
      <c r="E233" t="s">
        <v>1659</v>
      </c>
      <c r="F233" t="s">
        <v>219</v>
      </c>
      <c r="G233" t="s">
        <v>116</v>
      </c>
      <c r="H233" t="s">
        <v>38</v>
      </c>
      <c r="I233" t="s">
        <v>99</v>
      </c>
      <c r="J233" t="s">
        <v>724</v>
      </c>
      <c r="K233" t="s">
        <v>67</v>
      </c>
      <c r="L233" t="s">
        <v>724</v>
      </c>
      <c r="M233" t="s">
        <v>126</v>
      </c>
      <c r="N233" t="s">
        <v>127</v>
      </c>
    </row>
    <row r="234" spans="1:14">
      <c r="A234" t="s">
        <v>1662</v>
      </c>
      <c r="B234" t="s">
        <v>215</v>
      </c>
      <c r="C234" t="s">
        <v>216</v>
      </c>
      <c r="D234" t="s">
        <v>1663</v>
      </c>
      <c r="E234" t="s">
        <v>1664</v>
      </c>
      <c r="F234" t="s">
        <v>219</v>
      </c>
      <c r="G234" t="s">
        <v>116</v>
      </c>
      <c r="H234" t="s">
        <v>26</v>
      </c>
      <c r="I234" t="s">
        <v>99</v>
      </c>
      <c r="J234" t="s">
        <v>724</v>
      </c>
      <c r="K234" t="s">
        <v>67</v>
      </c>
      <c r="L234" t="s">
        <v>724</v>
      </c>
      <c r="M234" t="s">
        <v>40</v>
      </c>
      <c r="N234" t="s">
        <v>41</v>
      </c>
    </row>
    <row r="235" spans="1:14">
      <c r="A235" t="s">
        <v>1665</v>
      </c>
      <c r="B235" t="s">
        <v>215</v>
      </c>
      <c r="C235" t="s">
        <v>216</v>
      </c>
      <c r="D235" t="s">
        <v>1666</v>
      </c>
      <c r="E235" t="s">
        <v>1664</v>
      </c>
      <c r="F235" t="s">
        <v>219</v>
      </c>
      <c r="G235" t="s">
        <v>116</v>
      </c>
      <c r="H235" t="s">
        <v>26</v>
      </c>
      <c r="I235" t="s">
        <v>99</v>
      </c>
      <c r="J235" t="s">
        <v>724</v>
      </c>
      <c r="K235" t="s">
        <v>67</v>
      </c>
      <c r="L235" t="s">
        <v>724</v>
      </c>
      <c r="M235" t="s">
        <v>40</v>
      </c>
      <c r="N235" t="s">
        <v>41</v>
      </c>
    </row>
    <row r="236" spans="1:14">
      <c r="A236" t="s">
        <v>1667</v>
      </c>
      <c r="B236" t="s">
        <v>215</v>
      </c>
      <c r="C236" t="s">
        <v>216</v>
      </c>
      <c r="D236" t="s">
        <v>1668</v>
      </c>
      <c r="E236" t="s">
        <v>1549</v>
      </c>
      <c r="F236" t="s">
        <v>219</v>
      </c>
      <c r="G236" t="s">
        <v>116</v>
      </c>
      <c r="H236" t="s">
        <v>26</v>
      </c>
      <c r="I236" t="s">
        <v>99</v>
      </c>
      <c r="J236" t="s">
        <v>724</v>
      </c>
      <c r="K236" t="s">
        <v>67</v>
      </c>
      <c r="L236" t="s">
        <v>724</v>
      </c>
      <c r="M236" t="s">
        <v>40</v>
      </c>
      <c r="N236" t="s">
        <v>41</v>
      </c>
    </row>
    <row r="237" spans="1:14">
      <c r="A237" t="s">
        <v>1669</v>
      </c>
      <c r="B237" t="s">
        <v>215</v>
      </c>
      <c r="C237" t="s">
        <v>216</v>
      </c>
      <c r="D237" t="s">
        <v>1670</v>
      </c>
      <c r="E237" t="s">
        <v>1549</v>
      </c>
      <c r="F237" t="s">
        <v>219</v>
      </c>
      <c r="G237" t="s">
        <v>116</v>
      </c>
      <c r="H237" t="s">
        <v>38</v>
      </c>
      <c r="I237" t="s">
        <v>99</v>
      </c>
      <c r="J237" t="s">
        <v>724</v>
      </c>
      <c r="K237" t="s">
        <v>67</v>
      </c>
      <c r="L237" t="s">
        <v>724</v>
      </c>
      <c r="M237" t="s">
        <v>122</v>
      </c>
      <c r="N237" t="s">
        <v>39</v>
      </c>
    </row>
    <row r="238" spans="1:14">
      <c r="A238" t="s">
        <v>1671</v>
      </c>
      <c r="B238" t="s">
        <v>215</v>
      </c>
      <c r="C238" t="s">
        <v>216</v>
      </c>
      <c r="D238" t="s">
        <v>1672</v>
      </c>
      <c r="E238" t="s">
        <v>1673</v>
      </c>
      <c r="F238" t="s">
        <v>219</v>
      </c>
      <c r="G238" t="s">
        <v>116</v>
      </c>
      <c r="H238" t="s">
        <v>26</v>
      </c>
      <c r="I238" t="s">
        <v>99</v>
      </c>
      <c r="J238" t="s">
        <v>724</v>
      </c>
      <c r="K238" t="s">
        <v>67</v>
      </c>
      <c r="L238" t="s">
        <v>724</v>
      </c>
      <c r="M238" t="s">
        <v>76</v>
      </c>
      <c r="N238" t="s">
        <v>77</v>
      </c>
    </row>
    <row r="239" spans="1:14">
      <c r="A239" t="s">
        <v>1674</v>
      </c>
      <c r="B239" t="s">
        <v>215</v>
      </c>
      <c r="C239" t="s">
        <v>216</v>
      </c>
      <c r="D239" t="s">
        <v>1675</v>
      </c>
      <c r="E239" t="s">
        <v>1673</v>
      </c>
      <c r="F239" t="s">
        <v>219</v>
      </c>
      <c r="G239" t="s">
        <v>116</v>
      </c>
      <c r="H239" t="s">
        <v>26</v>
      </c>
      <c r="I239" t="s">
        <v>99</v>
      </c>
      <c r="J239" t="s">
        <v>724</v>
      </c>
      <c r="K239" t="s">
        <v>67</v>
      </c>
      <c r="L239" t="s">
        <v>724</v>
      </c>
      <c r="M239" t="s">
        <v>40</v>
      </c>
      <c r="N239" t="s">
        <v>41</v>
      </c>
    </row>
    <row r="240" spans="1:14">
      <c r="A240" t="s">
        <v>1676</v>
      </c>
      <c r="B240" t="s">
        <v>215</v>
      </c>
      <c r="C240" t="s">
        <v>216</v>
      </c>
      <c r="D240" t="s">
        <v>1677</v>
      </c>
      <c r="E240" t="s">
        <v>1678</v>
      </c>
      <c r="F240" t="s">
        <v>219</v>
      </c>
      <c r="G240" t="s">
        <v>116</v>
      </c>
      <c r="H240" t="s">
        <v>26</v>
      </c>
      <c r="I240" t="s">
        <v>99</v>
      </c>
      <c r="J240" t="s">
        <v>724</v>
      </c>
      <c r="K240" t="s">
        <v>67</v>
      </c>
      <c r="L240" t="s">
        <v>724</v>
      </c>
      <c r="M240" t="s">
        <v>76</v>
      </c>
      <c r="N240" t="s">
        <v>77</v>
      </c>
    </row>
    <row r="241" spans="1:14">
      <c r="A241" t="s">
        <v>1679</v>
      </c>
      <c r="B241" t="s">
        <v>215</v>
      </c>
      <c r="C241" t="s">
        <v>216</v>
      </c>
      <c r="D241" t="s">
        <v>1680</v>
      </c>
      <c r="E241" t="s">
        <v>1678</v>
      </c>
      <c r="F241" t="s">
        <v>219</v>
      </c>
      <c r="G241" t="s">
        <v>116</v>
      </c>
      <c r="H241" t="s">
        <v>26</v>
      </c>
      <c r="I241" t="s">
        <v>99</v>
      </c>
      <c r="J241" t="s">
        <v>724</v>
      </c>
      <c r="K241" t="s">
        <v>67</v>
      </c>
      <c r="L241" t="s">
        <v>724</v>
      </c>
      <c r="M241" t="s">
        <v>40</v>
      </c>
      <c r="N241" t="s">
        <v>41</v>
      </c>
    </row>
    <row r="242" spans="1:14">
      <c r="A242" t="s">
        <v>1681</v>
      </c>
      <c r="B242" t="s">
        <v>215</v>
      </c>
      <c r="C242" t="s">
        <v>216</v>
      </c>
      <c r="D242" t="s">
        <v>1682</v>
      </c>
      <c r="E242" t="s">
        <v>1683</v>
      </c>
      <c r="F242" t="s">
        <v>219</v>
      </c>
      <c r="G242" t="s">
        <v>116</v>
      </c>
      <c r="H242" t="s">
        <v>26</v>
      </c>
      <c r="I242" t="s">
        <v>39</v>
      </c>
      <c r="J242" t="s">
        <v>724</v>
      </c>
      <c r="K242" t="s">
        <v>29</v>
      </c>
      <c r="L242" t="s">
        <v>724</v>
      </c>
      <c r="M242" t="s">
        <v>40</v>
      </c>
      <c r="N242" t="s">
        <v>41</v>
      </c>
    </row>
    <row r="243" spans="1:14">
      <c r="A243" t="s">
        <v>1689</v>
      </c>
      <c r="B243" t="s">
        <v>215</v>
      </c>
      <c r="C243" t="s">
        <v>216</v>
      </c>
      <c r="D243" t="s">
        <v>1690</v>
      </c>
      <c r="E243" t="s">
        <v>1691</v>
      </c>
      <c r="F243" t="s">
        <v>219</v>
      </c>
      <c r="G243" t="s">
        <v>25</v>
      </c>
      <c r="H243" t="s">
        <v>26</v>
      </c>
      <c r="I243" t="s">
        <v>39</v>
      </c>
      <c r="J243" t="s">
        <v>724</v>
      </c>
      <c r="K243" t="s">
        <v>67</v>
      </c>
      <c r="L243" t="s">
        <v>724</v>
      </c>
      <c r="M243" t="s">
        <v>68</v>
      </c>
      <c r="N243" t="s">
        <v>69</v>
      </c>
    </row>
    <row r="244" spans="1:14">
      <c r="A244" t="s">
        <v>1692</v>
      </c>
      <c r="B244" t="s">
        <v>215</v>
      </c>
      <c r="C244" t="s">
        <v>216</v>
      </c>
      <c r="D244" t="s">
        <v>1693</v>
      </c>
      <c r="E244" t="s">
        <v>1694</v>
      </c>
      <c r="F244" t="s">
        <v>219</v>
      </c>
      <c r="G244" t="s">
        <v>25</v>
      </c>
      <c r="H244" t="s">
        <v>26</v>
      </c>
      <c r="I244" t="s">
        <v>39</v>
      </c>
      <c r="J244" t="s">
        <v>724</v>
      </c>
      <c r="K244" t="s">
        <v>67</v>
      </c>
      <c r="L244" t="s">
        <v>724</v>
      </c>
      <c r="M244" t="s">
        <v>40</v>
      </c>
      <c r="N244" t="s">
        <v>41</v>
      </c>
    </row>
    <row r="245" spans="1:14">
      <c r="A245" t="s">
        <v>1695</v>
      </c>
      <c r="B245" t="s">
        <v>215</v>
      </c>
      <c r="C245" t="s">
        <v>216</v>
      </c>
      <c r="D245" t="s">
        <v>1696</v>
      </c>
      <c r="E245" t="s">
        <v>1697</v>
      </c>
      <c r="F245" t="s">
        <v>219</v>
      </c>
      <c r="G245" t="s">
        <v>25</v>
      </c>
      <c r="H245" t="s">
        <v>26</v>
      </c>
      <c r="I245" t="s">
        <v>39</v>
      </c>
      <c r="J245" t="s">
        <v>724</v>
      </c>
      <c r="K245" t="s">
        <v>67</v>
      </c>
      <c r="L245" t="s">
        <v>724</v>
      </c>
      <c r="M245" t="s">
        <v>122</v>
      </c>
      <c r="N245" t="s">
        <v>39</v>
      </c>
    </row>
    <row r="246" spans="1:14">
      <c r="A246" t="s">
        <v>1698</v>
      </c>
      <c r="B246" t="s">
        <v>215</v>
      </c>
      <c r="C246" t="s">
        <v>46</v>
      </c>
      <c r="D246" t="s">
        <v>1699</v>
      </c>
      <c r="E246" t="s">
        <v>866</v>
      </c>
      <c r="F246" t="s">
        <v>49</v>
      </c>
      <c r="G246" t="s">
        <v>62</v>
      </c>
      <c r="H246" t="s">
        <v>26</v>
      </c>
      <c r="I246" t="s">
        <v>27</v>
      </c>
      <c r="J246" t="s">
        <v>724</v>
      </c>
      <c r="K246" t="s">
        <v>29</v>
      </c>
      <c r="L246" t="s">
        <v>724</v>
      </c>
      <c r="M246" t="s">
        <v>76</v>
      </c>
      <c r="N246" t="s">
        <v>77</v>
      </c>
    </row>
    <row r="247" spans="1:14">
      <c r="A247" t="s">
        <v>1700</v>
      </c>
      <c r="B247" t="s">
        <v>215</v>
      </c>
      <c r="C247" t="s">
        <v>46</v>
      </c>
      <c r="D247" t="s">
        <v>1701</v>
      </c>
      <c r="E247" t="s">
        <v>1702</v>
      </c>
      <c r="F247" t="s">
        <v>49</v>
      </c>
      <c r="G247" t="s">
        <v>25</v>
      </c>
      <c r="H247" t="s">
        <v>38</v>
      </c>
      <c r="I247" t="s">
        <v>39</v>
      </c>
      <c r="J247" t="s">
        <v>724</v>
      </c>
      <c r="K247" t="s">
        <v>29</v>
      </c>
      <c r="L247" t="s">
        <v>724</v>
      </c>
      <c r="M247" t="s">
        <v>76</v>
      </c>
      <c r="N247" t="s">
        <v>77</v>
      </c>
    </row>
    <row r="248" spans="1:14">
      <c r="A248" t="s">
        <v>182</v>
      </c>
      <c r="B248" t="s">
        <v>183</v>
      </c>
      <c r="C248" t="s">
        <v>184</v>
      </c>
      <c r="D248" t="s">
        <v>185</v>
      </c>
      <c r="E248" t="s">
        <v>186</v>
      </c>
      <c r="F248" t="s">
        <v>187</v>
      </c>
      <c r="G248" t="s">
        <v>25</v>
      </c>
      <c r="H248" t="s">
        <v>26</v>
      </c>
      <c r="I248" t="s">
        <v>39</v>
      </c>
      <c r="J248" t="s">
        <v>189</v>
      </c>
      <c r="K248" t="s">
        <v>67</v>
      </c>
      <c r="L248" t="s">
        <v>189</v>
      </c>
      <c r="M248" t="s">
        <v>122</v>
      </c>
      <c r="N248" t="s">
        <v>39</v>
      </c>
    </row>
    <row r="249" spans="1:14">
      <c r="A249" t="s">
        <v>182</v>
      </c>
      <c r="B249" t="s">
        <v>183</v>
      </c>
      <c r="C249" t="s">
        <v>184</v>
      </c>
      <c r="D249" t="s">
        <v>191</v>
      </c>
      <c r="E249" t="s">
        <v>192</v>
      </c>
      <c r="F249" t="s">
        <v>187</v>
      </c>
      <c r="G249" t="s">
        <v>25</v>
      </c>
      <c r="H249" t="s">
        <v>26</v>
      </c>
      <c r="I249" t="s">
        <v>39</v>
      </c>
      <c r="J249" t="s">
        <v>189</v>
      </c>
      <c r="K249" t="s">
        <v>67</v>
      </c>
      <c r="L249" t="s">
        <v>189</v>
      </c>
      <c r="M249" t="s">
        <v>76</v>
      </c>
      <c r="N249" t="s">
        <v>77</v>
      </c>
    </row>
    <row r="250" spans="1:14">
      <c r="A250" t="s">
        <v>193</v>
      </c>
      <c r="B250" t="s">
        <v>183</v>
      </c>
      <c r="C250" t="s">
        <v>184</v>
      </c>
      <c r="D250" t="s">
        <v>194</v>
      </c>
      <c r="E250" t="s">
        <v>195</v>
      </c>
      <c r="F250" t="s">
        <v>187</v>
      </c>
      <c r="G250" t="s">
        <v>25</v>
      </c>
      <c r="H250" t="s">
        <v>26</v>
      </c>
      <c r="I250" t="s">
        <v>39</v>
      </c>
      <c r="J250" t="s">
        <v>189</v>
      </c>
      <c r="K250" t="s">
        <v>67</v>
      </c>
      <c r="L250" t="s">
        <v>189</v>
      </c>
      <c r="M250" t="s">
        <v>76</v>
      </c>
      <c r="N250" t="s">
        <v>77</v>
      </c>
    </row>
    <row r="251" spans="1:14">
      <c r="A251" t="s">
        <v>193</v>
      </c>
      <c r="B251" t="s">
        <v>183</v>
      </c>
      <c r="C251" t="s">
        <v>184</v>
      </c>
      <c r="D251" t="s">
        <v>196</v>
      </c>
      <c r="E251" t="s">
        <v>197</v>
      </c>
      <c r="F251" t="s">
        <v>187</v>
      </c>
      <c r="G251" t="s">
        <v>25</v>
      </c>
      <c r="H251" t="s">
        <v>26</v>
      </c>
      <c r="I251" t="s">
        <v>27</v>
      </c>
      <c r="J251" t="s">
        <v>189</v>
      </c>
      <c r="K251" t="s">
        <v>29</v>
      </c>
      <c r="L251" t="s">
        <v>189</v>
      </c>
      <c r="M251" t="s">
        <v>76</v>
      </c>
      <c r="N251" t="s">
        <v>77</v>
      </c>
    </row>
    <row r="252" spans="1:14">
      <c r="A252" t="s">
        <v>193</v>
      </c>
      <c r="B252" t="s">
        <v>183</v>
      </c>
      <c r="C252" t="s">
        <v>184</v>
      </c>
      <c r="D252" t="s">
        <v>198</v>
      </c>
      <c r="E252" t="s">
        <v>199</v>
      </c>
      <c r="F252" t="s">
        <v>187</v>
      </c>
      <c r="G252" t="s">
        <v>25</v>
      </c>
      <c r="H252" t="s">
        <v>26</v>
      </c>
      <c r="I252" t="s">
        <v>27</v>
      </c>
      <c r="J252" t="s">
        <v>189</v>
      </c>
      <c r="K252" t="s">
        <v>67</v>
      </c>
      <c r="L252" t="s">
        <v>189</v>
      </c>
      <c r="M252" t="s">
        <v>76</v>
      </c>
      <c r="N252" t="s">
        <v>77</v>
      </c>
    </row>
    <row r="253" spans="1:14">
      <c r="A253" t="s">
        <v>200</v>
      </c>
      <c r="B253" t="s">
        <v>183</v>
      </c>
      <c r="C253" t="s">
        <v>184</v>
      </c>
      <c r="D253" t="s">
        <v>201</v>
      </c>
      <c r="E253" t="s">
        <v>202</v>
      </c>
      <c r="F253" t="s">
        <v>187</v>
      </c>
      <c r="G253" t="s">
        <v>25</v>
      </c>
      <c r="H253" t="s">
        <v>26</v>
      </c>
      <c r="I253" t="s">
        <v>203</v>
      </c>
      <c r="J253" t="s">
        <v>189</v>
      </c>
      <c r="K253" t="s">
        <v>29</v>
      </c>
      <c r="L253" t="s">
        <v>189</v>
      </c>
      <c r="M253" t="s">
        <v>57</v>
      </c>
      <c r="N253" t="s">
        <v>58</v>
      </c>
    </row>
    <row r="254" spans="1:14">
      <c r="A254" t="s">
        <v>200</v>
      </c>
      <c r="B254" t="s">
        <v>183</v>
      </c>
      <c r="C254" t="s">
        <v>184</v>
      </c>
      <c r="D254" t="s">
        <v>204</v>
      </c>
      <c r="E254" t="s">
        <v>199</v>
      </c>
      <c r="F254" t="s">
        <v>187</v>
      </c>
      <c r="G254" t="s">
        <v>25</v>
      </c>
      <c r="H254" t="s">
        <v>26</v>
      </c>
      <c r="I254" t="s">
        <v>27</v>
      </c>
      <c r="J254" t="s">
        <v>189</v>
      </c>
      <c r="K254" t="s">
        <v>67</v>
      </c>
      <c r="L254" t="s">
        <v>189</v>
      </c>
      <c r="M254" t="s">
        <v>122</v>
      </c>
      <c r="N254" t="s">
        <v>39</v>
      </c>
    </row>
    <row r="255" spans="1:14">
      <c r="A255" t="s">
        <v>200</v>
      </c>
      <c r="B255" t="s">
        <v>183</v>
      </c>
      <c r="C255" t="s">
        <v>184</v>
      </c>
      <c r="D255" t="s">
        <v>205</v>
      </c>
      <c r="E255" t="s">
        <v>192</v>
      </c>
      <c r="F255" t="s">
        <v>187</v>
      </c>
      <c r="G255" t="s">
        <v>25</v>
      </c>
      <c r="H255" t="s">
        <v>26</v>
      </c>
      <c r="I255" t="s">
        <v>39</v>
      </c>
      <c r="J255" t="s">
        <v>189</v>
      </c>
      <c r="K255" t="s">
        <v>67</v>
      </c>
      <c r="L255" t="s">
        <v>189</v>
      </c>
      <c r="M255" t="s">
        <v>122</v>
      </c>
      <c r="N255" t="s">
        <v>39</v>
      </c>
    </row>
    <row r="256" spans="1:14">
      <c r="A256" t="s">
        <v>200</v>
      </c>
      <c r="B256" t="s">
        <v>183</v>
      </c>
      <c r="C256" t="s">
        <v>184</v>
      </c>
      <c r="D256" t="s">
        <v>206</v>
      </c>
      <c r="E256" t="s">
        <v>197</v>
      </c>
      <c r="F256" t="s">
        <v>187</v>
      </c>
      <c r="G256" t="s">
        <v>25</v>
      </c>
      <c r="H256" t="s">
        <v>26</v>
      </c>
      <c r="I256" t="s">
        <v>27</v>
      </c>
      <c r="J256" t="s">
        <v>189</v>
      </c>
      <c r="K256" t="s">
        <v>29</v>
      </c>
      <c r="L256" t="s">
        <v>189</v>
      </c>
      <c r="M256" t="s">
        <v>122</v>
      </c>
      <c r="N256" t="s">
        <v>39</v>
      </c>
    </row>
    <row r="257" spans="1:14">
      <c r="A257" t="s">
        <v>200</v>
      </c>
      <c r="B257" t="s">
        <v>183</v>
      </c>
      <c r="C257" t="s">
        <v>184</v>
      </c>
      <c r="D257" t="s">
        <v>207</v>
      </c>
      <c r="E257" t="s">
        <v>208</v>
      </c>
      <c r="F257" t="s">
        <v>187</v>
      </c>
      <c r="G257" t="s">
        <v>25</v>
      </c>
      <c r="H257" t="s">
        <v>26</v>
      </c>
      <c r="I257" t="s">
        <v>27</v>
      </c>
      <c r="J257" t="s">
        <v>189</v>
      </c>
      <c r="K257" t="s">
        <v>67</v>
      </c>
      <c r="L257" t="s">
        <v>189</v>
      </c>
      <c r="M257" t="s">
        <v>76</v>
      </c>
      <c r="N257" t="s">
        <v>77</v>
      </c>
    </row>
    <row r="258" spans="1:14">
      <c r="A258" t="s">
        <v>209</v>
      </c>
      <c r="B258" t="s">
        <v>183</v>
      </c>
      <c r="C258" t="s">
        <v>184</v>
      </c>
      <c r="D258" t="s">
        <v>210</v>
      </c>
      <c r="E258" t="s">
        <v>197</v>
      </c>
      <c r="F258" t="s">
        <v>187</v>
      </c>
      <c r="G258" t="s">
        <v>25</v>
      </c>
      <c r="H258" t="s">
        <v>26</v>
      </c>
      <c r="I258" t="s">
        <v>27</v>
      </c>
      <c r="J258" t="s">
        <v>189</v>
      </c>
      <c r="K258" t="s">
        <v>29</v>
      </c>
      <c r="L258" t="s">
        <v>189</v>
      </c>
      <c r="M258" t="s">
        <v>76</v>
      </c>
      <c r="N258" t="s">
        <v>77</v>
      </c>
    </row>
    <row r="259" spans="1:14">
      <c r="A259" t="s">
        <v>209</v>
      </c>
      <c r="B259" t="s">
        <v>183</v>
      </c>
      <c r="C259" t="s">
        <v>184</v>
      </c>
      <c r="D259" t="s">
        <v>211</v>
      </c>
      <c r="E259" t="s">
        <v>202</v>
      </c>
      <c r="F259" t="s">
        <v>187</v>
      </c>
      <c r="G259" t="s">
        <v>25</v>
      </c>
      <c r="H259" t="s">
        <v>26</v>
      </c>
      <c r="I259" t="s">
        <v>203</v>
      </c>
      <c r="J259" t="s">
        <v>189</v>
      </c>
      <c r="K259" t="s">
        <v>67</v>
      </c>
      <c r="L259" t="s">
        <v>189</v>
      </c>
      <c r="M259" t="s">
        <v>122</v>
      </c>
      <c r="N259" t="s">
        <v>39</v>
      </c>
    </row>
    <row r="260" spans="1:14">
      <c r="A260" t="s">
        <v>212</v>
      </c>
      <c r="B260" t="s">
        <v>183</v>
      </c>
      <c r="C260" t="s">
        <v>184</v>
      </c>
      <c r="D260" t="s">
        <v>213</v>
      </c>
      <c r="E260" t="s">
        <v>199</v>
      </c>
      <c r="F260" t="s">
        <v>187</v>
      </c>
      <c r="G260" t="s">
        <v>25</v>
      </c>
      <c r="H260" t="s">
        <v>26</v>
      </c>
      <c r="I260" t="s">
        <v>27</v>
      </c>
      <c r="J260" t="s">
        <v>189</v>
      </c>
      <c r="K260" t="s">
        <v>67</v>
      </c>
      <c r="L260" t="s">
        <v>189</v>
      </c>
      <c r="M260" t="s">
        <v>95</v>
      </c>
      <c r="N260" t="s">
        <v>56</v>
      </c>
    </row>
    <row r="261" spans="1:14">
      <c r="A261" t="s">
        <v>257</v>
      </c>
      <c r="B261" t="s">
        <v>183</v>
      </c>
      <c r="C261" t="s">
        <v>229</v>
      </c>
      <c r="D261" t="s">
        <v>258</v>
      </c>
      <c r="E261" t="s">
        <v>259</v>
      </c>
      <c r="F261" t="s">
        <v>232</v>
      </c>
      <c r="G261" t="s">
        <v>25</v>
      </c>
      <c r="H261" t="s">
        <v>38</v>
      </c>
      <c r="I261" t="s">
        <v>27</v>
      </c>
      <c r="J261" t="s">
        <v>189</v>
      </c>
      <c r="K261" t="s">
        <v>29</v>
      </c>
      <c r="L261" t="s">
        <v>189</v>
      </c>
      <c r="M261" t="s">
        <v>76</v>
      </c>
      <c r="N261" t="s">
        <v>77</v>
      </c>
    </row>
    <row r="262" spans="1:14">
      <c r="A262" t="s">
        <v>270</v>
      </c>
      <c r="B262" t="s">
        <v>183</v>
      </c>
      <c r="C262" t="s">
        <v>266</v>
      </c>
      <c r="D262" t="s">
        <v>271</v>
      </c>
      <c r="E262" t="s">
        <v>272</v>
      </c>
      <c r="F262" t="s">
        <v>269</v>
      </c>
      <c r="G262" t="s">
        <v>25</v>
      </c>
      <c r="H262" t="s">
        <v>26</v>
      </c>
      <c r="I262" t="s">
        <v>39</v>
      </c>
      <c r="J262" t="s">
        <v>189</v>
      </c>
      <c r="K262" t="s">
        <v>29</v>
      </c>
      <c r="L262" t="s">
        <v>189</v>
      </c>
      <c r="M262" t="s">
        <v>40</v>
      </c>
      <c r="N262" t="s">
        <v>41</v>
      </c>
    </row>
    <row r="263" spans="1:14">
      <c r="A263" t="s">
        <v>274</v>
      </c>
      <c r="B263" t="s">
        <v>183</v>
      </c>
      <c r="C263" t="s">
        <v>275</v>
      </c>
      <c r="D263" t="s">
        <v>276</v>
      </c>
      <c r="E263" t="s">
        <v>277</v>
      </c>
      <c r="F263" t="s">
        <v>278</v>
      </c>
      <c r="G263" t="s">
        <v>116</v>
      </c>
      <c r="H263" t="s">
        <v>26</v>
      </c>
      <c r="I263" t="s">
        <v>82</v>
      </c>
      <c r="J263" t="s">
        <v>189</v>
      </c>
      <c r="K263" t="s">
        <v>29</v>
      </c>
      <c r="L263" t="s">
        <v>189</v>
      </c>
      <c r="M263" t="s">
        <v>95</v>
      </c>
      <c r="N263" t="s">
        <v>56</v>
      </c>
    </row>
    <row r="264" spans="1:14">
      <c r="A264" t="s">
        <v>280</v>
      </c>
      <c r="B264" t="s">
        <v>183</v>
      </c>
      <c r="C264" t="s">
        <v>229</v>
      </c>
      <c r="D264" t="s">
        <v>281</v>
      </c>
      <c r="E264" t="s">
        <v>282</v>
      </c>
      <c r="F264" t="s">
        <v>232</v>
      </c>
      <c r="G264" t="s">
        <v>25</v>
      </c>
      <c r="H264" t="s">
        <v>148</v>
      </c>
      <c r="I264" t="s">
        <v>99</v>
      </c>
      <c r="J264" t="s">
        <v>189</v>
      </c>
      <c r="K264" t="s">
        <v>67</v>
      </c>
      <c r="L264" t="s">
        <v>189</v>
      </c>
      <c r="M264" t="s">
        <v>76</v>
      </c>
      <c r="N264" t="s">
        <v>77</v>
      </c>
    </row>
    <row r="265" spans="1:14">
      <c r="A265" t="s">
        <v>283</v>
      </c>
      <c r="B265" t="s">
        <v>183</v>
      </c>
      <c r="C265" t="s">
        <v>229</v>
      </c>
      <c r="D265" t="s">
        <v>284</v>
      </c>
      <c r="E265" t="s">
        <v>285</v>
      </c>
      <c r="F265" t="s">
        <v>232</v>
      </c>
      <c r="G265" t="s">
        <v>25</v>
      </c>
      <c r="H265" t="s">
        <v>26</v>
      </c>
      <c r="I265" t="s">
        <v>39</v>
      </c>
      <c r="J265" t="s">
        <v>189</v>
      </c>
      <c r="K265" t="s">
        <v>106</v>
      </c>
      <c r="L265" t="s">
        <v>189</v>
      </c>
      <c r="M265" t="s">
        <v>72</v>
      </c>
      <c r="N265" t="s">
        <v>73</v>
      </c>
    </row>
    <row r="266" spans="1:14">
      <c r="A266" t="s">
        <v>283</v>
      </c>
      <c r="B266" t="s">
        <v>183</v>
      </c>
      <c r="C266" t="s">
        <v>229</v>
      </c>
      <c r="D266" t="s">
        <v>286</v>
      </c>
      <c r="E266" t="s">
        <v>287</v>
      </c>
      <c r="F266" t="s">
        <v>232</v>
      </c>
      <c r="G266" t="s">
        <v>25</v>
      </c>
      <c r="H266" t="s">
        <v>26</v>
      </c>
      <c r="I266" t="s">
        <v>39</v>
      </c>
      <c r="J266" t="s">
        <v>189</v>
      </c>
      <c r="K266" t="s">
        <v>106</v>
      </c>
      <c r="L266" t="s">
        <v>189</v>
      </c>
      <c r="M266" t="s">
        <v>40</v>
      </c>
      <c r="N266" t="s">
        <v>41</v>
      </c>
    </row>
    <row r="267" spans="1:14">
      <c r="A267" t="s">
        <v>288</v>
      </c>
      <c r="B267" t="s">
        <v>183</v>
      </c>
      <c r="C267" t="s">
        <v>275</v>
      </c>
      <c r="D267" t="s">
        <v>289</v>
      </c>
      <c r="E267" t="s">
        <v>290</v>
      </c>
      <c r="F267" t="s">
        <v>278</v>
      </c>
      <c r="G267" t="s">
        <v>116</v>
      </c>
      <c r="H267" t="s">
        <v>26</v>
      </c>
      <c r="I267" t="s">
        <v>82</v>
      </c>
      <c r="J267" t="s">
        <v>189</v>
      </c>
      <c r="K267" t="s">
        <v>29</v>
      </c>
      <c r="L267" t="s">
        <v>189</v>
      </c>
      <c r="M267" t="s">
        <v>30</v>
      </c>
      <c r="N267" t="s">
        <v>31</v>
      </c>
    </row>
    <row r="268" spans="1:14">
      <c r="A268" t="s">
        <v>291</v>
      </c>
      <c r="B268" t="s">
        <v>183</v>
      </c>
      <c r="C268" t="s">
        <v>275</v>
      </c>
      <c r="D268" t="s">
        <v>292</v>
      </c>
      <c r="E268" t="s">
        <v>293</v>
      </c>
      <c r="F268" t="s">
        <v>278</v>
      </c>
      <c r="G268" t="s">
        <v>116</v>
      </c>
      <c r="H268" t="s">
        <v>26</v>
      </c>
      <c r="I268" t="s">
        <v>82</v>
      </c>
      <c r="J268" t="s">
        <v>189</v>
      </c>
      <c r="K268" t="s">
        <v>29</v>
      </c>
      <c r="L268" t="s">
        <v>189</v>
      </c>
      <c r="M268" t="s">
        <v>122</v>
      </c>
      <c r="N268" t="s">
        <v>39</v>
      </c>
    </row>
    <row r="269" spans="1:14">
      <c r="A269" t="s">
        <v>310</v>
      </c>
      <c r="B269" t="s">
        <v>183</v>
      </c>
      <c r="C269" t="s">
        <v>275</v>
      </c>
      <c r="D269" t="s">
        <v>311</v>
      </c>
      <c r="E269" t="s">
        <v>312</v>
      </c>
      <c r="F269" t="s">
        <v>278</v>
      </c>
      <c r="G269" t="s">
        <v>116</v>
      </c>
      <c r="H269" t="s">
        <v>26</v>
      </c>
      <c r="I269" t="s">
        <v>82</v>
      </c>
      <c r="J269" t="s">
        <v>189</v>
      </c>
      <c r="K269" t="s">
        <v>29</v>
      </c>
      <c r="L269" t="s">
        <v>189</v>
      </c>
      <c r="M269" t="s">
        <v>419</v>
      </c>
      <c r="N269" t="s">
        <v>66</v>
      </c>
    </row>
    <row r="270" spans="1:14">
      <c r="A270" t="s">
        <v>313</v>
      </c>
      <c r="B270" t="s">
        <v>183</v>
      </c>
      <c r="C270" t="s">
        <v>275</v>
      </c>
      <c r="D270" t="s">
        <v>314</v>
      </c>
      <c r="E270" t="s">
        <v>315</v>
      </c>
      <c r="F270" t="s">
        <v>278</v>
      </c>
      <c r="G270" t="s">
        <v>116</v>
      </c>
      <c r="H270" t="s">
        <v>26</v>
      </c>
      <c r="I270" t="s">
        <v>82</v>
      </c>
      <c r="J270" t="s">
        <v>189</v>
      </c>
      <c r="K270" t="s">
        <v>29</v>
      </c>
      <c r="L270" t="s">
        <v>189</v>
      </c>
      <c r="M270" t="s">
        <v>40</v>
      </c>
      <c r="N270" t="s">
        <v>41</v>
      </c>
    </row>
    <row r="271" spans="1:14">
      <c r="A271" t="s">
        <v>316</v>
      </c>
      <c r="B271" t="s">
        <v>183</v>
      </c>
      <c r="C271" t="s">
        <v>275</v>
      </c>
      <c r="D271" t="s">
        <v>317</v>
      </c>
      <c r="E271" t="s">
        <v>318</v>
      </c>
      <c r="F271" t="s">
        <v>278</v>
      </c>
      <c r="G271" t="s">
        <v>116</v>
      </c>
      <c r="H271" t="s">
        <v>26</v>
      </c>
      <c r="I271" t="s">
        <v>82</v>
      </c>
      <c r="J271" t="s">
        <v>189</v>
      </c>
      <c r="K271" t="s">
        <v>29</v>
      </c>
      <c r="L271" t="s">
        <v>189</v>
      </c>
      <c r="M271" t="s">
        <v>40</v>
      </c>
      <c r="N271" t="s">
        <v>41</v>
      </c>
    </row>
    <row r="272" spans="1:14">
      <c r="A272" t="s">
        <v>319</v>
      </c>
      <c r="B272" t="s">
        <v>183</v>
      </c>
      <c r="C272" t="s">
        <v>275</v>
      </c>
      <c r="D272" t="s">
        <v>320</v>
      </c>
      <c r="E272" t="s">
        <v>321</v>
      </c>
      <c r="F272" t="s">
        <v>278</v>
      </c>
      <c r="G272" t="s">
        <v>116</v>
      </c>
      <c r="H272" t="s">
        <v>26</v>
      </c>
      <c r="I272" t="s">
        <v>82</v>
      </c>
      <c r="J272" t="s">
        <v>189</v>
      </c>
      <c r="K272" t="s">
        <v>29</v>
      </c>
      <c r="L272" t="s">
        <v>189</v>
      </c>
      <c r="M272" t="s">
        <v>40</v>
      </c>
      <c r="N272" t="s">
        <v>41</v>
      </c>
    </row>
    <row r="273" spans="1:14">
      <c r="A273" t="s">
        <v>322</v>
      </c>
      <c r="B273" t="s">
        <v>183</v>
      </c>
      <c r="C273" t="s">
        <v>275</v>
      </c>
      <c r="D273" t="s">
        <v>323</v>
      </c>
      <c r="E273" t="s">
        <v>324</v>
      </c>
      <c r="F273" t="s">
        <v>278</v>
      </c>
      <c r="G273" t="s">
        <v>116</v>
      </c>
      <c r="H273" t="s">
        <v>26</v>
      </c>
      <c r="I273" t="s">
        <v>82</v>
      </c>
      <c r="J273" t="s">
        <v>189</v>
      </c>
      <c r="K273" t="s">
        <v>29</v>
      </c>
      <c r="L273" t="s">
        <v>189</v>
      </c>
      <c r="M273" t="s">
        <v>95</v>
      </c>
      <c r="N273" t="s">
        <v>56</v>
      </c>
    </row>
    <row r="274" spans="1:14">
      <c r="A274" t="s">
        <v>325</v>
      </c>
      <c r="B274" t="s">
        <v>183</v>
      </c>
      <c r="C274" t="s">
        <v>275</v>
      </c>
      <c r="D274" t="s">
        <v>326</v>
      </c>
      <c r="E274" t="s">
        <v>327</v>
      </c>
      <c r="F274" t="s">
        <v>278</v>
      </c>
      <c r="G274" t="s">
        <v>116</v>
      </c>
      <c r="H274" t="s">
        <v>26</v>
      </c>
      <c r="I274" t="s">
        <v>82</v>
      </c>
      <c r="J274" t="s">
        <v>189</v>
      </c>
      <c r="K274" t="s">
        <v>29</v>
      </c>
      <c r="L274" t="s">
        <v>189</v>
      </c>
      <c r="M274" t="s">
        <v>122</v>
      </c>
      <c r="N274" t="s">
        <v>39</v>
      </c>
    </row>
    <row r="275" spans="1:14">
      <c r="A275" t="s">
        <v>328</v>
      </c>
      <c r="B275" t="s">
        <v>183</v>
      </c>
      <c r="C275" t="s">
        <v>275</v>
      </c>
      <c r="D275" t="s">
        <v>329</v>
      </c>
      <c r="E275" t="s">
        <v>330</v>
      </c>
      <c r="F275" t="s">
        <v>278</v>
      </c>
      <c r="G275" t="s">
        <v>116</v>
      </c>
      <c r="H275" t="s">
        <v>26</v>
      </c>
      <c r="I275" t="s">
        <v>82</v>
      </c>
      <c r="J275" t="s">
        <v>189</v>
      </c>
      <c r="K275" t="s">
        <v>29</v>
      </c>
      <c r="L275" t="s">
        <v>189</v>
      </c>
      <c r="M275" t="s">
        <v>40</v>
      </c>
      <c r="N275" t="s">
        <v>41</v>
      </c>
    </row>
    <row r="276" spans="1:14">
      <c r="A276" t="s">
        <v>331</v>
      </c>
      <c r="B276" t="s">
        <v>183</v>
      </c>
      <c r="C276" t="s">
        <v>275</v>
      </c>
      <c r="D276" t="s">
        <v>332</v>
      </c>
      <c r="E276" t="s">
        <v>333</v>
      </c>
      <c r="F276" t="s">
        <v>278</v>
      </c>
      <c r="G276" t="s">
        <v>116</v>
      </c>
      <c r="H276" t="s">
        <v>26</v>
      </c>
      <c r="I276" t="s">
        <v>82</v>
      </c>
      <c r="J276" t="s">
        <v>189</v>
      </c>
      <c r="K276" t="s">
        <v>29</v>
      </c>
      <c r="L276" t="s">
        <v>189</v>
      </c>
      <c r="M276" t="s">
        <v>76</v>
      </c>
      <c r="N276" t="s">
        <v>77</v>
      </c>
    </row>
    <row r="277" spans="1:14">
      <c r="A277" t="s">
        <v>334</v>
      </c>
      <c r="B277" t="s">
        <v>183</v>
      </c>
      <c r="C277" t="s">
        <v>275</v>
      </c>
      <c r="D277" t="s">
        <v>335</v>
      </c>
      <c r="E277" t="s">
        <v>336</v>
      </c>
      <c r="F277" t="s">
        <v>278</v>
      </c>
      <c r="G277" t="s">
        <v>116</v>
      </c>
      <c r="H277" t="s">
        <v>148</v>
      </c>
      <c r="I277" t="s">
        <v>99</v>
      </c>
      <c r="J277" t="s">
        <v>189</v>
      </c>
      <c r="K277" t="s">
        <v>29</v>
      </c>
      <c r="L277" t="s">
        <v>189</v>
      </c>
      <c r="M277" t="s">
        <v>122</v>
      </c>
      <c r="N277" t="s">
        <v>39</v>
      </c>
    </row>
    <row r="278" spans="1:14">
      <c r="A278" t="s">
        <v>337</v>
      </c>
      <c r="B278" t="s">
        <v>183</v>
      </c>
      <c r="C278" t="s">
        <v>275</v>
      </c>
      <c r="D278" t="s">
        <v>338</v>
      </c>
      <c r="E278" t="s">
        <v>339</v>
      </c>
      <c r="F278" t="s">
        <v>278</v>
      </c>
      <c r="G278" t="s">
        <v>116</v>
      </c>
      <c r="H278" t="s">
        <v>26</v>
      </c>
      <c r="I278" t="s">
        <v>82</v>
      </c>
      <c r="J278" t="s">
        <v>189</v>
      </c>
      <c r="K278" t="s">
        <v>29</v>
      </c>
      <c r="L278" t="s">
        <v>189</v>
      </c>
      <c r="M278" t="s">
        <v>57</v>
      </c>
      <c r="N278" t="s">
        <v>58</v>
      </c>
    </row>
    <row r="279" spans="1:14">
      <c r="A279" t="s">
        <v>340</v>
      </c>
      <c r="B279" t="s">
        <v>183</v>
      </c>
      <c r="C279" t="s">
        <v>275</v>
      </c>
      <c r="D279" t="s">
        <v>341</v>
      </c>
      <c r="E279" t="s">
        <v>342</v>
      </c>
      <c r="F279" t="s">
        <v>278</v>
      </c>
      <c r="G279" t="s">
        <v>116</v>
      </c>
      <c r="H279" t="s">
        <v>26</v>
      </c>
      <c r="I279" t="s">
        <v>82</v>
      </c>
      <c r="J279" t="s">
        <v>189</v>
      </c>
      <c r="K279" t="s">
        <v>29</v>
      </c>
      <c r="L279" t="s">
        <v>189</v>
      </c>
      <c r="M279" t="s">
        <v>40</v>
      </c>
      <c r="N279" t="s">
        <v>41</v>
      </c>
    </row>
    <row r="280" spans="1:14">
      <c r="A280" t="s">
        <v>343</v>
      </c>
      <c r="B280" t="s">
        <v>183</v>
      </c>
      <c r="C280" t="s">
        <v>266</v>
      </c>
      <c r="D280" t="s">
        <v>344</v>
      </c>
      <c r="E280" t="s">
        <v>345</v>
      </c>
      <c r="F280" t="s">
        <v>269</v>
      </c>
      <c r="G280" t="s">
        <v>25</v>
      </c>
      <c r="H280" t="s">
        <v>38</v>
      </c>
      <c r="I280" t="s">
        <v>39</v>
      </c>
      <c r="J280" t="s">
        <v>189</v>
      </c>
      <c r="K280" t="s">
        <v>29</v>
      </c>
      <c r="L280" t="s">
        <v>189</v>
      </c>
      <c r="M280" t="s">
        <v>68</v>
      </c>
      <c r="N280" t="s">
        <v>69</v>
      </c>
    </row>
    <row r="281" spans="1:14">
      <c r="A281" t="s">
        <v>346</v>
      </c>
      <c r="B281" t="s">
        <v>183</v>
      </c>
      <c r="C281" t="s">
        <v>275</v>
      </c>
      <c r="D281" t="s">
        <v>347</v>
      </c>
      <c r="E281" t="s">
        <v>348</v>
      </c>
      <c r="F281" t="s">
        <v>278</v>
      </c>
      <c r="G281" t="s">
        <v>116</v>
      </c>
      <c r="H281" t="s">
        <v>26</v>
      </c>
      <c r="I281" t="s">
        <v>82</v>
      </c>
      <c r="J281" t="s">
        <v>189</v>
      </c>
      <c r="K281" t="s">
        <v>29</v>
      </c>
      <c r="L281" t="s">
        <v>189</v>
      </c>
      <c r="M281" t="s">
        <v>122</v>
      </c>
      <c r="N281" t="s">
        <v>39</v>
      </c>
    </row>
    <row r="282" spans="1:14">
      <c r="A282" t="s">
        <v>349</v>
      </c>
      <c r="B282" t="s">
        <v>183</v>
      </c>
      <c r="C282" t="s">
        <v>275</v>
      </c>
      <c r="D282" t="s">
        <v>350</v>
      </c>
      <c r="E282" t="s">
        <v>351</v>
      </c>
      <c r="F282" t="s">
        <v>278</v>
      </c>
      <c r="G282" t="s">
        <v>116</v>
      </c>
      <c r="H282" t="s">
        <v>26</v>
      </c>
      <c r="I282" t="s">
        <v>82</v>
      </c>
      <c r="J282" t="s">
        <v>189</v>
      </c>
      <c r="K282" t="s">
        <v>29</v>
      </c>
      <c r="L282" t="s">
        <v>189</v>
      </c>
      <c r="M282" t="s">
        <v>122</v>
      </c>
      <c r="N282" t="s">
        <v>39</v>
      </c>
    </row>
    <row r="283" spans="1:14">
      <c r="A283" t="s">
        <v>352</v>
      </c>
      <c r="B283" t="s">
        <v>183</v>
      </c>
      <c r="C283" t="s">
        <v>275</v>
      </c>
      <c r="D283" t="s">
        <v>353</v>
      </c>
      <c r="E283" t="s">
        <v>354</v>
      </c>
      <c r="F283" t="s">
        <v>278</v>
      </c>
      <c r="G283" t="s">
        <v>116</v>
      </c>
      <c r="H283" t="s">
        <v>26</v>
      </c>
      <c r="I283" t="s">
        <v>82</v>
      </c>
      <c r="J283" t="s">
        <v>189</v>
      </c>
      <c r="K283" t="s">
        <v>29</v>
      </c>
      <c r="L283" t="s">
        <v>189</v>
      </c>
      <c r="M283" t="s">
        <v>122</v>
      </c>
      <c r="N283" t="s">
        <v>39</v>
      </c>
    </row>
    <row r="284" spans="1:14">
      <c r="A284" t="s">
        <v>182</v>
      </c>
      <c r="B284" t="s">
        <v>183</v>
      </c>
      <c r="C284" t="s">
        <v>184</v>
      </c>
      <c r="D284" t="s">
        <v>364</v>
      </c>
      <c r="E284" t="s">
        <v>199</v>
      </c>
      <c r="F284" t="s">
        <v>187</v>
      </c>
      <c r="G284" t="s">
        <v>25</v>
      </c>
      <c r="H284" t="s">
        <v>26</v>
      </c>
      <c r="I284" t="s">
        <v>27</v>
      </c>
      <c r="J284" t="s">
        <v>189</v>
      </c>
      <c r="K284" t="s">
        <v>67</v>
      </c>
      <c r="L284" t="s">
        <v>189</v>
      </c>
      <c r="M284" t="s">
        <v>126</v>
      </c>
      <c r="N284" t="s">
        <v>127</v>
      </c>
    </row>
    <row r="285" spans="1:14">
      <c r="A285" t="s">
        <v>182</v>
      </c>
      <c r="B285" t="s">
        <v>183</v>
      </c>
      <c r="C285" t="s">
        <v>184</v>
      </c>
      <c r="D285" t="s">
        <v>365</v>
      </c>
      <c r="E285" t="s">
        <v>197</v>
      </c>
      <c r="F285" t="s">
        <v>187</v>
      </c>
      <c r="G285" t="s">
        <v>25</v>
      </c>
      <c r="H285" t="s">
        <v>26</v>
      </c>
      <c r="I285" t="s">
        <v>27</v>
      </c>
      <c r="J285" t="s">
        <v>189</v>
      </c>
      <c r="K285" t="s">
        <v>29</v>
      </c>
      <c r="L285" t="s">
        <v>189</v>
      </c>
      <c r="M285" t="s">
        <v>40</v>
      </c>
      <c r="N285" t="s">
        <v>41</v>
      </c>
    </row>
    <row r="286" spans="1:14">
      <c r="A286" t="s">
        <v>366</v>
      </c>
      <c r="B286" t="s">
        <v>183</v>
      </c>
      <c r="C286" t="s">
        <v>111</v>
      </c>
      <c r="D286" t="s">
        <v>367</v>
      </c>
      <c r="E286" t="s">
        <v>368</v>
      </c>
      <c r="F286" t="s">
        <v>114</v>
      </c>
      <c r="G286" t="s">
        <v>25</v>
      </c>
      <c r="H286" t="s">
        <v>26</v>
      </c>
      <c r="I286" t="s">
        <v>39</v>
      </c>
      <c r="J286" t="s">
        <v>189</v>
      </c>
      <c r="K286" t="s">
        <v>67</v>
      </c>
      <c r="L286" t="s">
        <v>189</v>
      </c>
      <c r="M286" t="s">
        <v>40</v>
      </c>
      <c r="N286" t="s">
        <v>41</v>
      </c>
    </row>
    <row r="287" spans="1:14">
      <c r="A287" t="s">
        <v>370</v>
      </c>
      <c r="B287" t="s">
        <v>183</v>
      </c>
      <c r="C287" t="s">
        <v>111</v>
      </c>
      <c r="D287" t="s">
        <v>371</v>
      </c>
      <c r="E287" t="s">
        <v>372</v>
      </c>
      <c r="F287" t="s">
        <v>114</v>
      </c>
      <c r="G287" t="s">
        <v>25</v>
      </c>
      <c r="H287" t="s">
        <v>26</v>
      </c>
      <c r="I287" t="s">
        <v>203</v>
      </c>
      <c r="J287" t="s">
        <v>189</v>
      </c>
      <c r="K287" t="s">
        <v>29</v>
      </c>
      <c r="L287" t="s">
        <v>189</v>
      </c>
      <c r="M287" t="s">
        <v>122</v>
      </c>
      <c r="N287" t="s">
        <v>39</v>
      </c>
    </row>
    <row r="288" spans="1:14">
      <c r="A288" t="s">
        <v>373</v>
      </c>
      <c r="B288" t="s">
        <v>183</v>
      </c>
      <c r="C288" t="s">
        <v>111</v>
      </c>
      <c r="D288" t="s">
        <v>374</v>
      </c>
      <c r="E288" t="s">
        <v>375</v>
      </c>
      <c r="F288" t="s">
        <v>114</v>
      </c>
      <c r="G288" t="s">
        <v>25</v>
      </c>
      <c r="H288" t="s">
        <v>26</v>
      </c>
      <c r="I288" t="s">
        <v>39</v>
      </c>
      <c r="J288" t="s">
        <v>189</v>
      </c>
      <c r="K288" t="s">
        <v>106</v>
      </c>
      <c r="L288" t="s">
        <v>189</v>
      </c>
      <c r="M288" t="s">
        <v>479</v>
      </c>
      <c r="N288" t="s">
        <v>480</v>
      </c>
    </row>
    <row r="289" spans="1:14">
      <c r="A289" t="s">
        <v>376</v>
      </c>
      <c r="B289" t="s">
        <v>183</v>
      </c>
      <c r="C289" t="s">
        <v>111</v>
      </c>
      <c r="D289" t="s">
        <v>377</v>
      </c>
      <c r="E289" t="s">
        <v>372</v>
      </c>
      <c r="F289" t="s">
        <v>114</v>
      </c>
      <c r="G289" t="s">
        <v>25</v>
      </c>
      <c r="H289" t="s">
        <v>26</v>
      </c>
      <c r="I289" t="s">
        <v>203</v>
      </c>
      <c r="J289" t="s">
        <v>189</v>
      </c>
      <c r="K289" t="s">
        <v>29</v>
      </c>
      <c r="L289" t="s">
        <v>189</v>
      </c>
      <c r="M289" t="s">
        <v>72</v>
      </c>
      <c r="N289" t="s">
        <v>73</v>
      </c>
    </row>
    <row r="290" spans="1:14">
      <c r="A290" t="s">
        <v>378</v>
      </c>
      <c r="B290" t="s">
        <v>183</v>
      </c>
      <c r="C290" t="s">
        <v>111</v>
      </c>
      <c r="D290" t="s">
        <v>379</v>
      </c>
      <c r="E290" t="s">
        <v>372</v>
      </c>
      <c r="F290" t="s">
        <v>114</v>
      </c>
      <c r="G290" t="s">
        <v>25</v>
      </c>
      <c r="H290" t="s">
        <v>26</v>
      </c>
      <c r="I290" t="s">
        <v>203</v>
      </c>
      <c r="J290" t="s">
        <v>189</v>
      </c>
      <c r="K290" t="s">
        <v>29</v>
      </c>
      <c r="L290" t="s">
        <v>189</v>
      </c>
      <c r="M290" t="s">
        <v>122</v>
      </c>
      <c r="N290" t="s">
        <v>39</v>
      </c>
    </row>
    <row r="291" spans="1:14">
      <c r="A291" t="s">
        <v>380</v>
      </c>
      <c r="B291" t="s">
        <v>183</v>
      </c>
      <c r="C291" t="s">
        <v>111</v>
      </c>
      <c r="D291" t="s">
        <v>381</v>
      </c>
      <c r="E291" t="s">
        <v>382</v>
      </c>
      <c r="F291" t="s">
        <v>114</v>
      </c>
      <c r="G291" t="s">
        <v>25</v>
      </c>
      <c r="H291" t="s">
        <v>38</v>
      </c>
      <c r="I291" t="s">
        <v>27</v>
      </c>
      <c r="J291" t="s">
        <v>189</v>
      </c>
      <c r="K291" t="s">
        <v>29</v>
      </c>
      <c r="L291" t="s">
        <v>189</v>
      </c>
      <c r="M291" t="s">
        <v>72</v>
      </c>
      <c r="N291" t="s">
        <v>73</v>
      </c>
    </row>
    <row r="292" spans="1:14">
      <c r="A292" t="s">
        <v>383</v>
      </c>
      <c r="B292" t="s">
        <v>183</v>
      </c>
      <c r="C292" t="s">
        <v>111</v>
      </c>
      <c r="D292" t="s">
        <v>384</v>
      </c>
      <c r="E292" t="s">
        <v>385</v>
      </c>
      <c r="F292" t="s">
        <v>114</v>
      </c>
      <c r="G292" t="s">
        <v>25</v>
      </c>
      <c r="H292" t="s">
        <v>26</v>
      </c>
      <c r="I292" t="s">
        <v>39</v>
      </c>
      <c r="J292" t="s">
        <v>189</v>
      </c>
      <c r="K292" t="s">
        <v>67</v>
      </c>
      <c r="L292" t="s">
        <v>189</v>
      </c>
      <c r="M292" t="s">
        <v>40</v>
      </c>
      <c r="N292" t="s">
        <v>41</v>
      </c>
    </row>
    <row r="293" spans="1:14">
      <c r="A293" t="s">
        <v>383</v>
      </c>
      <c r="B293" t="s">
        <v>183</v>
      </c>
      <c r="C293" t="s">
        <v>111</v>
      </c>
      <c r="D293" t="s">
        <v>387</v>
      </c>
      <c r="E293" t="s">
        <v>388</v>
      </c>
      <c r="F293" t="s">
        <v>114</v>
      </c>
      <c r="G293" t="s">
        <v>25</v>
      </c>
      <c r="H293" t="s">
        <v>38</v>
      </c>
      <c r="I293" t="s">
        <v>39</v>
      </c>
      <c r="J293" t="s">
        <v>189</v>
      </c>
      <c r="K293" t="s">
        <v>67</v>
      </c>
      <c r="L293" t="s">
        <v>189</v>
      </c>
      <c r="M293" t="s">
        <v>30</v>
      </c>
      <c r="N293" t="s">
        <v>31</v>
      </c>
    </row>
    <row r="294" spans="1:14">
      <c r="A294" t="s">
        <v>389</v>
      </c>
      <c r="B294" t="s">
        <v>183</v>
      </c>
      <c r="C294" t="s">
        <v>266</v>
      </c>
      <c r="D294" t="s">
        <v>390</v>
      </c>
      <c r="E294" t="s">
        <v>391</v>
      </c>
      <c r="F294" t="s">
        <v>269</v>
      </c>
      <c r="G294" t="s">
        <v>25</v>
      </c>
      <c r="H294" t="s">
        <v>38</v>
      </c>
      <c r="I294" t="s">
        <v>39</v>
      </c>
      <c r="J294" t="s">
        <v>189</v>
      </c>
      <c r="K294" t="s">
        <v>29</v>
      </c>
      <c r="L294" t="s">
        <v>189</v>
      </c>
      <c r="M294" t="s">
        <v>68</v>
      </c>
      <c r="N294" t="s">
        <v>69</v>
      </c>
    </row>
    <row r="295" spans="1:14">
      <c r="A295" t="s">
        <v>392</v>
      </c>
      <c r="B295" t="s">
        <v>183</v>
      </c>
      <c r="C295" t="s">
        <v>275</v>
      </c>
      <c r="D295" t="s">
        <v>393</v>
      </c>
      <c r="E295" t="s">
        <v>394</v>
      </c>
      <c r="F295" t="s">
        <v>278</v>
      </c>
      <c r="G295" t="s">
        <v>116</v>
      </c>
      <c r="H295" t="s">
        <v>26</v>
      </c>
      <c r="I295" t="s">
        <v>82</v>
      </c>
      <c r="J295" t="s">
        <v>189</v>
      </c>
      <c r="K295" t="s">
        <v>29</v>
      </c>
      <c r="L295" t="s">
        <v>189</v>
      </c>
      <c r="M295" t="s">
        <v>57</v>
      </c>
      <c r="N295" t="s">
        <v>58</v>
      </c>
    </row>
    <row r="296" spans="1:14">
      <c r="A296" t="s">
        <v>395</v>
      </c>
      <c r="B296" t="s">
        <v>183</v>
      </c>
      <c r="C296" t="s">
        <v>275</v>
      </c>
      <c r="D296" t="s">
        <v>396</v>
      </c>
      <c r="E296" t="s">
        <v>397</v>
      </c>
      <c r="F296" t="s">
        <v>278</v>
      </c>
      <c r="G296" t="s">
        <v>116</v>
      </c>
      <c r="H296" t="s">
        <v>26</v>
      </c>
      <c r="I296" t="s">
        <v>82</v>
      </c>
      <c r="J296" t="s">
        <v>189</v>
      </c>
      <c r="K296" t="s">
        <v>29</v>
      </c>
      <c r="L296" t="s">
        <v>189</v>
      </c>
      <c r="M296" t="s">
        <v>122</v>
      </c>
      <c r="N296" t="s">
        <v>39</v>
      </c>
    </row>
    <row r="297" spans="1:14">
      <c r="A297" t="s">
        <v>401</v>
      </c>
      <c r="B297" t="s">
        <v>183</v>
      </c>
      <c r="C297" t="s">
        <v>402</v>
      </c>
      <c r="D297" t="s">
        <v>403</v>
      </c>
      <c r="E297" t="s">
        <v>404</v>
      </c>
      <c r="F297" t="s">
        <v>405</v>
      </c>
      <c r="G297" t="s">
        <v>25</v>
      </c>
      <c r="H297" t="s">
        <v>26</v>
      </c>
      <c r="I297" t="s">
        <v>39</v>
      </c>
      <c r="J297" t="s">
        <v>189</v>
      </c>
      <c r="K297" t="s">
        <v>29</v>
      </c>
      <c r="L297" t="s">
        <v>189</v>
      </c>
      <c r="M297" t="s">
        <v>122</v>
      </c>
      <c r="N297" t="s">
        <v>39</v>
      </c>
    </row>
    <row r="298" spans="1:14">
      <c r="A298" t="s">
        <v>406</v>
      </c>
      <c r="B298" t="s">
        <v>183</v>
      </c>
      <c r="C298" t="s">
        <v>402</v>
      </c>
      <c r="D298" t="s">
        <v>407</v>
      </c>
      <c r="E298" t="s">
        <v>408</v>
      </c>
      <c r="F298" t="s">
        <v>405</v>
      </c>
      <c r="G298" t="s">
        <v>25</v>
      </c>
      <c r="H298" t="s">
        <v>26</v>
      </c>
      <c r="I298" t="s">
        <v>39</v>
      </c>
      <c r="J298" t="s">
        <v>189</v>
      </c>
      <c r="K298" t="s">
        <v>67</v>
      </c>
      <c r="L298" t="s">
        <v>189</v>
      </c>
      <c r="M298" t="s">
        <v>72</v>
      </c>
      <c r="N298" t="s">
        <v>73</v>
      </c>
    </row>
    <row r="299" spans="1:14">
      <c r="A299" t="s">
        <v>409</v>
      </c>
      <c r="B299" t="s">
        <v>183</v>
      </c>
      <c r="C299" t="s">
        <v>402</v>
      </c>
      <c r="D299" t="s">
        <v>410</v>
      </c>
      <c r="E299" t="s">
        <v>411</v>
      </c>
      <c r="F299" t="s">
        <v>405</v>
      </c>
      <c r="G299" t="s">
        <v>25</v>
      </c>
      <c r="H299" t="s">
        <v>26</v>
      </c>
      <c r="I299" t="s">
        <v>39</v>
      </c>
      <c r="J299" t="s">
        <v>189</v>
      </c>
      <c r="K299" t="s">
        <v>67</v>
      </c>
      <c r="L299" t="s">
        <v>189</v>
      </c>
      <c r="M299" t="s">
        <v>122</v>
      </c>
      <c r="N299" t="s">
        <v>39</v>
      </c>
    </row>
    <row r="300" spans="1:14">
      <c r="A300" t="s">
        <v>412</v>
      </c>
      <c r="B300" t="s">
        <v>183</v>
      </c>
      <c r="C300" t="s">
        <v>301</v>
      </c>
      <c r="D300" t="s">
        <v>413</v>
      </c>
      <c r="E300" t="s">
        <v>414</v>
      </c>
      <c r="F300" t="s">
        <v>269</v>
      </c>
      <c r="G300" t="s">
        <v>116</v>
      </c>
      <c r="H300" t="s">
        <v>26</v>
      </c>
      <c r="I300" t="s">
        <v>39</v>
      </c>
      <c r="J300" t="s">
        <v>189</v>
      </c>
      <c r="K300" t="s">
        <v>29</v>
      </c>
      <c r="L300" t="s">
        <v>189</v>
      </c>
      <c r="M300" t="s">
        <v>122</v>
      </c>
      <c r="N300" t="s">
        <v>39</v>
      </c>
    </row>
    <row r="301" spans="1:14">
      <c r="A301" t="s">
        <v>416</v>
      </c>
      <c r="B301" t="s">
        <v>183</v>
      </c>
      <c r="C301" t="s">
        <v>301</v>
      </c>
      <c r="D301" t="s">
        <v>417</v>
      </c>
      <c r="E301" t="s">
        <v>418</v>
      </c>
      <c r="F301" t="s">
        <v>269</v>
      </c>
      <c r="G301" t="s">
        <v>116</v>
      </c>
      <c r="H301" t="s">
        <v>26</v>
      </c>
      <c r="I301" t="s">
        <v>39</v>
      </c>
      <c r="J301" t="s">
        <v>189</v>
      </c>
      <c r="K301" t="s">
        <v>29</v>
      </c>
      <c r="L301" t="s">
        <v>189</v>
      </c>
      <c r="M301" t="s">
        <v>126</v>
      </c>
      <c r="N301" t="s">
        <v>127</v>
      </c>
    </row>
    <row r="302" spans="1:14">
      <c r="A302" t="s">
        <v>420</v>
      </c>
      <c r="B302" t="s">
        <v>183</v>
      </c>
      <c r="C302" t="s">
        <v>301</v>
      </c>
      <c r="D302" t="s">
        <v>421</v>
      </c>
      <c r="E302" t="s">
        <v>422</v>
      </c>
      <c r="F302" t="s">
        <v>269</v>
      </c>
      <c r="G302" t="s">
        <v>116</v>
      </c>
      <c r="H302" t="s">
        <v>26</v>
      </c>
      <c r="I302" t="s">
        <v>99</v>
      </c>
      <c r="J302" t="s">
        <v>189</v>
      </c>
      <c r="K302" t="s">
        <v>29</v>
      </c>
      <c r="L302" t="s">
        <v>189</v>
      </c>
      <c r="M302" t="s">
        <v>419</v>
      </c>
      <c r="N302" t="s">
        <v>66</v>
      </c>
    </row>
    <row r="303" spans="1:14">
      <c r="A303" t="s">
        <v>423</v>
      </c>
      <c r="B303" t="s">
        <v>183</v>
      </c>
      <c r="C303" t="s">
        <v>301</v>
      </c>
      <c r="D303" t="s">
        <v>424</v>
      </c>
      <c r="E303" t="s">
        <v>425</v>
      </c>
      <c r="F303" t="s">
        <v>269</v>
      </c>
      <c r="G303" t="s">
        <v>25</v>
      </c>
      <c r="H303" t="s">
        <v>38</v>
      </c>
      <c r="I303" t="s">
        <v>99</v>
      </c>
      <c r="J303" t="s">
        <v>189</v>
      </c>
      <c r="K303" t="s">
        <v>29</v>
      </c>
      <c r="L303" t="s">
        <v>189</v>
      </c>
      <c r="M303" t="s">
        <v>68</v>
      </c>
      <c r="N303" t="s">
        <v>69</v>
      </c>
    </row>
    <row r="304" spans="1:14">
      <c r="A304" t="s">
        <v>426</v>
      </c>
      <c r="B304" t="s">
        <v>183</v>
      </c>
      <c r="C304" t="s">
        <v>301</v>
      </c>
      <c r="D304" t="s">
        <v>427</v>
      </c>
      <c r="E304" t="s">
        <v>428</v>
      </c>
      <c r="F304" t="s">
        <v>269</v>
      </c>
      <c r="G304" t="s">
        <v>25</v>
      </c>
      <c r="H304" t="s">
        <v>26</v>
      </c>
      <c r="I304" t="s">
        <v>82</v>
      </c>
      <c r="J304" t="s">
        <v>189</v>
      </c>
      <c r="K304" t="s">
        <v>29</v>
      </c>
      <c r="L304" t="s">
        <v>189</v>
      </c>
      <c r="M304" t="s">
        <v>122</v>
      </c>
      <c r="N304" t="s">
        <v>39</v>
      </c>
    </row>
    <row r="305" spans="1:14">
      <c r="A305" t="s">
        <v>429</v>
      </c>
      <c r="B305" t="s">
        <v>183</v>
      </c>
      <c r="C305" t="s">
        <v>301</v>
      </c>
      <c r="D305" t="s">
        <v>430</v>
      </c>
      <c r="E305" t="s">
        <v>431</v>
      </c>
      <c r="F305" t="s">
        <v>269</v>
      </c>
      <c r="G305" t="s">
        <v>25</v>
      </c>
      <c r="H305" t="s">
        <v>38</v>
      </c>
      <c r="I305" t="s">
        <v>99</v>
      </c>
      <c r="J305" t="s">
        <v>189</v>
      </c>
      <c r="K305" t="s">
        <v>29</v>
      </c>
      <c r="L305" t="s">
        <v>189</v>
      </c>
      <c r="M305" t="s">
        <v>419</v>
      </c>
      <c r="N305" t="s">
        <v>66</v>
      </c>
    </row>
    <row r="306" spans="1:14">
      <c r="A306" t="s">
        <v>432</v>
      </c>
      <c r="B306" t="s">
        <v>183</v>
      </c>
      <c r="C306" t="s">
        <v>301</v>
      </c>
      <c r="D306" t="s">
        <v>433</v>
      </c>
      <c r="E306" t="s">
        <v>434</v>
      </c>
      <c r="F306" t="s">
        <v>269</v>
      </c>
      <c r="G306" t="s">
        <v>25</v>
      </c>
      <c r="H306" t="s">
        <v>38</v>
      </c>
      <c r="I306" t="s">
        <v>56</v>
      </c>
      <c r="J306" t="s">
        <v>189</v>
      </c>
      <c r="K306" t="s">
        <v>29</v>
      </c>
      <c r="L306" t="s">
        <v>189</v>
      </c>
      <c r="M306" t="s">
        <v>419</v>
      </c>
      <c r="N306" t="s">
        <v>66</v>
      </c>
    </row>
    <row r="307" spans="1:14">
      <c r="A307" t="s">
        <v>435</v>
      </c>
      <c r="B307" t="s">
        <v>183</v>
      </c>
      <c r="C307" t="s">
        <v>301</v>
      </c>
      <c r="D307" t="s">
        <v>436</v>
      </c>
      <c r="E307" t="s">
        <v>437</v>
      </c>
      <c r="F307" t="s">
        <v>269</v>
      </c>
      <c r="G307" t="s">
        <v>25</v>
      </c>
      <c r="H307" t="s">
        <v>26</v>
      </c>
      <c r="I307" t="s">
        <v>39</v>
      </c>
      <c r="J307" t="s">
        <v>189</v>
      </c>
      <c r="K307" t="s">
        <v>29</v>
      </c>
      <c r="L307" t="s">
        <v>189</v>
      </c>
      <c r="M307" t="s">
        <v>95</v>
      </c>
      <c r="N307" t="s">
        <v>56</v>
      </c>
    </row>
    <row r="308" spans="1:14">
      <c r="A308" t="s">
        <v>438</v>
      </c>
      <c r="B308" t="s">
        <v>183</v>
      </c>
      <c r="C308" t="s">
        <v>301</v>
      </c>
      <c r="D308" t="s">
        <v>439</v>
      </c>
      <c r="E308" t="s">
        <v>440</v>
      </c>
      <c r="F308" t="s">
        <v>269</v>
      </c>
      <c r="G308" t="s">
        <v>25</v>
      </c>
      <c r="H308" t="s">
        <v>26</v>
      </c>
      <c r="I308" t="s">
        <v>39</v>
      </c>
      <c r="J308" t="s">
        <v>189</v>
      </c>
      <c r="K308" t="s">
        <v>29</v>
      </c>
      <c r="L308" t="s">
        <v>189</v>
      </c>
      <c r="M308" t="s">
        <v>57</v>
      </c>
      <c r="N308" t="s">
        <v>58</v>
      </c>
    </row>
    <row r="309" spans="1:14">
      <c r="A309" t="s">
        <v>441</v>
      </c>
      <c r="B309" t="s">
        <v>183</v>
      </c>
      <c r="C309" t="s">
        <v>216</v>
      </c>
      <c r="D309" t="s">
        <v>442</v>
      </c>
      <c r="E309" t="s">
        <v>443</v>
      </c>
      <c r="F309" t="s">
        <v>219</v>
      </c>
      <c r="G309" t="s">
        <v>25</v>
      </c>
      <c r="H309" t="s">
        <v>38</v>
      </c>
      <c r="I309" t="s">
        <v>82</v>
      </c>
      <c r="J309" t="s">
        <v>189</v>
      </c>
      <c r="K309" t="s">
        <v>29</v>
      </c>
      <c r="L309" t="s">
        <v>189</v>
      </c>
      <c r="M309" t="s">
        <v>40</v>
      </c>
      <c r="N309" t="s">
        <v>41</v>
      </c>
    </row>
    <row r="310" spans="1:14">
      <c r="A310" t="s">
        <v>444</v>
      </c>
      <c r="B310" t="s">
        <v>183</v>
      </c>
      <c r="C310" t="s">
        <v>216</v>
      </c>
      <c r="D310" t="s">
        <v>445</v>
      </c>
      <c r="E310" t="s">
        <v>443</v>
      </c>
      <c r="F310" t="s">
        <v>219</v>
      </c>
      <c r="G310" t="s">
        <v>25</v>
      </c>
      <c r="H310" t="s">
        <v>38</v>
      </c>
      <c r="I310" t="s">
        <v>82</v>
      </c>
      <c r="J310" t="s">
        <v>189</v>
      </c>
      <c r="K310" t="s">
        <v>29</v>
      </c>
      <c r="L310" t="s">
        <v>189</v>
      </c>
      <c r="M310" t="s">
        <v>40</v>
      </c>
      <c r="N310" t="s">
        <v>41</v>
      </c>
    </row>
    <row r="311" spans="1:14">
      <c r="A311" t="s">
        <v>449</v>
      </c>
      <c r="B311" t="s">
        <v>183</v>
      </c>
      <c r="C311" t="s">
        <v>33</v>
      </c>
      <c r="D311" t="s">
        <v>450</v>
      </c>
      <c r="E311" t="s">
        <v>451</v>
      </c>
      <c r="F311" t="s">
        <v>36</v>
      </c>
      <c r="G311" t="s">
        <v>25</v>
      </c>
      <c r="H311" t="s">
        <v>26</v>
      </c>
      <c r="I311" t="s">
        <v>39</v>
      </c>
      <c r="J311" t="s">
        <v>189</v>
      </c>
      <c r="K311" t="s">
        <v>29</v>
      </c>
      <c r="L311" t="s">
        <v>189</v>
      </c>
      <c r="M311" t="s">
        <v>72</v>
      </c>
      <c r="N311" t="s">
        <v>73</v>
      </c>
    </row>
    <row r="312" spans="1:14">
      <c r="A312" t="s">
        <v>452</v>
      </c>
      <c r="B312" t="s">
        <v>183</v>
      </c>
      <c r="C312" t="s">
        <v>33</v>
      </c>
      <c r="D312" t="s">
        <v>453</v>
      </c>
      <c r="E312" t="s">
        <v>454</v>
      </c>
      <c r="F312" t="s">
        <v>36</v>
      </c>
      <c r="G312" t="s">
        <v>25</v>
      </c>
      <c r="H312" t="s">
        <v>26</v>
      </c>
      <c r="I312" t="s">
        <v>39</v>
      </c>
      <c r="J312" t="s">
        <v>189</v>
      </c>
      <c r="K312" t="s">
        <v>29</v>
      </c>
      <c r="L312" t="s">
        <v>189</v>
      </c>
      <c r="M312" t="s">
        <v>40</v>
      </c>
      <c r="N312" t="s">
        <v>41</v>
      </c>
    </row>
    <row r="313" spans="1:14">
      <c r="A313" t="s">
        <v>461</v>
      </c>
      <c r="B313" t="s">
        <v>183</v>
      </c>
      <c r="C313" t="s">
        <v>261</v>
      </c>
      <c r="D313" t="s">
        <v>462</v>
      </c>
      <c r="E313" t="s">
        <v>463</v>
      </c>
      <c r="F313" t="s">
        <v>219</v>
      </c>
      <c r="G313" t="s">
        <v>25</v>
      </c>
      <c r="H313" t="s">
        <v>26</v>
      </c>
      <c r="I313" t="s">
        <v>39</v>
      </c>
      <c r="J313" t="s">
        <v>189</v>
      </c>
      <c r="K313" t="s">
        <v>67</v>
      </c>
      <c r="L313" t="s">
        <v>189</v>
      </c>
      <c r="M313" t="s">
        <v>40</v>
      </c>
      <c r="N313" t="s">
        <v>41</v>
      </c>
    </row>
    <row r="314" spans="1:14">
      <c r="A314" t="s">
        <v>464</v>
      </c>
      <c r="B314" t="s">
        <v>183</v>
      </c>
      <c r="C314" t="s">
        <v>261</v>
      </c>
      <c r="D314" t="s">
        <v>465</v>
      </c>
      <c r="E314" t="s">
        <v>466</v>
      </c>
      <c r="F314" t="s">
        <v>219</v>
      </c>
      <c r="G314" t="s">
        <v>25</v>
      </c>
      <c r="H314" t="s">
        <v>26</v>
      </c>
      <c r="I314" t="s">
        <v>39</v>
      </c>
      <c r="J314" t="s">
        <v>189</v>
      </c>
      <c r="K314" t="s">
        <v>67</v>
      </c>
      <c r="L314" t="s">
        <v>189</v>
      </c>
      <c r="M314" t="s">
        <v>76</v>
      </c>
      <c r="N314" t="s">
        <v>77</v>
      </c>
    </row>
    <row r="315" spans="1:14">
      <c r="A315" t="s">
        <v>490</v>
      </c>
      <c r="B315" t="s">
        <v>183</v>
      </c>
      <c r="C315" t="s">
        <v>184</v>
      </c>
      <c r="D315" t="s">
        <v>491</v>
      </c>
      <c r="E315" t="s">
        <v>492</v>
      </c>
      <c r="F315" t="s">
        <v>187</v>
      </c>
      <c r="G315" t="s">
        <v>25</v>
      </c>
      <c r="H315" t="s">
        <v>26</v>
      </c>
      <c r="I315" t="s">
        <v>39</v>
      </c>
      <c r="J315" t="s">
        <v>189</v>
      </c>
      <c r="K315" t="s">
        <v>67</v>
      </c>
      <c r="L315" t="s">
        <v>189</v>
      </c>
      <c r="M315" t="s">
        <v>40</v>
      </c>
      <c r="N315" t="s">
        <v>41</v>
      </c>
    </row>
    <row r="316" spans="1:14">
      <c r="A316" t="s">
        <v>494</v>
      </c>
      <c r="B316" t="s">
        <v>183</v>
      </c>
      <c r="C316" t="s">
        <v>184</v>
      </c>
      <c r="D316" t="s">
        <v>495</v>
      </c>
      <c r="E316" t="s">
        <v>492</v>
      </c>
      <c r="F316" t="s">
        <v>187</v>
      </c>
      <c r="G316" t="s">
        <v>25</v>
      </c>
      <c r="H316" t="s">
        <v>26</v>
      </c>
      <c r="I316" t="s">
        <v>39</v>
      </c>
      <c r="J316" t="s">
        <v>189</v>
      </c>
      <c r="K316" t="s">
        <v>67</v>
      </c>
      <c r="L316" t="s">
        <v>189</v>
      </c>
      <c r="M316" t="s">
        <v>40</v>
      </c>
      <c r="N316" t="s">
        <v>41</v>
      </c>
    </row>
    <row r="317" spans="1:14">
      <c r="A317" t="s">
        <v>521</v>
      </c>
      <c r="B317" t="s">
        <v>183</v>
      </c>
      <c r="C317" t="s">
        <v>275</v>
      </c>
      <c r="D317" t="s">
        <v>522</v>
      </c>
      <c r="E317" t="s">
        <v>523</v>
      </c>
      <c r="F317" t="s">
        <v>278</v>
      </c>
      <c r="G317" t="s">
        <v>116</v>
      </c>
      <c r="H317" t="s">
        <v>26</v>
      </c>
      <c r="I317" t="s">
        <v>82</v>
      </c>
      <c r="J317" t="s">
        <v>189</v>
      </c>
      <c r="K317" t="s">
        <v>29</v>
      </c>
      <c r="L317" t="s">
        <v>189</v>
      </c>
      <c r="M317" t="s">
        <v>72</v>
      </c>
      <c r="N317" t="s">
        <v>73</v>
      </c>
    </row>
    <row r="318" spans="1:14">
      <c r="A318" t="s">
        <v>524</v>
      </c>
      <c r="B318" t="s">
        <v>183</v>
      </c>
      <c r="C318" t="s">
        <v>275</v>
      </c>
      <c r="D318" t="s">
        <v>525</v>
      </c>
      <c r="E318" t="s">
        <v>526</v>
      </c>
      <c r="F318" t="s">
        <v>278</v>
      </c>
      <c r="G318" t="s">
        <v>116</v>
      </c>
      <c r="H318" t="s">
        <v>26</v>
      </c>
      <c r="I318" t="s">
        <v>82</v>
      </c>
      <c r="J318" t="s">
        <v>189</v>
      </c>
      <c r="K318" t="s">
        <v>29</v>
      </c>
      <c r="L318" t="s">
        <v>189</v>
      </c>
      <c r="M318" t="s">
        <v>40</v>
      </c>
      <c r="N318" t="s">
        <v>41</v>
      </c>
    </row>
    <row r="319" spans="1:14">
      <c r="A319" t="s">
        <v>530</v>
      </c>
      <c r="B319" t="s">
        <v>183</v>
      </c>
      <c r="C319" t="s">
        <v>275</v>
      </c>
      <c r="D319" t="s">
        <v>531</v>
      </c>
      <c r="E319" t="s">
        <v>532</v>
      </c>
      <c r="F319" t="s">
        <v>278</v>
      </c>
      <c r="G319" t="s">
        <v>116</v>
      </c>
      <c r="H319" t="s">
        <v>26</v>
      </c>
      <c r="I319" t="s">
        <v>82</v>
      </c>
      <c r="J319" t="s">
        <v>189</v>
      </c>
      <c r="K319" t="s">
        <v>29</v>
      </c>
      <c r="L319" t="s">
        <v>189</v>
      </c>
      <c r="M319" t="s">
        <v>122</v>
      </c>
      <c r="N319" t="s">
        <v>39</v>
      </c>
    </row>
    <row r="320" spans="1:14">
      <c r="A320" t="s">
        <v>536</v>
      </c>
      <c r="B320" t="s">
        <v>183</v>
      </c>
      <c r="C320" t="s">
        <v>275</v>
      </c>
      <c r="D320" t="s">
        <v>537</v>
      </c>
      <c r="E320" t="s">
        <v>538</v>
      </c>
      <c r="F320" t="s">
        <v>278</v>
      </c>
      <c r="G320" t="s">
        <v>25</v>
      </c>
      <c r="H320" t="s">
        <v>148</v>
      </c>
      <c r="I320" t="s">
        <v>99</v>
      </c>
      <c r="J320" t="s">
        <v>189</v>
      </c>
      <c r="K320" t="s">
        <v>29</v>
      </c>
      <c r="L320" t="s">
        <v>189</v>
      </c>
      <c r="M320" t="s">
        <v>40</v>
      </c>
      <c r="N320" t="s">
        <v>41</v>
      </c>
    </row>
    <row r="321" spans="1:14">
      <c r="A321" t="s">
        <v>542</v>
      </c>
      <c r="B321" t="s">
        <v>183</v>
      </c>
      <c r="C321" t="s">
        <v>229</v>
      </c>
      <c r="D321" t="s">
        <v>543</v>
      </c>
      <c r="E321" t="s">
        <v>544</v>
      </c>
      <c r="F321" t="s">
        <v>232</v>
      </c>
      <c r="G321" t="s">
        <v>116</v>
      </c>
      <c r="H321" t="s">
        <v>26</v>
      </c>
      <c r="I321" t="s">
        <v>39</v>
      </c>
      <c r="J321" t="s">
        <v>189</v>
      </c>
      <c r="K321" t="s">
        <v>67</v>
      </c>
      <c r="L321" t="s">
        <v>189</v>
      </c>
      <c r="M321" t="s">
        <v>40</v>
      </c>
      <c r="N321" t="s">
        <v>41</v>
      </c>
    </row>
    <row r="322" spans="1:14">
      <c r="A322" t="s">
        <v>542</v>
      </c>
      <c r="B322" t="s">
        <v>183</v>
      </c>
      <c r="C322" t="s">
        <v>229</v>
      </c>
      <c r="D322" t="s">
        <v>545</v>
      </c>
      <c r="E322" t="s">
        <v>546</v>
      </c>
      <c r="F322" t="s">
        <v>232</v>
      </c>
      <c r="G322" t="s">
        <v>116</v>
      </c>
      <c r="H322" t="s">
        <v>26</v>
      </c>
      <c r="I322" t="s">
        <v>39</v>
      </c>
      <c r="J322" t="s">
        <v>189</v>
      </c>
      <c r="K322" t="s">
        <v>67</v>
      </c>
      <c r="L322" t="s">
        <v>189</v>
      </c>
      <c r="M322" t="s">
        <v>40</v>
      </c>
      <c r="N322" t="s">
        <v>41</v>
      </c>
    </row>
    <row r="323" spans="1:14">
      <c r="A323" t="s">
        <v>547</v>
      </c>
      <c r="B323" t="s">
        <v>183</v>
      </c>
      <c r="C323" t="s">
        <v>229</v>
      </c>
      <c r="D323" t="s">
        <v>548</v>
      </c>
      <c r="E323" t="s">
        <v>549</v>
      </c>
      <c r="F323" t="s">
        <v>232</v>
      </c>
      <c r="G323" t="s">
        <v>116</v>
      </c>
      <c r="H323" t="s">
        <v>26</v>
      </c>
      <c r="I323" t="s">
        <v>39</v>
      </c>
      <c r="J323" t="s">
        <v>189</v>
      </c>
      <c r="K323" t="s">
        <v>67</v>
      </c>
      <c r="L323" t="s">
        <v>189</v>
      </c>
      <c r="M323" t="s">
        <v>40</v>
      </c>
      <c r="N323" t="s">
        <v>41</v>
      </c>
    </row>
    <row r="324" spans="1:14">
      <c r="A324" t="s">
        <v>547</v>
      </c>
      <c r="B324" t="s">
        <v>183</v>
      </c>
      <c r="C324" t="s">
        <v>229</v>
      </c>
      <c r="D324" t="s">
        <v>550</v>
      </c>
      <c r="E324" t="s">
        <v>551</v>
      </c>
      <c r="F324" t="s">
        <v>232</v>
      </c>
      <c r="G324" t="s">
        <v>116</v>
      </c>
      <c r="H324" t="s">
        <v>26</v>
      </c>
      <c r="I324" t="s">
        <v>39</v>
      </c>
      <c r="J324" t="s">
        <v>189</v>
      </c>
      <c r="K324" t="s">
        <v>67</v>
      </c>
      <c r="L324" t="s">
        <v>189</v>
      </c>
      <c r="M324" t="s">
        <v>95</v>
      </c>
      <c r="N324" t="s">
        <v>56</v>
      </c>
    </row>
    <row r="325" spans="1:14">
      <c r="A325" t="s">
        <v>552</v>
      </c>
      <c r="B325" t="s">
        <v>183</v>
      </c>
      <c r="C325" t="s">
        <v>229</v>
      </c>
      <c r="D325" t="s">
        <v>553</v>
      </c>
      <c r="E325" t="s">
        <v>554</v>
      </c>
      <c r="F325" t="s">
        <v>232</v>
      </c>
      <c r="G325" t="s">
        <v>116</v>
      </c>
      <c r="H325" t="s">
        <v>26</v>
      </c>
      <c r="I325" t="s">
        <v>39</v>
      </c>
      <c r="J325" t="s">
        <v>189</v>
      </c>
      <c r="K325" t="s">
        <v>67</v>
      </c>
      <c r="L325" t="s">
        <v>189</v>
      </c>
      <c r="M325" t="s">
        <v>122</v>
      </c>
      <c r="N325" t="s">
        <v>39</v>
      </c>
    </row>
    <row r="326" spans="1:14">
      <c r="A326" t="s">
        <v>555</v>
      </c>
      <c r="B326" t="s">
        <v>183</v>
      </c>
      <c r="C326" t="s">
        <v>229</v>
      </c>
      <c r="D326" t="s">
        <v>556</v>
      </c>
      <c r="E326" t="s">
        <v>557</v>
      </c>
      <c r="F326" t="s">
        <v>232</v>
      </c>
      <c r="G326" t="s">
        <v>116</v>
      </c>
      <c r="H326" t="s">
        <v>38</v>
      </c>
      <c r="I326" t="s">
        <v>39</v>
      </c>
      <c r="J326" t="s">
        <v>189</v>
      </c>
      <c r="K326" t="s">
        <v>67</v>
      </c>
      <c r="L326" t="s">
        <v>189</v>
      </c>
      <c r="M326" t="s">
        <v>40</v>
      </c>
      <c r="N326" t="s">
        <v>41</v>
      </c>
    </row>
    <row r="327" spans="1:14">
      <c r="A327" t="s">
        <v>558</v>
      </c>
      <c r="B327" t="s">
        <v>183</v>
      </c>
      <c r="C327" t="s">
        <v>229</v>
      </c>
      <c r="D327" t="s">
        <v>559</v>
      </c>
      <c r="E327" t="s">
        <v>560</v>
      </c>
      <c r="F327" t="s">
        <v>232</v>
      </c>
      <c r="G327" t="s">
        <v>116</v>
      </c>
      <c r="H327" t="s">
        <v>38</v>
      </c>
      <c r="I327" t="s">
        <v>39</v>
      </c>
      <c r="J327" t="s">
        <v>189</v>
      </c>
      <c r="K327" t="s">
        <v>67</v>
      </c>
      <c r="L327" t="s">
        <v>189</v>
      </c>
      <c r="M327" t="s">
        <v>122</v>
      </c>
      <c r="N327" t="s">
        <v>39</v>
      </c>
    </row>
    <row r="328" spans="1:14">
      <c r="A328" t="s">
        <v>561</v>
      </c>
      <c r="B328" t="s">
        <v>183</v>
      </c>
      <c r="C328" t="s">
        <v>229</v>
      </c>
      <c r="D328" t="s">
        <v>562</v>
      </c>
      <c r="E328" t="s">
        <v>563</v>
      </c>
      <c r="F328" t="s">
        <v>232</v>
      </c>
      <c r="G328" t="s">
        <v>116</v>
      </c>
      <c r="H328" t="s">
        <v>38</v>
      </c>
      <c r="I328" t="s">
        <v>39</v>
      </c>
      <c r="J328" t="s">
        <v>189</v>
      </c>
      <c r="K328" t="s">
        <v>67</v>
      </c>
      <c r="L328" t="s">
        <v>189</v>
      </c>
      <c r="M328" t="s">
        <v>95</v>
      </c>
      <c r="N328" t="s">
        <v>56</v>
      </c>
    </row>
    <row r="329" spans="1:14">
      <c r="A329" t="s">
        <v>564</v>
      </c>
      <c r="B329" t="s">
        <v>183</v>
      </c>
      <c r="C329" t="s">
        <v>229</v>
      </c>
      <c r="D329" t="s">
        <v>565</v>
      </c>
      <c r="E329" t="s">
        <v>566</v>
      </c>
      <c r="F329" t="s">
        <v>232</v>
      </c>
      <c r="G329" t="s">
        <v>116</v>
      </c>
      <c r="H329" t="s">
        <v>38</v>
      </c>
      <c r="I329" t="s">
        <v>82</v>
      </c>
      <c r="J329" t="s">
        <v>189</v>
      </c>
      <c r="K329" t="s">
        <v>29</v>
      </c>
      <c r="L329" t="s">
        <v>189</v>
      </c>
      <c r="M329" t="s">
        <v>95</v>
      </c>
      <c r="N329" t="s">
        <v>56</v>
      </c>
    </row>
    <row r="330" spans="1:14">
      <c r="A330" t="s">
        <v>593</v>
      </c>
      <c r="B330" t="s">
        <v>183</v>
      </c>
      <c r="C330" t="s">
        <v>229</v>
      </c>
      <c r="D330" t="s">
        <v>594</v>
      </c>
      <c r="E330" t="s">
        <v>595</v>
      </c>
      <c r="F330" t="s">
        <v>232</v>
      </c>
      <c r="G330" t="s">
        <v>25</v>
      </c>
      <c r="H330" t="s">
        <v>148</v>
      </c>
      <c r="I330" t="s">
        <v>99</v>
      </c>
      <c r="J330" t="s">
        <v>189</v>
      </c>
      <c r="K330" t="s">
        <v>67</v>
      </c>
      <c r="L330" t="s">
        <v>189</v>
      </c>
      <c r="M330" t="s">
        <v>40</v>
      </c>
      <c r="N330" t="s">
        <v>41</v>
      </c>
    </row>
    <row r="331" spans="1:14">
      <c r="A331" t="s">
        <v>596</v>
      </c>
      <c r="B331" t="s">
        <v>183</v>
      </c>
      <c r="C331" t="s">
        <v>229</v>
      </c>
      <c r="D331" t="s">
        <v>597</v>
      </c>
      <c r="E331" t="s">
        <v>598</v>
      </c>
      <c r="F331" t="s">
        <v>232</v>
      </c>
      <c r="G331" t="s">
        <v>25</v>
      </c>
      <c r="H331" t="s">
        <v>26</v>
      </c>
      <c r="I331" t="s">
        <v>27</v>
      </c>
      <c r="J331" t="s">
        <v>189</v>
      </c>
      <c r="K331" t="s">
        <v>67</v>
      </c>
      <c r="L331" t="s">
        <v>189</v>
      </c>
      <c r="M331" t="s">
        <v>95</v>
      </c>
      <c r="N331" t="s">
        <v>56</v>
      </c>
    </row>
    <row r="332" spans="1:14">
      <c r="A332" t="s">
        <v>599</v>
      </c>
      <c r="B332" t="s">
        <v>183</v>
      </c>
      <c r="C332" t="s">
        <v>229</v>
      </c>
      <c r="D332" t="s">
        <v>600</v>
      </c>
      <c r="E332" t="s">
        <v>601</v>
      </c>
      <c r="F332" t="s">
        <v>232</v>
      </c>
      <c r="G332" t="s">
        <v>25</v>
      </c>
      <c r="H332" t="s">
        <v>26</v>
      </c>
      <c r="I332" t="s">
        <v>39</v>
      </c>
      <c r="J332" t="s">
        <v>189</v>
      </c>
      <c r="K332" t="s">
        <v>106</v>
      </c>
      <c r="L332" t="s">
        <v>189</v>
      </c>
      <c r="M332" t="s">
        <v>95</v>
      </c>
      <c r="N332" t="s">
        <v>56</v>
      </c>
    </row>
    <row r="333" spans="1:14">
      <c r="A333" t="s">
        <v>599</v>
      </c>
      <c r="B333" t="s">
        <v>183</v>
      </c>
      <c r="C333" t="s">
        <v>229</v>
      </c>
      <c r="D333" t="s">
        <v>602</v>
      </c>
      <c r="E333" t="s">
        <v>603</v>
      </c>
      <c r="F333" t="s">
        <v>232</v>
      </c>
      <c r="G333" t="s">
        <v>25</v>
      </c>
      <c r="H333" t="s">
        <v>26</v>
      </c>
      <c r="I333" t="s">
        <v>27</v>
      </c>
      <c r="J333" t="s">
        <v>189</v>
      </c>
      <c r="K333" t="s">
        <v>29</v>
      </c>
      <c r="L333" t="s">
        <v>189</v>
      </c>
      <c r="M333" t="s">
        <v>122</v>
      </c>
      <c r="N333" t="s">
        <v>39</v>
      </c>
    </row>
    <row r="334" spans="1:14">
      <c r="A334" t="s">
        <v>607</v>
      </c>
      <c r="B334" t="s">
        <v>183</v>
      </c>
      <c r="C334" t="s">
        <v>580</v>
      </c>
      <c r="D334" t="s">
        <v>608</v>
      </c>
      <c r="E334" t="s">
        <v>609</v>
      </c>
      <c r="F334" t="s">
        <v>582</v>
      </c>
      <c r="G334" t="s">
        <v>116</v>
      </c>
      <c r="H334" t="s">
        <v>38</v>
      </c>
      <c r="I334" t="s">
        <v>99</v>
      </c>
      <c r="J334" t="s">
        <v>189</v>
      </c>
      <c r="K334" t="s">
        <v>29</v>
      </c>
      <c r="L334" t="s">
        <v>189</v>
      </c>
      <c r="M334" t="s">
        <v>122</v>
      </c>
      <c r="N334" t="s">
        <v>39</v>
      </c>
    </row>
    <row r="335" spans="1:14">
      <c r="A335" t="s">
        <v>610</v>
      </c>
      <c r="B335" t="s">
        <v>183</v>
      </c>
      <c r="C335" t="s">
        <v>229</v>
      </c>
      <c r="D335" t="s">
        <v>611</v>
      </c>
      <c r="E335" t="s">
        <v>612</v>
      </c>
      <c r="F335" t="s">
        <v>232</v>
      </c>
      <c r="G335" t="s">
        <v>25</v>
      </c>
      <c r="H335" t="s">
        <v>26</v>
      </c>
      <c r="I335" t="s">
        <v>39</v>
      </c>
      <c r="J335" t="s">
        <v>189</v>
      </c>
      <c r="K335" t="s">
        <v>106</v>
      </c>
      <c r="L335" t="s">
        <v>189</v>
      </c>
      <c r="M335" t="s">
        <v>122</v>
      </c>
      <c r="N335" t="s">
        <v>39</v>
      </c>
    </row>
    <row r="336" spans="1:14">
      <c r="A336" t="s">
        <v>613</v>
      </c>
      <c r="B336" t="s">
        <v>183</v>
      </c>
      <c r="C336" t="s">
        <v>229</v>
      </c>
      <c r="D336" t="s">
        <v>614</v>
      </c>
      <c r="E336" t="s">
        <v>615</v>
      </c>
      <c r="F336" t="s">
        <v>232</v>
      </c>
      <c r="G336" t="s">
        <v>25</v>
      </c>
      <c r="H336" t="s">
        <v>38</v>
      </c>
      <c r="I336" t="s">
        <v>27</v>
      </c>
      <c r="J336" t="s">
        <v>189</v>
      </c>
      <c r="K336" t="s">
        <v>29</v>
      </c>
      <c r="L336" t="s">
        <v>189</v>
      </c>
      <c r="M336" t="s">
        <v>68</v>
      </c>
      <c r="N336" t="s">
        <v>69</v>
      </c>
    </row>
    <row r="337" spans="1:14">
      <c r="A337" t="s">
        <v>619</v>
      </c>
      <c r="B337" t="s">
        <v>183</v>
      </c>
      <c r="C337" t="s">
        <v>275</v>
      </c>
      <c r="D337" t="s">
        <v>620</v>
      </c>
      <c r="E337" t="s">
        <v>621</v>
      </c>
      <c r="F337" t="s">
        <v>278</v>
      </c>
      <c r="G337" t="s">
        <v>25</v>
      </c>
      <c r="H337" t="s">
        <v>38</v>
      </c>
      <c r="I337" t="s">
        <v>99</v>
      </c>
      <c r="J337" t="s">
        <v>189</v>
      </c>
      <c r="K337" t="s">
        <v>29</v>
      </c>
      <c r="L337" t="s">
        <v>189</v>
      </c>
      <c r="M337" t="s">
        <v>40</v>
      </c>
      <c r="N337" t="s">
        <v>41</v>
      </c>
    </row>
    <row r="338" spans="1:14">
      <c r="A338" t="s">
        <v>619</v>
      </c>
      <c r="B338" t="s">
        <v>183</v>
      </c>
      <c r="C338" t="s">
        <v>275</v>
      </c>
      <c r="D338" t="s">
        <v>622</v>
      </c>
      <c r="E338" t="s">
        <v>623</v>
      </c>
      <c r="F338" t="s">
        <v>278</v>
      </c>
      <c r="G338" t="s">
        <v>25</v>
      </c>
      <c r="H338" t="s">
        <v>26</v>
      </c>
      <c r="I338" t="s">
        <v>66</v>
      </c>
      <c r="J338" t="s">
        <v>189</v>
      </c>
      <c r="K338" t="s">
        <v>67</v>
      </c>
      <c r="L338" t="s">
        <v>189</v>
      </c>
      <c r="M338" t="s">
        <v>72</v>
      </c>
      <c r="N338" t="s">
        <v>73</v>
      </c>
    </row>
    <row r="339" spans="1:14">
      <c r="A339" t="s">
        <v>619</v>
      </c>
      <c r="B339" t="s">
        <v>183</v>
      </c>
      <c r="C339" t="s">
        <v>275</v>
      </c>
      <c r="D339" t="s">
        <v>624</v>
      </c>
      <c r="E339" t="s">
        <v>625</v>
      </c>
      <c r="F339" t="s">
        <v>278</v>
      </c>
      <c r="G339" t="s">
        <v>25</v>
      </c>
      <c r="H339" t="s">
        <v>26</v>
      </c>
      <c r="I339" t="s">
        <v>99</v>
      </c>
      <c r="J339" t="s">
        <v>189</v>
      </c>
      <c r="K339" t="s">
        <v>29</v>
      </c>
      <c r="L339" t="s">
        <v>189</v>
      </c>
      <c r="M339" t="s">
        <v>122</v>
      </c>
      <c r="N339" t="s">
        <v>39</v>
      </c>
    </row>
    <row r="340" spans="1:14">
      <c r="A340" t="s">
        <v>626</v>
      </c>
      <c r="B340" t="s">
        <v>183</v>
      </c>
      <c r="C340" t="s">
        <v>229</v>
      </c>
      <c r="D340" t="s">
        <v>627</v>
      </c>
      <c r="E340" t="s">
        <v>628</v>
      </c>
      <c r="F340" t="s">
        <v>232</v>
      </c>
      <c r="G340" t="s">
        <v>25</v>
      </c>
      <c r="H340" t="s">
        <v>38</v>
      </c>
      <c r="I340" t="s">
        <v>27</v>
      </c>
      <c r="J340" t="s">
        <v>189</v>
      </c>
      <c r="K340" t="s">
        <v>29</v>
      </c>
      <c r="L340" t="s">
        <v>189</v>
      </c>
      <c r="M340" t="s">
        <v>40</v>
      </c>
      <c r="N340" t="s">
        <v>41</v>
      </c>
    </row>
    <row r="341" spans="1:14">
      <c r="A341" t="s">
        <v>632</v>
      </c>
      <c r="B341" t="s">
        <v>183</v>
      </c>
      <c r="C341" t="s">
        <v>229</v>
      </c>
      <c r="D341" t="s">
        <v>633</v>
      </c>
      <c r="E341" t="s">
        <v>634</v>
      </c>
      <c r="F341" t="s">
        <v>232</v>
      </c>
      <c r="G341" t="s">
        <v>25</v>
      </c>
      <c r="H341" t="s">
        <v>26</v>
      </c>
      <c r="I341" t="s">
        <v>27</v>
      </c>
      <c r="J341" t="s">
        <v>189</v>
      </c>
      <c r="K341" t="s">
        <v>29</v>
      </c>
      <c r="L341" t="s">
        <v>189</v>
      </c>
      <c r="M341" t="s">
        <v>68</v>
      </c>
      <c r="N341" t="s">
        <v>69</v>
      </c>
    </row>
    <row r="342" spans="1:14">
      <c r="A342" t="s">
        <v>635</v>
      </c>
      <c r="B342" t="s">
        <v>183</v>
      </c>
      <c r="C342" t="s">
        <v>111</v>
      </c>
      <c r="D342" t="s">
        <v>636</v>
      </c>
      <c r="E342" t="s">
        <v>637</v>
      </c>
      <c r="F342" t="s">
        <v>114</v>
      </c>
      <c r="G342" t="s">
        <v>25</v>
      </c>
      <c r="H342" t="s">
        <v>38</v>
      </c>
      <c r="I342" t="s">
        <v>203</v>
      </c>
      <c r="J342" t="s">
        <v>189</v>
      </c>
      <c r="K342" t="s">
        <v>29</v>
      </c>
      <c r="L342" t="s">
        <v>189</v>
      </c>
      <c r="M342" t="s">
        <v>72</v>
      </c>
      <c r="N342" t="s">
        <v>73</v>
      </c>
    </row>
    <row r="343" spans="1:14">
      <c r="A343" t="s">
        <v>635</v>
      </c>
      <c r="B343" t="s">
        <v>183</v>
      </c>
      <c r="C343" t="s">
        <v>111</v>
      </c>
      <c r="D343" t="s">
        <v>638</v>
      </c>
      <c r="E343" t="s">
        <v>639</v>
      </c>
      <c r="F343" t="s">
        <v>114</v>
      </c>
      <c r="G343" t="s">
        <v>25</v>
      </c>
      <c r="H343" t="s">
        <v>26</v>
      </c>
      <c r="I343" t="s">
        <v>203</v>
      </c>
      <c r="J343" t="s">
        <v>189</v>
      </c>
      <c r="K343" t="s">
        <v>29</v>
      </c>
      <c r="L343" t="s">
        <v>189</v>
      </c>
      <c r="M343" t="s">
        <v>76</v>
      </c>
      <c r="N343" t="s">
        <v>77</v>
      </c>
    </row>
    <row r="344" spans="1:14">
      <c r="A344" t="s">
        <v>640</v>
      </c>
      <c r="B344" t="s">
        <v>183</v>
      </c>
      <c r="C344" t="s">
        <v>111</v>
      </c>
      <c r="D344" t="s">
        <v>641</v>
      </c>
      <c r="E344" t="s">
        <v>372</v>
      </c>
      <c r="F344" t="s">
        <v>114</v>
      </c>
      <c r="G344" t="s">
        <v>25</v>
      </c>
      <c r="H344" t="s">
        <v>38</v>
      </c>
      <c r="I344" t="s">
        <v>203</v>
      </c>
      <c r="J344" t="s">
        <v>189</v>
      </c>
      <c r="K344" t="s">
        <v>29</v>
      </c>
      <c r="L344" t="s">
        <v>189</v>
      </c>
      <c r="M344" t="s">
        <v>76</v>
      </c>
      <c r="N344" t="s">
        <v>77</v>
      </c>
    </row>
    <row r="345" spans="1:14">
      <c r="A345" t="s">
        <v>658</v>
      </c>
      <c r="B345" t="s">
        <v>183</v>
      </c>
      <c r="C345" t="s">
        <v>266</v>
      </c>
      <c r="D345" t="s">
        <v>659</v>
      </c>
      <c r="E345" t="s">
        <v>660</v>
      </c>
      <c r="F345" t="s">
        <v>269</v>
      </c>
      <c r="G345" t="s">
        <v>25</v>
      </c>
      <c r="H345" t="s">
        <v>26</v>
      </c>
      <c r="I345" t="s">
        <v>99</v>
      </c>
      <c r="J345" t="s">
        <v>189</v>
      </c>
      <c r="K345" t="s">
        <v>29</v>
      </c>
      <c r="L345" t="s">
        <v>189</v>
      </c>
      <c r="M345" t="s">
        <v>30</v>
      </c>
      <c r="N345" t="s">
        <v>31</v>
      </c>
    </row>
    <row r="346" spans="1:14">
      <c r="A346" t="s">
        <v>661</v>
      </c>
      <c r="B346" t="s">
        <v>183</v>
      </c>
      <c r="C346" t="s">
        <v>266</v>
      </c>
      <c r="D346" t="s">
        <v>662</v>
      </c>
      <c r="E346" t="s">
        <v>663</v>
      </c>
      <c r="F346" t="s">
        <v>269</v>
      </c>
      <c r="G346" t="s">
        <v>25</v>
      </c>
      <c r="H346" t="s">
        <v>26</v>
      </c>
      <c r="I346" t="s">
        <v>99</v>
      </c>
      <c r="J346" t="s">
        <v>189</v>
      </c>
      <c r="K346" t="s">
        <v>29</v>
      </c>
      <c r="L346" t="s">
        <v>189</v>
      </c>
      <c r="M346" t="s">
        <v>122</v>
      </c>
      <c r="N346" t="s">
        <v>39</v>
      </c>
    </row>
    <row r="347" spans="1:14">
      <c r="A347" t="s">
        <v>664</v>
      </c>
      <c r="B347" t="s">
        <v>183</v>
      </c>
      <c r="C347" t="s">
        <v>266</v>
      </c>
      <c r="D347" t="s">
        <v>665</v>
      </c>
      <c r="E347" t="s">
        <v>666</v>
      </c>
      <c r="F347" t="s">
        <v>269</v>
      </c>
      <c r="G347" t="s">
        <v>25</v>
      </c>
      <c r="H347" t="s">
        <v>26</v>
      </c>
      <c r="I347" t="s">
        <v>39</v>
      </c>
      <c r="J347" t="s">
        <v>189</v>
      </c>
      <c r="K347" t="s">
        <v>29</v>
      </c>
      <c r="L347" t="s">
        <v>189</v>
      </c>
      <c r="M347" t="s">
        <v>122</v>
      </c>
      <c r="N347" t="s">
        <v>39</v>
      </c>
    </row>
    <row r="348" spans="1:14">
      <c r="A348" t="s">
        <v>667</v>
      </c>
      <c r="B348" t="s">
        <v>183</v>
      </c>
      <c r="C348" t="s">
        <v>266</v>
      </c>
      <c r="D348" t="s">
        <v>668</v>
      </c>
      <c r="E348" t="s">
        <v>669</v>
      </c>
      <c r="F348" t="s">
        <v>269</v>
      </c>
      <c r="G348" t="s">
        <v>25</v>
      </c>
      <c r="H348" t="s">
        <v>26</v>
      </c>
      <c r="I348" t="s">
        <v>39</v>
      </c>
      <c r="J348" t="s">
        <v>189</v>
      </c>
      <c r="K348" t="s">
        <v>29</v>
      </c>
      <c r="L348" t="s">
        <v>189</v>
      </c>
      <c r="M348" t="s">
        <v>72</v>
      </c>
      <c r="N348" t="s">
        <v>73</v>
      </c>
    </row>
    <row r="349" spans="1:14">
      <c r="A349" t="s">
        <v>670</v>
      </c>
      <c r="B349" t="s">
        <v>183</v>
      </c>
      <c r="C349" t="s">
        <v>266</v>
      </c>
      <c r="D349" t="s">
        <v>671</v>
      </c>
      <c r="E349" t="s">
        <v>672</v>
      </c>
      <c r="F349" t="s">
        <v>269</v>
      </c>
      <c r="G349" t="s">
        <v>25</v>
      </c>
      <c r="H349" t="s">
        <v>26</v>
      </c>
      <c r="I349" t="s">
        <v>39</v>
      </c>
      <c r="J349" t="s">
        <v>189</v>
      </c>
      <c r="K349" t="s">
        <v>29</v>
      </c>
      <c r="L349" t="s">
        <v>189</v>
      </c>
      <c r="M349" t="s">
        <v>122</v>
      </c>
      <c r="N349" t="s">
        <v>39</v>
      </c>
    </row>
    <row r="350" spans="1:14">
      <c r="A350" t="s">
        <v>673</v>
      </c>
      <c r="B350" t="s">
        <v>183</v>
      </c>
      <c r="C350" t="s">
        <v>266</v>
      </c>
      <c r="D350" t="s">
        <v>674</v>
      </c>
      <c r="E350" t="s">
        <v>675</v>
      </c>
      <c r="F350" t="s">
        <v>269</v>
      </c>
      <c r="G350" t="s">
        <v>116</v>
      </c>
      <c r="H350" t="s">
        <v>26</v>
      </c>
      <c r="I350" t="s">
        <v>39</v>
      </c>
      <c r="J350" t="s">
        <v>189</v>
      </c>
      <c r="K350" t="s">
        <v>29</v>
      </c>
      <c r="L350" t="s">
        <v>189</v>
      </c>
      <c r="M350" t="s">
        <v>40</v>
      </c>
      <c r="N350" t="s">
        <v>41</v>
      </c>
    </row>
    <row r="351" spans="1:14">
      <c r="A351" t="s">
        <v>679</v>
      </c>
      <c r="B351" t="s">
        <v>183</v>
      </c>
      <c r="C351" t="s">
        <v>266</v>
      </c>
      <c r="D351" t="s">
        <v>680</v>
      </c>
      <c r="E351" t="s">
        <v>681</v>
      </c>
      <c r="F351" t="s">
        <v>269</v>
      </c>
      <c r="G351" t="s">
        <v>116</v>
      </c>
      <c r="H351" t="s">
        <v>26</v>
      </c>
      <c r="I351" t="s">
        <v>99</v>
      </c>
      <c r="J351" t="s">
        <v>189</v>
      </c>
      <c r="K351" t="s">
        <v>29</v>
      </c>
      <c r="L351" t="s">
        <v>189</v>
      </c>
      <c r="M351" t="s">
        <v>76</v>
      </c>
      <c r="N351" t="s">
        <v>77</v>
      </c>
    </row>
    <row r="352" spans="1:14">
      <c r="A352" t="s">
        <v>685</v>
      </c>
      <c r="B352" t="s">
        <v>183</v>
      </c>
      <c r="C352" t="s">
        <v>111</v>
      </c>
      <c r="D352" t="s">
        <v>686</v>
      </c>
      <c r="E352" t="s">
        <v>372</v>
      </c>
      <c r="F352" t="s">
        <v>114</v>
      </c>
      <c r="G352" t="s">
        <v>25</v>
      </c>
      <c r="H352" t="s">
        <v>26</v>
      </c>
      <c r="I352" t="s">
        <v>203</v>
      </c>
      <c r="J352" t="s">
        <v>189</v>
      </c>
      <c r="K352" t="s">
        <v>29</v>
      </c>
      <c r="L352" t="s">
        <v>189</v>
      </c>
      <c r="M352" t="s">
        <v>30</v>
      </c>
      <c r="N352" t="s">
        <v>31</v>
      </c>
    </row>
    <row r="353" spans="1:14">
      <c r="A353" t="s">
        <v>687</v>
      </c>
      <c r="B353" t="s">
        <v>183</v>
      </c>
      <c r="C353" t="s">
        <v>111</v>
      </c>
      <c r="D353" t="s">
        <v>688</v>
      </c>
      <c r="E353" t="s">
        <v>689</v>
      </c>
      <c r="F353" t="s">
        <v>114</v>
      </c>
      <c r="G353" t="s">
        <v>25</v>
      </c>
      <c r="H353" t="s">
        <v>38</v>
      </c>
      <c r="I353" t="s">
        <v>27</v>
      </c>
      <c r="J353" t="s">
        <v>189</v>
      </c>
      <c r="K353" t="s">
        <v>29</v>
      </c>
      <c r="L353" t="s">
        <v>189</v>
      </c>
      <c r="M353" t="s">
        <v>40</v>
      </c>
      <c r="N353" t="s">
        <v>41</v>
      </c>
    </row>
    <row r="354" spans="1:14">
      <c r="A354" t="s">
        <v>366</v>
      </c>
      <c r="B354" t="s">
        <v>183</v>
      </c>
      <c r="C354" t="s">
        <v>111</v>
      </c>
      <c r="D354" t="s">
        <v>690</v>
      </c>
      <c r="E354" t="s">
        <v>691</v>
      </c>
      <c r="F354" t="s">
        <v>114</v>
      </c>
      <c r="G354" t="s">
        <v>25</v>
      </c>
      <c r="H354" t="s">
        <v>26</v>
      </c>
      <c r="I354" t="s">
        <v>203</v>
      </c>
      <c r="J354" t="s">
        <v>189</v>
      </c>
      <c r="K354" t="s">
        <v>29</v>
      </c>
      <c r="L354" t="s">
        <v>189</v>
      </c>
      <c r="M354" t="s">
        <v>122</v>
      </c>
      <c r="N354" t="s">
        <v>39</v>
      </c>
    </row>
    <row r="355" spans="1:14">
      <c r="A355" t="s">
        <v>725</v>
      </c>
      <c r="B355" t="s">
        <v>183</v>
      </c>
      <c r="C355" t="s">
        <v>275</v>
      </c>
      <c r="D355" t="s">
        <v>726</v>
      </c>
      <c r="E355" t="s">
        <v>727</v>
      </c>
      <c r="F355" t="s">
        <v>278</v>
      </c>
      <c r="G355" t="s">
        <v>25</v>
      </c>
      <c r="H355" t="s">
        <v>26</v>
      </c>
      <c r="I355" t="s">
        <v>520</v>
      </c>
      <c r="J355" t="s">
        <v>724</v>
      </c>
      <c r="K355" t="s">
        <v>29</v>
      </c>
      <c r="L355" t="s">
        <v>724</v>
      </c>
      <c r="M355" t="s">
        <v>30</v>
      </c>
      <c r="N355" t="s">
        <v>31</v>
      </c>
    </row>
    <row r="356" spans="1:14">
      <c r="A356" t="s">
        <v>728</v>
      </c>
      <c r="B356" t="s">
        <v>183</v>
      </c>
      <c r="C356" t="s">
        <v>275</v>
      </c>
      <c r="D356" t="s">
        <v>729</v>
      </c>
      <c r="E356" t="s">
        <v>730</v>
      </c>
      <c r="F356" t="s">
        <v>278</v>
      </c>
      <c r="G356" t="s">
        <v>25</v>
      </c>
      <c r="H356" t="s">
        <v>26</v>
      </c>
      <c r="I356" t="s">
        <v>39</v>
      </c>
      <c r="J356" t="s">
        <v>724</v>
      </c>
      <c r="K356" t="s">
        <v>67</v>
      </c>
      <c r="L356" t="s">
        <v>724</v>
      </c>
      <c r="M356" t="s">
        <v>40</v>
      </c>
      <c r="N356" t="s">
        <v>41</v>
      </c>
    </row>
    <row r="357" spans="1:14">
      <c r="A357" t="s">
        <v>744</v>
      </c>
      <c r="B357" t="s">
        <v>183</v>
      </c>
      <c r="C357" t="s">
        <v>229</v>
      </c>
      <c r="D357" t="s">
        <v>745</v>
      </c>
      <c r="E357" t="s">
        <v>746</v>
      </c>
      <c r="F357" t="s">
        <v>232</v>
      </c>
      <c r="G357" t="s">
        <v>116</v>
      </c>
      <c r="H357" t="s">
        <v>38</v>
      </c>
      <c r="I357" t="s">
        <v>39</v>
      </c>
      <c r="J357" t="s">
        <v>724</v>
      </c>
      <c r="K357" t="s">
        <v>29</v>
      </c>
      <c r="L357" t="s">
        <v>724</v>
      </c>
      <c r="M357" t="s">
        <v>95</v>
      </c>
      <c r="N357" t="s">
        <v>56</v>
      </c>
    </row>
    <row r="358" spans="1:14">
      <c r="A358" t="s">
        <v>747</v>
      </c>
      <c r="B358" t="s">
        <v>183</v>
      </c>
      <c r="C358" t="s">
        <v>229</v>
      </c>
      <c r="D358" t="s">
        <v>748</v>
      </c>
      <c r="E358" t="s">
        <v>749</v>
      </c>
      <c r="F358" t="s">
        <v>232</v>
      </c>
      <c r="G358" t="s">
        <v>116</v>
      </c>
      <c r="H358" t="s">
        <v>38</v>
      </c>
      <c r="I358" t="s">
        <v>39</v>
      </c>
      <c r="J358" t="s">
        <v>724</v>
      </c>
      <c r="K358" t="s">
        <v>29</v>
      </c>
      <c r="L358" t="s">
        <v>724</v>
      </c>
      <c r="M358" t="s">
        <v>95</v>
      </c>
      <c r="N358" t="s">
        <v>56</v>
      </c>
    </row>
    <row r="359" spans="1:14">
      <c r="A359" t="s">
        <v>753</v>
      </c>
      <c r="B359" t="s">
        <v>183</v>
      </c>
      <c r="C359" t="s">
        <v>580</v>
      </c>
      <c r="D359" t="s">
        <v>754</v>
      </c>
      <c r="E359" t="s">
        <v>755</v>
      </c>
      <c r="F359" t="s">
        <v>582</v>
      </c>
      <c r="G359" t="s">
        <v>25</v>
      </c>
      <c r="H359" t="s">
        <v>26</v>
      </c>
      <c r="I359" t="s">
        <v>39</v>
      </c>
      <c r="J359" t="s">
        <v>724</v>
      </c>
      <c r="K359" t="s">
        <v>67</v>
      </c>
      <c r="L359" t="s">
        <v>724</v>
      </c>
      <c r="M359" t="s">
        <v>30</v>
      </c>
      <c r="N359" t="s">
        <v>31</v>
      </c>
    </row>
    <row r="360" spans="1:14">
      <c r="A360" t="s">
        <v>756</v>
      </c>
      <c r="B360" t="s">
        <v>183</v>
      </c>
      <c r="C360" t="s">
        <v>580</v>
      </c>
      <c r="D360" t="s">
        <v>757</v>
      </c>
      <c r="E360" t="s">
        <v>758</v>
      </c>
      <c r="F360" t="s">
        <v>582</v>
      </c>
      <c r="G360" t="s">
        <v>25</v>
      </c>
      <c r="H360" t="s">
        <v>38</v>
      </c>
      <c r="I360" t="s">
        <v>56</v>
      </c>
      <c r="J360" t="s">
        <v>724</v>
      </c>
      <c r="K360" t="s">
        <v>29</v>
      </c>
      <c r="L360" t="s">
        <v>724</v>
      </c>
      <c r="M360" t="s">
        <v>30</v>
      </c>
      <c r="N360" t="s">
        <v>31</v>
      </c>
    </row>
    <row r="361" spans="1:14">
      <c r="A361" t="s">
        <v>756</v>
      </c>
      <c r="B361" t="s">
        <v>183</v>
      </c>
      <c r="C361" t="s">
        <v>580</v>
      </c>
      <c r="D361" t="s">
        <v>759</v>
      </c>
      <c r="E361" t="s">
        <v>760</v>
      </c>
      <c r="F361" t="s">
        <v>582</v>
      </c>
      <c r="G361" t="s">
        <v>25</v>
      </c>
      <c r="H361" t="s">
        <v>26</v>
      </c>
      <c r="I361" t="s">
        <v>39</v>
      </c>
      <c r="J361" t="s">
        <v>724</v>
      </c>
      <c r="K361" t="s">
        <v>29</v>
      </c>
      <c r="L361" t="s">
        <v>724</v>
      </c>
      <c r="M361" t="s">
        <v>122</v>
      </c>
      <c r="N361" t="s">
        <v>39</v>
      </c>
    </row>
    <row r="362" spans="1:14">
      <c r="A362" t="s">
        <v>756</v>
      </c>
      <c r="B362" t="s">
        <v>183</v>
      </c>
      <c r="C362" t="s">
        <v>580</v>
      </c>
      <c r="D362" t="s">
        <v>761</v>
      </c>
      <c r="E362" t="s">
        <v>762</v>
      </c>
      <c r="F362" t="s">
        <v>582</v>
      </c>
      <c r="G362" t="s">
        <v>25</v>
      </c>
      <c r="H362" t="s">
        <v>38</v>
      </c>
      <c r="I362" t="s">
        <v>56</v>
      </c>
      <c r="J362" t="s">
        <v>724</v>
      </c>
      <c r="K362" t="s">
        <v>29</v>
      </c>
      <c r="L362" t="s">
        <v>724</v>
      </c>
      <c r="M362" t="s">
        <v>40</v>
      </c>
      <c r="N362" t="s">
        <v>41</v>
      </c>
    </row>
    <row r="363" spans="1:14">
      <c r="A363" t="s">
        <v>763</v>
      </c>
      <c r="B363" t="s">
        <v>183</v>
      </c>
      <c r="C363" t="s">
        <v>580</v>
      </c>
      <c r="D363" t="s">
        <v>764</v>
      </c>
      <c r="E363" t="s">
        <v>765</v>
      </c>
      <c r="F363" t="s">
        <v>582</v>
      </c>
      <c r="G363" t="s">
        <v>25</v>
      </c>
      <c r="H363" t="s">
        <v>38</v>
      </c>
      <c r="I363" t="s">
        <v>39</v>
      </c>
      <c r="J363" t="s">
        <v>724</v>
      </c>
      <c r="K363" t="s">
        <v>29</v>
      </c>
      <c r="L363" t="s">
        <v>724</v>
      </c>
      <c r="M363" t="s">
        <v>76</v>
      </c>
      <c r="N363" t="s">
        <v>77</v>
      </c>
    </row>
    <row r="364" spans="1:14">
      <c r="A364" t="s">
        <v>766</v>
      </c>
      <c r="B364" t="s">
        <v>183</v>
      </c>
      <c r="C364" t="s">
        <v>580</v>
      </c>
      <c r="D364" t="s">
        <v>767</v>
      </c>
      <c r="E364" t="s">
        <v>768</v>
      </c>
      <c r="F364" t="s">
        <v>582</v>
      </c>
      <c r="G364" t="s">
        <v>25</v>
      </c>
      <c r="H364" t="s">
        <v>26</v>
      </c>
      <c r="I364" t="s">
        <v>39</v>
      </c>
      <c r="J364" t="s">
        <v>724</v>
      </c>
      <c r="K364" t="s">
        <v>29</v>
      </c>
      <c r="L364" t="s">
        <v>724</v>
      </c>
      <c r="M364" t="s">
        <v>40</v>
      </c>
      <c r="N364" t="s">
        <v>41</v>
      </c>
    </row>
    <row r="365" spans="1:14">
      <c r="A365" t="s">
        <v>769</v>
      </c>
      <c r="B365" t="s">
        <v>183</v>
      </c>
      <c r="C365" t="s">
        <v>580</v>
      </c>
      <c r="D365" t="s">
        <v>770</v>
      </c>
      <c r="E365" t="s">
        <v>771</v>
      </c>
      <c r="F365" t="s">
        <v>582</v>
      </c>
      <c r="G365" t="s">
        <v>25</v>
      </c>
      <c r="H365" t="s">
        <v>38</v>
      </c>
      <c r="I365" t="s">
        <v>56</v>
      </c>
      <c r="J365" t="s">
        <v>724</v>
      </c>
      <c r="K365" t="s">
        <v>29</v>
      </c>
      <c r="L365" t="s">
        <v>724</v>
      </c>
      <c r="M365" t="s">
        <v>122</v>
      </c>
      <c r="N365" t="s">
        <v>39</v>
      </c>
    </row>
    <row r="366" spans="1:14">
      <c r="A366" t="s">
        <v>772</v>
      </c>
      <c r="B366" t="s">
        <v>183</v>
      </c>
      <c r="C366" t="s">
        <v>580</v>
      </c>
      <c r="D366" t="s">
        <v>773</v>
      </c>
      <c r="E366" t="s">
        <v>774</v>
      </c>
      <c r="F366" t="s">
        <v>582</v>
      </c>
      <c r="G366" t="s">
        <v>25</v>
      </c>
      <c r="H366" t="s">
        <v>26</v>
      </c>
      <c r="I366" t="s">
        <v>39</v>
      </c>
      <c r="J366" t="s">
        <v>724</v>
      </c>
      <c r="K366" t="s">
        <v>29</v>
      </c>
      <c r="L366" t="s">
        <v>724</v>
      </c>
      <c r="M366" t="s">
        <v>68</v>
      </c>
      <c r="N366" t="s">
        <v>69</v>
      </c>
    </row>
    <row r="367" spans="1:14">
      <c r="A367" t="s">
        <v>775</v>
      </c>
      <c r="B367" t="s">
        <v>183</v>
      </c>
      <c r="C367" t="s">
        <v>580</v>
      </c>
      <c r="D367" t="s">
        <v>776</v>
      </c>
      <c r="E367" t="s">
        <v>777</v>
      </c>
      <c r="F367" t="s">
        <v>582</v>
      </c>
      <c r="G367" t="s">
        <v>25</v>
      </c>
      <c r="H367" t="s">
        <v>26</v>
      </c>
      <c r="I367" t="s">
        <v>39</v>
      </c>
      <c r="J367" t="s">
        <v>724</v>
      </c>
      <c r="K367" t="s">
        <v>29</v>
      </c>
      <c r="L367" t="s">
        <v>724</v>
      </c>
      <c r="M367" t="s">
        <v>40</v>
      </c>
      <c r="N367" t="s">
        <v>41</v>
      </c>
    </row>
    <row r="368" spans="1:14">
      <c r="A368" t="s">
        <v>775</v>
      </c>
      <c r="B368" t="s">
        <v>183</v>
      </c>
      <c r="C368" t="s">
        <v>580</v>
      </c>
      <c r="D368" t="s">
        <v>778</v>
      </c>
      <c r="E368" t="s">
        <v>779</v>
      </c>
      <c r="F368" t="s">
        <v>582</v>
      </c>
      <c r="G368" t="s">
        <v>25</v>
      </c>
      <c r="H368" t="s">
        <v>26</v>
      </c>
      <c r="I368" t="s">
        <v>39</v>
      </c>
      <c r="J368" t="s">
        <v>724</v>
      </c>
      <c r="K368" t="s">
        <v>29</v>
      </c>
      <c r="L368" t="s">
        <v>724</v>
      </c>
      <c r="M368" t="s">
        <v>95</v>
      </c>
      <c r="N368" t="s">
        <v>56</v>
      </c>
    </row>
    <row r="369" spans="1:14">
      <c r="A369" t="s">
        <v>780</v>
      </c>
      <c r="B369" t="s">
        <v>183</v>
      </c>
      <c r="C369" t="s">
        <v>580</v>
      </c>
      <c r="D369" t="s">
        <v>781</v>
      </c>
      <c r="E369" t="s">
        <v>782</v>
      </c>
      <c r="F369" t="s">
        <v>582</v>
      </c>
      <c r="G369" t="s">
        <v>25</v>
      </c>
      <c r="H369" t="s">
        <v>26</v>
      </c>
      <c r="I369" t="s">
        <v>39</v>
      </c>
      <c r="J369" t="s">
        <v>724</v>
      </c>
      <c r="K369" t="s">
        <v>29</v>
      </c>
      <c r="L369" t="s">
        <v>724</v>
      </c>
      <c r="M369" t="s">
        <v>40</v>
      </c>
      <c r="N369" t="s">
        <v>41</v>
      </c>
    </row>
    <row r="370" spans="1:14">
      <c r="A370" t="s">
        <v>596</v>
      </c>
      <c r="B370" t="s">
        <v>183</v>
      </c>
      <c r="C370" t="s">
        <v>229</v>
      </c>
      <c r="D370" t="s">
        <v>813</v>
      </c>
      <c r="E370" t="s">
        <v>814</v>
      </c>
      <c r="F370" t="s">
        <v>232</v>
      </c>
      <c r="G370" t="s">
        <v>25</v>
      </c>
      <c r="H370" t="s">
        <v>26</v>
      </c>
      <c r="I370" t="s">
        <v>39</v>
      </c>
      <c r="J370" t="s">
        <v>724</v>
      </c>
      <c r="K370" t="s">
        <v>67</v>
      </c>
      <c r="L370" t="s">
        <v>724</v>
      </c>
      <c r="M370" t="s">
        <v>95</v>
      </c>
      <c r="N370" t="s">
        <v>56</v>
      </c>
    </row>
    <row r="371" spans="1:14">
      <c r="A371" t="s">
        <v>827</v>
      </c>
      <c r="B371" t="s">
        <v>183</v>
      </c>
      <c r="C371" t="s">
        <v>229</v>
      </c>
      <c r="D371" t="s">
        <v>828</v>
      </c>
      <c r="E371" t="s">
        <v>829</v>
      </c>
      <c r="F371" t="s">
        <v>232</v>
      </c>
      <c r="G371" t="s">
        <v>25</v>
      </c>
      <c r="H371" t="s">
        <v>26</v>
      </c>
      <c r="I371" t="s">
        <v>82</v>
      </c>
      <c r="J371" t="s">
        <v>724</v>
      </c>
      <c r="K371" t="s">
        <v>106</v>
      </c>
      <c r="L371" t="s">
        <v>724</v>
      </c>
      <c r="M371" t="s">
        <v>57</v>
      </c>
      <c r="N371" t="s">
        <v>58</v>
      </c>
    </row>
    <row r="372" spans="1:14">
      <c r="A372" t="s">
        <v>613</v>
      </c>
      <c r="B372" t="s">
        <v>183</v>
      </c>
      <c r="C372" t="s">
        <v>229</v>
      </c>
      <c r="D372" t="s">
        <v>830</v>
      </c>
      <c r="E372" t="s">
        <v>831</v>
      </c>
      <c r="F372" t="s">
        <v>232</v>
      </c>
      <c r="G372" t="s">
        <v>25</v>
      </c>
      <c r="H372" t="s">
        <v>38</v>
      </c>
      <c r="I372" t="s">
        <v>82</v>
      </c>
      <c r="J372" t="s">
        <v>724</v>
      </c>
      <c r="K372" t="s">
        <v>67</v>
      </c>
      <c r="L372" t="s">
        <v>724</v>
      </c>
      <c r="M372" t="s">
        <v>122</v>
      </c>
      <c r="N372" t="s">
        <v>39</v>
      </c>
    </row>
    <row r="373" spans="1:14">
      <c r="A373" t="s">
        <v>613</v>
      </c>
      <c r="B373" t="s">
        <v>183</v>
      </c>
      <c r="C373" t="s">
        <v>229</v>
      </c>
      <c r="D373" t="s">
        <v>832</v>
      </c>
      <c r="E373" t="s">
        <v>833</v>
      </c>
      <c r="F373" t="s">
        <v>232</v>
      </c>
      <c r="G373" t="s">
        <v>25</v>
      </c>
      <c r="H373" t="s">
        <v>26</v>
      </c>
      <c r="I373" t="s">
        <v>82</v>
      </c>
      <c r="J373" t="s">
        <v>724</v>
      </c>
      <c r="K373" t="s">
        <v>106</v>
      </c>
      <c r="L373" t="s">
        <v>724</v>
      </c>
      <c r="M373" t="s">
        <v>76</v>
      </c>
      <c r="N373" t="s">
        <v>77</v>
      </c>
    </row>
    <row r="374" spans="1:14">
      <c r="A374" t="s">
        <v>834</v>
      </c>
      <c r="B374" t="s">
        <v>183</v>
      </c>
      <c r="C374" t="s">
        <v>580</v>
      </c>
      <c r="D374" t="s">
        <v>835</v>
      </c>
      <c r="E374" t="s">
        <v>836</v>
      </c>
      <c r="F374" t="s">
        <v>582</v>
      </c>
      <c r="G374" t="s">
        <v>25</v>
      </c>
      <c r="H374" t="s">
        <v>26</v>
      </c>
      <c r="I374" t="s">
        <v>39</v>
      </c>
      <c r="J374" t="s">
        <v>724</v>
      </c>
      <c r="K374" t="s">
        <v>29</v>
      </c>
      <c r="L374" t="s">
        <v>724</v>
      </c>
      <c r="M374" t="s">
        <v>40</v>
      </c>
      <c r="N374" t="s">
        <v>41</v>
      </c>
    </row>
    <row r="375" spans="1:14">
      <c r="A375" t="s">
        <v>837</v>
      </c>
      <c r="B375" t="s">
        <v>183</v>
      </c>
      <c r="C375" t="s">
        <v>580</v>
      </c>
      <c r="D375" t="s">
        <v>838</v>
      </c>
      <c r="E375" t="s">
        <v>839</v>
      </c>
      <c r="F375" t="s">
        <v>582</v>
      </c>
      <c r="G375" t="s">
        <v>116</v>
      </c>
      <c r="H375" t="s">
        <v>26</v>
      </c>
      <c r="I375" t="s">
        <v>39</v>
      </c>
      <c r="J375" t="s">
        <v>724</v>
      </c>
      <c r="K375" t="s">
        <v>29</v>
      </c>
      <c r="L375" t="s">
        <v>724</v>
      </c>
      <c r="M375" t="s">
        <v>419</v>
      </c>
      <c r="N375" t="s">
        <v>66</v>
      </c>
    </row>
    <row r="376" spans="1:14">
      <c r="A376" t="s">
        <v>626</v>
      </c>
      <c r="B376" t="s">
        <v>183</v>
      </c>
      <c r="C376" t="s">
        <v>229</v>
      </c>
      <c r="D376" t="s">
        <v>840</v>
      </c>
      <c r="E376" t="s">
        <v>841</v>
      </c>
      <c r="F376" t="s">
        <v>232</v>
      </c>
      <c r="G376" t="s">
        <v>25</v>
      </c>
      <c r="H376" t="s">
        <v>38</v>
      </c>
      <c r="I376" t="s">
        <v>39</v>
      </c>
      <c r="J376" t="s">
        <v>724</v>
      </c>
      <c r="K376" t="s">
        <v>67</v>
      </c>
      <c r="L376" t="s">
        <v>724</v>
      </c>
      <c r="M376" t="s">
        <v>126</v>
      </c>
      <c r="N376" t="s">
        <v>127</v>
      </c>
    </row>
    <row r="377" spans="1:14">
      <c r="A377" t="s">
        <v>842</v>
      </c>
      <c r="B377" t="s">
        <v>183</v>
      </c>
      <c r="C377" t="s">
        <v>229</v>
      </c>
      <c r="D377" t="s">
        <v>843</v>
      </c>
      <c r="E377" t="s">
        <v>841</v>
      </c>
      <c r="F377" t="s">
        <v>232</v>
      </c>
      <c r="G377" t="s">
        <v>25</v>
      </c>
      <c r="H377" t="s">
        <v>38</v>
      </c>
      <c r="I377" t="s">
        <v>39</v>
      </c>
      <c r="J377" t="s">
        <v>724</v>
      </c>
      <c r="K377" t="s">
        <v>67</v>
      </c>
      <c r="L377" t="s">
        <v>724</v>
      </c>
      <c r="M377" t="s">
        <v>95</v>
      </c>
      <c r="N377" t="s">
        <v>56</v>
      </c>
    </row>
    <row r="378" spans="1:14">
      <c r="A378" t="s">
        <v>632</v>
      </c>
      <c r="B378" t="s">
        <v>183</v>
      </c>
      <c r="C378" t="s">
        <v>229</v>
      </c>
      <c r="D378" t="s">
        <v>844</v>
      </c>
      <c r="E378" t="s">
        <v>845</v>
      </c>
      <c r="F378" t="s">
        <v>232</v>
      </c>
      <c r="G378" t="s">
        <v>25</v>
      </c>
      <c r="H378" t="s">
        <v>38</v>
      </c>
      <c r="I378" t="s">
        <v>39</v>
      </c>
      <c r="J378" t="s">
        <v>724</v>
      </c>
      <c r="K378" t="s">
        <v>106</v>
      </c>
      <c r="L378" t="s">
        <v>724</v>
      </c>
      <c r="M378" t="s">
        <v>40</v>
      </c>
      <c r="N378" t="s">
        <v>41</v>
      </c>
    </row>
    <row r="379" spans="1:14">
      <c r="A379" t="s">
        <v>846</v>
      </c>
      <c r="B379" t="s">
        <v>183</v>
      </c>
      <c r="C379" t="s">
        <v>229</v>
      </c>
      <c r="D379" t="s">
        <v>847</v>
      </c>
      <c r="E379" t="s">
        <v>848</v>
      </c>
      <c r="F379" t="s">
        <v>232</v>
      </c>
      <c r="G379" t="s">
        <v>25</v>
      </c>
      <c r="H379" t="s">
        <v>26</v>
      </c>
      <c r="I379" t="s">
        <v>82</v>
      </c>
      <c r="J379" t="s">
        <v>724</v>
      </c>
      <c r="K379" t="s">
        <v>106</v>
      </c>
      <c r="L379" t="s">
        <v>724</v>
      </c>
      <c r="M379" t="s">
        <v>126</v>
      </c>
      <c r="N379" t="s">
        <v>127</v>
      </c>
    </row>
    <row r="380" spans="1:14">
      <c r="A380" t="s">
        <v>849</v>
      </c>
      <c r="B380" t="s">
        <v>183</v>
      </c>
      <c r="C380" t="s">
        <v>229</v>
      </c>
      <c r="D380" t="s">
        <v>850</v>
      </c>
      <c r="E380" t="s">
        <v>851</v>
      </c>
      <c r="F380" t="s">
        <v>232</v>
      </c>
      <c r="G380" t="s">
        <v>25</v>
      </c>
      <c r="H380" t="s">
        <v>26</v>
      </c>
      <c r="I380" t="s">
        <v>39</v>
      </c>
      <c r="J380" t="s">
        <v>724</v>
      </c>
      <c r="K380" t="s">
        <v>106</v>
      </c>
      <c r="L380" t="s">
        <v>724</v>
      </c>
      <c r="M380" t="s">
        <v>72</v>
      </c>
      <c r="N380" t="s">
        <v>73</v>
      </c>
    </row>
    <row r="381" spans="1:14">
      <c r="A381" t="s">
        <v>852</v>
      </c>
      <c r="B381" t="s">
        <v>183</v>
      </c>
      <c r="C381" t="s">
        <v>229</v>
      </c>
      <c r="D381" t="s">
        <v>853</v>
      </c>
      <c r="E381" t="s">
        <v>854</v>
      </c>
      <c r="F381" t="s">
        <v>232</v>
      </c>
      <c r="G381" t="s">
        <v>25</v>
      </c>
      <c r="H381" t="s">
        <v>38</v>
      </c>
      <c r="I381" t="s">
        <v>39</v>
      </c>
      <c r="J381" t="s">
        <v>724</v>
      </c>
      <c r="K381" t="s">
        <v>67</v>
      </c>
      <c r="L381" t="s">
        <v>724</v>
      </c>
      <c r="M381" t="s">
        <v>122</v>
      </c>
      <c r="N381" t="s">
        <v>39</v>
      </c>
    </row>
    <row r="382" spans="1:14">
      <c r="A382" t="s">
        <v>855</v>
      </c>
      <c r="B382" t="s">
        <v>183</v>
      </c>
      <c r="C382" t="s">
        <v>111</v>
      </c>
      <c r="D382" t="s">
        <v>856</v>
      </c>
      <c r="E382" t="s">
        <v>857</v>
      </c>
      <c r="F382" t="s">
        <v>114</v>
      </c>
      <c r="G382" t="s">
        <v>25</v>
      </c>
      <c r="H382" t="s">
        <v>26</v>
      </c>
      <c r="I382" t="s">
        <v>39</v>
      </c>
      <c r="J382" t="s">
        <v>724</v>
      </c>
      <c r="K382" t="s">
        <v>67</v>
      </c>
      <c r="L382" t="s">
        <v>724</v>
      </c>
      <c r="M382" t="s">
        <v>72</v>
      </c>
      <c r="N382" t="s">
        <v>73</v>
      </c>
    </row>
    <row r="383" spans="1:14">
      <c r="A383" t="s">
        <v>861</v>
      </c>
      <c r="B383" t="s">
        <v>183</v>
      </c>
      <c r="C383" t="s">
        <v>111</v>
      </c>
      <c r="D383" t="s">
        <v>862</v>
      </c>
      <c r="E383" t="s">
        <v>863</v>
      </c>
      <c r="F383" t="s">
        <v>114</v>
      </c>
      <c r="G383" t="s">
        <v>116</v>
      </c>
      <c r="H383" t="s">
        <v>26</v>
      </c>
      <c r="I383" t="s">
        <v>99</v>
      </c>
      <c r="J383" t="s">
        <v>724</v>
      </c>
      <c r="K383" t="s">
        <v>67</v>
      </c>
      <c r="L383" t="s">
        <v>724</v>
      </c>
      <c r="M383" t="s">
        <v>57</v>
      </c>
      <c r="N383" t="s">
        <v>58</v>
      </c>
    </row>
    <row r="384" spans="1:14">
      <c r="A384" t="s">
        <v>867</v>
      </c>
      <c r="B384" t="s">
        <v>183</v>
      </c>
      <c r="C384" t="s">
        <v>46</v>
      </c>
      <c r="D384" t="s">
        <v>868</v>
      </c>
      <c r="E384" t="s">
        <v>869</v>
      </c>
      <c r="F384" t="s">
        <v>49</v>
      </c>
      <c r="G384" t="s">
        <v>25</v>
      </c>
      <c r="H384" t="s">
        <v>26</v>
      </c>
      <c r="I384" t="s">
        <v>39</v>
      </c>
      <c r="J384" t="s">
        <v>724</v>
      </c>
      <c r="K384" t="s">
        <v>29</v>
      </c>
      <c r="L384" t="s">
        <v>724</v>
      </c>
      <c r="M384" t="s">
        <v>122</v>
      </c>
      <c r="N384" t="s">
        <v>39</v>
      </c>
    </row>
    <row r="385" spans="1:14">
      <c r="A385" t="s">
        <v>873</v>
      </c>
      <c r="B385" t="s">
        <v>183</v>
      </c>
      <c r="C385" t="s">
        <v>46</v>
      </c>
      <c r="D385" t="s">
        <v>874</v>
      </c>
      <c r="E385" t="s">
        <v>875</v>
      </c>
      <c r="F385" t="s">
        <v>49</v>
      </c>
      <c r="G385" t="s">
        <v>116</v>
      </c>
      <c r="H385" t="s">
        <v>26</v>
      </c>
      <c r="I385" t="s">
        <v>82</v>
      </c>
      <c r="J385" t="s">
        <v>724</v>
      </c>
      <c r="K385" t="s">
        <v>29</v>
      </c>
      <c r="L385" t="s">
        <v>724</v>
      </c>
      <c r="M385" t="s">
        <v>122</v>
      </c>
      <c r="N385" t="s">
        <v>39</v>
      </c>
    </row>
    <row r="386" spans="1:14">
      <c r="A386" t="s">
        <v>876</v>
      </c>
      <c r="B386" t="s">
        <v>183</v>
      </c>
      <c r="C386" t="s">
        <v>46</v>
      </c>
      <c r="D386" t="s">
        <v>877</v>
      </c>
      <c r="E386" t="s">
        <v>875</v>
      </c>
      <c r="F386" t="s">
        <v>49</v>
      </c>
      <c r="G386" t="s">
        <v>116</v>
      </c>
      <c r="H386" t="s">
        <v>26</v>
      </c>
      <c r="I386" t="s">
        <v>82</v>
      </c>
      <c r="J386" t="s">
        <v>724</v>
      </c>
      <c r="K386" t="s">
        <v>29</v>
      </c>
      <c r="L386" t="s">
        <v>724</v>
      </c>
      <c r="M386" t="s">
        <v>76</v>
      </c>
      <c r="N386" t="s">
        <v>77</v>
      </c>
    </row>
    <row r="387" spans="1:14">
      <c r="A387" t="s">
        <v>891</v>
      </c>
      <c r="B387" t="s">
        <v>183</v>
      </c>
      <c r="C387" t="s">
        <v>266</v>
      </c>
      <c r="D387" t="s">
        <v>892</v>
      </c>
      <c r="E387" t="s">
        <v>893</v>
      </c>
      <c r="F387" t="s">
        <v>269</v>
      </c>
      <c r="G387" t="s">
        <v>25</v>
      </c>
      <c r="H387" t="s">
        <v>26</v>
      </c>
      <c r="I387" t="s">
        <v>39</v>
      </c>
      <c r="J387" t="s">
        <v>724</v>
      </c>
      <c r="K387" t="s">
        <v>29</v>
      </c>
      <c r="L387" t="s">
        <v>724</v>
      </c>
      <c r="M387" t="s">
        <v>76</v>
      </c>
      <c r="N387" t="s">
        <v>77</v>
      </c>
    </row>
    <row r="388" spans="1:14">
      <c r="A388" t="s">
        <v>894</v>
      </c>
      <c r="B388" t="s">
        <v>183</v>
      </c>
      <c r="C388" t="s">
        <v>266</v>
      </c>
      <c r="D388" t="s">
        <v>895</v>
      </c>
      <c r="E388" t="s">
        <v>896</v>
      </c>
      <c r="F388" t="s">
        <v>269</v>
      </c>
      <c r="G388" t="s">
        <v>25</v>
      </c>
      <c r="H388" t="s">
        <v>26</v>
      </c>
      <c r="I388" t="s">
        <v>39</v>
      </c>
      <c r="J388" t="s">
        <v>724</v>
      </c>
      <c r="K388" t="s">
        <v>29</v>
      </c>
      <c r="L388" t="s">
        <v>724</v>
      </c>
      <c r="M388" t="s">
        <v>30</v>
      </c>
      <c r="N388" t="s">
        <v>31</v>
      </c>
    </row>
    <row r="389" spans="1:14">
      <c r="A389" t="s">
        <v>897</v>
      </c>
      <c r="B389" t="s">
        <v>183</v>
      </c>
      <c r="C389" t="s">
        <v>266</v>
      </c>
      <c r="D389" t="s">
        <v>898</v>
      </c>
      <c r="E389" t="s">
        <v>899</v>
      </c>
      <c r="F389" t="s">
        <v>269</v>
      </c>
      <c r="G389" t="s">
        <v>25</v>
      </c>
      <c r="H389" t="s">
        <v>26</v>
      </c>
      <c r="I389" t="s">
        <v>39</v>
      </c>
      <c r="J389" t="s">
        <v>724</v>
      </c>
      <c r="K389" t="s">
        <v>29</v>
      </c>
      <c r="L389" t="s">
        <v>724</v>
      </c>
      <c r="M389" t="s">
        <v>122</v>
      </c>
      <c r="N389" t="s">
        <v>39</v>
      </c>
    </row>
    <row r="390" spans="1:14">
      <c r="A390" t="s">
        <v>900</v>
      </c>
      <c r="B390" t="s">
        <v>183</v>
      </c>
      <c r="C390" t="s">
        <v>266</v>
      </c>
      <c r="D390" t="s">
        <v>901</v>
      </c>
      <c r="E390" t="s">
        <v>902</v>
      </c>
      <c r="F390" t="s">
        <v>269</v>
      </c>
      <c r="G390" t="s">
        <v>25</v>
      </c>
      <c r="H390" t="s">
        <v>38</v>
      </c>
      <c r="I390" t="s">
        <v>39</v>
      </c>
      <c r="J390" t="s">
        <v>724</v>
      </c>
      <c r="K390" t="s">
        <v>29</v>
      </c>
      <c r="L390" t="s">
        <v>724</v>
      </c>
      <c r="M390" t="s">
        <v>122</v>
      </c>
      <c r="N390" t="s">
        <v>39</v>
      </c>
    </row>
    <row r="391" spans="1:14">
      <c r="A391" t="s">
        <v>903</v>
      </c>
      <c r="B391" t="s">
        <v>183</v>
      </c>
      <c r="C391" t="s">
        <v>266</v>
      </c>
      <c r="D391" t="s">
        <v>904</v>
      </c>
      <c r="E391" t="s">
        <v>905</v>
      </c>
      <c r="F391" t="s">
        <v>269</v>
      </c>
      <c r="G391" t="s">
        <v>25</v>
      </c>
      <c r="H391" t="s">
        <v>26</v>
      </c>
      <c r="I391" t="s">
        <v>39</v>
      </c>
      <c r="J391" t="s">
        <v>724</v>
      </c>
      <c r="K391" t="s">
        <v>29</v>
      </c>
      <c r="L391" t="s">
        <v>724</v>
      </c>
      <c r="M391" t="s">
        <v>122</v>
      </c>
      <c r="N391" t="s">
        <v>39</v>
      </c>
    </row>
    <row r="392" spans="1:14">
      <c r="A392" t="s">
        <v>903</v>
      </c>
      <c r="B392" t="s">
        <v>183</v>
      </c>
      <c r="C392" t="s">
        <v>266</v>
      </c>
      <c r="D392" t="s">
        <v>906</v>
      </c>
      <c r="E392" t="s">
        <v>907</v>
      </c>
      <c r="F392" t="s">
        <v>269</v>
      </c>
      <c r="G392" t="s">
        <v>25</v>
      </c>
      <c r="H392" t="s">
        <v>26</v>
      </c>
      <c r="I392" t="s">
        <v>39</v>
      </c>
      <c r="J392" t="s">
        <v>724</v>
      </c>
      <c r="K392" t="s">
        <v>29</v>
      </c>
      <c r="L392" t="s">
        <v>724</v>
      </c>
      <c r="M392" t="s">
        <v>95</v>
      </c>
      <c r="N392" t="s">
        <v>56</v>
      </c>
    </row>
    <row r="393" spans="1:14">
      <c r="A393" t="s">
        <v>908</v>
      </c>
      <c r="B393" t="s">
        <v>183</v>
      </c>
      <c r="C393" t="s">
        <v>266</v>
      </c>
      <c r="D393" t="s">
        <v>909</v>
      </c>
      <c r="E393" t="s">
        <v>910</v>
      </c>
      <c r="F393" t="s">
        <v>269</v>
      </c>
      <c r="G393" t="s">
        <v>25</v>
      </c>
      <c r="H393" t="s">
        <v>26</v>
      </c>
      <c r="I393" t="s">
        <v>39</v>
      </c>
      <c r="J393" t="s">
        <v>724</v>
      </c>
      <c r="K393" t="s">
        <v>29</v>
      </c>
      <c r="L393" t="s">
        <v>724</v>
      </c>
      <c r="M393" t="s">
        <v>95</v>
      </c>
      <c r="N393" t="s">
        <v>56</v>
      </c>
    </row>
    <row r="394" spans="1:14">
      <c r="A394" t="s">
        <v>911</v>
      </c>
      <c r="B394" t="s">
        <v>183</v>
      </c>
      <c r="C394" t="s">
        <v>266</v>
      </c>
      <c r="D394" t="s">
        <v>912</v>
      </c>
      <c r="E394" t="s">
        <v>913</v>
      </c>
      <c r="F394" t="s">
        <v>269</v>
      </c>
      <c r="G394" t="s">
        <v>25</v>
      </c>
      <c r="H394" t="s">
        <v>26</v>
      </c>
      <c r="I394" t="s">
        <v>39</v>
      </c>
      <c r="J394" t="s">
        <v>724</v>
      </c>
      <c r="K394" t="s">
        <v>67</v>
      </c>
      <c r="L394" t="s">
        <v>724</v>
      </c>
      <c r="M394" t="s">
        <v>122</v>
      </c>
      <c r="N394" t="s">
        <v>39</v>
      </c>
    </row>
    <row r="395" spans="1:14">
      <c r="A395" t="s">
        <v>914</v>
      </c>
      <c r="B395" t="s">
        <v>183</v>
      </c>
      <c r="C395" t="s">
        <v>266</v>
      </c>
      <c r="D395" t="s">
        <v>915</v>
      </c>
      <c r="E395" t="s">
        <v>916</v>
      </c>
      <c r="F395" t="s">
        <v>269</v>
      </c>
      <c r="G395" t="s">
        <v>25</v>
      </c>
      <c r="H395" t="s">
        <v>26</v>
      </c>
      <c r="I395" t="s">
        <v>39</v>
      </c>
      <c r="J395" t="s">
        <v>724</v>
      </c>
      <c r="K395" t="s">
        <v>29</v>
      </c>
      <c r="L395" t="s">
        <v>724</v>
      </c>
      <c r="M395" t="s">
        <v>122</v>
      </c>
      <c r="N395" t="s">
        <v>39</v>
      </c>
    </row>
    <row r="396" spans="1:14">
      <c r="A396" t="s">
        <v>917</v>
      </c>
      <c r="B396" t="s">
        <v>183</v>
      </c>
      <c r="C396" t="s">
        <v>266</v>
      </c>
      <c r="D396" t="s">
        <v>918</v>
      </c>
      <c r="E396" t="s">
        <v>919</v>
      </c>
      <c r="F396" t="s">
        <v>269</v>
      </c>
      <c r="G396" t="s">
        <v>25</v>
      </c>
      <c r="H396" t="s">
        <v>26</v>
      </c>
      <c r="I396" t="s">
        <v>39</v>
      </c>
      <c r="J396" t="s">
        <v>724</v>
      </c>
      <c r="K396" t="s">
        <v>29</v>
      </c>
      <c r="L396" t="s">
        <v>724</v>
      </c>
      <c r="M396" t="s">
        <v>122</v>
      </c>
      <c r="N396" t="s">
        <v>39</v>
      </c>
    </row>
    <row r="397" spans="1:14">
      <c r="A397" t="s">
        <v>920</v>
      </c>
      <c r="B397" t="s">
        <v>183</v>
      </c>
      <c r="C397" t="s">
        <v>266</v>
      </c>
      <c r="D397" t="s">
        <v>921</v>
      </c>
      <c r="E397" t="s">
        <v>922</v>
      </c>
      <c r="F397" t="s">
        <v>269</v>
      </c>
      <c r="G397" t="s">
        <v>25</v>
      </c>
      <c r="H397" t="s">
        <v>26</v>
      </c>
      <c r="I397" t="s">
        <v>39</v>
      </c>
      <c r="J397" t="s">
        <v>724</v>
      </c>
      <c r="K397" t="s">
        <v>29</v>
      </c>
      <c r="L397" t="s">
        <v>724</v>
      </c>
      <c r="M397" t="s">
        <v>122</v>
      </c>
      <c r="N397" t="s">
        <v>39</v>
      </c>
    </row>
    <row r="398" spans="1:14">
      <c r="A398" t="s">
        <v>923</v>
      </c>
      <c r="B398" t="s">
        <v>183</v>
      </c>
      <c r="C398" t="s">
        <v>266</v>
      </c>
      <c r="D398" t="s">
        <v>924</v>
      </c>
      <c r="E398" t="s">
        <v>925</v>
      </c>
      <c r="F398" t="s">
        <v>269</v>
      </c>
      <c r="G398" t="s">
        <v>25</v>
      </c>
      <c r="H398" t="s">
        <v>26</v>
      </c>
      <c r="I398" t="s">
        <v>39</v>
      </c>
      <c r="J398" t="s">
        <v>724</v>
      </c>
      <c r="K398" t="s">
        <v>29</v>
      </c>
      <c r="L398" t="s">
        <v>724</v>
      </c>
      <c r="M398" t="s">
        <v>122</v>
      </c>
      <c r="N398" t="s">
        <v>39</v>
      </c>
    </row>
    <row r="399" spans="1:14">
      <c r="A399" t="s">
        <v>935</v>
      </c>
      <c r="B399" t="s">
        <v>183</v>
      </c>
      <c r="C399" t="s">
        <v>266</v>
      </c>
      <c r="D399" t="s">
        <v>936</v>
      </c>
      <c r="E399" t="s">
        <v>937</v>
      </c>
      <c r="F399" t="s">
        <v>269</v>
      </c>
      <c r="G399" t="s">
        <v>116</v>
      </c>
      <c r="H399" t="s">
        <v>26</v>
      </c>
      <c r="I399" t="s">
        <v>39</v>
      </c>
      <c r="J399" t="s">
        <v>724</v>
      </c>
      <c r="K399" t="s">
        <v>29</v>
      </c>
      <c r="L399" t="s">
        <v>724</v>
      </c>
      <c r="M399" t="s">
        <v>52</v>
      </c>
      <c r="N399" t="s">
        <v>53</v>
      </c>
    </row>
    <row r="400" spans="1:14">
      <c r="A400" t="s">
        <v>938</v>
      </c>
      <c r="B400" t="s">
        <v>183</v>
      </c>
      <c r="C400" t="s">
        <v>266</v>
      </c>
      <c r="D400" t="s">
        <v>939</v>
      </c>
      <c r="E400" t="s">
        <v>940</v>
      </c>
      <c r="F400" t="s">
        <v>269</v>
      </c>
      <c r="G400" t="s">
        <v>116</v>
      </c>
      <c r="H400" t="s">
        <v>26</v>
      </c>
      <c r="I400" t="s">
        <v>39</v>
      </c>
      <c r="J400" t="s">
        <v>724</v>
      </c>
      <c r="K400" t="s">
        <v>29</v>
      </c>
      <c r="L400" t="s">
        <v>724</v>
      </c>
      <c r="M400" t="s">
        <v>122</v>
      </c>
      <c r="N400" t="s">
        <v>39</v>
      </c>
    </row>
    <row r="401" spans="1:14">
      <c r="A401" t="s">
        <v>941</v>
      </c>
      <c r="B401" t="s">
        <v>183</v>
      </c>
      <c r="C401" t="s">
        <v>266</v>
      </c>
      <c r="D401" t="s">
        <v>942</v>
      </c>
      <c r="E401" t="s">
        <v>943</v>
      </c>
      <c r="F401" t="s">
        <v>269</v>
      </c>
      <c r="G401" t="s">
        <v>116</v>
      </c>
      <c r="H401" t="s">
        <v>26</v>
      </c>
      <c r="I401" t="s">
        <v>39</v>
      </c>
      <c r="J401" t="s">
        <v>724</v>
      </c>
      <c r="K401" t="s">
        <v>29</v>
      </c>
      <c r="L401" t="s">
        <v>724</v>
      </c>
      <c r="M401" t="s">
        <v>52</v>
      </c>
      <c r="N401" t="s">
        <v>53</v>
      </c>
    </row>
    <row r="402" spans="1:14">
      <c r="A402" t="s">
        <v>944</v>
      </c>
      <c r="B402" t="s">
        <v>183</v>
      </c>
      <c r="C402" t="s">
        <v>266</v>
      </c>
      <c r="D402" t="s">
        <v>945</v>
      </c>
      <c r="E402" t="s">
        <v>946</v>
      </c>
      <c r="F402" t="s">
        <v>269</v>
      </c>
      <c r="G402" t="s">
        <v>116</v>
      </c>
      <c r="H402" t="s">
        <v>26</v>
      </c>
      <c r="I402" t="s">
        <v>39</v>
      </c>
      <c r="J402" t="s">
        <v>724</v>
      </c>
      <c r="K402" t="s">
        <v>29</v>
      </c>
      <c r="L402" t="s">
        <v>724</v>
      </c>
      <c r="M402" t="s">
        <v>122</v>
      </c>
      <c r="N402" t="s">
        <v>39</v>
      </c>
    </row>
    <row r="403" spans="1:14">
      <c r="A403" t="s">
        <v>956</v>
      </c>
      <c r="B403" t="s">
        <v>183</v>
      </c>
      <c r="C403" t="s">
        <v>111</v>
      </c>
      <c r="D403" t="s">
        <v>957</v>
      </c>
      <c r="E403" t="s">
        <v>958</v>
      </c>
      <c r="F403" t="s">
        <v>114</v>
      </c>
      <c r="G403" t="s">
        <v>25</v>
      </c>
      <c r="H403" t="s">
        <v>26</v>
      </c>
      <c r="I403" t="s">
        <v>39</v>
      </c>
      <c r="J403" t="s">
        <v>724</v>
      </c>
      <c r="K403" t="s">
        <v>67</v>
      </c>
      <c r="L403" t="s">
        <v>724</v>
      </c>
      <c r="M403" t="s">
        <v>95</v>
      </c>
      <c r="N403" t="s">
        <v>56</v>
      </c>
    </row>
    <row r="404" spans="1:14">
      <c r="A404" t="s">
        <v>956</v>
      </c>
      <c r="B404" t="s">
        <v>183</v>
      </c>
      <c r="C404" t="s">
        <v>111</v>
      </c>
      <c r="D404" t="s">
        <v>959</v>
      </c>
      <c r="E404" t="s">
        <v>960</v>
      </c>
      <c r="F404" t="s">
        <v>114</v>
      </c>
      <c r="G404" t="s">
        <v>25</v>
      </c>
      <c r="H404" t="s">
        <v>38</v>
      </c>
      <c r="I404" t="s">
        <v>27</v>
      </c>
      <c r="J404" t="s">
        <v>724</v>
      </c>
      <c r="K404" t="s">
        <v>29</v>
      </c>
      <c r="L404" t="s">
        <v>724</v>
      </c>
      <c r="M404" t="s">
        <v>40</v>
      </c>
      <c r="N404" t="s">
        <v>41</v>
      </c>
    </row>
    <row r="405" spans="1:14">
      <c r="A405" t="s">
        <v>380</v>
      </c>
      <c r="B405" t="s">
        <v>183</v>
      </c>
      <c r="C405" t="s">
        <v>111</v>
      </c>
      <c r="D405" t="s">
        <v>961</v>
      </c>
      <c r="E405" t="s">
        <v>962</v>
      </c>
      <c r="F405" t="s">
        <v>114</v>
      </c>
      <c r="G405" t="s">
        <v>25</v>
      </c>
      <c r="H405" t="s">
        <v>38</v>
      </c>
      <c r="I405" t="s">
        <v>82</v>
      </c>
      <c r="J405" t="s">
        <v>724</v>
      </c>
      <c r="K405" t="s">
        <v>67</v>
      </c>
      <c r="L405" t="s">
        <v>724</v>
      </c>
      <c r="M405" t="s">
        <v>76</v>
      </c>
      <c r="N405" t="s">
        <v>77</v>
      </c>
    </row>
    <row r="406" spans="1:14">
      <c r="A406" t="s">
        <v>383</v>
      </c>
      <c r="B406" t="s">
        <v>183</v>
      </c>
      <c r="C406" t="s">
        <v>111</v>
      </c>
      <c r="D406" t="s">
        <v>963</v>
      </c>
      <c r="E406" t="s">
        <v>964</v>
      </c>
      <c r="F406" t="s">
        <v>114</v>
      </c>
      <c r="G406" t="s">
        <v>25</v>
      </c>
      <c r="H406" t="s">
        <v>26</v>
      </c>
      <c r="I406" t="s">
        <v>39</v>
      </c>
      <c r="J406" t="s">
        <v>724</v>
      </c>
      <c r="K406" t="s">
        <v>67</v>
      </c>
      <c r="L406" t="s">
        <v>724</v>
      </c>
      <c r="M406" t="s">
        <v>68</v>
      </c>
      <c r="N406" t="s">
        <v>69</v>
      </c>
    </row>
    <row r="407" spans="1:14">
      <c r="A407" t="s">
        <v>383</v>
      </c>
      <c r="B407" t="s">
        <v>183</v>
      </c>
      <c r="C407" t="s">
        <v>111</v>
      </c>
      <c r="D407" t="s">
        <v>965</v>
      </c>
      <c r="E407" t="s">
        <v>966</v>
      </c>
      <c r="F407" t="s">
        <v>114</v>
      </c>
      <c r="G407" t="s">
        <v>25</v>
      </c>
      <c r="H407" t="s">
        <v>38</v>
      </c>
      <c r="I407" t="s">
        <v>27</v>
      </c>
      <c r="J407" t="s">
        <v>724</v>
      </c>
      <c r="K407" t="s">
        <v>29</v>
      </c>
      <c r="L407" t="s">
        <v>724</v>
      </c>
      <c r="M407" t="s">
        <v>40</v>
      </c>
      <c r="N407" t="s">
        <v>41</v>
      </c>
    </row>
    <row r="408" spans="1:14">
      <c r="A408" t="s">
        <v>383</v>
      </c>
      <c r="B408" t="s">
        <v>183</v>
      </c>
      <c r="C408" t="s">
        <v>111</v>
      </c>
      <c r="D408" t="s">
        <v>967</v>
      </c>
      <c r="E408" t="s">
        <v>968</v>
      </c>
      <c r="F408" t="s">
        <v>114</v>
      </c>
      <c r="G408" t="s">
        <v>25</v>
      </c>
      <c r="H408" t="s">
        <v>38</v>
      </c>
      <c r="I408" t="s">
        <v>203</v>
      </c>
      <c r="J408" t="s">
        <v>724</v>
      </c>
      <c r="K408" t="s">
        <v>67</v>
      </c>
      <c r="L408" t="s">
        <v>724</v>
      </c>
      <c r="M408" t="s">
        <v>40</v>
      </c>
      <c r="N408" t="s">
        <v>41</v>
      </c>
    </row>
    <row r="409" spans="1:14">
      <c r="A409" t="s">
        <v>383</v>
      </c>
      <c r="B409" t="s">
        <v>183</v>
      </c>
      <c r="C409" t="s">
        <v>111</v>
      </c>
      <c r="D409" t="s">
        <v>969</v>
      </c>
      <c r="E409" t="s">
        <v>970</v>
      </c>
      <c r="F409" t="s">
        <v>114</v>
      </c>
      <c r="G409" t="s">
        <v>25</v>
      </c>
      <c r="H409" t="s">
        <v>26</v>
      </c>
      <c r="I409" t="s">
        <v>39</v>
      </c>
      <c r="J409" t="s">
        <v>724</v>
      </c>
      <c r="K409" t="s">
        <v>67</v>
      </c>
      <c r="L409" t="s">
        <v>724</v>
      </c>
      <c r="M409" t="s">
        <v>40</v>
      </c>
      <c r="N409" t="s">
        <v>41</v>
      </c>
    </row>
    <row r="410" spans="1:14">
      <c r="A410" t="s">
        <v>383</v>
      </c>
      <c r="B410" t="s">
        <v>183</v>
      </c>
      <c r="C410" t="s">
        <v>111</v>
      </c>
      <c r="D410" t="s">
        <v>971</v>
      </c>
      <c r="E410" t="s">
        <v>972</v>
      </c>
      <c r="F410" t="s">
        <v>114</v>
      </c>
      <c r="G410" t="s">
        <v>25</v>
      </c>
      <c r="H410" t="s">
        <v>38</v>
      </c>
      <c r="I410" t="s">
        <v>203</v>
      </c>
      <c r="J410" t="s">
        <v>724</v>
      </c>
      <c r="K410" t="s">
        <v>29</v>
      </c>
      <c r="L410" t="s">
        <v>724</v>
      </c>
      <c r="M410" t="s">
        <v>40</v>
      </c>
      <c r="N410" t="s">
        <v>41</v>
      </c>
    </row>
    <row r="411" spans="1:14">
      <c r="A411" t="s">
        <v>1013</v>
      </c>
      <c r="B411" t="s">
        <v>183</v>
      </c>
      <c r="C411" t="s">
        <v>266</v>
      </c>
      <c r="D411" t="s">
        <v>1014</v>
      </c>
      <c r="E411" t="s">
        <v>1015</v>
      </c>
      <c r="F411" t="s">
        <v>269</v>
      </c>
      <c r="G411" t="s">
        <v>25</v>
      </c>
      <c r="H411" t="s">
        <v>26</v>
      </c>
      <c r="I411" t="s">
        <v>39</v>
      </c>
      <c r="J411" t="s">
        <v>724</v>
      </c>
      <c r="K411" t="s">
        <v>29</v>
      </c>
      <c r="L411" t="s">
        <v>724</v>
      </c>
      <c r="M411" t="s">
        <v>68</v>
      </c>
      <c r="N411" t="s">
        <v>69</v>
      </c>
    </row>
    <row r="412" spans="1:14">
      <c r="A412" t="s">
        <v>1016</v>
      </c>
      <c r="B412" t="s">
        <v>183</v>
      </c>
      <c r="C412" t="s">
        <v>46</v>
      </c>
      <c r="D412" t="s">
        <v>1017</v>
      </c>
      <c r="E412" t="s">
        <v>1018</v>
      </c>
      <c r="F412" t="s">
        <v>49</v>
      </c>
      <c r="G412" t="s">
        <v>25</v>
      </c>
      <c r="H412" t="s">
        <v>26</v>
      </c>
      <c r="I412" t="s">
        <v>39</v>
      </c>
      <c r="J412" t="s">
        <v>724</v>
      </c>
      <c r="K412" t="s">
        <v>29</v>
      </c>
      <c r="L412" t="s">
        <v>724</v>
      </c>
      <c r="M412" t="s">
        <v>76</v>
      </c>
      <c r="N412" t="s">
        <v>77</v>
      </c>
    </row>
    <row r="413" spans="1:14">
      <c r="A413" t="s">
        <v>1019</v>
      </c>
      <c r="B413" t="s">
        <v>183</v>
      </c>
      <c r="C413" t="s">
        <v>266</v>
      </c>
      <c r="D413" t="s">
        <v>1020</v>
      </c>
      <c r="E413" t="s">
        <v>1021</v>
      </c>
      <c r="F413" t="s">
        <v>269</v>
      </c>
      <c r="G413" t="s">
        <v>25</v>
      </c>
      <c r="H413" t="s">
        <v>26</v>
      </c>
      <c r="I413" t="s">
        <v>39</v>
      </c>
      <c r="J413" t="s">
        <v>724</v>
      </c>
      <c r="K413" t="s">
        <v>29</v>
      </c>
      <c r="L413" t="s">
        <v>724</v>
      </c>
      <c r="M413" t="s">
        <v>95</v>
      </c>
      <c r="N413" t="s">
        <v>56</v>
      </c>
    </row>
    <row r="414" spans="1:14">
      <c r="A414" t="s">
        <v>1022</v>
      </c>
      <c r="B414" t="s">
        <v>183</v>
      </c>
      <c r="C414" t="s">
        <v>301</v>
      </c>
      <c r="D414" t="s">
        <v>1023</v>
      </c>
      <c r="E414" t="s">
        <v>1024</v>
      </c>
      <c r="F414" t="s">
        <v>269</v>
      </c>
      <c r="G414" t="s">
        <v>25</v>
      </c>
      <c r="H414" t="s">
        <v>26</v>
      </c>
      <c r="I414" t="s">
        <v>39</v>
      </c>
      <c r="J414" t="s">
        <v>724</v>
      </c>
      <c r="K414" t="s">
        <v>29</v>
      </c>
      <c r="L414" t="s">
        <v>724</v>
      </c>
      <c r="M414" t="s">
        <v>68</v>
      </c>
      <c r="N414" t="s">
        <v>69</v>
      </c>
    </row>
    <row r="415" spans="1:14">
      <c r="A415" t="s">
        <v>1025</v>
      </c>
      <c r="B415" t="s">
        <v>183</v>
      </c>
      <c r="C415" t="s">
        <v>580</v>
      </c>
      <c r="D415" t="s">
        <v>1026</v>
      </c>
      <c r="E415" t="s">
        <v>1027</v>
      </c>
      <c r="F415" t="s">
        <v>582</v>
      </c>
      <c r="G415" t="s">
        <v>25</v>
      </c>
      <c r="H415" t="s">
        <v>38</v>
      </c>
      <c r="I415" t="s">
        <v>56</v>
      </c>
      <c r="J415" t="s">
        <v>724</v>
      </c>
      <c r="K415" t="s">
        <v>29</v>
      </c>
      <c r="L415" t="s">
        <v>724</v>
      </c>
      <c r="M415" t="s">
        <v>68</v>
      </c>
      <c r="N415" t="s">
        <v>69</v>
      </c>
    </row>
    <row r="416" spans="1:14">
      <c r="A416" t="s">
        <v>1025</v>
      </c>
      <c r="B416" t="s">
        <v>183</v>
      </c>
      <c r="C416" t="s">
        <v>580</v>
      </c>
      <c r="D416" t="s">
        <v>1028</v>
      </c>
      <c r="E416" t="s">
        <v>1029</v>
      </c>
      <c r="F416" t="s">
        <v>582</v>
      </c>
      <c r="G416" t="s">
        <v>25</v>
      </c>
      <c r="H416" t="s">
        <v>26</v>
      </c>
      <c r="I416" t="s">
        <v>56</v>
      </c>
      <c r="J416" t="s">
        <v>724</v>
      </c>
      <c r="K416" t="s">
        <v>29</v>
      </c>
      <c r="L416" t="s">
        <v>724</v>
      </c>
      <c r="M416" t="s">
        <v>95</v>
      </c>
      <c r="N416" t="s">
        <v>56</v>
      </c>
    </row>
    <row r="417" spans="1:14">
      <c r="A417" t="s">
        <v>1030</v>
      </c>
      <c r="B417" t="s">
        <v>183</v>
      </c>
      <c r="C417" t="s">
        <v>266</v>
      </c>
      <c r="D417" t="s">
        <v>1031</v>
      </c>
      <c r="E417" t="s">
        <v>1032</v>
      </c>
      <c r="F417" t="s">
        <v>269</v>
      </c>
      <c r="G417" t="s">
        <v>25</v>
      </c>
      <c r="H417" t="s">
        <v>26</v>
      </c>
      <c r="I417" t="s">
        <v>39</v>
      </c>
      <c r="J417" t="s">
        <v>724</v>
      </c>
      <c r="K417" t="s">
        <v>29</v>
      </c>
      <c r="L417" t="s">
        <v>724</v>
      </c>
      <c r="M417" t="s">
        <v>68</v>
      </c>
      <c r="N417" t="s">
        <v>69</v>
      </c>
    </row>
    <row r="418" spans="1:14">
      <c r="A418" t="s">
        <v>1033</v>
      </c>
      <c r="B418" t="s">
        <v>183</v>
      </c>
      <c r="C418" t="s">
        <v>216</v>
      </c>
      <c r="D418" t="s">
        <v>1034</v>
      </c>
      <c r="E418" t="s">
        <v>1035</v>
      </c>
      <c r="F418" t="s">
        <v>219</v>
      </c>
      <c r="G418" t="s">
        <v>25</v>
      </c>
      <c r="H418" t="s">
        <v>38</v>
      </c>
      <c r="I418" t="s">
        <v>82</v>
      </c>
      <c r="J418" t="s">
        <v>724</v>
      </c>
      <c r="K418" t="s">
        <v>29</v>
      </c>
      <c r="L418" t="s">
        <v>724</v>
      </c>
      <c r="M418" t="s">
        <v>40</v>
      </c>
      <c r="N418" t="s">
        <v>41</v>
      </c>
    </row>
    <row r="419" spans="1:14">
      <c r="A419" t="s">
        <v>1036</v>
      </c>
      <c r="B419" t="s">
        <v>183</v>
      </c>
      <c r="C419" t="s">
        <v>266</v>
      </c>
      <c r="D419" t="s">
        <v>1037</v>
      </c>
      <c r="E419" t="s">
        <v>1038</v>
      </c>
      <c r="F419" t="s">
        <v>269</v>
      </c>
      <c r="G419" t="s">
        <v>25</v>
      </c>
      <c r="H419" t="s">
        <v>26</v>
      </c>
      <c r="I419" t="s">
        <v>39</v>
      </c>
      <c r="J419" t="s">
        <v>724</v>
      </c>
      <c r="K419" t="s">
        <v>29</v>
      </c>
      <c r="L419" t="s">
        <v>724</v>
      </c>
      <c r="M419" t="s">
        <v>40</v>
      </c>
      <c r="N419" t="s">
        <v>41</v>
      </c>
    </row>
    <row r="420" spans="1:14">
      <c r="A420" t="s">
        <v>1039</v>
      </c>
      <c r="B420" t="s">
        <v>183</v>
      </c>
      <c r="C420" t="s">
        <v>266</v>
      </c>
      <c r="D420" t="s">
        <v>1040</v>
      </c>
      <c r="E420" t="s">
        <v>1041</v>
      </c>
      <c r="F420" t="s">
        <v>269</v>
      </c>
      <c r="G420" t="s">
        <v>25</v>
      </c>
      <c r="H420" t="s">
        <v>26</v>
      </c>
      <c r="I420" t="s">
        <v>39</v>
      </c>
      <c r="J420" t="s">
        <v>724</v>
      </c>
      <c r="K420" t="s">
        <v>29</v>
      </c>
      <c r="L420" t="s">
        <v>724</v>
      </c>
      <c r="M420" t="s">
        <v>40</v>
      </c>
      <c r="N420" t="s">
        <v>41</v>
      </c>
    </row>
    <row r="421" spans="1:14">
      <c r="A421" t="s">
        <v>1042</v>
      </c>
      <c r="B421" t="s">
        <v>183</v>
      </c>
      <c r="C421" t="s">
        <v>46</v>
      </c>
      <c r="D421" t="s">
        <v>1043</v>
      </c>
      <c r="E421" t="s">
        <v>1044</v>
      </c>
      <c r="F421" t="s">
        <v>49</v>
      </c>
      <c r="G421" t="s">
        <v>25</v>
      </c>
      <c r="H421" t="s">
        <v>26</v>
      </c>
      <c r="I421" t="s">
        <v>39</v>
      </c>
      <c r="J421" t="s">
        <v>724</v>
      </c>
      <c r="K421" t="s">
        <v>29</v>
      </c>
      <c r="L421" t="s">
        <v>724</v>
      </c>
      <c r="M421" t="s">
        <v>40</v>
      </c>
      <c r="N421" t="s">
        <v>41</v>
      </c>
    </row>
    <row r="422" spans="1:14">
      <c r="A422" t="s">
        <v>1050</v>
      </c>
      <c r="B422" t="s">
        <v>183</v>
      </c>
      <c r="C422" t="s">
        <v>46</v>
      </c>
      <c r="D422" t="s">
        <v>1051</v>
      </c>
      <c r="E422" t="s">
        <v>1052</v>
      </c>
      <c r="F422" t="s">
        <v>49</v>
      </c>
      <c r="G422" t="s">
        <v>25</v>
      </c>
      <c r="H422" t="s">
        <v>26</v>
      </c>
      <c r="I422" t="s">
        <v>39</v>
      </c>
      <c r="J422" t="s">
        <v>724</v>
      </c>
      <c r="K422" t="s">
        <v>29</v>
      </c>
      <c r="L422" t="s">
        <v>724</v>
      </c>
      <c r="M422" t="s">
        <v>122</v>
      </c>
      <c r="N422" t="s">
        <v>39</v>
      </c>
    </row>
    <row r="423" spans="1:14">
      <c r="A423" t="s">
        <v>1056</v>
      </c>
      <c r="B423" t="s">
        <v>183</v>
      </c>
      <c r="C423" t="s">
        <v>46</v>
      </c>
      <c r="D423" t="s">
        <v>1057</v>
      </c>
      <c r="E423" t="s">
        <v>1058</v>
      </c>
      <c r="F423" t="s">
        <v>49</v>
      </c>
      <c r="G423" t="s">
        <v>25</v>
      </c>
      <c r="H423" t="s">
        <v>26</v>
      </c>
      <c r="I423" t="s">
        <v>39</v>
      </c>
      <c r="J423" t="s">
        <v>724</v>
      </c>
      <c r="K423" t="s">
        <v>29</v>
      </c>
      <c r="L423" t="s">
        <v>724</v>
      </c>
      <c r="M423" t="s">
        <v>76</v>
      </c>
      <c r="N423" t="s">
        <v>77</v>
      </c>
    </row>
    <row r="424" spans="1:14">
      <c r="A424" t="s">
        <v>1124</v>
      </c>
      <c r="B424" t="s">
        <v>183</v>
      </c>
      <c r="C424" t="s">
        <v>402</v>
      </c>
      <c r="D424" t="s">
        <v>1125</v>
      </c>
      <c r="E424" t="s">
        <v>1126</v>
      </c>
      <c r="F424" t="s">
        <v>405</v>
      </c>
      <c r="G424" t="s">
        <v>25</v>
      </c>
      <c r="H424" t="s">
        <v>26</v>
      </c>
      <c r="I424" t="s">
        <v>99</v>
      </c>
      <c r="J424" t="s">
        <v>724</v>
      </c>
      <c r="K424" t="s">
        <v>67</v>
      </c>
      <c r="L424" t="s">
        <v>724</v>
      </c>
      <c r="M424" t="s">
        <v>95</v>
      </c>
      <c r="N424" t="s">
        <v>56</v>
      </c>
    </row>
    <row r="425" spans="1:14">
      <c r="A425" t="s">
        <v>1140</v>
      </c>
      <c r="B425" t="s">
        <v>183</v>
      </c>
      <c r="C425" t="s">
        <v>301</v>
      </c>
      <c r="D425" t="s">
        <v>1141</v>
      </c>
      <c r="E425" t="s">
        <v>1142</v>
      </c>
      <c r="F425" t="s">
        <v>269</v>
      </c>
      <c r="G425" t="s">
        <v>116</v>
      </c>
      <c r="H425" t="s">
        <v>26</v>
      </c>
      <c r="I425" t="s">
        <v>39</v>
      </c>
      <c r="J425" t="s">
        <v>724</v>
      </c>
      <c r="K425" t="s">
        <v>29</v>
      </c>
      <c r="L425" t="s">
        <v>724</v>
      </c>
      <c r="M425" t="s">
        <v>122</v>
      </c>
      <c r="N425" t="s">
        <v>39</v>
      </c>
    </row>
    <row r="426" spans="1:14">
      <c r="A426" t="s">
        <v>1143</v>
      </c>
      <c r="B426" t="s">
        <v>183</v>
      </c>
      <c r="C426" t="s">
        <v>301</v>
      </c>
      <c r="D426" t="s">
        <v>1144</v>
      </c>
      <c r="E426" t="s">
        <v>1145</v>
      </c>
      <c r="F426" t="s">
        <v>269</v>
      </c>
      <c r="G426" t="s">
        <v>116</v>
      </c>
      <c r="H426" t="s">
        <v>26</v>
      </c>
      <c r="I426" t="s">
        <v>39</v>
      </c>
      <c r="J426" t="s">
        <v>724</v>
      </c>
      <c r="K426" t="s">
        <v>29</v>
      </c>
      <c r="L426" t="s">
        <v>724</v>
      </c>
      <c r="M426" t="s">
        <v>122</v>
      </c>
      <c r="N426" t="s">
        <v>39</v>
      </c>
    </row>
    <row r="427" spans="1:14">
      <c r="A427" t="s">
        <v>1146</v>
      </c>
      <c r="B427" t="s">
        <v>183</v>
      </c>
      <c r="C427" t="s">
        <v>301</v>
      </c>
      <c r="D427" t="s">
        <v>1147</v>
      </c>
      <c r="E427" t="s">
        <v>1148</v>
      </c>
      <c r="F427" t="s">
        <v>269</v>
      </c>
      <c r="G427" t="s">
        <v>116</v>
      </c>
      <c r="H427" t="s">
        <v>38</v>
      </c>
      <c r="I427" t="s">
        <v>39</v>
      </c>
      <c r="J427" t="s">
        <v>724</v>
      </c>
      <c r="K427" t="s">
        <v>29</v>
      </c>
      <c r="L427" t="s">
        <v>724</v>
      </c>
      <c r="M427" t="s">
        <v>40</v>
      </c>
      <c r="N427" t="s">
        <v>41</v>
      </c>
    </row>
    <row r="428" spans="1:14">
      <c r="A428" t="s">
        <v>1149</v>
      </c>
      <c r="B428" t="s">
        <v>183</v>
      </c>
      <c r="C428" t="s">
        <v>301</v>
      </c>
      <c r="D428" t="s">
        <v>1150</v>
      </c>
      <c r="E428" t="s">
        <v>1151</v>
      </c>
      <c r="F428" t="s">
        <v>269</v>
      </c>
      <c r="G428" t="s">
        <v>116</v>
      </c>
      <c r="H428" t="s">
        <v>26</v>
      </c>
      <c r="I428" t="s">
        <v>39</v>
      </c>
      <c r="J428" t="s">
        <v>724</v>
      </c>
      <c r="K428" t="s">
        <v>29</v>
      </c>
      <c r="L428" t="s">
        <v>724</v>
      </c>
      <c r="M428" t="s">
        <v>76</v>
      </c>
      <c r="N428" t="s">
        <v>77</v>
      </c>
    </row>
    <row r="429" spans="1:14">
      <c r="A429" t="s">
        <v>1152</v>
      </c>
      <c r="B429" t="s">
        <v>183</v>
      </c>
      <c r="C429" t="s">
        <v>301</v>
      </c>
      <c r="D429" t="s">
        <v>1153</v>
      </c>
      <c r="E429" t="s">
        <v>1154</v>
      </c>
      <c r="F429" t="s">
        <v>269</v>
      </c>
      <c r="G429" t="s">
        <v>25</v>
      </c>
      <c r="H429" t="s">
        <v>26</v>
      </c>
      <c r="I429" t="s">
        <v>39</v>
      </c>
      <c r="J429" t="s">
        <v>724</v>
      </c>
      <c r="K429" t="s">
        <v>29</v>
      </c>
      <c r="L429" t="s">
        <v>724</v>
      </c>
      <c r="M429" t="s">
        <v>76</v>
      </c>
      <c r="N429" t="s">
        <v>77</v>
      </c>
    </row>
    <row r="430" spans="1:14">
      <c r="A430" t="s">
        <v>1155</v>
      </c>
      <c r="B430" t="s">
        <v>183</v>
      </c>
      <c r="C430" t="s">
        <v>301</v>
      </c>
      <c r="D430" t="s">
        <v>1156</v>
      </c>
      <c r="E430" t="s">
        <v>1157</v>
      </c>
      <c r="F430" t="s">
        <v>269</v>
      </c>
      <c r="G430" t="s">
        <v>25</v>
      </c>
      <c r="H430" t="s">
        <v>26</v>
      </c>
      <c r="I430" t="s">
        <v>39</v>
      </c>
      <c r="J430" t="s">
        <v>724</v>
      </c>
      <c r="K430" t="s">
        <v>29</v>
      </c>
      <c r="L430" t="s">
        <v>724</v>
      </c>
      <c r="M430" t="s">
        <v>40</v>
      </c>
      <c r="N430" t="s">
        <v>41</v>
      </c>
    </row>
    <row r="431" spans="1:14">
      <c r="A431" t="s">
        <v>1158</v>
      </c>
      <c r="B431" t="s">
        <v>183</v>
      </c>
      <c r="C431" t="s">
        <v>301</v>
      </c>
      <c r="D431" t="s">
        <v>1159</v>
      </c>
      <c r="E431" t="s">
        <v>1160</v>
      </c>
      <c r="F431" t="s">
        <v>269</v>
      </c>
      <c r="G431" t="s">
        <v>25</v>
      </c>
      <c r="H431" t="s">
        <v>26</v>
      </c>
      <c r="I431" t="s">
        <v>39</v>
      </c>
      <c r="J431" t="s">
        <v>724</v>
      </c>
      <c r="K431" t="s">
        <v>29</v>
      </c>
      <c r="L431" t="s">
        <v>724</v>
      </c>
      <c r="M431" t="s">
        <v>40</v>
      </c>
      <c r="N431" t="s">
        <v>41</v>
      </c>
    </row>
    <row r="432" spans="1:14">
      <c r="A432" t="s">
        <v>1161</v>
      </c>
      <c r="B432" t="s">
        <v>183</v>
      </c>
      <c r="C432" t="s">
        <v>301</v>
      </c>
      <c r="D432" t="s">
        <v>1162</v>
      </c>
      <c r="E432" t="s">
        <v>1163</v>
      </c>
      <c r="F432" t="s">
        <v>269</v>
      </c>
      <c r="G432" t="s">
        <v>25</v>
      </c>
      <c r="H432" t="s">
        <v>26</v>
      </c>
      <c r="I432" t="s">
        <v>39</v>
      </c>
      <c r="J432" t="s">
        <v>724</v>
      </c>
      <c r="K432" t="s">
        <v>29</v>
      </c>
      <c r="L432" t="s">
        <v>724</v>
      </c>
      <c r="M432" t="s">
        <v>40</v>
      </c>
      <c r="N432" t="s">
        <v>41</v>
      </c>
    </row>
    <row r="433" spans="1:14">
      <c r="A433" t="s">
        <v>1164</v>
      </c>
      <c r="B433" t="s">
        <v>183</v>
      </c>
      <c r="C433" t="s">
        <v>301</v>
      </c>
      <c r="D433" t="s">
        <v>1165</v>
      </c>
      <c r="E433" t="s">
        <v>1166</v>
      </c>
      <c r="F433" t="s">
        <v>269</v>
      </c>
      <c r="G433" t="s">
        <v>25</v>
      </c>
      <c r="H433" t="s">
        <v>26</v>
      </c>
      <c r="I433" t="s">
        <v>39</v>
      </c>
      <c r="J433" t="s">
        <v>724</v>
      </c>
      <c r="K433" t="s">
        <v>29</v>
      </c>
      <c r="L433" t="s">
        <v>724</v>
      </c>
      <c r="M433" t="s">
        <v>122</v>
      </c>
      <c r="N433" t="s">
        <v>39</v>
      </c>
    </row>
    <row r="434" spans="1:14">
      <c r="A434" t="s">
        <v>426</v>
      </c>
      <c r="B434" t="s">
        <v>183</v>
      </c>
      <c r="C434" t="s">
        <v>301</v>
      </c>
      <c r="D434" t="s">
        <v>1167</v>
      </c>
      <c r="E434" t="s">
        <v>1168</v>
      </c>
      <c r="F434" t="s">
        <v>269</v>
      </c>
      <c r="G434" t="s">
        <v>25</v>
      </c>
      <c r="H434" t="s">
        <v>26</v>
      </c>
      <c r="I434" t="s">
        <v>39</v>
      </c>
      <c r="J434" t="s">
        <v>724</v>
      </c>
      <c r="K434" t="s">
        <v>29</v>
      </c>
      <c r="L434" t="s">
        <v>724</v>
      </c>
      <c r="M434" t="s">
        <v>122</v>
      </c>
      <c r="N434" t="s">
        <v>39</v>
      </c>
    </row>
    <row r="435" spans="1:14">
      <c r="A435" t="s">
        <v>1169</v>
      </c>
      <c r="B435" t="s">
        <v>183</v>
      </c>
      <c r="C435" t="s">
        <v>301</v>
      </c>
      <c r="D435" t="s">
        <v>1170</v>
      </c>
      <c r="E435" t="s">
        <v>1171</v>
      </c>
      <c r="F435" t="s">
        <v>269</v>
      </c>
      <c r="G435" t="s">
        <v>25</v>
      </c>
      <c r="H435" t="s">
        <v>26</v>
      </c>
      <c r="I435" t="s">
        <v>39</v>
      </c>
      <c r="J435" t="s">
        <v>724</v>
      </c>
      <c r="K435" t="s">
        <v>29</v>
      </c>
      <c r="L435" t="s">
        <v>724</v>
      </c>
      <c r="M435" t="s">
        <v>479</v>
      </c>
      <c r="N435" t="s">
        <v>480</v>
      </c>
    </row>
    <row r="436" spans="1:14">
      <c r="A436" t="s">
        <v>1172</v>
      </c>
      <c r="B436" t="s">
        <v>183</v>
      </c>
      <c r="C436" t="s">
        <v>301</v>
      </c>
      <c r="D436" t="s">
        <v>1173</v>
      </c>
      <c r="E436" t="s">
        <v>1174</v>
      </c>
      <c r="F436" t="s">
        <v>269</v>
      </c>
      <c r="G436" t="s">
        <v>25</v>
      </c>
      <c r="H436" t="s">
        <v>26</v>
      </c>
      <c r="I436" t="s">
        <v>39</v>
      </c>
      <c r="J436" t="s">
        <v>724</v>
      </c>
      <c r="K436" t="s">
        <v>29</v>
      </c>
      <c r="L436" t="s">
        <v>724</v>
      </c>
      <c r="M436" t="s">
        <v>40</v>
      </c>
      <c r="N436" t="s">
        <v>41</v>
      </c>
    </row>
    <row r="437" spans="1:14">
      <c r="A437" t="s">
        <v>1175</v>
      </c>
      <c r="B437" t="s">
        <v>183</v>
      </c>
      <c r="C437" t="s">
        <v>301</v>
      </c>
      <c r="D437" t="s">
        <v>1176</v>
      </c>
      <c r="E437" t="s">
        <v>1177</v>
      </c>
      <c r="F437" t="s">
        <v>269</v>
      </c>
      <c r="G437" t="s">
        <v>25</v>
      </c>
      <c r="H437" t="s">
        <v>26</v>
      </c>
      <c r="I437" t="s">
        <v>39</v>
      </c>
      <c r="J437" t="s">
        <v>724</v>
      </c>
      <c r="K437" t="s">
        <v>29</v>
      </c>
      <c r="L437" t="s">
        <v>724</v>
      </c>
      <c r="M437" t="s">
        <v>76</v>
      </c>
      <c r="N437" t="s">
        <v>77</v>
      </c>
    </row>
    <row r="438" spans="1:14">
      <c r="A438" t="s">
        <v>1178</v>
      </c>
      <c r="B438" t="s">
        <v>183</v>
      </c>
      <c r="C438" t="s">
        <v>301</v>
      </c>
      <c r="D438" t="s">
        <v>1179</v>
      </c>
      <c r="E438" t="s">
        <v>1180</v>
      </c>
      <c r="F438" t="s">
        <v>269</v>
      </c>
      <c r="G438" t="s">
        <v>25</v>
      </c>
      <c r="H438" t="s">
        <v>26</v>
      </c>
      <c r="I438" t="s">
        <v>39</v>
      </c>
      <c r="J438" t="s">
        <v>724</v>
      </c>
      <c r="K438" t="s">
        <v>29</v>
      </c>
      <c r="L438" t="s">
        <v>724</v>
      </c>
      <c r="M438" t="s">
        <v>419</v>
      </c>
      <c r="N438" t="s">
        <v>66</v>
      </c>
    </row>
    <row r="439" spans="1:14">
      <c r="A439" t="s">
        <v>1181</v>
      </c>
      <c r="B439" t="s">
        <v>183</v>
      </c>
      <c r="C439" t="s">
        <v>301</v>
      </c>
      <c r="D439" t="s">
        <v>1182</v>
      </c>
      <c r="E439" t="s">
        <v>1183</v>
      </c>
      <c r="F439" t="s">
        <v>269</v>
      </c>
      <c r="G439" t="s">
        <v>25</v>
      </c>
      <c r="H439" t="s">
        <v>26</v>
      </c>
      <c r="I439" t="s">
        <v>39</v>
      </c>
      <c r="J439" t="s">
        <v>724</v>
      </c>
      <c r="K439" t="s">
        <v>29</v>
      </c>
      <c r="L439" t="s">
        <v>724</v>
      </c>
      <c r="M439" t="s">
        <v>126</v>
      </c>
      <c r="N439" t="s">
        <v>127</v>
      </c>
    </row>
    <row r="440" spans="1:14">
      <c r="A440" t="s">
        <v>1184</v>
      </c>
      <c r="B440" t="s">
        <v>183</v>
      </c>
      <c r="C440" t="s">
        <v>301</v>
      </c>
      <c r="D440" t="s">
        <v>1185</v>
      </c>
      <c r="E440" t="s">
        <v>1186</v>
      </c>
      <c r="F440" t="s">
        <v>269</v>
      </c>
      <c r="G440" t="s">
        <v>25</v>
      </c>
      <c r="H440" t="s">
        <v>26</v>
      </c>
      <c r="I440" t="s">
        <v>39</v>
      </c>
      <c r="J440" t="s">
        <v>724</v>
      </c>
      <c r="K440" t="s">
        <v>29</v>
      </c>
      <c r="L440" t="s">
        <v>724</v>
      </c>
      <c r="M440" t="s">
        <v>122</v>
      </c>
      <c r="N440" t="s">
        <v>39</v>
      </c>
    </row>
    <row r="441" spans="1:14">
      <c r="A441" t="s">
        <v>1214</v>
      </c>
      <c r="B441" t="s">
        <v>183</v>
      </c>
      <c r="C441" t="s">
        <v>33</v>
      </c>
      <c r="D441" t="s">
        <v>1215</v>
      </c>
      <c r="E441" t="s">
        <v>1216</v>
      </c>
      <c r="F441" t="s">
        <v>36</v>
      </c>
      <c r="G441" t="s">
        <v>25</v>
      </c>
      <c r="H441" t="s">
        <v>26</v>
      </c>
      <c r="I441" t="s">
        <v>39</v>
      </c>
      <c r="J441" t="s">
        <v>724</v>
      </c>
      <c r="K441" t="s">
        <v>29</v>
      </c>
      <c r="L441" t="s">
        <v>724</v>
      </c>
      <c r="M441" t="s">
        <v>40</v>
      </c>
      <c r="N441" t="s">
        <v>41</v>
      </c>
    </row>
    <row r="442" spans="1:14">
      <c r="A442" t="s">
        <v>1217</v>
      </c>
      <c r="B442" t="s">
        <v>183</v>
      </c>
      <c r="C442" t="s">
        <v>33</v>
      </c>
      <c r="D442" t="s">
        <v>1218</v>
      </c>
      <c r="E442" t="s">
        <v>1219</v>
      </c>
      <c r="F442" t="s">
        <v>36</v>
      </c>
      <c r="G442" t="s">
        <v>25</v>
      </c>
      <c r="H442" t="s">
        <v>26</v>
      </c>
      <c r="I442" t="s">
        <v>39</v>
      </c>
      <c r="J442" t="s">
        <v>724</v>
      </c>
      <c r="K442" t="s">
        <v>29</v>
      </c>
      <c r="L442" t="s">
        <v>724</v>
      </c>
      <c r="M442" t="s">
        <v>95</v>
      </c>
      <c r="N442" t="s">
        <v>56</v>
      </c>
    </row>
    <row r="443" spans="1:14">
      <c r="A443" t="s">
        <v>1259</v>
      </c>
      <c r="B443" t="s">
        <v>183</v>
      </c>
      <c r="C443" t="s">
        <v>261</v>
      </c>
      <c r="D443" t="s">
        <v>1260</v>
      </c>
      <c r="E443" t="s">
        <v>1261</v>
      </c>
      <c r="F443" t="s">
        <v>219</v>
      </c>
      <c r="G443" t="s">
        <v>25</v>
      </c>
      <c r="H443" t="s">
        <v>38</v>
      </c>
      <c r="I443" t="s">
        <v>39</v>
      </c>
      <c r="J443" t="s">
        <v>724</v>
      </c>
      <c r="K443" t="s">
        <v>67</v>
      </c>
      <c r="L443" t="s">
        <v>724</v>
      </c>
      <c r="M443" t="s">
        <v>122</v>
      </c>
      <c r="N443" t="s">
        <v>39</v>
      </c>
    </row>
    <row r="444" spans="1:14">
      <c r="A444" t="s">
        <v>1265</v>
      </c>
      <c r="B444" t="s">
        <v>183</v>
      </c>
      <c r="C444" t="s">
        <v>261</v>
      </c>
      <c r="D444" t="s">
        <v>1266</v>
      </c>
      <c r="E444" t="s">
        <v>1267</v>
      </c>
      <c r="F444" t="s">
        <v>219</v>
      </c>
      <c r="G444" t="s">
        <v>25</v>
      </c>
      <c r="H444" t="s">
        <v>38</v>
      </c>
      <c r="I444" t="s">
        <v>39</v>
      </c>
      <c r="J444" t="s">
        <v>724</v>
      </c>
      <c r="K444" t="s">
        <v>29</v>
      </c>
      <c r="L444" t="s">
        <v>724</v>
      </c>
      <c r="M444" t="s">
        <v>122</v>
      </c>
      <c r="N444" t="s">
        <v>39</v>
      </c>
    </row>
    <row r="445" spans="1:14">
      <c r="A445" t="s">
        <v>1268</v>
      </c>
      <c r="B445" t="s">
        <v>183</v>
      </c>
      <c r="C445" t="s">
        <v>261</v>
      </c>
      <c r="D445" t="s">
        <v>1269</v>
      </c>
      <c r="E445" t="s">
        <v>1270</v>
      </c>
      <c r="F445" t="s">
        <v>219</v>
      </c>
      <c r="G445" t="s">
        <v>25</v>
      </c>
      <c r="H445" t="s">
        <v>38</v>
      </c>
      <c r="I445" t="s">
        <v>27</v>
      </c>
      <c r="J445" t="s">
        <v>724</v>
      </c>
      <c r="K445" t="s">
        <v>29</v>
      </c>
      <c r="L445" t="s">
        <v>724</v>
      </c>
      <c r="M445" t="s">
        <v>122</v>
      </c>
      <c r="N445" t="s">
        <v>39</v>
      </c>
    </row>
    <row r="446" spans="1:14">
      <c r="A446" t="s">
        <v>1271</v>
      </c>
      <c r="B446" t="s">
        <v>183</v>
      </c>
      <c r="C446" t="s">
        <v>261</v>
      </c>
      <c r="D446" t="s">
        <v>1272</v>
      </c>
      <c r="E446" t="s">
        <v>1273</v>
      </c>
      <c r="F446" t="s">
        <v>219</v>
      </c>
      <c r="G446" t="s">
        <v>25</v>
      </c>
      <c r="H446" t="s">
        <v>26</v>
      </c>
      <c r="I446" t="s">
        <v>39</v>
      </c>
      <c r="J446" t="s">
        <v>724</v>
      </c>
      <c r="K446" t="s">
        <v>67</v>
      </c>
      <c r="L446" t="s">
        <v>724</v>
      </c>
      <c r="M446" t="s">
        <v>122</v>
      </c>
      <c r="N446" t="s">
        <v>39</v>
      </c>
    </row>
    <row r="447" spans="1:14">
      <c r="A447" t="s">
        <v>1288</v>
      </c>
      <c r="B447" t="s">
        <v>183</v>
      </c>
      <c r="C447" t="s">
        <v>184</v>
      </c>
      <c r="D447" t="s">
        <v>1289</v>
      </c>
      <c r="E447" t="s">
        <v>1290</v>
      </c>
      <c r="F447" t="s">
        <v>187</v>
      </c>
      <c r="G447" t="s">
        <v>25</v>
      </c>
      <c r="H447" t="s">
        <v>26</v>
      </c>
      <c r="I447" t="s">
        <v>203</v>
      </c>
      <c r="J447" t="s">
        <v>724</v>
      </c>
      <c r="K447" t="s">
        <v>29</v>
      </c>
      <c r="L447" t="s">
        <v>724</v>
      </c>
      <c r="M447" t="s">
        <v>95</v>
      </c>
      <c r="N447" t="s">
        <v>56</v>
      </c>
    </row>
    <row r="448" spans="1:14">
      <c r="A448" t="s">
        <v>1288</v>
      </c>
      <c r="B448" t="s">
        <v>183</v>
      </c>
      <c r="C448" t="s">
        <v>184</v>
      </c>
      <c r="D448" t="s">
        <v>1292</v>
      </c>
      <c r="E448" t="s">
        <v>1293</v>
      </c>
      <c r="F448" t="s">
        <v>187</v>
      </c>
      <c r="G448" t="s">
        <v>25</v>
      </c>
      <c r="H448" t="s">
        <v>26</v>
      </c>
      <c r="I448" t="s">
        <v>39</v>
      </c>
      <c r="J448" t="s">
        <v>724</v>
      </c>
      <c r="K448" t="s">
        <v>67</v>
      </c>
      <c r="L448" t="s">
        <v>724</v>
      </c>
      <c r="M448" t="s">
        <v>95</v>
      </c>
      <c r="N448" t="s">
        <v>56</v>
      </c>
    </row>
    <row r="449" spans="1:14">
      <c r="A449" t="s">
        <v>1309</v>
      </c>
      <c r="B449" t="s">
        <v>183</v>
      </c>
      <c r="C449" t="s">
        <v>301</v>
      </c>
      <c r="D449" t="s">
        <v>1310</v>
      </c>
      <c r="E449" t="s">
        <v>1311</v>
      </c>
      <c r="F449" t="s">
        <v>269</v>
      </c>
      <c r="G449" t="s">
        <v>25</v>
      </c>
      <c r="H449" t="s">
        <v>26</v>
      </c>
      <c r="I449" t="s">
        <v>39</v>
      </c>
      <c r="J449" t="s">
        <v>724</v>
      </c>
      <c r="K449" t="s">
        <v>67</v>
      </c>
      <c r="L449" t="s">
        <v>724</v>
      </c>
      <c r="M449" t="s">
        <v>40</v>
      </c>
      <c r="N449" t="s">
        <v>41</v>
      </c>
    </row>
    <row r="450" spans="1:14">
      <c r="A450" t="s">
        <v>1309</v>
      </c>
      <c r="B450" t="s">
        <v>183</v>
      </c>
      <c r="C450" t="s">
        <v>301</v>
      </c>
      <c r="D450" t="s">
        <v>1312</v>
      </c>
      <c r="E450" t="s">
        <v>1313</v>
      </c>
      <c r="F450" t="s">
        <v>269</v>
      </c>
      <c r="G450" t="s">
        <v>25</v>
      </c>
      <c r="H450" t="s">
        <v>38</v>
      </c>
      <c r="I450" t="s">
        <v>56</v>
      </c>
      <c r="J450" t="s">
        <v>724</v>
      </c>
      <c r="K450" t="s">
        <v>29</v>
      </c>
      <c r="L450" t="s">
        <v>724</v>
      </c>
      <c r="M450" t="s">
        <v>122</v>
      </c>
      <c r="N450" t="s">
        <v>39</v>
      </c>
    </row>
    <row r="451" spans="1:14">
      <c r="A451" t="s">
        <v>1334</v>
      </c>
      <c r="B451" t="s">
        <v>183</v>
      </c>
      <c r="C451" t="s">
        <v>46</v>
      </c>
      <c r="D451" t="s">
        <v>1335</v>
      </c>
      <c r="E451" t="s">
        <v>1336</v>
      </c>
      <c r="F451" t="s">
        <v>49</v>
      </c>
      <c r="G451" t="s">
        <v>116</v>
      </c>
      <c r="H451" t="s">
        <v>26</v>
      </c>
      <c r="I451" t="s">
        <v>82</v>
      </c>
      <c r="J451" t="s">
        <v>724</v>
      </c>
      <c r="K451" t="s">
        <v>29</v>
      </c>
      <c r="L451" t="s">
        <v>724</v>
      </c>
      <c r="M451" t="s">
        <v>72</v>
      </c>
      <c r="N451" t="s">
        <v>73</v>
      </c>
    </row>
    <row r="452" spans="1:14">
      <c r="A452" t="s">
        <v>1340</v>
      </c>
      <c r="B452" t="s">
        <v>183</v>
      </c>
      <c r="C452" t="s">
        <v>229</v>
      </c>
      <c r="D452" t="s">
        <v>1341</v>
      </c>
      <c r="E452" t="s">
        <v>1342</v>
      </c>
      <c r="F452" t="s">
        <v>232</v>
      </c>
      <c r="G452" t="s">
        <v>25</v>
      </c>
      <c r="H452" t="s">
        <v>26</v>
      </c>
      <c r="I452" t="s">
        <v>82</v>
      </c>
      <c r="J452" t="s">
        <v>724</v>
      </c>
      <c r="K452" t="s">
        <v>106</v>
      </c>
      <c r="L452" t="s">
        <v>724</v>
      </c>
      <c r="M452" t="s">
        <v>40</v>
      </c>
      <c r="N452" t="s">
        <v>41</v>
      </c>
    </row>
    <row r="453" spans="1:14">
      <c r="A453" t="s">
        <v>1352</v>
      </c>
      <c r="B453" t="s">
        <v>183</v>
      </c>
      <c r="C453" t="s">
        <v>266</v>
      </c>
      <c r="D453" t="s">
        <v>1353</v>
      </c>
      <c r="E453" t="s">
        <v>1354</v>
      </c>
      <c r="F453" t="s">
        <v>269</v>
      </c>
      <c r="G453" t="s">
        <v>25</v>
      </c>
      <c r="H453" t="s">
        <v>26</v>
      </c>
      <c r="I453" t="s">
        <v>39</v>
      </c>
      <c r="J453" t="s">
        <v>724</v>
      </c>
      <c r="K453" t="s">
        <v>29</v>
      </c>
      <c r="L453" t="s">
        <v>724</v>
      </c>
      <c r="M453" t="s">
        <v>122</v>
      </c>
      <c r="N453" t="s">
        <v>39</v>
      </c>
    </row>
    <row r="454" spans="1:14">
      <c r="A454" t="s">
        <v>1355</v>
      </c>
      <c r="B454" t="s">
        <v>183</v>
      </c>
      <c r="C454" t="s">
        <v>580</v>
      </c>
      <c r="D454" t="s">
        <v>1356</v>
      </c>
      <c r="E454" t="s">
        <v>1357</v>
      </c>
      <c r="F454" t="s">
        <v>582</v>
      </c>
      <c r="G454" t="s">
        <v>25</v>
      </c>
      <c r="H454" t="s">
        <v>38</v>
      </c>
      <c r="I454" t="s">
        <v>39</v>
      </c>
      <c r="J454" t="s">
        <v>724</v>
      </c>
      <c r="K454" t="s">
        <v>29</v>
      </c>
      <c r="L454" t="s">
        <v>724</v>
      </c>
      <c r="M454" t="s">
        <v>40</v>
      </c>
      <c r="N454" t="s">
        <v>41</v>
      </c>
    </row>
    <row r="455" spans="1:14">
      <c r="A455" t="s">
        <v>1355</v>
      </c>
      <c r="B455" t="s">
        <v>183</v>
      </c>
      <c r="C455" t="s">
        <v>580</v>
      </c>
      <c r="D455" t="s">
        <v>1358</v>
      </c>
      <c r="E455" t="s">
        <v>1359</v>
      </c>
      <c r="F455" t="s">
        <v>582</v>
      </c>
      <c r="G455" t="s">
        <v>25</v>
      </c>
      <c r="H455" t="s">
        <v>26</v>
      </c>
      <c r="I455" t="s">
        <v>82</v>
      </c>
      <c r="J455" t="s">
        <v>724</v>
      </c>
      <c r="K455" t="s">
        <v>29</v>
      </c>
      <c r="L455" t="s">
        <v>724</v>
      </c>
      <c r="M455" t="s">
        <v>40</v>
      </c>
      <c r="N455" t="s">
        <v>41</v>
      </c>
    </row>
    <row r="456" spans="1:14">
      <c r="A456" t="s">
        <v>1363</v>
      </c>
      <c r="B456" t="s">
        <v>183</v>
      </c>
      <c r="C456" t="s">
        <v>402</v>
      </c>
      <c r="D456" t="s">
        <v>1364</v>
      </c>
      <c r="E456" t="s">
        <v>1365</v>
      </c>
      <c r="F456" t="s">
        <v>405</v>
      </c>
      <c r="G456" t="s">
        <v>25</v>
      </c>
      <c r="H456" t="s">
        <v>38</v>
      </c>
      <c r="I456" t="s">
        <v>27</v>
      </c>
      <c r="J456" t="s">
        <v>724</v>
      </c>
      <c r="K456" t="s">
        <v>29</v>
      </c>
      <c r="L456" t="s">
        <v>724</v>
      </c>
      <c r="M456" t="s">
        <v>122</v>
      </c>
      <c r="N456" t="s">
        <v>39</v>
      </c>
    </row>
    <row r="457" spans="1:14">
      <c r="A457" t="s">
        <v>1363</v>
      </c>
      <c r="B457" t="s">
        <v>183</v>
      </c>
      <c r="C457" t="s">
        <v>402</v>
      </c>
      <c r="D457" t="s">
        <v>1366</v>
      </c>
      <c r="E457" t="s">
        <v>1367</v>
      </c>
      <c r="F457" t="s">
        <v>405</v>
      </c>
      <c r="G457" t="s">
        <v>25</v>
      </c>
      <c r="H457" t="s">
        <v>26</v>
      </c>
      <c r="I457" t="s">
        <v>27</v>
      </c>
      <c r="J457" t="s">
        <v>724</v>
      </c>
      <c r="K457" t="s">
        <v>106</v>
      </c>
      <c r="L457" t="s">
        <v>724</v>
      </c>
      <c r="M457" t="s">
        <v>40</v>
      </c>
      <c r="N457" t="s">
        <v>41</v>
      </c>
    </row>
    <row r="458" spans="1:14">
      <c r="A458" t="s">
        <v>1368</v>
      </c>
      <c r="B458" t="s">
        <v>183</v>
      </c>
      <c r="C458" t="s">
        <v>1128</v>
      </c>
      <c r="D458" t="s">
        <v>1369</v>
      </c>
      <c r="E458" t="s">
        <v>1370</v>
      </c>
      <c r="F458" t="s">
        <v>1131</v>
      </c>
      <c r="G458" t="s">
        <v>25</v>
      </c>
      <c r="H458" t="s">
        <v>38</v>
      </c>
      <c r="I458" t="s">
        <v>27</v>
      </c>
      <c r="J458" t="s">
        <v>724</v>
      </c>
      <c r="K458" t="s">
        <v>29</v>
      </c>
      <c r="L458" t="s">
        <v>724</v>
      </c>
      <c r="M458" t="s">
        <v>76</v>
      </c>
      <c r="N458" t="s">
        <v>77</v>
      </c>
    </row>
    <row r="459" spans="1:14">
      <c r="A459" t="s">
        <v>1368</v>
      </c>
      <c r="B459" t="s">
        <v>183</v>
      </c>
      <c r="C459" t="s">
        <v>1128</v>
      </c>
      <c r="D459" t="s">
        <v>1371</v>
      </c>
      <c r="E459" t="s">
        <v>1372</v>
      </c>
      <c r="F459" t="s">
        <v>1131</v>
      </c>
      <c r="G459" t="s">
        <v>25</v>
      </c>
      <c r="H459" t="s">
        <v>26</v>
      </c>
      <c r="I459" t="s">
        <v>27</v>
      </c>
      <c r="J459" t="s">
        <v>724</v>
      </c>
      <c r="K459" t="s">
        <v>106</v>
      </c>
      <c r="L459" t="s">
        <v>724</v>
      </c>
      <c r="M459" t="s">
        <v>76</v>
      </c>
      <c r="N459" t="s">
        <v>77</v>
      </c>
    </row>
    <row r="460" spans="1:14">
      <c r="A460" t="s">
        <v>1378</v>
      </c>
      <c r="B460" t="s">
        <v>183</v>
      </c>
      <c r="C460" t="s">
        <v>974</v>
      </c>
      <c r="D460" t="s">
        <v>1379</v>
      </c>
      <c r="E460" t="s">
        <v>1380</v>
      </c>
      <c r="F460" t="s">
        <v>23</v>
      </c>
      <c r="G460" t="s">
        <v>25</v>
      </c>
      <c r="H460" t="s">
        <v>26</v>
      </c>
      <c r="I460" t="s">
        <v>39</v>
      </c>
      <c r="J460" t="s">
        <v>724</v>
      </c>
      <c r="K460" t="s">
        <v>29</v>
      </c>
      <c r="L460" t="s">
        <v>724</v>
      </c>
      <c r="M460" t="s">
        <v>40</v>
      </c>
      <c r="N460" t="s">
        <v>41</v>
      </c>
    </row>
    <row r="461" spans="1:14">
      <c r="A461" t="s">
        <v>1381</v>
      </c>
      <c r="B461" t="s">
        <v>183</v>
      </c>
      <c r="C461" t="s">
        <v>974</v>
      </c>
      <c r="D461" t="s">
        <v>1382</v>
      </c>
      <c r="E461" t="s">
        <v>1383</v>
      </c>
      <c r="F461" t="s">
        <v>23</v>
      </c>
      <c r="G461" t="s">
        <v>25</v>
      </c>
      <c r="H461" t="s">
        <v>26</v>
      </c>
      <c r="I461" t="s">
        <v>39</v>
      </c>
      <c r="J461" t="s">
        <v>724</v>
      </c>
      <c r="K461" t="s">
        <v>29</v>
      </c>
      <c r="L461" t="s">
        <v>724</v>
      </c>
      <c r="M461" t="s">
        <v>122</v>
      </c>
      <c r="N461" t="s">
        <v>39</v>
      </c>
    </row>
    <row r="462" spans="1:14">
      <c r="A462" t="s">
        <v>1387</v>
      </c>
      <c r="B462" t="s">
        <v>183</v>
      </c>
      <c r="C462" t="s">
        <v>19</v>
      </c>
      <c r="D462" t="s">
        <v>1388</v>
      </c>
      <c r="E462" t="s">
        <v>1389</v>
      </c>
      <c r="F462" t="s">
        <v>22</v>
      </c>
      <c r="G462" t="s">
        <v>25</v>
      </c>
      <c r="H462" t="s">
        <v>26</v>
      </c>
      <c r="I462" t="s">
        <v>56</v>
      </c>
      <c r="J462" t="s">
        <v>724</v>
      </c>
      <c r="K462" t="s">
        <v>29</v>
      </c>
      <c r="L462" t="s">
        <v>724</v>
      </c>
      <c r="M462" t="s">
        <v>122</v>
      </c>
      <c r="N462" t="s">
        <v>39</v>
      </c>
    </row>
    <row r="463" spans="1:14">
      <c r="A463" t="s">
        <v>1429</v>
      </c>
      <c r="B463" t="s">
        <v>183</v>
      </c>
      <c r="C463" t="s">
        <v>275</v>
      </c>
      <c r="D463" t="s">
        <v>1430</v>
      </c>
      <c r="E463" t="s">
        <v>1431</v>
      </c>
      <c r="F463" t="s">
        <v>278</v>
      </c>
      <c r="G463" t="s">
        <v>25</v>
      </c>
      <c r="H463" t="s">
        <v>26</v>
      </c>
      <c r="I463" t="s">
        <v>39</v>
      </c>
      <c r="J463" t="s">
        <v>724</v>
      </c>
      <c r="K463" t="s">
        <v>29</v>
      </c>
      <c r="L463" t="s">
        <v>724</v>
      </c>
      <c r="M463" t="s">
        <v>57</v>
      </c>
      <c r="N463" t="s">
        <v>58</v>
      </c>
    </row>
    <row r="464" spans="1:14">
      <c r="A464" t="s">
        <v>1438</v>
      </c>
      <c r="B464" t="s">
        <v>183</v>
      </c>
      <c r="C464" t="s">
        <v>306</v>
      </c>
      <c r="D464" t="s">
        <v>1439</v>
      </c>
      <c r="E464" t="s">
        <v>1440</v>
      </c>
      <c r="F464" t="s">
        <v>232</v>
      </c>
      <c r="G464" t="s">
        <v>116</v>
      </c>
      <c r="H464" t="s">
        <v>26</v>
      </c>
      <c r="I464" t="s">
        <v>39</v>
      </c>
      <c r="J464" t="s">
        <v>724</v>
      </c>
      <c r="K464" t="s">
        <v>67</v>
      </c>
      <c r="L464" t="s">
        <v>724</v>
      </c>
      <c r="M464" t="s">
        <v>122</v>
      </c>
      <c r="N464" t="s">
        <v>39</v>
      </c>
    </row>
    <row r="465" spans="1:14">
      <c r="A465" t="s">
        <v>1444</v>
      </c>
      <c r="B465" t="s">
        <v>183</v>
      </c>
      <c r="C465" t="s">
        <v>301</v>
      </c>
      <c r="D465" t="s">
        <v>1445</v>
      </c>
      <c r="E465" t="s">
        <v>1446</v>
      </c>
      <c r="F465" t="s">
        <v>269</v>
      </c>
      <c r="G465" t="s">
        <v>25</v>
      </c>
      <c r="H465" t="s">
        <v>26</v>
      </c>
      <c r="I465" t="s">
        <v>39</v>
      </c>
      <c r="J465" t="s">
        <v>724</v>
      </c>
      <c r="K465" t="s">
        <v>29</v>
      </c>
      <c r="L465" t="s">
        <v>724</v>
      </c>
      <c r="M465" t="s">
        <v>30</v>
      </c>
      <c r="N465" t="s">
        <v>31</v>
      </c>
    </row>
    <row r="466" spans="1:14">
      <c r="A466" t="s">
        <v>1447</v>
      </c>
      <c r="B466" t="s">
        <v>183</v>
      </c>
      <c r="C466" t="s">
        <v>184</v>
      </c>
      <c r="D466" t="s">
        <v>1448</v>
      </c>
      <c r="E466" t="s">
        <v>1449</v>
      </c>
      <c r="F466" t="s">
        <v>187</v>
      </c>
      <c r="G466" t="s">
        <v>25</v>
      </c>
      <c r="H466" t="s">
        <v>26</v>
      </c>
      <c r="I466" t="s">
        <v>203</v>
      </c>
      <c r="J466" t="s">
        <v>724</v>
      </c>
      <c r="K466" t="s">
        <v>29</v>
      </c>
      <c r="L466" t="s">
        <v>724</v>
      </c>
      <c r="M466" t="s">
        <v>40</v>
      </c>
      <c r="N466" t="s">
        <v>41</v>
      </c>
    </row>
    <row r="467" spans="1:14">
      <c r="A467" t="s">
        <v>1447</v>
      </c>
      <c r="B467" t="s">
        <v>183</v>
      </c>
      <c r="C467" t="s">
        <v>184</v>
      </c>
      <c r="D467" t="s">
        <v>1450</v>
      </c>
      <c r="E467" t="s">
        <v>1451</v>
      </c>
      <c r="F467" t="s">
        <v>187</v>
      </c>
      <c r="G467" t="s">
        <v>25</v>
      </c>
      <c r="H467" t="s">
        <v>38</v>
      </c>
      <c r="I467" t="s">
        <v>27</v>
      </c>
      <c r="J467" t="s">
        <v>724</v>
      </c>
      <c r="K467" t="s">
        <v>29</v>
      </c>
      <c r="L467" t="s">
        <v>724</v>
      </c>
      <c r="M467" t="s">
        <v>57</v>
      </c>
      <c r="N467" t="s">
        <v>58</v>
      </c>
    </row>
    <row r="468" spans="1:14">
      <c r="A468" t="s">
        <v>1447</v>
      </c>
      <c r="B468" t="s">
        <v>183</v>
      </c>
      <c r="C468" t="s">
        <v>184</v>
      </c>
      <c r="D468" t="s">
        <v>1452</v>
      </c>
      <c r="E468" t="s">
        <v>1453</v>
      </c>
      <c r="F468" t="s">
        <v>187</v>
      </c>
      <c r="G468" t="s">
        <v>25</v>
      </c>
      <c r="H468" t="s">
        <v>26</v>
      </c>
      <c r="I468" t="s">
        <v>39</v>
      </c>
      <c r="J468" t="s">
        <v>724</v>
      </c>
      <c r="K468" t="s">
        <v>67</v>
      </c>
      <c r="L468" t="s">
        <v>724</v>
      </c>
      <c r="M468" t="s">
        <v>40</v>
      </c>
      <c r="N468" t="s">
        <v>41</v>
      </c>
    </row>
    <row r="469" spans="1:14">
      <c r="A469" t="s">
        <v>1454</v>
      </c>
      <c r="B469" t="s">
        <v>183</v>
      </c>
      <c r="C469" t="s">
        <v>301</v>
      </c>
      <c r="D469" t="s">
        <v>1455</v>
      </c>
      <c r="E469" t="s">
        <v>1041</v>
      </c>
      <c r="F469" t="s">
        <v>269</v>
      </c>
      <c r="G469" t="s">
        <v>25</v>
      </c>
      <c r="H469" t="s">
        <v>26</v>
      </c>
      <c r="I469" t="s">
        <v>39</v>
      </c>
      <c r="J469" t="s">
        <v>724</v>
      </c>
      <c r="K469" t="s">
        <v>29</v>
      </c>
      <c r="L469" t="s">
        <v>724</v>
      </c>
      <c r="M469" t="s">
        <v>40</v>
      </c>
      <c r="N469" t="s">
        <v>41</v>
      </c>
    </row>
    <row r="470" spans="1:14">
      <c r="A470" t="s">
        <v>1456</v>
      </c>
      <c r="B470" t="s">
        <v>183</v>
      </c>
      <c r="C470" t="s">
        <v>111</v>
      </c>
      <c r="D470" t="s">
        <v>1457</v>
      </c>
      <c r="E470" t="s">
        <v>1458</v>
      </c>
      <c r="F470" t="s">
        <v>114</v>
      </c>
      <c r="G470" t="s">
        <v>116</v>
      </c>
      <c r="H470" t="s">
        <v>26</v>
      </c>
      <c r="I470" t="s">
        <v>82</v>
      </c>
      <c r="J470" t="s">
        <v>724</v>
      </c>
      <c r="K470" t="s">
        <v>67</v>
      </c>
      <c r="L470" t="s">
        <v>724</v>
      </c>
      <c r="M470" t="s">
        <v>57</v>
      </c>
      <c r="N470" t="s">
        <v>58</v>
      </c>
    </row>
    <row r="471" spans="1:14">
      <c r="A471" t="s">
        <v>1462</v>
      </c>
      <c r="B471" t="s">
        <v>183</v>
      </c>
      <c r="C471" t="s">
        <v>111</v>
      </c>
      <c r="D471" t="s">
        <v>1463</v>
      </c>
      <c r="E471" t="s">
        <v>1464</v>
      </c>
      <c r="F471" t="s">
        <v>114</v>
      </c>
      <c r="G471" t="s">
        <v>116</v>
      </c>
      <c r="H471" t="s">
        <v>26</v>
      </c>
      <c r="I471" t="s">
        <v>39</v>
      </c>
      <c r="J471" t="s">
        <v>724</v>
      </c>
      <c r="K471" t="s">
        <v>67</v>
      </c>
      <c r="L471" t="s">
        <v>724</v>
      </c>
      <c r="M471" t="s">
        <v>95</v>
      </c>
      <c r="N471" t="s">
        <v>56</v>
      </c>
    </row>
    <row r="472" spans="1:14">
      <c r="A472" t="s">
        <v>1465</v>
      </c>
      <c r="B472" t="s">
        <v>183</v>
      </c>
      <c r="C472" t="s">
        <v>111</v>
      </c>
      <c r="D472" t="s">
        <v>1466</v>
      </c>
      <c r="E472" t="s">
        <v>1467</v>
      </c>
      <c r="F472" t="s">
        <v>114</v>
      </c>
      <c r="G472" t="s">
        <v>116</v>
      </c>
      <c r="H472" t="s">
        <v>26</v>
      </c>
      <c r="I472" t="s">
        <v>39</v>
      </c>
      <c r="J472" t="s">
        <v>724</v>
      </c>
      <c r="K472" t="s">
        <v>67</v>
      </c>
      <c r="L472" t="s">
        <v>724</v>
      </c>
      <c r="M472" t="s">
        <v>122</v>
      </c>
      <c r="N472" t="s">
        <v>39</v>
      </c>
    </row>
    <row r="473" spans="1:14">
      <c r="A473" t="s">
        <v>1468</v>
      </c>
      <c r="B473" t="s">
        <v>183</v>
      </c>
      <c r="C473" t="s">
        <v>111</v>
      </c>
      <c r="D473" t="s">
        <v>1469</v>
      </c>
      <c r="E473" t="s">
        <v>1470</v>
      </c>
      <c r="F473" t="s">
        <v>114</v>
      </c>
      <c r="G473" t="s">
        <v>116</v>
      </c>
      <c r="H473" t="s">
        <v>26</v>
      </c>
      <c r="I473" t="s">
        <v>39</v>
      </c>
      <c r="J473" t="s">
        <v>724</v>
      </c>
      <c r="K473" t="s">
        <v>67</v>
      </c>
      <c r="L473" t="s">
        <v>724</v>
      </c>
      <c r="M473" t="s">
        <v>40</v>
      </c>
      <c r="N473" t="s">
        <v>41</v>
      </c>
    </row>
    <row r="474" spans="1:14">
      <c r="A474" t="s">
        <v>1471</v>
      </c>
      <c r="B474" t="s">
        <v>183</v>
      </c>
      <c r="C474" t="s">
        <v>111</v>
      </c>
      <c r="D474" t="s">
        <v>1472</v>
      </c>
      <c r="E474" t="s">
        <v>1473</v>
      </c>
      <c r="F474" t="s">
        <v>114</v>
      </c>
      <c r="G474" t="s">
        <v>116</v>
      </c>
      <c r="H474" t="s">
        <v>26</v>
      </c>
      <c r="I474" t="s">
        <v>39</v>
      </c>
      <c r="J474" t="s">
        <v>724</v>
      </c>
      <c r="K474" t="s">
        <v>67</v>
      </c>
      <c r="L474" t="s">
        <v>724</v>
      </c>
      <c r="M474" t="s">
        <v>40</v>
      </c>
      <c r="N474" t="s">
        <v>41</v>
      </c>
    </row>
    <row r="475" spans="1:14">
      <c r="A475" t="s">
        <v>1474</v>
      </c>
      <c r="B475" t="s">
        <v>183</v>
      </c>
      <c r="C475" t="s">
        <v>111</v>
      </c>
      <c r="D475" t="s">
        <v>1475</v>
      </c>
      <c r="E475" t="s">
        <v>1476</v>
      </c>
      <c r="F475" t="s">
        <v>114</v>
      </c>
      <c r="G475" t="s">
        <v>116</v>
      </c>
      <c r="H475" t="s">
        <v>26</v>
      </c>
      <c r="I475" t="s">
        <v>39</v>
      </c>
      <c r="J475" t="s">
        <v>724</v>
      </c>
      <c r="K475" t="s">
        <v>67</v>
      </c>
      <c r="L475" t="s">
        <v>724</v>
      </c>
      <c r="M475" t="s">
        <v>40</v>
      </c>
      <c r="N475" t="s">
        <v>41</v>
      </c>
    </row>
    <row r="476" spans="1:14">
      <c r="A476" t="s">
        <v>1477</v>
      </c>
      <c r="B476" t="s">
        <v>183</v>
      </c>
      <c r="C476" t="s">
        <v>111</v>
      </c>
      <c r="D476" t="s">
        <v>1478</v>
      </c>
      <c r="E476" t="s">
        <v>1479</v>
      </c>
      <c r="F476" t="s">
        <v>114</v>
      </c>
      <c r="G476" t="s">
        <v>116</v>
      </c>
      <c r="H476" t="s">
        <v>26</v>
      </c>
      <c r="I476" t="s">
        <v>82</v>
      </c>
      <c r="J476" t="s">
        <v>724</v>
      </c>
      <c r="K476" t="s">
        <v>67</v>
      </c>
      <c r="L476" t="s">
        <v>724</v>
      </c>
      <c r="M476" t="s">
        <v>122</v>
      </c>
      <c r="N476" t="s">
        <v>39</v>
      </c>
    </row>
    <row r="477" spans="1:14">
      <c r="A477" t="s">
        <v>1508</v>
      </c>
      <c r="B477" t="s">
        <v>183</v>
      </c>
      <c r="C477" t="s">
        <v>184</v>
      </c>
      <c r="D477" t="s">
        <v>1509</v>
      </c>
      <c r="E477" t="s">
        <v>1510</v>
      </c>
      <c r="F477" t="s">
        <v>187</v>
      </c>
      <c r="G477" t="s">
        <v>25</v>
      </c>
      <c r="H477" t="s">
        <v>26</v>
      </c>
      <c r="I477" t="s">
        <v>27</v>
      </c>
      <c r="J477" t="s">
        <v>724</v>
      </c>
      <c r="K477" t="s">
        <v>67</v>
      </c>
      <c r="L477" t="s">
        <v>724</v>
      </c>
      <c r="M477" t="s">
        <v>72</v>
      </c>
      <c r="N477" t="s">
        <v>73</v>
      </c>
    </row>
    <row r="478" spans="1:14">
      <c r="A478" t="s">
        <v>1508</v>
      </c>
      <c r="B478" t="s">
        <v>183</v>
      </c>
      <c r="C478" t="s">
        <v>184</v>
      </c>
      <c r="D478" t="s">
        <v>1511</v>
      </c>
      <c r="E478" t="s">
        <v>197</v>
      </c>
      <c r="F478" t="s">
        <v>187</v>
      </c>
      <c r="G478" t="s">
        <v>25</v>
      </c>
      <c r="H478" t="s">
        <v>26</v>
      </c>
      <c r="I478" t="s">
        <v>27</v>
      </c>
      <c r="J478" t="s">
        <v>724</v>
      </c>
      <c r="K478" t="s">
        <v>29</v>
      </c>
      <c r="L478" t="s">
        <v>724</v>
      </c>
      <c r="M478" t="s">
        <v>40</v>
      </c>
      <c r="N478" t="s">
        <v>41</v>
      </c>
    </row>
    <row r="479" spans="1:14">
      <c r="A479" t="s">
        <v>1508</v>
      </c>
      <c r="B479" t="s">
        <v>183</v>
      </c>
      <c r="C479" t="s">
        <v>184</v>
      </c>
      <c r="D479" t="s">
        <v>1512</v>
      </c>
      <c r="E479" t="s">
        <v>202</v>
      </c>
      <c r="F479" t="s">
        <v>187</v>
      </c>
      <c r="G479" t="s">
        <v>25</v>
      </c>
      <c r="H479" t="s">
        <v>26</v>
      </c>
      <c r="I479" t="s">
        <v>203</v>
      </c>
      <c r="J479" t="s">
        <v>724</v>
      </c>
      <c r="K479" t="s">
        <v>29</v>
      </c>
      <c r="L479" t="s">
        <v>724</v>
      </c>
      <c r="M479" t="s">
        <v>122</v>
      </c>
      <c r="N479" t="s">
        <v>39</v>
      </c>
    </row>
    <row r="480" spans="1:14">
      <c r="A480" t="s">
        <v>1508</v>
      </c>
      <c r="B480" t="s">
        <v>183</v>
      </c>
      <c r="C480" t="s">
        <v>184</v>
      </c>
      <c r="D480" t="s">
        <v>1513</v>
      </c>
      <c r="E480" t="s">
        <v>195</v>
      </c>
      <c r="F480" t="s">
        <v>187</v>
      </c>
      <c r="G480" t="s">
        <v>25</v>
      </c>
      <c r="H480" t="s">
        <v>26</v>
      </c>
      <c r="I480" t="s">
        <v>39</v>
      </c>
      <c r="J480" t="s">
        <v>724</v>
      </c>
      <c r="K480" t="s">
        <v>67</v>
      </c>
      <c r="L480" t="s">
        <v>724</v>
      </c>
      <c r="M480" t="s">
        <v>95</v>
      </c>
      <c r="N480" t="s">
        <v>56</v>
      </c>
    </row>
    <row r="481" spans="1:14">
      <c r="A481" t="s">
        <v>193</v>
      </c>
      <c r="B481" t="s">
        <v>183</v>
      </c>
      <c r="C481" t="s">
        <v>184</v>
      </c>
      <c r="D481" t="s">
        <v>1514</v>
      </c>
      <c r="E481" t="s">
        <v>192</v>
      </c>
      <c r="F481" t="s">
        <v>187</v>
      </c>
      <c r="G481" t="s">
        <v>25</v>
      </c>
      <c r="H481" t="s">
        <v>26</v>
      </c>
      <c r="I481" t="s">
        <v>39</v>
      </c>
      <c r="J481" t="s">
        <v>724</v>
      </c>
      <c r="K481" t="s">
        <v>67</v>
      </c>
      <c r="L481" t="s">
        <v>724</v>
      </c>
      <c r="M481" t="s">
        <v>95</v>
      </c>
      <c r="N481" t="s">
        <v>56</v>
      </c>
    </row>
    <row r="482" spans="1:14">
      <c r="A482" t="s">
        <v>193</v>
      </c>
      <c r="B482" t="s">
        <v>183</v>
      </c>
      <c r="C482" t="s">
        <v>184</v>
      </c>
      <c r="D482" t="s">
        <v>1515</v>
      </c>
      <c r="E482" t="s">
        <v>202</v>
      </c>
      <c r="F482" t="s">
        <v>187</v>
      </c>
      <c r="G482" t="s">
        <v>25</v>
      </c>
      <c r="H482" t="s">
        <v>26</v>
      </c>
      <c r="I482" t="s">
        <v>203</v>
      </c>
      <c r="J482" t="s">
        <v>724</v>
      </c>
      <c r="K482" t="s">
        <v>29</v>
      </c>
      <c r="L482" t="s">
        <v>724</v>
      </c>
      <c r="M482" t="s">
        <v>40</v>
      </c>
      <c r="N482" t="s">
        <v>41</v>
      </c>
    </row>
    <row r="483" spans="1:14">
      <c r="A483" t="s">
        <v>209</v>
      </c>
      <c r="B483" t="s">
        <v>183</v>
      </c>
      <c r="C483" t="s">
        <v>184</v>
      </c>
      <c r="D483" t="s">
        <v>1516</v>
      </c>
      <c r="E483" t="s">
        <v>1517</v>
      </c>
      <c r="F483" t="s">
        <v>187</v>
      </c>
      <c r="G483" t="s">
        <v>25</v>
      </c>
      <c r="H483" t="s">
        <v>26</v>
      </c>
      <c r="I483" t="s">
        <v>39</v>
      </c>
      <c r="J483" t="s">
        <v>724</v>
      </c>
      <c r="K483" t="s">
        <v>67</v>
      </c>
      <c r="L483" t="s">
        <v>724</v>
      </c>
      <c r="M483" t="s">
        <v>126</v>
      </c>
      <c r="N483" t="s">
        <v>127</v>
      </c>
    </row>
    <row r="484" spans="1:14">
      <c r="A484" t="s">
        <v>1684</v>
      </c>
      <c r="B484" t="s">
        <v>183</v>
      </c>
      <c r="C484" t="s">
        <v>216</v>
      </c>
      <c r="D484" t="s">
        <v>1685</v>
      </c>
      <c r="E484" t="s">
        <v>1686</v>
      </c>
      <c r="F484" t="s">
        <v>219</v>
      </c>
      <c r="G484" t="s">
        <v>116</v>
      </c>
      <c r="H484" t="s">
        <v>26</v>
      </c>
      <c r="I484" t="s">
        <v>39</v>
      </c>
      <c r="J484" t="s">
        <v>724</v>
      </c>
      <c r="K484" t="s">
        <v>67</v>
      </c>
      <c r="L484" t="s">
        <v>724</v>
      </c>
      <c r="M484" t="s">
        <v>76</v>
      </c>
      <c r="N484" t="s">
        <v>77</v>
      </c>
    </row>
    <row r="485" spans="1:14">
      <c r="A485" t="s">
        <v>1687</v>
      </c>
      <c r="B485" t="s">
        <v>183</v>
      </c>
      <c r="C485" t="s">
        <v>216</v>
      </c>
      <c r="D485" t="s">
        <v>1688</v>
      </c>
      <c r="E485" t="s">
        <v>1686</v>
      </c>
      <c r="F485" t="s">
        <v>219</v>
      </c>
      <c r="G485" t="s">
        <v>116</v>
      </c>
      <c r="H485" t="s">
        <v>26</v>
      </c>
      <c r="I485" t="s">
        <v>39</v>
      </c>
      <c r="J485" t="s">
        <v>724</v>
      </c>
      <c r="K485" t="s">
        <v>67</v>
      </c>
      <c r="L485" t="s">
        <v>724</v>
      </c>
      <c r="M485" t="s">
        <v>122</v>
      </c>
      <c r="N485" t="s">
        <v>39</v>
      </c>
    </row>
    <row r="486" spans="1:14">
      <c r="A486" t="s">
        <v>1703</v>
      </c>
      <c r="B486" t="s">
        <v>183</v>
      </c>
      <c r="C486" t="s">
        <v>229</v>
      </c>
      <c r="D486" t="s">
        <v>1704</v>
      </c>
      <c r="E486" t="s">
        <v>1705</v>
      </c>
      <c r="F486" t="s">
        <v>232</v>
      </c>
      <c r="G486" t="s">
        <v>25</v>
      </c>
      <c r="H486" t="s">
        <v>38</v>
      </c>
      <c r="I486" t="s">
        <v>27</v>
      </c>
      <c r="J486" t="s">
        <v>724</v>
      </c>
      <c r="K486" t="s">
        <v>29</v>
      </c>
      <c r="L486" t="s">
        <v>724</v>
      </c>
      <c r="M486" t="s">
        <v>95</v>
      </c>
      <c r="N486" t="s">
        <v>56</v>
      </c>
    </row>
    <row r="487" spans="1:14">
      <c r="A487" t="s">
        <v>1706</v>
      </c>
      <c r="B487" t="s">
        <v>183</v>
      </c>
      <c r="C487" t="s">
        <v>301</v>
      </c>
      <c r="D487" t="s">
        <v>1707</v>
      </c>
      <c r="E487" t="s">
        <v>1708</v>
      </c>
      <c r="F487" t="s">
        <v>269</v>
      </c>
      <c r="G487" t="s">
        <v>25</v>
      </c>
      <c r="H487" t="s">
        <v>26</v>
      </c>
      <c r="I487" t="s">
        <v>39</v>
      </c>
      <c r="J487" t="s">
        <v>724</v>
      </c>
      <c r="K487" t="s">
        <v>29</v>
      </c>
      <c r="L487" t="s">
        <v>724</v>
      </c>
      <c r="M487" t="s">
        <v>40</v>
      </c>
      <c r="N487" t="s">
        <v>41</v>
      </c>
    </row>
    <row r="488" spans="1:14">
      <c r="A488" t="s">
        <v>1709</v>
      </c>
      <c r="B488" t="s">
        <v>183</v>
      </c>
      <c r="C488" t="s">
        <v>301</v>
      </c>
      <c r="D488" t="s">
        <v>1710</v>
      </c>
      <c r="E488" t="s">
        <v>1711</v>
      </c>
      <c r="F488" t="s">
        <v>269</v>
      </c>
      <c r="G488" t="s">
        <v>25</v>
      </c>
      <c r="H488" t="s">
        <v>26</v>
      </c>
      <c r="I488" t="s">
        <v>39</v>
      </c>
      <c r="J488" t="s">
        <v>724</v>
      </c>
      <c r="K488" t="s">
        <v>29</v>
      </c>
      <c r="L488" t="s">
        <v>724</v>
      </c>
      <c r="M488" t="s">
        <v>122</v>
      </c>
      <c r="N488" t="s">
        <v>39</v>
      </c>
    </row>
    <row r="489" spans="1:14">
      <c r="A489" t="s">
        <v>1717</v>
      </c>
      <c r="B489" t="s">
        <v>183</v>
      </c>
      <c r="C489" t="s">
        <v>19</v>
      </c>
      <c r="D489" t="s">
        <v>1718</v>
      </c>
      <c r="E489" t="s">
        <v>1719</v>
      </c>
      <c r="F489" t="s">
        <v>22</v>
      </c>
      <c r="G489" t="s">
        <v>25</v>
      </c>
      <c r="H489" t="s">
        <v>26</v>
      </c>
      <c r="I489" t="s">
        <v>39</v>
      </c>
      <c r="J489" t="s">
        <v>1715</v>
      </c>
      <c r="K489" t="s">
        <v>29</v>
      </c>
      <c r="L489" t="s">
        <v>1716</v>
      </c>
      <c r="M489" t="s">
        <v>72</v>
      </c>
      <c r="N489" t="s">
        <v>73</v>
      </c>
    </row>
    <row r="490" spans="1:14">
      <c r="A490" t="s">
        <v>182</v>
      </c>
      <c r="B490" t="s">
        <v>183</v>
      </c>
      <c r="C490" t="s">
        <v>184</v>
      </c>
      <c r="D490" t="s">
        <v>1720</v>
      </c>
      <c r="E490" t="s">
        <v>202</v>
      </c>
      <c r="F490" t="s">
        <v>187</v>
      </c>
      <c r="G490" t="s">
        <v>25</v>
      </c>
      <c r="H490" t="s">
        <v>26</v>
      </c>
      <c r="I490" t="s">
        <v>203</v>
      </c>
      <c r="J490" t="s">
        <v>1715</v>
      </c>
      <c r="K490" t="s">
        <v>67</v>
      </c>
      <c r="L490" t="s">
        <v>1716</v>
      </c>
      <c r="M490" t="s">
        <v>126</v>
      </c>
      <c r="N490" t="s">
        <v>127</v>
      </c>
    </row>
    <row r="491" spans="1:14">
      <c r="A491" t="s">
        <v>1724</v>
      </c>
      <c r="B491" t="s">
        <v>183</v>
      </c>
      <c r="C491" t="s">
        <v>19</v>
      </c>
      <c r="D491" t="s">
        <v>1725</v>
      </c>
      <c r="E491" t="s">
        <v>1726</v>
      </c>
      <c r="F491" t="s">
        <v>22</v>
      </c>
      <c r="G491" t="s">
        <v>25</v>
      </c>
      <c r="H491" t="s">
        <v>38</v>
      </c>
      <c r="I491" t="s">
        <v>39</v>
      </c>
      <c r="J491" t="s">
        <v>1715</v>
      </c>
      <c r="K491" t="s">
        <v>29</v>
      </c>
      <c r="L491" t="s">
        <v>1716</v>
      </c>
      <c r="M491" t="s">
        <v>95</v>
      </c>
      <c r="N491" t="s">
        <v>56</v>
      </c>
    </row>
    <row r="492" spans="1:14">
      <c r="A492" t="s">
        <v>1727</v>
      </c>
      <c r="B492" t="s">
        <v>183</v>
      </c>
      <c r="C492" t="s">
        <v>19</v>
      </c>
      <c r="D492" t="s">
        <v>1728</v>
      </c>
      <c r="E492" t="s">
        <v>1729</v>
      </c>
      <c r="F492" t="s">
        <v>22</v>
      </c>
      <c r="G492" t="s">
        <v>25</v>
      </c>
      <c r="H492" t="s">
        <v>26</v>
      </c>
      <c r="I492" t="s">
        <v>39</v>
      </c>
      <c r="J492" t="s">
        <v>1715</v>
      </c>
      <c r="K492" t="s">
        <v>29</v>
      </c>
      <c r="L492" t="s">
        <v>1716</v>
      </c>
      <c r="M492" t="s">
        <v>122</v>
      </c>
      <c r="N492" t="s">
        <v>39</v>
      </c>
    </row>
    <row r="493" spans="1:14">
      <c r="A493" t="s">
        <v>1730</v>
      </c>
      <c r="B493" t="s">
        <v>183</v>
      </c>
      <c r="C493" t="s">
        <v>19</v>
      </c>
      <c r="D493" t="s">
        <v>1731</v>
      </c>
      <c r="E493" t="s">
        <v>1732</v>
      </c>
      <c r="F493" t="s">
        <v>22</v>
      </c>
      <c r="G493" t="s">
        <v>25</v>
      </c>
      <c r="H493" t="s">
        <v>26</v>
      </c>
      <c r="I493" t="s">
        <v>39</v>
      </c>
      <c r="J493" t="s">
        <v>1715</v>
      </c>
      <c r="K493" t="s">
        <v>29</v>
      </c>
      <c r="L493" t="s">
        <v>1716</v>
      </c>
      <c r="M493" t="s">
        <v>419</v>
      </c>
      <c r="N493" t="s">
        <v>66</v>
      </c>
    </row>
    <row r="494" spans="1:14">
      <c r="A494" t="s">
        <v>632</v>
      </c>
      <c r="B494" t="s">
        <v>183</v>
      </c>
      <c r="C494" t="s">
        <v>229</v>
      </c>
      <c r="D494" t="s">
        <v>1742</v>
      </c>
      <c r="E494" t="s">
        <v>1743</v>
      </c>
      <c r="F494" t="s">
        <v>232</v>
      </c>
      <c r="G494" t="s">
        <v>25</v>
      </c>
      <c r="H494" t="s">
        <v>38</v>
      </c>
      <c r="I494" t="s">
        <v>39</v>
      </c>
      <c r="J494" t="s">
        <v>1715</v>
      </c>
      <c r="K494" t="s">
        <v>106</v>
      </c>
      <c r="L494" t="s">
        <v>1716</v>
      </c>
      <c r="M494" t="s">
        <v>419</v>
      </c>
      <c r="N494" t="s">
        <v>66</v>
      </c>
    </row>
    <row r="495" spans="1:14">
      <c r="A495" t="s">
        <v>632</v>
      </c>
      <c r="B495" t="s">
        <v>183</v>
      </c>
      <c r="C495" t="s">
        <v>229</v>
      </c>
      <c r="D495" t="s">
        <v>1744</v>
      </c>
      <c r="E495" t="s">
        <v>1745</v>
      </c>
      <c r="F495" t="s">
        <v>232</v>
      </c>
      <c r="G495" t="s">
        <v>25</v>
      </c>
      <c r="H495" t="s">
        <v>38</v>
      </c>
      <c r="I495" t="s">
        <v>39</v>
      </c>
      <c r="J495" t="s">
        <v>1715</v>
      </c>
      <c r="K495" t="s">
        <v>29</v>
      </c>
      <c r="L495" t="s">
        <v>1716</v>
      </c>
      <c r="M495" t="s">
        <v>419</v>
      </c>
      <c r="N495" t="s">
        <v>66</v>
      </c>
    </row>
    <row r="496" spans="1:14">
      <c r="A496" t="s">
        <v>1755</v>
      </c>
      <c r="B496" t="s">
        <v>183</v>
      </c>
      <c r="C496" t="s">
        <v>266</v>
      </c>
      <c r="D496" t="s">
        <v>1756</v>
      </c>
      <c r="E496" t="s">
        <v>1757</v>
      </c>
      <c r="F496" t="s">
        <v>269</v>
      </c>
      <c r="G496" t="s">
        <v>25</v>
      </c>
      <c r="H496" t="s">
        <v>26</v>
      </c>
      <c r="I496" t="s">
        <v>27</v>
      </c>
      <c r="J496" t="s">
        <v>1715</v>
      </c>
      <c r="K496" t="s">
        <v>29</v>
      </c>
      <c r="L496" t="s">
        <v>1716</v>
      </c>
      <c r="M496" t="s">
        <v>419</v>
      </c>
      <c r="N496" t="s">
        <v>66</v>
      </c>
    </row>
    <row r="497" spans="1:14">
      <c r="A497" t="s">
        <v>1758</v>
      </c>
      <c r="B497" t="s">
        <v>183</v>
      </c>
      <c r="C497" t="s">
        <v>1128</v>
      </c>
      <c r="D497" t="s">
        <v>1759</v>
      </c>
      <c r="E497" t="s">
        <v>1760</v>
      </c>
      <c r="F497" t="s">
        <v>1131</v>
      </c>
      <c r="G497" t="s">
        <v>25</v>
      </c>
      <c r="H497" t="s">
        <v>26</v>
      </c>
      <c r="I497" t="s">
        <v>39</v>
      </c>
      <c r="J497" t="s">
        <v>1761</v>
      </c>
      <c r="K497" t="s">
        <v>29</v>
      </c>
      <c r="L497" t="s">
        <v>1716</v>
      </c>
      <c r="M497" t="s">
        <v>57</v>
      </c>
      <c r="N497" t="s">
        <v>58</v>
      </c>
    </row>
    <row r="498" spans="1:14">
      <c r="A498" t="s">
        <v>1770</v>
      </c>
      <c r="B498" t="s">
        <v>183</v>
      </c>
      <c r="C498" t="s">
        <v>1128</v>
      </c>
      <c r="D498" t="s">
        <v>1771</v>
      </c>
      <c r="E498" t="s">
        <v>1772</v>
      </c>
      <c r="F498" t="s">
        <v>1131</v>
      </c>
      <c r="G498" t="s">
        <v>25</v>
      </c>
      <c r="H498" t="s">
        <v>26</v>
      </c>
      <c r="I498" t="s">
        <v>39</v>
      </c>
      <c r="J498" t="s">
        <v>1715</v>
      </c>
      <c r="K498" t="s">
        <v>29</v>
      </c>
      <c r="L498" t="s">
        <v>1716</v>
      </c>
      <c r="M498" t="s">
        <v>419</v>
      </c>
      <c r="N498" t="s">
        <v>66</v>
      </c>
    </row>
    <row r="499" spans="1:14">
      <c r="A499" t="s">
        <v>1773</v>
      </c>
      <c r="B499" t="s">
        <v>183</v>
      </c>
      <c r="C499" t="s">
        <v>301</v>
      </c>
      <c r="D499" t="s">
        <v>1774</v>
      </c>
      <c r="E499" t="s">
        <v>1775</v>
      </c>
      <c r="F499" t="s">
        <v>269</v>
      </c>
      <c r="G499" t="s">
        <v>116</v>
      </c>
      <c r="H499" t="s">
        <v>26</v>
      </c>
      <c r="I499" t="s">
        <v>39</v>
      </c>
      <c r="J499" t="s">
        <v>1715</v>
      </c>
      <c r="K499" t="s">
        <v>29</v>
      </c>
      <c r="L499" t="s">
        <v>1716</v>
      </c>
      <c r="M499" t="s">
        <v>40</v>
      </c>
      <c r="N499" t="s">
        <v>41</v>
      </c>
    </row>
    <row r="500" spans="1:14">
      <c r="A500" t="s">
        <v>1791</v>
      </c>
      <c r="B500" t="s">
        <v>183</v>
      </c>
      <c r="C500" t="s">
        <v>33</v>
      </c>
      <c r="D500" t="s">
        <v>1792</v>
      </c>
      <c r="E500" t="s">
        <v>1793</v>
      </c>
      <c r="F500" t="s">
        <v>36</v>
      </c>
      <c r="G500" t="s">
        <v>1795</v>
      </c>
      <c r="H500" t="s">
        <v>26</v>
      </c>
      <c r="I500" t="s">
        <v>39</v>
      </c>
      <c r="J500" t="s">
        <v>1715</v>
      </c>
      <c r="K500" t="s">
        <v>29</v>
      </c>
      <c r="L500" t="s">
        <v>1716</v>
      </c>
      <c r="M500" t="s">
        <v>419</v>
      </c>
      <c r="N500" t="s">
        <v>66</v>
      </c>
    </row>
    <row r="501" spans="1:14">
      <c r="A501" t="s">
        <v>1813</v>
      </c>
      <c r="B501" t="s">
        <v>183</v>
      </c>
      <c r="C501" t="s">
        <v>19</v>
      </c>
      <c r="D501" t="s">
        <v>1814</v>
      </c>
      <c r="E501" t="s">
        <v>1815</v>
      </c>
      <c r="F501" t="s">
        <v>22</v>
      </c>
      <c r="G501" t="s">
        <v>25</v>
      </c>
      <c r="H501" t="s">
        <v>26</v>
      </c>
      <c r="I501" t="s">
        <v>39</v>
      </c>
      <c r="J501" t="s">
        <v>1715</v>
      </c>
      <c r="K501" t="s">
        <v>29</v>
      </c>
      <c r="L501" t="s">
        <v>1716</v>
      </c>
      <c r="M501" t="s">
        <v>68</v>
      </c>
      <c r="N501" t="s">
        <v>69</v>
      </c>
    </row>
    <row r="502" spans="1:14">
      <c r="A502" t="s">
        <v>1819</v>
      </c>
      <c r="B502" t="s">
        <v>183</v>
      </c>
      <c r="C502" t="s">
        <v>19</v>
      </c>
      <c r="D502" t="s">
        <v>1820</v>
      </c>
      <c r="E502" t="s">
        <v>1821</v>
      </c>
      <c r="F502" t="s">
        <v>22</v>
      </c>
      <c r="G502" t="s">
        <v>25</v>
      </c>
      <c r="H502" t="s">
        <v>26</v>
      </c>
      <c r="I502" t="s">
        <v>39</v>
      </c>
      <c r="J502" t="s">
        <v>1715</v>
      </c>
      <c r="K502" t="s">
        <v>29</v>
      </c>
      <c r="L502" t="s">
        <v>1716</v>
      </c>
      <c r="M502" t="s">
        <v>68</v>
      </c>
      <c r="N502" t="s">
        <v>69</v>
      </c>
    </row>
    <row r="503" spans="1:14">
      <c r="A503" t="s">
        <v>1822</v>
      </c>
      <c r="B503" t="s">
        <v>183</v>
      </c>
      <c r="C503" t="s">
        <v>19</v>
      </c>
      <c r="D503" t="s">
        <v>1823</v>
      </c>
      <c r="E503" t="s">
        <v>1824</v>
      </c>
      <c r="F503" t="s">
        <v>22</v>
      </c>
      <c r="G503" t="s">
        <v>25</v>
      </c>
      <c r="H503" t="s">
        <v>26</v>
      </c>
      <c r="I503" t="s">
        <v>27</v>
      </c>
      <c r="J503" t="s">
        <v>1715</v>
      </c>
      <c r="K503" t="s">
        <v>29</v>
      </c>
      <c r="L503" t="s">
        <v>1716</v>
      </c>
      <c r="M503" t="s">
        <v>40</v>
      </c>
      <c r="N503" t="s">
        <v>41</v>
      </c>
    </row>
    <row r="504" spans="1:14">
      <c r="A504" t="s">
        <v>1825</v>
      </c>
      <c r="B504" t="s">
        <v>183</v>
      </c>
      <c r="C504" t="s">
        <v>19</v>
      </c>
      <c r="D504" t="s">
        <v>1826</v>
      </c>
      <c r="E504" t="s">
        <v>1827</v>
      </c>
      <c r="F504" t="s">
        <v>22</v>
      </c>
      <c r="G504" t="s">
        <v>25</v>
      </c>
      <c r="H504" t="s">
        <v>26</v>
      </c>
      <c r="I504" t="s">
        <v>27</v>
      </c>
      <c r="J504" t="s">
        <v>1715</v>
      </c>
      <c r="K504" t="s">
        <v>29</v>
      </c>
      <c r="L504" t="s">
        <v>1716</v>
      </c>
      <c r="M504" t="s">
        <v>419</v>
      </c>
      <c r="N504" t="s">
        <v>66</v>
      </c>
    </row>
    <row r="505" spans="1:14">
      <c r="A505" t="s">
        <v>1828</v>
      </c>
      <c r="B505" t="s">
        <v>183</v>
      </c>
      <c r="C505" t="s">
        <v>19</v>
      </c>
      <c r="D505" t="s">
        <v>1829</v>
      </c>
      <c r="E505" t="s">
        <v>1830</v>
      </c>
      <c r="F505" t="s">
        <v>22</v>
      </c>
      <c r="G505" t="s">
        <v>25</v>
      </c>
      <c r="H505" t="s">
        <v>26</v>
      </c>
      <c r="I505" t="s">
        <v>39</v>
      </c>
      <c r="J505" t="s">
        <v>1715</v>
      </c>
      <c r="K505" t="s">
        <v>29</v>
      </c>
      <c r="L505" t="s">
        <v>1716</v>
      </c>
      <c r="M505" t="s">
        <v>419</v>
      </c>
      <c r="N505" t="s">
        <v>66</v>
      </c>
    </row>
    <row r="506" spans="1:14">
      <c r="A506" t="s">
        <v>1831</v>
      </c>
      <c r="B506" t="s">
        <v>183</v>
      </c>
      <c r="C506" t="s">
        <v>19</v>
      </c>
      <c r="D506" t="s">
        <v>1832</v>
      </c>
      <c r="E506" t="s">
        <v>1824</v>
      </c>
      <c r="F506" t="s">
        <v>22</v>
      </c>
      <c r="G506" t="s">
        <v>25</v>
      </c>
      <c r="H506" t="s">
        <v>26</v>
      </c>
      <c r="I506" t="s">
        <v>27</v>
      </c>
      <c r="J506" t="s">
        <v>1715</v>
      </c>
      <c r="K506" t="s">
        <v>29</v>
      </c>
      <c r="L506" t="s">
        <v>1716</v>
      </c>
      <c r="M506" t="s">
        <v>40</v>
      </c>
      <c r="N506" t="s">
        <v>41</v>
      </c>
    </row>
    <row r="507" spans="1:14">
      <c r="A507" t="s">
        <v>1833</v>
      </c>
      <c r="B507" t="s">
        <v>183</v>
      </c>
      <c r="C507" t="s">
        <v>19</v>
      </c>
      <c r="D507" t="s">
        <v>1834</v>
      </c>
      <c r="E507" t="s">
        <v>1824</v>
      </c>
      <c r="F507" t="s">
        <v>22</v>
      </c>
      <c r="G507" t="s">
        <v>25</v>
      </c>
      <c r="H507" t="s">
        <v>26</v>
      </c>
      <c r="I507" t="s">
        <v>27</v>
      </c>
      <c r="J507" t="s">
        <v>1715</v>
      </c>
      <c r="K507" t="s">
        <v>29</v>
      </c>
      <c r="L507" t="s">
        <v>1716</v>
      </c>
      <c r="M507" t="s">
        <v>40</v>
      </c>
      <c r="N507" t="s">
        <v>41</v>
      </c>
    </row>
    <row r="508" spans="1:14">
      <c r="A508" t="s">
        <v>1835</v>
      </c>
      <c r="B508" t="s">
        <v>183</v>
      </c>
      <c r="C508" t="s">
        <v>19</v>
      </c>
      <c r="D508" t="s">
        <v>1836</v>
      </c>
      <c r="E508" t="s">
        <v>1824</v>
      </c>
      <c r="F508" t="s">
        <v>22</v>
      </c>
      <c r="G508" t="s">
        <v>25</v>
      </c>
      <c r="H508" t="s">
        <v>26</v>
      </c>
      <c r="I508" t="s">
        <v>27</v>
      </c>
      <c r="J508" t="s">
        <v>1715</v>
      </c>
      <c r="K508" t="s">
        <v>29</v>
      </c>
      <c r="L508" t="s">
        <v>1716</v>
      </c>
      <c r="M508" t="s">
        <v>76</v>
      </c>
      <c r="N508" t="s">
        <v>77</v>
      </c>
    </row>
    <row r="509" spans="1:14">
      <c r="A509" t="s">
        <v>1839</v>
      </c>
      <c r="B509" t="s">
        <v>183</v>
      </c>
      <c r="C509" t="s">
        <v>184</v>
      </c>
      <c r="D509" t="s">
        <v>1840</v>
      </c>
      <c r="E509" t="s">
        <v>1841</v>
      </c>
      <c r="F509" t="s">
        <v>187</v>
      </c>
      <c r="G509" t="s">
        <v>25</v>
      </c>
      <c r="H509" t="s">
        <v>26</v>
      </c>
      <c r="I509" t="s">
        <v>203</v>
      </c>
      <c r="J509" t="s">
        <v>1715</v>
      </c>
      <c r="K509" t="s">
        <v>29</v>
      </c>
      <c r="L509" t="s">
        <v>1715</v>
      </c>
      <c r="M509" t="s">
        <v>95</v>
      </c>
      <c r="N509" t="s">
        <v>56</v>
      </c>
    </row>
    <row r="510" spans="1:14">
      <c r="A510" t="s">
        <v>1842</v>
      </c>
      <c r="B510" t="s">
        <v>183</v>
      </c>
      <c r="C510" t="s">
        <v>184</v>
      </c>
      <c r="D510" t="s">
        <v>1843</v>
      </c>
      <c r="E510" t="s">
        <v>1841</v>
      </c>
      <c r="F510" t="s">
        <v>187</v>
      </c>
      <c r="G510" t="s">
        <v>25</v>
      </c>
      <c r="H510" t="s">
        <v>26</v>
      </c>
      <c r="I510" t="s">
        <v>203</v>
      </c>
      <c r="J510" t="s">
        <v>1715</v>
      </c>
      <c r="K510" t="s">
        <v>29</v>
      </c>
      <c r="L510" t="s">
        <v>1715</v>
      </c>
      <c r="M510" t="s">
        <v>122</v>
      </c>
      <c r="N510" t="s">
        <v>39</v>
      </c>
    </row>
    <row r="511" spans="1:14">
      <c r="A511" t="s">
        <v>17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t="s">
        <v>25</v>
      </c>
      <c r="H511" t="s">
        <v>26</v>
      </c>
      <c r="I511" t="s">
        <v>27</v>
      </c>
      <c r="J511" t="s">
        <v>28</v>
      </c>
      <c r="K511" t="s">
        <v>29</v>
      </c>
      <c r="L511" t="s">
        <v>28</v>
      </c>
      <c r="M511" t="s">
        <v>3412</v>
      </c>
      <c r="N511" t="s">
        <v>39</v>
      </c>
    </row>
    <row r="512" spans="1:14">
      <c r="A512" t="s">
        <v>32</v>
      </c>
      <c r="B512" t="s">
        <v>18</v>
      </c>
      <c r="C512" t="s">
        <v>33</v>
      </c>
      <c r="D512" t="s">
        <v>34</v>
      </c>
      <c r="E512" t="s">
        <v>35</v>
      </c>
      <c r="F512" t="s">
        <v>36</v>
      </c>
      <c r="G512" t="s">
        <v>25</v>
      </c>
      <c r="H512" t="s">
        <v>38</v>
      </c>
      <c r="I512" t="s">
        <v>39</v>
      </c>
      <c r="J512" t="s">
        <v>28</v>
      </c>
      <c r="K512" t="s">
        <v>29</v>
      </c>
      <c r="L512" t="s">
        <v>28</v>
      </c>
      <c r="M512" t="s">
        <v>122</v>
      </c>
      <c r="N512" t="s">
        <v>39</v>
      </c>
    </row>
    <row r="513" spans="1:14">
      <c r="A513" t="s">
        <v>42</v>
      </c>
      <c r="B513" t="s">
        <v>18</v>
      </c>
      <c r="C513" t="s">
        <v>19</v>
      </c>
      <c r="D513" t="s">
        <v>43</v>
      </c>
      <c r="E513" t="s">
        <v>44</v>
      </c>
      <c r="F513" t="s">
        <v>22</v>
      </c>
      <c r="G513" t="s">
        <v>25</v>
      </c>
      <c r="H513" t="s">
        <v>38</v>
      </c>
      <c r="I513" t="s">
        <v>39</v>
      </c>
      <c r="J513" t="s">
        <v>28</v>
      </c>
      <c r="K513" t="s">
        <v>29</v>
      </c>
      <c r="L513" t="s">
        <v>28</v>
      </c>
      <c r="M513" t="s">
        <v>3412</v>
      </c>
      <c r="N513" t="s">
        <v>39</v>
      </c>
    </row>
    <row r="514" spans="1:14">
      <c r="A514" t="s">
        <v>45</v>
      </c>
      <c r="B514" t="s">
        <v>18</v>
      </c>
      <c r="C514" t="s">
        <v>46</v>
      </c>
      <c r="D514" t="s">
        <v>47</v>
      </c>
      <c r="E514" t="s">
        <v>48</v>
      </c>
      <c r="F514" t="s">
        <v>49</v>
      </c>
      <c r="G514" t="s">
        <v>25</v>
      </c>
      <c r="H514" t="s">
        <v>26</v>
      </c>
      <c r="I514" t="s">
        <v>51</v>
      </c>
      <c r="J514" t="s">
        <v>28</v>
      </c>
      <c r="K514" t="s">
        <v>29</v>
      </c>
      <c r="L514" t="s">
        <v>28</v>
      </c>
      <c r="M514" t="s">
        <v>95</v>
      </c>
      <c r="N514" t="s">
        <v>56</v>
      </c>
    </row>
    <row r="515" spans="1:14">
      <c r="A515" t="s">
        <v>45</v>
      </c>
      <c r="B515" t="s">
        <v>18</v>
      </c>
      <c r="C515" t="s">
        <v>46</v>
      </c>
      <c r="D515" t="s">
        <v>54</v>
      </c>
      <c r="E515" t="s">
        <v>55</v>
      </c>
      <c r="F515" t="s">
        <v>49</v>
      </c>
      <c r="G515" t="s">
        <v>25</v>
      </c>
      <c r="H515" t="s">
        <v>26</v>
      </c>
      <c r="I515" t="s">
        <v>56</v>
      </c>
      <c r="J515" t="s">
        <v>28</v>
      </c>
      <c r="K515" t="s">
        <v>29</v>
      </c>
      <c r="L515" t="s">
        <v>28</v>
      </c>
      <c r="M515" t="s">
        <v>57</v>
      </c>
      <c r="N515" t="s">
        <v>58</v>
      </c>
    </row>
    <row r="516" spans="1:14">
      <c r="A516" t="s">
        <v>59</v>
      </c>
      <c r="B516" t="s">
        <v>18</v>
      </c>
      <c r="C516" t="s">
        <v>46</v>
      </c>
      <c r="D516" t="s">
        <v>60</v>
      </c>
      <c r="E516" t="s">
        <v>61</v>
      </c>
      <c r="F516" t="s">
        <v>49</v>
      </c>
      <c r="G516" t="s">
        <v>62</v>
      </c>
      <c r="H516" t="s">
        <v>26</v>
      </c>
      <c r="I516" t="s">
        <v>56</v>
      </c>
      <c r="J516" t="s">
        <v>28</v>
      </c>
      <c r="K516" t="s">
        <v>29</v>
      </c>
      <c r="L516" t="s">
        <v>28</v>
      </c>
      <c r="M516" t="s">
        <v>57</v>
      </c>
      <c r="N516" t="s">
        <v>58</v>
      </c>
    </row>
    <row r="517" spans="1:14">
      <c r="A517" t="s">
        <v>63</v>
      </c>
      <c r="B517" t="s">
        <v>18</v>
      </c>
      <c r="C517" t="s">
        <v>19</v>
      </c>
      <c r="D517" t="s">
        <v>64</v>
      </c>
      <c r="E517" t="s">
        <v>65</v>
      </c>
      <c r="F517" t="s">
        <v>22</v>
      </c>
      <c r="G517" t="s">
        <v>25</v>
      </c>
      <c r="H517" t="s">
        <v>26</v>
      </c>
      <c r="I517" t="s">
        <v>66</v>
      </c>
      <c r="J517" t="s">
        <v>28</v>
      </c>
      <c r="K517" t="s">
        <v>67</v>
      </c>
      <c r="L517" t="s">
        <v>28</v>
      </c>
      <c r="M517" t="s">
        <v>72</v>
      </c>
      <c r="N517" t="s">
        <v>73</v>
      </c>
    </row>
    <row r="518" spans="1:14">
      <c r="A518" t="s">
        <v>63</v>
      </c>
      <c r="B518" t="s">
        <v>18</v>
      </c>
      <c r="C518" t="s">
        <v>19</v>
      </c>
      <c r="D518" t="s">
        <v>70</v>
      </c>
      <c r="E518" t="s">
        <v>71</v>
      </c>
      <c r="F518" t="s">
        <v>22</v>
      </c>
      <c r="G518" t="s">
        <v>25</v>
      </c>
      <c r="H518" t="s">
        <v>26</v>
      </c>
      <c r="I518" t="s">
        <v>39</v>
      </c>
      <c r="J518" t="s">
        <v>28</v>
      </c>
      <c r="K518" t="s">
        <v>67</v>
      </c>
      <c r="L518" t="s">
        <v>28</v>
      </c>
      <c r="M518" t="s">
        <v>72</v>
      </c>
      <c r="N518" t="s">
        <v>73</v>
      </c>
    </row>
    <row r="519" spans="1:14">
      <c r="A519" t="s">
        <v>63</v>
      </c>
      <c r="B519" t="s">
        <v>18</v>
      </c>
      <c r="C519" t="s">
        <v>19</v>
      </c>
      <c r="D519" t="s">
        <v>74</v>
      </c>
      <c r="E519" t="s">
        <v>75</v>
      </c>
      <c r="F519" t="s">
        <v>22</v>
      </c>
      <c r="G519" t="s">
        <v>25</v>
      </c>
      <c r="H519" t="s">
        <v>26</v>
      </c>
      <c r="I519" t="s">
        <v>27</v>
      </c>
      <c r="J519" t="s">
        <v>28</v>
      </c>
      <c r="K519" t="s">
        <v>29</v>
      </c>
      <c r="L519" t="s">
        <v>28</v>
      </c>
      <c r="M519" t="s">
        <v>72</v>
      </c>
      <c r="N519" t="s">
        <v>73</v>
      </c>
    </row>
    <row r="520" spans="1:14">
      <c r="A520" t="s">
        <v>63</v>
      </c>
      <c r="B520" t="s">
        <v>18</v>
      </c>
      <c r="C520" t="s">
        <v>19</v>
      </c>
      <c r="D520" t="s">
        <v>78</v>
      </c>
      <c r="E520" t="s">
        <v>79</v>
      </c>
      <c r="F520" t="s">
        <v>22</v>
      </c>
      <c r="G520" t="s">
        <v>25</v>
      </c>
      <c r="H520" t="s">
        <v>26</v>
      </c>
      <c r="I520" t="s">
        <v>27</v>
      </c>
      <c r="J520" t="s">
        <v>28</v>
      </c>
      <c r="K520" t="s">
        <v>29</v>
      </c>
      <c r="L520" t="s">
        <v>28</v>
      </c>
      <c r="M520" t="s">
        <v>72</v>
      </c>
      <c r="N520" t="s">
        <v>73</v>
      </c>
    </row>
    <row r="521" spans="1:14">
      <c r="A521" t="s">
        <v>63</v>
      </c>
      <c r="B521" t="s">
        <v>18</v>
      </c>
      <c r="C521" t="s">
        <v>19</v>
      </c>
      <c r="D521" t="s">
        <v>80</v>
      </c>
      <c r="E521" t="s">
        <v>81</v>
      </c>
      <c r="F521" t="s">
        <v>22</v>
      </c>
      <c r="G521" t="s">
        <v>25</v>
      </c>
      <c r="H521" t="s">
        <v>38</v>
      </c>
      <c r="I521" t="s">
        <v>82</v>
      </c>
      <c r="J521" t="s">
        <v>28</v>
      </c>
      <c r="K521" t="s">
        <v>29</v>
      </c>
      <c r="L521" t="s">
        <v>28</v>
      </c>
      <c r="M521" t="s">
        <v>72</v>
      </c>
      <c r="N521" t="s">
        <v>73</v>
      </c>
    </row>
    <row r="522" spans="1:14">
      <c r="A522" t="s">
        <v>83</v>
      </c>
      <c r="B522" t="s">
        <v>18</v>
      </c>
      <c r="C522" t="s">
        <v>19</v>
      </c>
      <c r="D522" t="s">
        <v>84</v>
      </c>
      <c r="E522" t="s">
        <v>85</v>
      </c>
      <c r="F522" t="s">
        <v>22</v>
      </c>
      <c r="G522" t="s">
        <v>25</v>
      </c>
      <c r="H522" t="s">
        <v>26</v>
      </c>
      <c r="I522" t="s">
        <v>27</v>
      </c>
      <c r="J522" t="s">
        <v>28</v>
      </c>
      <c r="K522" t="s">
        <v>29</v>
      </c>
      <c r="L522" t="s">
        <v>28</v>
      </c>
      <c r="M522" t="s">
        <v>72</v>
      </c>
      <c r="N522" t="s">
        <v>73</v>
      </c>
    </row>
    <row r="523" spans="1:14">
      <c r="A523" t="s">
        <v>86</v>
      </c>
      <c r="B523" t="s">
        <v>18</v>
      </c>
      <c r="C523" t="s">
        <v>19</v>
      </c>
      <c r="D523" t="s">
        <v>87</v>
      </c>
      <c r="E523" t="s">
        <v>88</v>
      </c>
      <c r="F523" t="s">
        <v>22</v>
      </c>
      <c r="G523" t="s">
        <v>25</v>
      </c>
      <c r="H523" t="s">
        <v>26</v>
      </c>
      <c r="I523" t="s">
        <v>27</v>
      </c>
      <c r="J523" t="s">
        <v>28</v>
      </c>
      <c r="K523" t="s">
        <v>29</v>
      </c>
      <c r="L523" t="s">
        <v>28</v>
      </c>
      <c r="M523" t="s">
        <v>72</v>
      </c>
      <c r="N523" t="s">
        <v>73</v>
      </c>
    </row>
    <row r="524" spans="1:14">
      <c r="A524" t="s">
        <v>89</v>
      </c>
      <c r="B524" t="s">
        <v>18</v>
      </c>
      <c r="C524" t="s">
        <v>19</v>
      </c>
      <c r="D524" t="s">
        <v>90</v>
      </c>
      <c r="E524" t="s">
        <v>91</v>
      </c>
      <c r="F524" t="s">
        <v>22</v>
      </c>
      <c r="G524" t="s">
        <v>25</v>
      </c>
      <c r="H524" t="s">
        <v>26</v>
      </c>
      <c r="I524" t="s">
        <v>27</v>
      </c>
      <c r="J524" t="s">
        <v>28</v>
      </c>
      <c r="K524" t="s">
        <v>29</v>
      </c>
      <c r="L524" t="s">
        <v>28</v>
      </c>
      <c r="M524" t="s">
        <v>72</v>
      </c>
      <c r="N524" t="s">
        <v>73</v>
      </c>
    </row>
    <row r="525" spans="1:14">
      <c r="A525" t="s">
        <v>92</v>
      </c>
      <c r="B525" t="s">
        <v>18</v>
      </c>
      <c r="C525" t="s">
        <v>19</v>
      </c>
      <c r="D525" t="s">
        <v>93</v>
      </c>
      <c r="E525" t="s">
        <v>94</v>
      </c>
      <c r="F525" t="s">
        <v>22</v>
      </c>
      <c r="G525" t="s">
        <v>25</v>
      </c>
      <c r="H525" t="s">
        <v>26</v>
      </c>
      <c r="I525" t="s">
        <v>82</v>
      </c>
      <c r="J525" t="s">
        <v>28</v>
      </c>
      <c r="K525" t="s">
        <v>29</v>
      </c>
      <c r="L525" t="s">
        <v>28</v>
      </c>
      <c r="M525" t="s">
        <v>68</v>
      </c>
      <c r="N525" t="s">
        <v>69</v>
      </c>
    </row>
    <row r="526" spans="1:14">
      <c r="A526" t="s">
        <v>96</v>
      </c>
      <c r="B526" t="s">
        <v>18</v>
      </c>
      <c r="C526" t="s">
        <v>19</v>
      </c>
      <c r="D526" t="s">
        <v>97</v>
      </c>
      <c r="E526" t="s">
        <v>98</v>
      </c>
      <c r="F526" t="s">
        <v>22</v>
      </c>
      <c r="G526" t="s">
        <v>25</v>
      </c>
      <c r="H526" t="s">
        <v>26</v>
      </c>
      <c r="I526" t="s">
        <v>99</v>
      </c>
      <c r="J526" t="s">
        <v>28</v>
      </c>
      <c r="K526" t="s">
        <v>29</v>
      </c>
      <c r="L526" t="s">
        <v>28</v>
      </c>
      <c r="M526" t="s">
        <v>57</v>
      </c>
      <c r="N526" t="s">
        <v>58</v>
      </c>
    </row>
    <row r="527" spans="1:14">
      <c r="A527" t="s">
        <v>100</v>
      </c>
      <c r="B527" t="s">
        <v>18</v>
      </c>
      <c r="C527" t="s">
        <v>19</v>
      </c>
      <c r="D527" t="s">
        <v>101</v>
      </c>
      <c r="E527" t="s">
        <v>102</v>
      </c>
      <c r="F527" t="s">
        <v>22</v>
      </c>
      <c r="G527" t="s">
        <v>25</v>
      </c>
      <c r="H527" t="s">
        <v>26</v>
      </c>
      <c r="I527" t="s">
        <v>27</v>
      </c>
      <c r="J527" t="s">
        <v>28</v>
      </c>
      <c r="K527" t="s">
        <v>29</v>
      </c>
      <c r="L527" t="s">
        <v>28</v>
      </c>
      <c r="M527" t="s">
        <v>122</v>
      </c>
      <c r="N527" t="s">
        <v>39</v>
      </c>
    </row>
    <row r="528" spans="1:14">
      <c r="A528" t="s">
        <v>103</v>
      </c>
      <c r="B528" t="s">
        <v>18</v>
      </c>
      <c r="C528" t="s">
        <v>19</v>
      </c>
      <c r="D528" t="s">
        <v>104</v>
      </c>
      <c r="E528" t="s">
        <v>105</v>
      </c>
      <c r="F528" t="s">
        <v>22</v>
      </c>
      <c r="G528" t="s">
        <v>25</v>
      </c>
      <c r="H528" t="s">
        <v>26</v>
      </c>
      <c r="I528" t="s">
        <v>39</v>
      </c>
      <c r="J528" t="s">
        <v>28</v>
      </c>
      <c r="K528" t="s">
        <v>106</v>
      </c>
      <c r="L528" t="s">
        <v>28</v>
      </c>
      <c r="M528" t="s">
        <v>68</v>
      </c>
      <c r="N528" t="s">
        <v>69</v>
      </c>
    </row>
    <row r="529" spans="1:14">
      <c r="A529" t="s">
        <v>107</v>
      </c>
      <c r="B529" t="s">
        <v>18</v>
      </c>
      <c r="C529" t="s">
        <v>19</v>
      </c>
      <c r="D529" t="s">
        <v>108</v>
      </c>
      <c r="E529" t="s">
        <v>109</v>
      </c>
      <c r="F529" t="s">
        <v>22</v>
      </c>
      <c r="G529" t="s">
        <v>25</v>
      </c>
      <c r="H529" t="s">
        <v>38</v>
      </c>
      <c r="I529" t="s">
        <v>82</v>
      </c>
      <c r="J529" t="s">
        <v>28</v>
      </c>
      <c r="K529" t="s">
        <v>29</v>
      </c>
      <c r="L529" t="s">
        <v>28</v>
      </c>
      <c r="M529" t="s">
        <v>68</v>
      </c>
      <c r="N529" t="s">
        <v>69</v>
      </c>
    </row>
    <row r="530" spans="1:14">
      <c r="A530" t="s">
        <v>110</v>
      </c>
      <c r="B530" t="s">
        <v>18</v>
      </c>
      <c r="C530" t="s">
        <v>111</v>
      </c>
      <c r="D530" t="s">
        <v>112</v>
      </c>
      <c r="E530" t="s">
        <v>113</v>
      </c>
      <c r="F530" t="s">
        <v>114</v>
      </c>
      <c r="G530" t="s">
        <v>116</v>
      </c>
      <c r="H530" t="s">
        <v>26</v>
      </c>
      <c r="I530" t="s">
        <v>82</v>
      </c>
      <c r="J530" t="s">
        <v>28</v>
      </c>
      <c r="K530" t="s">
        <v>29</v>
      </c>
      <c r="L530" t="s">
        <v>28</v>
      </c>
      <c r="M530" t="s">
        <v>419</v>
      </c>
      <c r="N530" t="s">
        <v>66</v>
      </c>
    </row>
    <row r="531" spans="1:14">
      <c r="A531" t="s">
        <v>117</v>
      </c>
      <c r="B531" t="s">
        <v>18</v>
      </c>
      <c r="C531" t="s">
        <v>111</v>
      </c>
      <c r="D531" t="s">
        <v>118</v>
      </c>
      <c r="E531" t="s">
        <v>113</v>
      </c>
      <c r="F531" t="s">
        <v>114</v>
      </c>
      <c r="G531" t="s">
        <v>116</v>
      </c>
      <c r="H531" t="s">
        <v>26</v>
      </c>
      <c r="I531" t="s">
        <v>82</v>
      </c>
      <c r="J531" t="s">
        <v>28</v>
      </c>
      <c r="K531" t="s">
        <v>29</v>
      </c>
      <c r="L531" t="s">
        <v>28</v>
      </c>
      <c r="M531" t="s">
        <v>419</v>
      </c>
      <c r="N531" t="s">
        <v>66</v>
      </c>
    </row>
    <row r="532" spans="1:14">
      <c r="A532" t="s">
        <v>119</v>
      </c>
      <c r="B532" t="s">
        <v>18</v>
      </c>
      <c r="C532" t="s">
        <v>111</v>
      </c>
      <c r="D532" t="s">
        <v>120</v>
      </c>
      <c r="E532" t="s">
        <v>121</v>
      </c>
      <c r="F532" t="s">
        <v>114</v>
      </c>
      <c r="G532" t="s">
        <v>116</v>
      </c>
      <c r="H532" t="s">
        <v>26</v>
      </c>
      <c r="I532" t="s">
        <v>82</v>
      </c>
      <c r="J532" t="s">
        <v>28</v>
      </c>
      <c r="K532" t="s">
        <v>67</v>
      </c>
      <c r="L532" t="s">
        <v>28</v>
      </c>
      <c r="M532" t="s">
        <v>419</v>
      </c>
      <c r="N532" t="s">
        <v>66</v>
      </c>
    </row>
    <row r="533" spans="1:14">
      <c r="A533" t="s">
        <v>123</v>
      </c>
      <c r="B533" t="s">
        <v>18</v>
      </c>
      <c r="C533" t="s">
        <v>111</v>
      </c>
      <c r="D533" t="s">
        <v>124</v>
      </c>
      <c r="E533" t="s">
        <v>125</v>
      </c>
      <c r="F533" t="s">
        <v>114</v>
      </c>
      <c r="G533" t="s">
        <v>116</v>
      </c>
      <c r="H533" t="s">
        <v>26</v>
      </c>
      <c r="I533" t="s">
        <v>82</v>
      </c>
      <c r="J533" t="s">
        <v>28</v>
      </c>
      <c r="K533" t="s">
        <v>67</v>
      </c>
      <c r="L533" t="s">
        <v>28</v>
      </c>
      <c r="M533" t="s">
        <v>419</v>
      </c>
      <c r="N533" t="s">
        <v>66</v>
      </c>
    </row>
    <row r="534" spans="1:14">
      <c r="A534" t="s">
        <v>128</v>
      </c>
      <c r="B534" t="s">
        <v>18</v>
      </c>
      <c r="C534" t="s">
        <v>111</v>
      </c>
      <c r="D534" t="s">
        <v>129</v>
      </c>
      <c r="E534" t="s">
        <v>130</v>
      </c>
      <c r="F534" t="s">
        <v>114</v>
      </c>
      <c r="G534" t="s">
        <v>116</v>
      </c>
      <c r="H534" t="s">
        <v>26</v>
      </c>
      <c r="I534" t="s">
        <v>82</v>
      </c>
      <c r="J534" t="s">
        <v>28</v>
      </c>
      <c r="K534" t="s">
        <v>67</v>
      </c>
      <c r="L534" t="s">
        <v>28</v>
      </c>
      <c r="M534" t="s">
        <v>419</v>
      </c>
      <c r="N534" t="s">
        <v>66</v>
      </c>
    </row>
    <row r="535" spans="1:14">
      <c r="A535" t="s">
        <v>131</v>
      </c>
      <c r="B535" t="s">
        <v>18</v>
      </c>
      <c r="C535" t="s">
        <v>111</v>
      </c>
      <c r="D535" t="s">
        <v>132</v>
      </c>
      <c r="E535" t="s">
        <v>133</v>
      </c>
      <c r="F535" t="s">
        <v>114</v>
      </c>
      <c r="G535" t="s">
        <v>116</v>
      </c>
      <c r="H535" t="s">
        <v>26</v>
      </c>
      <c r="I535" t="s">
        <v>99</v>
      </c>
      <c r="J535" t="s">
        <v>28</v>
      </c>
      <c r="K535" t="s">
        <v>29</v>
      </c>
      <c r="L535" t="s">
        <v>28</v>
      </c>
      <c r="M535" t="s">
        <v>72</v>
      </c>
      <c r="N535" t="s">
        <v>73</v>
      </c>
    </row>
    <row r="536" spans="1:14">
      <c r="A536" t="s">
        <v>134</v>
      </c>
      <c r="B536" t="s">
        <v>18</v>
      </c>
      <c r="C536" t="s">
        <v>19</v>
      </c>
      <c r="D536" t="s">
        <v>135</v>
      </c>
      <c r="E536" t="s">
        <v>136</v>
      </c>
      <c r="F536" t="s">
        <v>22</v>
      </c>
      <c r="G536" t="s">
        <v>116</v>
      </c>
      <c r="H536" t="s">
        <v>26</v>
      </c>
      <c r="I536" t="s">
        <v>39</v>
      </c>
      <c r="J536" t="s">
        <v>28</v>
      </c>
      <c r="K536" t="s">
        <v>29</v>
      </c>
      <c r="L536" t="s">
        <v>28</v>
      </c>
      <c r="M536" t="s">
        <v>419</v>
      </c>
      <c r="N536" t="s">
        <v>66</v>
      </c>
    </row>
    <row r="537" spans="1:14">
      <c r="A537" t="s">
        <v>137</v>
      </c>
      <c r="B537" t="s">
        <v>18</v>
      </c>
      <c r="C537" t="s">
        <v>19</v>
      </c>
      <c r="D537" t="s">
        <v>138</v>
      </c>
      <c r="E537" t="s">
        <v>139</v>
      </c>
      <c r="F537" t="s">
        <v>22</v>
      </c>
      <c r="G537" t="s">
        <v>116</v>
      </c>
      <c r="H537" t="s">
        <v>26</v>
      </c>
      <c r="I537" t="s">
        <v>39</v>
      </c>
      <c r="J537" t="s">
        <v>28</v>
      </c>
      <c r="K537" t="s">
        <v>29</v>
      </c>
      <c r="L537" t="s">
        <v>28</v>
      </c>
      <c r="M537" t="s">
        <v>419</v>
      </c>
      <c r="N537" t="s">
        <v>66</v>
      </c>
    </row>
    <row r="538" spans="1:14">
      <c r="A538" t="s">
        <v>140</v>
      </c>
      <c r="B538" t="s">
        <v>18</v>
      </c>
      <c r="C538" t="s">
        <v>46</v>
      </c>
      <c r="D538" t="s">
        <v>141</v>
      </c>
      <c r="E538" t="s">
        <v>142</v>
      </c>
      <c r="F538" t="s">
        <v>49</v>
      </c>
      <c r="G538" t="s">
        <v>25</v>
      </c>
      <c r="H538" t="s">
        <v>26</v>
      </c>
      <c r="I538" t="s">
        <v>39</v>
      </c>
      <c r="J538" t="s">
        <v>28</v>
      </c>
      <c r="K538" t="s">
        <v>67</v>
      </c>
      <c r="L538" t="s">
        <v>28</v>
      </c>
      <c r="M538" t="s">
        <v>72</v>
      </c>
      <c r="N538" t="s">
        <v>73</v>
      </c>
    </row>
    <row r="539" spans="1:14">
      <c r="A539" t="s">
        <v>140</v>
      </c>
      <c r="B539" t="s">
        <v>18</v>
      </c>
      <c r="C539" t="s">
        <v>46</v>
      </c>
      <c r="D539" t="s">
        <v>143</v>
      </c>
      <c r="E539" t="s">
        <v>144</v>
      </c>
      <c r="F539" t="s">
        <v>49</v>
      </c>
      <c r="G539" t="s">
        <v>25</v>
      </c>
      <c r="H539" t="s">
        <v>26</v>
      </c>
      <c r="I539" t="s">
        <v>39</v>
      </c>
      <c r="J539" t="s">
        <v>28</v>
      </c>
      <c r="K539" t="s">
        <v>67</v>
      </c>
      <c r="L539" t="s">
        <v>28</v>
      </c>
      <c r="M539" t="s">
        <v>72</v>
      </c>
      <c r="N539" t="s">
        <v>73</v>
      </c>
    </row>
    <row r="540" spans="1:14">
      <c r="A540" t="s">
        <v>145</v>
      </c>
      <c r="B540" t="s">
        <v>18</v>
      </c>
      <c r="C540" t="s">
        <v>46</v>
      </c>
      <c r="D540" t="s">
        <v>146</v>
      </c>
      <c r="E540" t="s">
        <v>147</v>
      </c>
      <c r="F540" t="s">
        <v>49</v>
      </c>
      <c r="G540" t="s">
        <v>116</v>
      </c>
      <c r="H540" t="s">
        <v>148</v>
      </c>
      <c r="I540" t="s">
        <v>56</v>
      </c>
      <c r="J540" t="s">
        <v>28</v>
      </c>
      <c r="K540" t="s">
        <v>29</v>
      </c>
      <c r="L540" t="s">
        <v>28</v>
      </c>
      <c r="M540" t="s">
        <v>57</v>
      </c>
      <c r="N540" t="s">
        <v>58</v>
      </c>
    </row>
    <row r="541" spans="1:14">
      <c r="A541" t="s">
        <v>149</v>
      </c>
      <c r="B541" t="s">
        <v>18</v>
      </c>
      <c r="C541" t="s">
        <v>46</v>
      </c>
      <c r="D541" t="s">
        <v>150</v>
      </c>
      <c r="E541" t="s">
        <v>147</v>
      </c>
      <c r="F541" t="s">
        <v>49</v>
      </c>
      <c r="G541" t="s">
        <v>116</v>
      </c>
      <c r="H541" t="s">
        <v>148</v>
      </c>
      <c r="I541" t="s">
        <v>56</v>
      </c>
      <c r="J541" t="s">
        <v>28</v>
      </c>
      <c r="K541" t="s">
        <v>29</v>
      </c>
      <c r="L541" t="s">
        <v>28</v>
      </c>
      <c r="M541" t="s">
        <v>57</v>
      </c>
      <c r="N541" t="s">
        <v>58</v>
      </c>
    </row>
    <row r="542" spans="1:14">
      <c r="A542" t="s">
        <v>151</v>
      </c>
      <c r="B542" t="s">
        <v>18</v>
      </c>
      <c r="C542" t="s">
        <v>46</v>
      </c>
      <c r="D542" t="s">
        <v>152</v>
      </c>
      <c r="E542" t="s">
        <v>147</v>
      </c>
      <c r="F542" t="s">
        <v>49</v>
      </c>
      <c r="G542" t="s">
        <v>116</v>
      </c>
      <c r="H542" t="s">
        <v>26</v>
      </c>
      <c r="I542" t="s">
        <v>56</v>
      </c>
      <c r="J542" t="s">
        <v>28</v>
      </c>
      <c r="K542" t="s">
        <v>29</v>
      </c>
      <c r="L542" t="s">
        <v>28</v>
      </c>
      <c r="M542" t="s">
        <v>57</v>
      </c>
      <c r="N542" t="s">
        <v>58</v>
      </c>
    </row>
    <row r="543" spans="1:14">
      <c r="A543" t="s">
        <v>153</v>
      </c>
      <c r="B543" t="s">
        <v>18</v>
      </c>
      <c r="C543" t="s">
        <v>46</v>
      </c>
      <c r="D543" t="s">
        <v>154</v>
      </c>
      <c r="E543" t="s">
        <v>147</v>
      </c>
      <c r="F543" t="s">
        <v>49</v>
      </c>
      <c r="G543" t="s">
        <v>116</v>
      </c>
      <c r="H543" t="s">
        <v>26</v>
      </c>
      <c r="I543" t="s">
        <v>56</v>
      </c>
      <c r="J543" t="s">
        <v>28</v>
      </c>
      <c r="K543" t="s">
        <v>29</v>
      </c>
      <c r="L543" t="s">
        <v>28</v>
      </c>
      <c r="M543" t="s">
        <v>57</v>
      </c>
      <c r="N543" t="s">
        <v>58</v>
      </c>
    </row>
    <row r="544" spans="1:14">
      <c r="A544" t="s">
        <v>155</v>
      </c>
      <c r="B544" t="s">
        <v>18</v>
      </c>
      <c r="C544" t="s">
        <v>46</v>
      </c>
      <c r="D544" t="s">
        <v>156</v>
      </c>
      <c r="E544" t="s">
        <v>157</v>
      </c>
      <c r="F544" t="s">
        <v>49</v>
      </c>
      <c r="G544" t="s">
        <v>25</v>
      </c>
      <c r="H544" t="s">
        <v>26</v>
      </c>
      <c r="I544" t="s">
        <v>56</v>
      </c>
      <c r="J544" t="s">
        <v>28</v>
      </c>
      <c r="K544" t="s">
        <v>29</v>
      </c>
      <c r="L544" t="s">
        <v>28</v>
      </c>
      <c r="M544" t="s">
        <v>72</v>
      </c>
      <c r="N544" t="s">
        <v>73</v>
      </c>
    </row>
    <row r="545" spans="1:14">
      <c r="A545" t="s">
        <v>158</v>
      </c>
      <c r="B545" t="s">
        <v>18</v>
      </c>
      <c r="C545" t="s">
        <v>46</v>
      </c>
      <c r="D545" t="s">
        <v>159</v>
      </c>
      <c r="E545" t="s">
        <v>142</v>
      </c>
      <c r="F545" t="s">
        <v>49</v>
      </c>
      <c r="G545" t="s">
        <v>25</v>
      </c>
      <c r="H545" t="s">
        <v>26</v>
      </c>
      <c r="I545" t="s">
        <v>39</v>
      </c>
      <c r="J545" t="s">
        <v>28</v>
      </c>
      <c r="K545" t="s">
        <v>67</v>
      </c>
      <c r="L545" t="s">
        <v>28</v>
      </c>
      <c r="M545" t="s">
        <v>72</v>
      </c>
      <c r="N545" t="s">
        <v>73</v>
      </c>
    </row>
    <row r="546" spans="1:14">
      <c r="A546" t="s">
        <v>158</v>
      </c>
      <c r="B546" t="s">
        <v>18</v>
      </c>
      <c r="C546" t="s">
        <v>46</v>
      </c>
      <c r="D546" t="s">
        <v>160</v>
      </c>
      <c r="E546" t="s">
        <v>161</v>
      </c>
      <c r="F546" t="s">
        <v>49</v>
      </c>
      <c r="G546" t="s">
        <v>25</v>
      </c>
      <c r="H546" t="s">
        <v>26</v>
      </c>
      <c r="I546" t="s">
        <v>39</v>
      </c>
      <c r="J546" t="s">
        <v>28</v>
      </c>
      <c r="K546" t="s">
        <v>67</v>
      </c>
      <c r="L546" t="s">
        <v>28</v>
      </c>
      <c r="M546" t="s">
        <v>72</v>
      </c>
      <c r="N546" t="s">
        <v>73</v>
      </c>
    </row>
    <row r="547" spans="1:14">
      <c r="A547" t="s">
        <v>162</v>
      </c>
      <c r="B547" t="s">
        <v>18</v>
      </c>
      <c r="C547" t="s">
        <v>46</v>
      </c>
      <c r="D547" t="s">
        <v>163</v>
      </c>
      <c r="E547" t="s">
        <v>142</v>
      </c>
      <c r="F547" t="s">
        <v>49</v>
      </c>
      <c r="G547" t="s">
        <v>25</v>
      </c>
      <c r="H547" t="s">
        <v>26</v>
      </c>
      <c r="I547" t="s">
        <v>39</v>
      </c>
      <c r="J547" t="s">
        <v>28</v>
      </c>
      <c r="K547" t="s">
        <v>67</v>
      </c>
      <c r="L547" t="s">
        <v>28</v>
      </c>
      <c r="M547" t="s">
        <v>72</v>
      </c>
      <c r="N547" t="s">
        <v>73</v>
      </c>
    </row>
    <row r="548" spans="1:14">
      <c r="A548" t="s">
        <v>162</v>
      </c>
      <c r="B548" t="s">
        <v>18</v>
      </c>
      <c r="C548" t="s">
        <v>46</v>
      </c>
      <c r="D548" t="s">
        <v>164</v>
      </c>
      <c r="E548" t="s">
        <v>165</v>
      </c>
      <c r="F548" t="s">
        <v>49</v>
      </c>
      <c r="G548" t="s">
        <v>25</v>
      </c>
      <c r="H548" t="s">
        <v>26</v>
      </c>
      <c r="I548" t="s">
        <v>39</v>
      </c>
      <c r="J548" t="s">
        <v>28</v>
      </c>
      <c r="K548" t="s">
        <v>67</v>
      </c>
      <c r="L548" t="s">
        <v>28</v>
      </c>
      <c r="M548" t="s">
        <v>72</v>
      </c>
      <c r="N548" t="s">
        <v>73</v>
      </c>
    </row>
    <row r="549" spans="1:14">
      <c r="A549" t="s">
        <v>166</v>
      </c>
      <c r="B549" t="s">
        <v>18</v>
      </c>
      <c r="C549" t="s">
        <v>46</v>
      </c>
      <c r="D549" t="s">
        <v>167</v>
      </c>
      <c r="E549" t="s">
        <v>142</v>
      </c>
      <c r="F549" t="s">
        <v>49</v>
      </c>
      <c r="G549" t="s">
        <v>25</v>
      </c>
      <c r="H549" t="s">
        <v>26</v>
      </c>
      <c r="I549" t="s">
        <v>39</v>
      </c>
      <c r="J549" t="s">
        <v>28</v>
      </c>
      <c r="K549" t="s">
        <v>67</v>
      </c>
      <c r="L549" t="s">
        <v>28</v>
      </c>
      <c r="M549" t="s">
        <v>72</v>
      </c>
      <c r="N549" t="s">
        <v>73</v>
      </c>
    </row>
    <row r="550" spans="1:14">
      <c r="A550" t="s">
        <v>166</v>
      </c>
      <c r="B550" t="s">
        <v>18</v>
      </c>
      <c r="C550" t="s">
        <v>46</v>
      </c>
      <c r="D550" t="s">
        <v>168</v>
      </c>
      <c r="E550" t="s">
        <v>142</v>
      </c>
      <c r="F550" t="s">
        <v>49</v>
      </c>
      <c r="G550" t="s">
        <v>25</v>
      </c>
      <c r="H550" t="s">
        <v>26</v>
      </c>
      <c r="I550" t="s">
        <v>39</v>
      </c>
      <c r="J550" t="s">
        <v>28</v>
      </c>
      <c r="K550" t="s">
        <v>67</v>
      </c>
      <c r="L550" t="s">
        <v>28</v>
      </c>
      <c r="M550" t="s">
        <v>72</v>
      </c>
      <c r="N550" t="s">
        <v>73</v>
      </c>
    </row>
    <row r="551" spans="1:14">
      <c r="A551" t="s">
        <v>166</v>
      </c>
      <c r="B551" t="s">
        <v>18</v>
      </c>
      <c r="C551" t="s">
        <v>46</v>
      </c>
      <c r="D551" t="s">
        <v>169</v>
      </c>
      <c r="E551" t="s">
        <v>170</v>
      </c>
      <c r="F551" t="s">
        <v>49</v>
      </c>
      <c r="G551" t="s">
        <v>25</v>
      </c>
      <c r="H551" t="s">
        <v>26</v>
      </c>
      <c r="I551" t="s">
        <v>39</v>
      </c>
      <c r="J551" t="s">
        <v>28</v>
      </c>
      <c r="K551" t="s">
        <v>67</v>
      </c>
      <c r="L551" t="s">
        <v>28</v>
      </c>
      <c r="M551" t="s">
        <v>72</v>
      </c>
      <c r="N551" t="s">
        <v>73</v>
      </c>
    </row>
    <row r="552" spans="1:14">
      <c r="A552" t="s">
        <v>171</v>
      </c>
      <c r="B552" t="s">
        <v>18</v>
      </c>
      <c r="C552" t="s">
        <v>46</v>
      </c>
      <c r="D552" t="s">
        <v>172</v>
      </c>
      <c r="E552" t="s">
        <v>142</v>
      </c>
      <c r="F552" t="s">
        <v>49</v>
      </c>
      <c r="G552" t="s">
        <v>25</v>
      </c>
      <c r="H552" t="s">
        <v>26</v>
      </c>
      <c r="I552" t="s">
        <v>39</v>
      </c>
      <c r="J552" t="s">
        <v>28</v>
      </c>
      <c r="K552" t="s">
        <v>67</v>
      </c>
      <c r="L552" t="s">
        <v>28</v>
      </c>
      <c r="M552" t="s">
        <v>72</v>
      </c>
      <c r="N552" t="s">
        <v>73</v>
      </c>
    </row>
    <row r="553" spans="1:14">
      <c r="A553" t="s">
        <v>171</v>
      </c>
      <c r="B553" t="s">
        <v>18</v>
      </c>
      <c r="C553" t="s">
        <v>46</v>
      </c>
      <c r="D553" t="s">
        <v>173</v>
      </c>
      <c r="E553" t="s">
        <v>174</v>
      </c>
      <c r="F553" t="s">
        <v>49</v>
      </c>
      <c r="G553" t="s">
        <v>25</v>
      </c>
      <c r="H553" t="s">
        <v>26</v>
      </c>
      <c r="I553" t="s">
        <v>39</v>
      </c>
      <c r="J553" t="s">
        <v>28</v>
      </c>
      <c r="K553" t="s">
        <v>67</v>
      </c>
      <c r="L553" t="s">
        <v>28</v>
      </c>
      <c r="M553" t="s">
        <v>72</v>
      </c>
      <c r="N553" t="s">
        <v>73</v>
      </c>
    </row>
    <row r="554" spans="1:14">
      <c r="A554" t="s">
        <v>175</v>
      </c>
      <c r="B554" t="s">
        <v>18</v>
      </c>
      <c r="C554" t="s">
        <v>46</v>
      </c>
      <c r="D554" t="s">
        <v>176</v>
      </c>
      <c r="E554" t="s">
        <v>142</v>
      </c>
      <c r="F554" t="s">
        <v>49</v>
      </c>
      <c r="G554" t="s">
        <v>25</v>
      </c>
      <c r="H554" t="s">
        <v>26</v>
      </c>
      <c r="I554" t="s">
        <v>39</v>
      </c>
      <c r="J554" t="s">
        <v>28</v>
      </c>
      <c r="K554" t="s">
        <v>67</v>
      </c>
      <c r="L554" t="s">
        <v>28</v>
      </c>
      <c r="M554" t="s">
        <v>72</v>
      </c>
      <c r="N554" t="s">
        <v>73</v>
      </c>
    </row>
    <row r="555" spans="1:14">
      <c r="A555" t="s">
        <v>177</v>
      </c>
      <c r="B555" t="s">
        <v>18</v>
      </c>
      <c r="C555" t="s">
        <v>46</v>
      </c>
      <c r="D555" t="s">
        <v>178</v>
      </c>
      <c r="E555" t="s">
        <v>179</v>
      </c>
      <c r="F555" t="s">
        <v>49</v>
      </c>
      <c r="G555" t="s">
        <v>25</v>
      </c>
      <c r="H555" t="s">
        <v>26</v>
      </c>
      <c r="I555" t="s">
        <v>56</v>
      </c>
      <c r="J555" t="s">
        <v>28</v>
      </c>
      <c r="K555" t="s">
        <v>106</v>
      </c>
      <c r="L555" t="s">
        <v>28</v>
      </c>
      <c r="M555" t="s">
        <v>57</v>
      </c>
      <c r="N555" t="s">
        <v>58</v>
      </c>
    </row>
    <row r="556" spans="1:14">
      <c r="A556" t="s">
        <v>17</v>
      </c>
      <c r="B556" t="s">
        <v>18</v>
      </c>
      <c r="C556" t="s">
        <v>19</v>
      </c>
      <c r="D556" t="s">
        <v>180</v>
      </c>
      <c r="E556" t="s">
        <v>181</v>
      </c>
      <c r="F556" t="s">
        <v>22</v>
      </c>
      <c r="G556" t="s">
        <v>25</v>
      </c>
      <c r="H556" t="s">
        <v>26</v>
      </c>
      <c r="I556" t="s">
        <v>27</v>
      </c>
      <c r="J556" t="s">
        <v>28</v>
      </c>
      <c r="K556" t="s">
        <v>29</v>
      </c>
      <c r="L556" t="s">
        <v>28</v>
      </c>
      <c r="M556" t="s">
        <v>72</v>
      </c>
      <c r="N556" t="s">
        <v>73</v>
      </c>
    </row>
    <row r="557" spans="1:14">
      <c r="A557" t="s">
        <v>222</v>
      </c>
      <c r="B557" t="s">
        <v>18</v>
      </c>
      <c r="C557" t="s">
        <v>216</v>
      </c>
      <c r="D557" t="s">
        <v>223</v>
      </c>
      <c r="E557" t="s">
        <v>224</v>
      </c>
      <c r="F557" t="s">
        <v>219</v>
      </c>
      <c r="G557" t="s">
        <v>25</v>
      </c>
      <c r="H557" t="s">
        <v>26</v>
      </c>
      <c r="I557" t="s">
        <v>27</v>
      </c>
      <c r="J557" t="s">
        <v>189</v>
      </c>
      <c r="K557" t="s">
        <v>29</v>
      </c>
      <c r="L557" t="s">
        <v>189</v>
      </c>
      <c r="M557" t="s">
        <v>72</v>
      </c>
      <c r="N557" t="s">
        <v>73</v>
      </c>
    </row>
    <row r="558" spans="1:14">
      <c r="A558" t="s">
        <v>222</v>
      </c>
      <c r="B558" t="s">
        <v>18</v>
      </c>
      <c r="C558" t="s">
        <v>216</v>
      </c>
      <c r="D558" t="s">
        <v>226</v>
      </c>
      <c r="E558" t="s">
        <v>227</v>
      </c>
      <c r="F558" t="s">
        <v>219</v>
      </c>
      <c r="G558" t="s">
        <v>25</v>
      </c>
      <c r="H558" t="s">
        <v>38</v>
      </c>
      <c r="I558" t="s">
        <v>99</v>
      </c>
      <c r="J558" t="s">
        <v>189</v>
      </c>
      <c r="K558" t="s">
        <v>29</v>
      </c>
      <c r="L558" t="s">
        <v>189</v>
      </c>
      <c r="M558" t="s">
        <v>57</v>
      </c>
      <c r="N558" t="s">
        <v>58</v>
      </c>
    </row>
    <row r="559" spans="1:14">
      <c r="A559" t="s">
        <v>228</v>
      </c>
      <c r="B559" t="s">
        <v>18</v>
      </c>
      <c r="C559" t="s">
        <v>229</v>
      </c>
      <c r="D559" t="s">
        <v>230</v>
      </c>
      <c r="E559" t="s">
        <v>231</v>
      </c>
      <c r="F559" t="s">
        <v>232</v>
      </c>
      <c r="G559" t="s">
        <v>25</v>
      </c>
      <c r="H559" t="s">
        <v>26</v>
      </c>
      <c r="I559" t="s">
        <v>27</v>
      </c>
      <c r="J559" t="s">
        <v>189</v>
      </c>
      <c r="K559" t="s">
        <v>67</v>
      </c>
      <c r="L559" t="s">
        <v>189</v>
      </c>
      <c r="M559" t="s">
        <v>72</v>
      </c>
      <c r="N559" t="s">
        <v>73</v>
      </c>
    </row>
    <row r="560" spans="1:14">
      <c r="A560" t="s">
        <v>228</v>
      </c>
      <c r="B560" t="s">
        <v>18</v>
      </c>
      <c r="C560" t="s">
        <v>229</v>
      </c>
      <c r="D560" t="s">
        <v>234</v>
      </c>
      <c r="E560" s="2" t="s">
        <v>3423</v>
      </c>
      <c r="F560" t="s">
        <v>232</v>
      </c>
      <c r="G560" t="s">
        <v>25</v>
      </c>
      <c r="H560" t="s">
        <v>38</v>
      </c>
      <c r="I560" t="s">
        <v>99</v>
      </c>
      <c r="J560" t="s">
        <v>189</v>
      </c>
      <c r="K560" t="s">
        <v>29</v>
      </c>
      <c r="L560" t="s">
        <v>189</v>
      </c>
      <c r="M560" t="s">
        <v>57</v>
      </c>
      <c r="N560" t="s">
        <v>58</v>
      </c>
    </row>
    <row r="561" spans="1:14">
      <c r="A561" t="s">
        <v>237</v>
      </c>
      <c r="B561" t="s">
        <v>18</v>
      </c>
      <c r="C561" t="s">
        <v>216</v>
      </c>
      <c r="D561" t="s">
        <v>238</v>
      </c>
      <c r="E561" t="s">
        <v>239</v>
      </c>
      <c r="F561" t="s">
        <v>219</v>
      </c>
      <c r="G561" t="s">
        <v>25</v>
      </c>
      <c r="H561" t="s">
        <v>38</v>
      </c>
      <c r="I561" t="s">
        <v>39</v>
      </c>
      <c r="J561" t="s">
        <v>189</v>
      </c>
      <c r="K561" t="s">
        <v>67</v>
      </c>
      <c r="L561" t="s">
        <v>189</v>
      </c>
      <c r="M561" t="s">
        <v>122</v>
      </c>
      <c r="N561" t="s">
        <v>39</v>
      </c>
    </row>
    <row r="562" spans="1:14">
      <c r="A562" t="s">
        <v>240</v>
      </c>
      <c r="B562" t="s">
        <v>18</v>
      </c>
      <c r="C562" t="s">
        <v>216</v>
      </c>
      <c r="D562" t="s">
        <v>241</v>
      </c>
      <c r="E562" t="s">
        <v>242</v>
      </c>
      <c r="F562" t="s">
        <v>219</v>
      </c>
      <c r="G562" t="s">
        <v>25</v>
      </c>
      <c r="H562" t="s">
        <v>26</v>
      </c>
      <c r="I562" t="s">
        <v>39</v>
      </c>
      <c r="J562" t="s">
        <v>189</v>
      </c>
      <c r="K562" t="s">
        <v>67</v>
      </c>
      <c r="L562" t="s">
        <v>189</v>
      </c>
      <c r="M562" t="s">
        <v>122</v>
      </c>
      <c r="N562" t="s">
        <v>39</v>
      </c>
    </row>
    <row r="563" spans="1:14">
      <c r="A563" t="s">
        <v>240</v>
      </c>
      <c r="B563" t="s">
        <v>18</v>
      </c>
      <c r="C563" t="s">
        <v>216</v>
      </c>
      <c r="D563" t="s">
        <v>243</v>
      </c>
      <c r="E563" t="s">
        <v>244</v>
      </c>
      <c r="F563" t="s">
        <v>219</v>
      </c>
      <c r="G563" t="s">
        <v>25</v>
      </c>
      <c r="H563" t="s">
        <v>26</v>
      </c>
      <c r="I563" t="s">
        <v>99</v>
      </c>
      <c r="J563" t="s">
        <v>189</v>
      </c>
      <c r="K563" t="s">
        <v>29</v>
      </c>
      <c r="L563" t="s">
        <v>189</v>
      </c>
      <c r="M563" t="s">
        <v>57</v>
      </c>
      <c r="N563" t="s">
        <v>58</v>
      </c>
    </row>
    <row r="564" spans="1:14">
      <c r="A564" t="s">
        <v>240</v>
      </c>
      <c r="B564" t="s">
        <v>18</v>
      </c>
      <c r="C564" t="s">
        <v>216</v>
      </c>
      <c r="D564" t="s">
        <v>245</v>
      </c>
      <c r="E564" t="s">
        <v>246</v>
      </c>
      <c r="F564" t="s">
        <v>219</v>
      </c>
      <c r="G564" t="s">
        <v>25</v>
      </c>
      <c r="H564" t="s">
        <v>26</v>
      </c>
      <c r="I564" t="s">
        <v>39</v>
      </c>
      <c r="J564" t="s">
        <v>189</v>
      </c>
      <c r="K564" t="s">
        <v>67</v>
      </c>
      <c r="L564" t="s">
        <v>189</v>
      </c>
      <c r="M564" t="s">
        <v>3412</v>
      </c>
      <c r="N564" t="s">
        <v>39</v>
      </c>
    </row>
    <row r="565" spans="1:14">
      <c r="A565" t="s">
        <v>265</v>
      </c>
      <c r="B565" t="s">
        <v>18</v>
      </c>
      <c r="C565" t="s">
        <v>266</v>
      </c>
      <c r="D565" t="s">
        <v>267</v>
      </c>
      <c r="E565" t="s">
        <v>268</v>
      </c>
      <c r="F565" t="s">
        <v>269</v>
      </c>
      <c r="G565" t="s">
        <v>25</v>
      </c>
      <c r="H565" t="s">
        <v>26</v>
      </c>
      <c r="I565" t="s">
        <v>39</v>
      </c>
      <c r="J565" t="s">
        <v>189</v>
      </c>
      <c r="K565" t="s">
        <v>67</v>
      </c>
      <c r="L565" t="s">
        <v>189</v>
      </c>
      <c r="M565" t="s">
        <v>3412</v>
      </c>
      <c r="N565" t="s">
        <v>39</v>
      </c>
    </row>
    <row r="566" spans="1:14">
      <c r="A566" t="s">
        <v>294</v>
      </c>
      <c r="B566" t="s">
        <v>18</v>
      </c>
      <c r="C566" t="s">
        <v>216</v>
      </c>
      <c r="D566" t="s">
        <v>295</v>
      </c>
      <c r="E566" t="s">
        <v>296</v>
      </c>
      <c r="F566" t="s">
        <v>219</v>
      </c>
      <c r="G566" t="s">
        <v>25</v>
      </c>
      <c r="H566" t="s">
        <v>38</v>
      </c>
      <c r="I566" t="s">
        <v>82</v>
      </c>
      <c r="J566" t="s">
        <v>189</v>
      </c>
      <c r="K566" t="s">
        <v>29</v>
      </c>
      <c r="L566" t="s">
        <v>189</v>
      </c>
      <c r="M566" t="s">
        <v>3412</v>
      </c>
      <c r="N566" t="s">
        <v>39</v>
      </c>
    </row>
    <row r="567" spans="1:14">
      <c r="A567" t="s">
        <v>300</v>
      </c>
      <c r="B567" t="s">
        <v>18</v>
      </c>
      <c r="C567" t="s">
        <v>301</v>
      </c>
      <c r="D567" t="s">
        <v>302</v>
      </c>
      <c r="E567" t="s">
        <v>303</v>
      </c>
      <c r="F567" t="s">
        <v>269</v>
      </c>
      <c r="G567" t="s">
        <v>25</v>
      </c>
      <c r="H567" t="s">
        <v>26</v>
      </c>
      <c r="I567" t="s">
        <v>39</v>
      </c>
      <c r="J567" t="s">
        <v>189</v>
      </c>
      <c r="K567" t="s">
        <v>67</v>
      </c>
      <c r="L567" t="s">
        <v>189</v>
      </c>
      <c r="M567" t="s">
        <v>3412</v>
      </c>
      <c r="N567" t="s">
        <v>39</v>
      </c>
    </row>
    <row r="568" spans="1:14">
      <c r="A568" t="s">
        <v>305</v>
      </c>
      <c r="B568" t="s">
        <v>18</v>
      </c>
      <c r="C568" t="s">
        <v>306</v>
      </c>
      <c r="D568" t="s">
        <v>307</v>
      </c>
      <c r="E568" t="s">
        <v>308</v>
      </c>
      <c r="F568" t="s">
        <v>232</v>
      </c>
      <c r="G568" t="s">
        <v>25</v>
      </c>
      <c r="H568" t="s">
        <v>38</v>
      </c>
      <c r="I568" t="s">
        <v>39</v>
      </c>
      <c r="J568" t="s">
        <v>189</v>
      </c>
      <c r="K568" t="s">
        <v>29</v>
      </c>
      <c r="L568" t="s">
        <v>189</v>
      </c>
      <c r="M568" t="s">
        <v>3420</v>
      </c>
      <c r="N568" t="s">
        <v>41</v>
      </c>
    </row>
    <row r="569" spans="1:14">
      <c r="A569" t="s">
        <v>398</v>
      </c>
      <c r="B569" t="s">
        <v>18</v>
      </c>
      <c r="C569" t="s">
        <v>111</v>
      </c>
      <c r="D569" t="s">
        <v>399</v>
      </c>
      <c r="E569" t="s">
        <v>400</v>
      </c>
      <c r="F569" t="s">
        <v>114</v>
      </c>
      <c r="G569" t="s">
        <v>25</v>
      </c>
      <c r="H569" t="s">
        <v>38</v>
      </c>
      <c r="I569" t="s">
        <v>203</v>
      </c>
      <c r="J569" t="s">
        <v>189</v>
      </c>
      <c r="K569" t="s">
        <v>29</v>
      </c>
      <c r="L569" t="s">
        <v>189</v>
      </c>
      <c r="M569" t="s">
        <v>72</v>
      </c>
      <c r="N569" t="s">
        <v>73</v>
      </c>
    </row>
    <row r="570" spans="1:14">
      <c r="A570" t="s">
        <v>473</v>
      </c>
      <c r="B570" t="s">
        <v>18</v>
      </c>
      <c r="C570" t="s">
        <v>261</v>
      </c>
      <c r="D570" t="s">
        <v>474</v>
      </c>
      <c r="E570" t="s">
        <v>475</v>
      </c>
      <c r="F570" t="s">
        <v>219</v>
      </c>
      <c r="G570" t="s">
        <v>25</v>
      </c>
      <c r="H570" t="s">
        <v>26</v>
      </c>
      <c r="I570" t="s">
        <v>39</v>
      </c>
      <c r="J570" t="s">
        <v>189</v>
      </c>
      <c r="K570" t="s">
        <v>67</v>
      </c>
      <c r="L570" t="s">
        <v>189</v>
      </c>
      <c r="M570" t="s">
        <v>122</v>
      </c>
      <c r="N570" t="s">
        <v>39</v>
      </c>
    </row>
    <row r="571" spans="1:14">
      <c r="A571" t="s">
        <v>476</v>
      </c>
      <c r="B571" t="s">
        <v>18</v>
      </c>
      <c r="C571" t="s">
        <v>261</v>
      </c>
      <c r="D571" t="s">
        <v>477</v>
      </c>
      <c r="E571" t="s">
        <v>478</v>
      </c>
      <c r="F571" t="s">
        <v>219</v>
      </c>
      <c r="G571" t="s">
        <v>25</v>
      </c>
      <c r="H571" t="s">
        <v>26</v>
      </c>
      <c r="I571" t="s">
        <v>39</v>
      </c>
      <c r="J571" t="s">
        <v>189</v>
      </c>
      <c r="K571" t="s">
        <v>106</v>
      </c>
      <c r="L571" t="s">
        <v>189</v>
      </c>
      <c r="M571" t="s">
        <v>122</v>
      </c>
      <c r="N571" t="s">
        <v>39</v>
      </c>
    </row>
    <row r="572" spans="1:14">
      <c r="A572" t="s">
        <v>481</v>
      </c>
      <c r="B572" t="s">
        <v>18</v>
      </c>
      <c r="C572" t="s">
        <v>261</v>
      </c>
      <c r="D572" t="s">
        <v>482</v>
      </c>
      <c r="E572" t="s">
        <v>483</v>
      </c>
      <c r="F572" t="s">
        <v>219</v>
      </c>
      <c r="G572" t="s">
        <v>25</v>
      </c>
      <c r="H572" t="s">
        <v>26</v>
      </c>
      <c r="I572" t="s">
        <v>39</v>
      </c>
      <c r="J572" t="s">
        <v>189</v>
      </c>
      <c r="K572" t="s">
        <v>106</v>
      </c>
      <c r="L572" t="s">
        <v>189</v>
      </c>
      <c r="M572" t="s">
        <v>122</v>
      </c>
      <c r="N572" t="s">
        <v>39</v>
      </c>
    </row>
    <row r="573" spans="1:14">
      <c r="A573" t="s">
        <v>484</v>
      </c>
      <c r="B573" t="s">
        <v>18</v>
      </c>
      <c r="C573" t="s">
        <v>261</v>
      </c>
      <c r="D573" t="s">
        <v>485</v>
      </c>
      <c r="E573" t="s">
        <v>486</v>
      </c>
      <c r="F573" t="s">
        <v>219</v>
      </c>
      <c r="G573" t="s">
        <v>25</v>
      </c>
      <c r="H573" t="s">
        <v>26</v>
      </c>
      <c r="I573" t="s">
        <v>99</v>
      </c>
      <c r="J573" t="s">
        <v>189</v>
      </c>
      <c r="K573" t="s">
        <v>29</v>
      </c>
      <c r="L573" t="s">
        <v>189</v>
      </c>
      <c r="M573" t="s">
        <v>57</v>
      </c>
      <c r="N573" t="s">
        <v>58</v>
      </c>
    </row>
    <row r="574" spans="1:14">
      <c r="A574" t="s">
        <v>505</v>
      </c>
      <c r="B574" t="s">
        <v>18</v>
      </c>
      <c r="C574" t="s">
        <v>275</v>
      </c>
      <c r="D574" t="s">
        <v>506</v>
      </c>
      <c r="E574" t="s">
        <v>507</v>
      </c>
      <c r="F574" t="s">
        <v>278</v>
      </c>
      <c r="G574" t="s">
        <v>25</v>
      </c>
      <c r="H574" t="s">
        <v>26</v>
      </c>
      <c r="I574" t="s">
        <v>56</v>
      </c>
      <c r="J574" t="s">
        <v>189</v>
      </c>
      <c r="K574" t="s">
        <v>29</v>
      </c>
      <c r="L574" t="s">
        <v>189</v>
      </c>
      <c r="M574" t="s">
        <v>72</v>
      </c>
      <c r="N574" t="s">
        <v>73</v>
      </c>
    </row>
    <row r="575" spans="1:14">
      <c r="A575" t="s">
        <v>509</v>
      </c>
      <c r="B575" t="s">
        <v>18</v>
      </c>
      <c r="C575" t="s">
        <v>275</v>
      </c>
      <c r="D575" t="s">
        <v>510</v>
      </c>
      <c r="E575" t="s">
        <v>511</v>
      </c>
      <c r="F575" t="s">
        <v>278</v>
      </c>
      <c r="G575" t="s">
        <v>25</v>
      </c>
      <c r="H575" t="s">
        <v>38</v>
      </c>
      <c r="I575" t="s">
        <v>39</v>
      </c>
      <c r="J575" t="s">
        <v>189</v>
      </c>
      <c r="K575" t="s">
        <v>29</v>
      </c>
      <c r="L575" t="s">
        <v>189</v>
      </c>
      <c r="M575" t="s">
        <v>3420</v>
      </c>
      <c r="N575" t="s">
        <v>41</v>
      </c>
    </row>
    <row r="576" spans="1:14">
      <c r="A576" t="s">
        <v>509</v>
      </c>
      <c r="B576" t="s">
        <v>18</v>
      </c>
      <c r="C576" t="s">
        <v>275</v>
      </c>
      <c r="D576" t="s">
        <v>513</v>
      </c>
      <c r="E576" t="s">
        <v>514</v>
      </c>
      <c r="F576" t="s">
        <v>278</v>
      </c>
      <c r="G576" t="s">
        <v>25</v>
      </c>
      <c r="H576" t="s">
        <v>38</v>
      </c>
      <c r="I576" t="s">
        <v>39</v>
      </c>
      <c r="J576" t="s">
        <v>189</v>
      </c>
      <c r="K576" t="s">
        <v>29</v>
      </c>
      <c r="L576" t="s">
        <v>189</v>
      </c>
      <c r="M576" t="s">
        <v>3420</v>
      </c>
      <c r="N576" t="s">
        <v>41</v>
      </c>
    </row>
    <row r="577" spans="1:14">
      <c r="A577" t="s">
        <v>515</v>
      </c>
      <c r="B577" t="s">
        <v>18</v>
      </c>
      <c r="C577" t="s">
        <v>275</v>
      </c>
      <c r="D577" t="s">
        <v>516</v>
      </c>
      <c r="E577" t="s">
        <v>517</v>
      </c>
      <c r="F577" t="s">
        <v>278</v>
      </c>
      <c r="G577" t="s">
        <v>25</v>
      </c>
      <c r="H577" t="s">
        <v>38</v>
      </c>
      <c r="I577" t="s">
        <v>39</v>
      </c>
      <c r="J577" t="s">
        <v>189</v>
      </c>
      <c r="K577" t="s">
        <v>29</v>
      </c>
      <c r="L577" t="s">
        <v>189</v>
      </c>
      <c r="M577" t="s">
        <v>57</v>
      </c>
      <c r="N577" t="s">
        <v>58</v>
      </c>
    </row>
    <row r="578" spans="1:14">
      <c r="A578" t="s">
        <v>515</v>
      </c>
      <c r="B578" t="s">
        <v>18</v>
      </c>
      <c r="C578" t="s">
        <v>275</v>
      </c>
      <c r="D578" t="s">
        <v>518</v>
      </c>
      <c r="E578" t="s">
        <v>519</v>
      </c>
      <c r="F578" t="s">
        <v>278</v>
      </c>
      <c r="G578" t="s">
        <v>25</v>
      </c>
      <c r="H578" t="s">
        <v>38</v>
      </c>
      <c r="I578" t="s">
        <v>520</v>
      </c>
      <c r="J578" t="s">
        <v>189</v>
      </c>
      <c r="K578" t="s">
        <v>29</v>
      </c>
      <c r="L578" t="s">
        <v>189</v>
      </c>
      <c r="M578" t="s">
        <v>122</v>
      </c>
      <c r="N578" t="s">
        <v>39</v>
      </c>
    </row>
    <row r="579" spans="1:14">
      <c r="A579" t="s">
        <v>527</v>
      </c>
      <c r="B579" t="s">
        <v>18</v>
      </c>
      <c r="C579" t="s">
        <v>275</v>
      </c>
      <c r="D579" t="s">
        <v>528</v>
      </c>
      <c r="E579" t="s">
        <v>529</v>
      </c>
      <c r="F579" t="s">
        <v>278</v>
      </c>
      <c r="G579" t="s">
        <v>25</v>
      </c>
      <c r="H579" t="s">
        <v>26</v>
      </c>
      <c r="I579" t="s">
        <v>27</v>
      </c>
      <c r="J579" t="s">
        <v>189</v>
      </c>
      <c r="K579" t="s">
        <v>29</v>
      </c>
      <c r="L579" t="s">
        <v>189</v>
      </c>
      <c r="M579" t="s">
        <v>3420</v>
      </c>
      <c r="N579" t="s">
        <v>41</v>
      </c>
    </row>
    <row r="580" spans="1:14">
      <c r="A580" t="s">
        <v>533</v>
      </c>
      <c r="B580" t="s">
        <v>18</v>
      </c>
      <c r="C580" t="s">
        <v>275</v>
      </c>
      <c r="D580" t="s">
        <v>534</v>
      </c>
      <c r="E580" t="s">
        <v>535</v>
      </c>
      <c r="F580" t="s">
        <v>278</v>
      </c>
      <c r="G580" t="s">
        <v>25</v>
      </c>
      <c r="H580" t="s">
        <v>26</v>
      </c>
      <c r="I580" t="s">
        <v>39</v>
      </c>
      <c r="J580" t="s">
        <v>189</v>
      </c>
      <c r="K580" t="s">
        <v>29</v>
      </c>
      <c r="L580" t="s">
        <v>189</v>
      </c>
      <c r="M580" t="s">
        <v>3412</v>
      </c>
      <c r="N580" t="s">
        <v>39</v>
      </c>
    </row>
    <row r="581" spans="1:14">
      <c r="A581" t="s">
        <v>567</v>
      </c>
      <c r="B581" t="s">
        <v>18</v>
      </c>
      <c r="C581" t="s">
        <v>229</v>
      </c>
      <c r="D581" t="s">
        <v>568</v>
      </c>
      <c r="E581" t="s">
        <v>569</v>
      </c>
      <c r="F581" t="s">
        <v>232</v>
      </c>
      <c r="G581" t="s">
        <v>116</v>
      </c>
      <c r="H581" t="s">
        <v>38</v>
      </c>
      <c r="I581" t="s">
        <v>99</v>
      </c>
      <c r="J581" t="s">
        <v>189</v>
      </c>
      <c r="K581" t="s">
        <v>29</v>
      </c>
      <c r="L581" t="s">
        <v>189</v>
      </c>
      <c r="M581" t="s">
        <v>57</v>
      </c>
      <c r="N581" t="s">
        <v>58</v>
      </c>
    </row>
    <row r="582" spans="1:14">
      <c r="A582" t="s">
        <v>570</v>
      </c>
      <c r="B582" t="s">
        <v>18</v>
      </c>
      <c r="C582" t="s">
        <v>229</v>
      </c>
      <c r="D582" t="s">
        <v>571</v>
      </c>
      <c r="E582" t="s">
        <v>572</v>
      </c>
      <c r="F582" t="s">
        <v>232</v>
      </c>
      <c r="G582" t="s">
        <v>116</v>
      </c>
      <c r="H582" t="s">
        <v>38</v>
      </c>
      <c r="I582" t="s">
        <v>99</v>
      </c>
      <c r="J582" t="s">
        <v>189</v>
      </c>
      <c r="K582" t="s">
        <v>29</v>
      </c>
      <c r="L582" t="s">
        <v>189</v>
      </c>
      <c r="M582" t="s">
        <v>57</v>
      </c>
      <c r="N582" t="s">
        <v>58</v>
      </c>
    </row>
    <row r="583" spans="1:14">
      <c r="A583" t="s">
        <v>573</v>
      </c>
      <c r="B583" t="s">
        <v>18</v>
      </c>
      <c r="C583" t="s">
        <v>229</v>
      </c>
      <c r="D583" t="s">
        <v>574</v>
      </c>
      <c r="E583" t="s">
        <v>575</v>
      </c>
      <c r="F583" t="s">
        <v>232</v>
      </c>
      <c r="G583" t="s">
        <v>116</v>
      </c>
      <c r="H583" t="s">
        <v>38</v>
      </c>
      <c r="I583" t="s">
        <v>39</v>
      </c>
      <c r="J583" t="s">
        <v>189</v>
      </c>
      <c r="K583" t="s">
        <v>29</v>
      </c>
      <c r="L583" t="s">
        <v>189</v>
      </c>
      <c r="M583" t="s">
        <v>122</v>
      </c>
      <c r="N583" t="s">
        <v>39</v>
      </c>
    </row>
    <row r="584" spans="1:14">
      <c r="A584" t="s">
        <v>576</v>
      </c>
      <c r="B584" t="s">
        <v>18</v>
      </c>
      <c r="C584" t="s">
        <v>229</v>
      </c>
      <c r="D584" t="s">
        <v>577</v>
      </c>
      <c r="E584" t="s">
        <v>578</v>
      </c>
      <c r="F584" t="s">
        <v>232</v>
      </c>
      <c r="G584" t="s">
        <v>116</v>
      </c>
      <c r="H584" t="s">
        <v>38</v>
      </c>
      <c r="I584" t="s">
        <v>39</v>
      </c>
      <c r="J584" t="s">
        <v>189</v>
      </c>
      <c r="K584" t="s">
        <v>29</v>
      </c>
      <c r="L584" t="s">
        <v>189</v>
      </c>
      <c r="M584" t="s">
        <v>122</v>
      </c>
      <c r="N584" t="s">
        <v>39</v>
      </c>
    </row>
    <row r="585" spans="1:14">
      <c r="A585" t="s">
        <v>585</v>
      </c>
      <c r="B585" t="s">
        <v>18</v>
      </c>
      <c r="C585" t="s">
        <v>229</v>
      </c>
      <c r="D585" t="s">
        <v>586</v>
      </c>
      <c r="E585" t="s">
        <v>587</v>
      </c>
      <c r="F585" t="s">
        <v>232</v>
      </c>
      <c r="G585" t="s">
        <v>25</v>
      </c>
      <c r="H585" t="s">
        <v>26</v>
      </c>
      <c r="I585" t="s">
        <v>39</v>
      </c>
      <c r="J585" t="s">
        <v>189</v>
      </c>
      <c r="K585" t="s">
        <v>67</v>
      </c>
      <c r="L585" t="s">
        <v>189</v>
      </c>
      <c r="M585" t="s">
        <v>122</v>
      </c>
      <c r="N585" t="s">
        <v>39</v>
      </c>
    </row>
    <row r="586" spans="1:14">
      <c r="A586" t="s">
        <v>588</v>
      </c>
      <c r="B586" t="s">
        <v>18</v>
      </c>
      <c r="C586" t="s">
        <v>229</v>
      </c>
      <c r="D586" t="s">
        <v>589</v>
      </c>
      <c r="E586" t="s">
        <v>590</v>
      </c>
      <c r="F586" t="s">
        <v>232</v>
      </c>
      <c r="G586" t="s">
        <v>25</v>
      </c>
      <c r="H586" t="s">
        <v>38</v>
      </c>
      <c r="I586" t="s">
        <v>203</v>
      </c>
      <c r="J586" t="s">
        <v>189</v>
      </c>
      <c r="K586" t="s">
        <v>29</v>
      </c>
      <c r="L586" t="s">
        <v>189</v>
      </c>
      <c r="M586" t="s">
        <v>72</v>
      </c>
      <c r="N586" t="s">
        <v>73</v>
      </c>
    </row>
    <row r="587" spans="1:14">
      <c r="A587" t="s">
        <v>588</v>
      </c>
      <c r="B587" t="s">
        <v>18</v>
      </c>
      <c r="C587" t="s">
        <v>229</v>
      </c>
      <c r="D587" t="s">
        <v>591</v>
      </c>
      <c r="E587" t="s">
        <v>592</v>
      </c>
      <c r="F587" t="s">
        <v>232</v>
      </c>
      <c r="G587" t="s">
        <v>25</v>
      </c>
      <c r="H587" t="s">
        <v>38</v>
      </c>
      <c r="I587" t="s">
        <v>27</v>
      </c>
      <c r="J587" t="s">
        <v>189</v>
      </c>
      <c r="K587" t="s">
        <v>67</v>
      </c>
      <c r="L587" t="s">
        <v>189</v>
      </c>
      <c r="M587" t="s">
        <v>72</v>
      </c>
      <c r="N587" t="s">
        <v>73</v>
      </c>
    </row>
    <row r="588" spans="1:14">
      <c r="A588" t="s">
        <v>629</v>
      </c>
      <c r="B588" t="s">
        <v>18</v>
      </c>
      <c r="C588" t="s">
        <v>229</v>
      </c>
      <c r="D588" t="s">
        <v>630</v>
      </c>
      <c r="E588" t="s">
        <v>631</v>
      </c>
      <c r="F588" t="s">
        <v>232</v>
      </c>
      <c r="G588" t="s">
        <v>25</v>
      </c>
      <c r="H588" t="s">
        <v>38</v>
      </c>
      <c r="I588" t="s">
        <v>203</v>
      </c>
      <c r="J588" t="s">
        <v>189</v>
      </c>
      <c r="K588" t="s">
        <v>29</v>
      </c>
      <c r="L588" t="s">
        <v>189</v>
      </c>
      <c r="M588" t="s">
        <v>72</v>
      </c>
      <c r="N588" t="s">
        <v>73</v>
      </c>
    </row>
    <row r="589" spans="1:14">
      <c r="A589" t="s">
        <v>646</v>
      </c>
      <c r="B589" t="s">
        <v>18</v>
      </c>
      <c r="C589" t="s">
        <v>111</v>
      </c>
      <c r="D589" t="s">
        <v>647</v>
      </c>
      <c r="E589" t="s">
        <v>648</v>
      </c>
      <c r="F589" t="s">
        <v>114</v>
      </c>
      <c r="G589" t="s">
        <v>25</v>
      </c>
      <c r="H589" t="s">
        <v>26</v>
      </c>
      <c r="I589" t="s">
        <v>203</v>
      </c>
      <c r="J589" t="s">
        <v>189</v>
      </c>
      <c r="K589" t="s">
        <v>29</v>
      </c>
      <c r="L589" t="s">
        <v>189</v>
      </c>
      <c r="M589" t="s">
        <v>72</v>
      </c>
      <c r="N589" t="s">
        <v>73</v>
      </c>
    </row>
    <row r="590" spans="1:14">
      <c r="A590" t="s">
        <v>649</v>
      </c>
      <c r="B590" t="s">
        <v>18</v>
      </c>
      <c r="C590" t="s">
        <v>111</v>
      </c>
      <c r="D590" t="s">
        <v>650</v>
      </c>
      <c r="E590" t="s">
        <v>651</v>
      </c>
      <c r="F590" t="s">
        <v>114</v>
      </c>
      <c r="G590" t="s">
        <v>25</v>
      </c>
      <c r="H590" t="s">
        <v>26</v>
      </c>
      <c r="I590" t="s">
        <v>203</v>
      </c>
      <c r="J590" t="s">
        <v>189</v>
      </c>
      <c r="K590" t="s">
        <v>29</v>
      </c>
      <c r="L590" t="s">
        <v>189</v>
      </c>
      <c r="M590" t="s">
        <v>72</v>
      </c>
      <c r="N590" t="s">
        <v>73</v>
      </c>
    </row>
    <row r="591" spans="1:14">
      <c r="A591" t="s">
        <v>676</v>
      </c>
      <c r="B591" t="s">
        <v>18</v>
      </c>
      <c r="C591" t="s">
        <v>266</v>
      </c>
      <c r="D591" t="s">
        <v>677</v>
      </c>
      <c r="E591" t="s">
        <v>678</v>
      </c>
      <c r="F591" t="s">
        <v>269</v>
      </c>
      <c r="G591" t="s">
        <v>116</v>
      </c>
      <c r="H591" t="s">
        <v>26</v>
      </c>
      <c r="I591" t="s">
        <v>39</v>
      </c>
      <c r="J591" t="s">
        <v>189</v>
      </c>
      <c r="K591" t="s">
        <v>29</v>
      </c>
      <c r="L591" t="s">
        <v>189</v>
      </c>
      <c r="M591" t="s">
        <v>122</v>
      </c>
      <c r="N591" t="s">
        <v>39</v>
      </c>
    </row>
    <row r="592" spans="1:14">
      <c r="A592" t="s">
        <v>509</v>
      </c>
      <c r="B592" t="s">
        <v>18</v>
      </c>
      <c r="C592" t="s">
        <v>275</v>
      </c>
      <c r="D592" t="s">
        <v>692</v>
      </c>
      <c r="E592" t="s">
        <v>693</v>
      </c>
      <c r="F592" t="s">
        <v>278</v>
      </c>
      <c r="G592" t="s">
        <v>25</v>
      </c>
      <c r="H592" t="s">
        <v>38</v>
      </c>
      <c r="I592" t="s">
        <v>39</v>
      </c>
      <c r="J592" t="s">
        <v>694</v>
      </c>
      <c r="K592" t="s">
        <v>29</v>
      </c>
      <c r="L592" t="s">
        <v>694</v>
      </c>
      <c r="M592" t="s">
        <v>68</v>
      </c>
      <c r="N592" t="s">
        <v>69</v>
      </c>
    </row>
    <row r="593" spans="1:14">
      <c r="A593" t="s">
        <v>695</v>
      </c>
      <c r="B593" t="s">
        <v>18</v>
      </c>
      <c r="C593" t="s">
        <v>275</v>
      </c>
      <c r="D593" t="s">
        <v>696</v>
      </c>
      <c r="E593" t="s">
        <v>697</v>
      </c>
      <c r="F593" t="s">
        <v>278</v>
      </c>
      <c r="G593" t="s">
        <v>25</v>
      </c>
      <c r="H593" t="s">
        <v>26</v>
      </c>
      <c r="I593" t="s">
        <v>82</v>
      </c>
      <c r="J593" t="s">
        <v>694</v>
      </c>
      <c r="K593" t="s">
        <v>29</v>
      </c>
      <c r="L593" t="s">
        <v>694</v>
      </c>
      <c r="M593" t="s">
        <v>122</v>
      </c>
      <c r="N593" t="s">
        <v>39</v>
      </c>
    </row>
    <row r="594" spans="1:14">
      <c r="A594" t="s">
        <v>698</v>
      </c>
      <c r="B594" t="s">
        <v>18</v>
      </c>
      <c r="C594" t="s">
        <v>275</v>
      </c>
      <c r="D594" t="s">
        <v>699</v>
      </c>
      <c r="E594" t="s">
        <v>700</v>
      </c>
      <c r="F594" t="s">
        <v>278</v>
      </c>
      <c r="G594" t="s">
        <v>25</v>
      </c>
      <c r="H594" t="s">
        <v>26</v>
      </c>
      <c r="I594" t="s">
        <v>39</v>
      </c>
      <c r="J594" t="s">
        <v>694</v>
      </c>
      <c r="K594" t="s">
        <v>29</v>
      </c>
      <c r="L594" t="s">
        <v>694</v>
      </c>
      <c r="M594" t="s">
        <v>122</v>
      </c>
      <c r="N594" t="s">
        <v>39</v>
      </c>
    </row>
    <row r="595" spans="1:14">
      <c r="A595" t="s">
        <v>701</v>
      </c>
      <c r="B595" t="s">
        <v>18</v>
      </c>
      <c r="C595" t="s">
        <v>275</v>
      </c>
      <c r="D595" t="s">
        <v>702</v>
      </c>
      <c r="E595" s="2" t="s">
        <v>3424</v>
      </c>
      <c r="F595" t="s">
        <v>278</v>
      </c>
      <c r="G595" t="s">
        <v>25</v>
      </c>
      <c r="H595" t="s">
        <v>26</v>
      </c>
      <c r="I595" t="s">
        <v>39</v>
      </c>
      <c r="J595" t="s">
        <v>694</v>
      </c>
      <c r="K595" t="s">
        <v>67</v>
      </c>
      <c r="L595" t="s">
        <v>694</v>
      </c>
      <c r="M595" t="s">
        <v>122</v>
      </c>
      <c r="N595" t="s">
        <v>39</v>
      </c>
    </row>
    <row r="596" spans="1:14">
      <c r="A596" t="s">
        <v>704</v>
      </c>
      <c r="B596" t="s">
        <v>18</v>
      </c>
      <c r="C596" t="s">
        <v>111</v>
      </c>
      <c r="D596" t="s">
        <v>705</v>
      </c>
      <c r="E596" t="s">
        <v>706</v>
      </c>
      <c r="F596" t="s">
        <v>114</v>
      </c>
      <c r="G596" t="s">
        <v>25</v>
      </c>
      <c r="H596" t="s">
        <v>38</v>
      </c>
      <c r="I596" t="s">
        <v>203</v>
      </c>
      <c r="J596" t="s">
        <v>694</v>
      </c>
      <c r="K596" t="s">
        <v>29</v>
      </c>
      <c r="L596" t="s">
        <v>694</v>
      </c>
      <c r="M596" t="s">
        <v>72</v>
      </c>
      <c r="N596" t="s">
        <v>73</v>
      </c>
    </row>
    <row r="597" spans="1:14">
      <c r="A597" t="s">
        <v>707</v>
      </c>
      <c r="B597" t="s">
        <v>18</v>
      </c>
      <c r="C597" t="s">
        <v>306</v>
      </c>
      <c r="D597" t="s">
        <v>708</v>
      </c>
      <c r="E597" t="s">
        <v>709</v>
      </c>
      <c r="F597" t="s">
        <v>232</v>
      </c>
      <c r="G597" t="s">
        <v>25</v>
      </c>
      <c r="H597" t="s">
        <v>38</v>
      </c>
      <c r="I597" t="s">
        <v>39</v>
      </c>
      <c r="J597" t="s">
        <v>694</v>
      </c>
      <c r="K597" t="s">
        <v>29</v>
      </c>
      <c r="L597" t="s">
        <v>694</v>
      </c>
      <c r="M597" t="s">
        <v>122</v>
      </c>
      <c r="N597" t="s">
        <v>39</v>
      </c>
    </row>
    <row r="598" spans="1:14">
      <c r="A598" t="s">
        <v>473</v>
      </c>
      <c r="B598" t="s">
        <v>18</v>
      </c>
      <c r="C598" t="s">
        <v>261</v>
      </c>
      <c r="D598" t="s">
        <v>710</v>
      </c>
      <c r="E598" t="s">
        <v>711</v>
      </c>
      <c r="F598" t="s">
        <v>219</v>
      </c>
      <c r="G598" t="s">
        <v>25</v>
      </c>
      <c r="H598" t="s">
        <v>26</v>
      </c>
      <c r="I598" t="s">
        <v>39</v>
      </c>
      <c r="J598" t="s">
        <v>694</v>
      </c>
      <c r="K598" t="s">
        <v>67</v>
      </c>
      <c r="L598" t="s">
        <v>694</v>
      </c>
      <c r="M598" t="s">
        <v>122</v>
      </c>
      <c r="N598" t="s">
        <v>39</v>
      </c>
    </row>
    <row r="599" spans="1:14">
      <c r="A599" t="s">
        <v>484</v>
      </c>
      <c r="B599" t="s">
        <v>18</v>
      </c>
      <c r="C599" t="s">
        <v>261</v>
      </c>
      <c r="D599" t="s">
        <v>712</v>
      </c>
      <c r="E599" s="2" t="s">
        <v>3427</v>
      </c>
      <c r="F599" t="s">
        <v>219</v>
      </c>
      <c r="G599" t="s">
        <v>25</v>
      </c>
      <c r="H599" t="s">
        <v>38</v>
      </c>
      <c r="I599" t="s">
        <v>39</v>
      </c>
      <c r="J599" t="s">
        <v>694</v>
      </c>
      <c r="K599" t="s">
        <v>67</v>
      </c>
      <c r="L599" t="s">
        <v>694</v>
      </c>
      <c r="M599" t="s">
        <v>3412</v>
      </c>
      <c r="N599" t="s">
        <v>39</v>
      </c>
    </row>
    <row r="600" spans="1:14">
      <c r="A600" t="s">
        <v>484</v>
      </c>
      <c r="B600" t="s">
        <v>18</v>
      </c>
      <c r="C600" t="s">
        <v>261</v>
      </c>
      <c r="D600" t="s">
        <v>714</v>
      </c>
      <c r="E600" t="s">
        <v>715</v>
      </c>
      <c r="F600" t="s">
        <v>219</v>
      </c>
      <c r="G600" t="s">
        <v>25</v>
      </c>
      <c r="H600" t="s">
        <v>38</v>
      </c>
      <c r="I600" t="s">
        <v>27</v>
      </c>
      <c r="J600" t="s">
        <v>694</v>
      </c>
      <c r="K600" t="s">
        <v>29</v>
      </c>
      <c r="L600" t="s">
        <v>694</v>
      </c>
      <c r="M600" t="s">
        <v>3412</v>
      </c>
      <c r="N600" t="s">
        <v>39</v>
      </c>
    </row>
    <row r="601" spans="1:14">
      <c r="A601" t="s">
        <v>484</v>
      </c>
      <c r="B601" t="s">
        <v>18</v>
      </c>
      <c r="C601" t="s">
        <v>261</v>
      </c>
      <c r="D601" t="s">
        <v>716</v>
      </c>
      <c r="E601" t="s">
        <v>717</v>
      </c>
      <c r="F601" t="s">
        <v>219</v>
      </c>
      <c r="G601" t="s">
        <v>25</v>
      </c>
      <c r="H601" t="s">
        <v>26</v>
      </c>
      <c r="I601" t="s">
        <v>39</v>
      </c>
      <c r="J601" t="s">
        <v>694</v>
      </c>
      <c r="K601" t="s">
        <v>67</v>
      </c>
      <c r="L601" t="s">
        <v>694</v>
      </c>
      <c r="M601" t="s">
        <v>122</v>
      </c>
      <c r="N601" t="s">
        <v>39</v>
      </c>
    </row>
    <row r="602" spans="1:14">
      <c r="A602" t="s">
        <v>718</v>
      </c>
      <c r="B602" t="s">
        <v>18</v>
      </c>
      <c r="C602" t="s">
        <v>216</v>
      </c>
      <c r="D602" t="s">
        <v>719</v>
      </c>
      <c r="E602" s="2" t="s">
        <v>3425</v>
      </c>
      <c r="F602" t="s">
        <v>219</v>
      </c>
      <c r="G602" t="s">
        <v>25</v>
      </c>
      <c r="H602" t="s">
        <v>38</v>
      </c>
      <c r="I602" t="s">
        <v>51</v>
      </c>
      <c r="J602" t="s">
        <v>694</v>
      </c>
      <c r="K602" t="s">
        <v>67</v>
      </c>
      <c r="L602" t="s">
        <v>694</v>
      </c>
      <c r="M602" t="s">
        <v>122</v>
      </c>
      <c r="N602" t="s">
        <v>39</v>
      </c>
    </row>
    <row r="603" spans="1:14">
      <c r="A603" t="s">
        <v>929</v>
      </c>
      <c r="B603" t="s">
        <v>18</v>
      </c>
      <c r="C603" t="s">
        <v>266</v>
      </c>
      <c r="D603" t="s">
        <v>930</v>
      </c>
      <c r="E603" t="s">
        <v>931</v>
      </c>
      <c r="F603" t="s">
        <v>269</v>
      </c>
      <c r="G603" t="s">
        <v>116</v>
      </c>
      <c r="H603" t="s">
        <v>26</v>
      </c>
      <c r="I603" t="s">
        <v>39</v>
      </c>
      <c r="J603" t="s">
        <v>724</v>
      </c>
      <c r="K603" t="s">
        <v>29</v>
      </c>
      <c r="L603" t="s">
        <v>724</v>
      </c>
      <c r="M603" t="s">
        <v>122</v>
      </c>
      <c r="N603" t="s">
        <v>39</v>
      </c>
    </row>
    <row r="604" spans="1:14">
      <c r="A604" t="s">
        <v>1322</v>
      </c>
      <c r="B604" t="s">
        <v>18</v>
      </c>
      <c r="C604" t="s">
        <v>266</v>
      </c>
      <c r="D604" t="s">
        <v>1323</v>
      </c>
      <c r="E604" t="s">
        <v>1324</v>
      </c>
      <c r="F604" t="s">
        <v>269</v>
      </c>
      <c r="G604" t="s">
        <v>25</v>
      </c>
      <c r="H604" t="s">
        <v>26</v>
      </c>
      <c r="I604" t="s">
        <v>39</v>
      </c>
      <c r="J604" t="s">
        <v>724</v>
      </c>
      <c r="K604" t="s">
        <v>29</v>
      </c>
      <c r="L604" t="s">
        <v>724</v>
      </c>
      <c r="M604" t="s">
        <v>122</v>
      </c>
      <c r="N604" t="s">
        <v>39</v>
      </c>
    </row>
    <row r="605" spans="1:14">
      <c r="A605" t="s">
        <v>1325</v>
      </c>
      <c r="B605" t="s">
        <v>18</v>
      </c>
      <c r="C605" t="s">
        <v>266</v>
      </c>
      <c r="D605" t="s">
        <v>1326</v>
      </c>
      <c r="E605" t="s">
        <v>1327</v>
      </c>
      <c r="F605" t="s">
        <v>269</v>
      </c>
      <c r="G605" t="s">
        <v>116</v>
      </c>
      <c r="H605" t="s">
        <v>38</v>
      </c>
      <c r="I605" t="s">
        <v>39</v>
      </c>
      <c r="J605" t="s">
        <v>724</v>
      </c>
      <c r="K605" t="s">
        <v>29</v>
      </c>
      <c r="L605" t="s">
        <v>724</v>
      </c>
      <c r="M605" t="s">
        <v>68</v>
      </c>
      <c r="N605" t="s">
        <v>69</v>
      </c>
    </row>
    <row r="606" spans="1:14">
      <c r="A606" t="s">
        <v>1384</v>
      </c>
      <c r="B606" t="s">
        <v>18</v>
      </c>
      <c r="C606" t="s">
        <v>301</v>
      </c>
      <c r="D606" t="s">
        <v>1385</v>
      </c>
      <c r="E606" t="s">
        <v>1386</v>
      </c>
      <c r="F606" t="s">
        <v>269</v>
      </c>
      <c r="G606" t="s">
        <v>116</v>
      </c>
      <c r="H606" t="s">
        <v>26</v>
      </c>
      <c r="I606" t="s">
        <v>56</v>
      </c>
      <c r="J606" t="s">
        <v>724</v>
      </c>
      <c r="K606" t="s">
        <v>29</v>
      </c>
      <c r="L606" t="s">
        <v>724</v>
      </c>
      <c r="M606" t="s">
        <v>57</v>
      </c>
      <c r="N606" t="s">
        <v>58</v>
      </c>
    </row>
    <row r="607" spans="1:14">
      <c r="A607" t="s">
        <v>1435</v>
      </c>
      <c r="B607" t="s">
        <v>18</v>
      </c>
      <c r="C607" t="s">
        <v>306</v>
      </c>
      <c r="D607" t="s">
        <v>1436</v>
      </c>
      <c r="E607" t="s">
        <v>1437</v>
      </c>
      <c r="F607" t="s">
        <v>232</v>
      </c>
      <c r="G607" t="s">
        <v>25</v>
      </c>
      <c r="H607" t="s">
        <v>38</v>
      </c>
      <c r="I607" t="s">
        <v>39</v>
      </c>
      <c r="J607" t="s">
        <v>724</v>
      </c>
      <c r="K607" t="s">
        <v>29</v>
      </c>
      <c r="L607" t="s">
        <v>724</v>
      </c>
      <c r="M607" t="s">
        <v>3412</v>
      </c>
      <c r="N607" t="s">
        <v>39</v>
      </c>
    </row>
    <row r="608" spans="1:14">
      <c r="A608" t="s">
        <v>1712</v>
      </c>
      <c r="B608" t="s">
        <v>18</v>
      </c>
      <c r="C608" t="s">
        <v>216</v>
      </c>
      <c r="D608" t="s">
        <v>1713</v>
      </c>
      <c r="E608" t="s">
        <v>1714</v>
      </c>
      <c r="F608" t="s">
        <v>219</v>
      </c>
      <c r="G608" t="s">
        <v>25</v>
      </c>
      <c r="H608" t="s">
        <v>38</v>
      </c>
      <c r="I608" t="s">
        <v>99</v>
      </c>
      <c r="J608" t="s">
        <v>1715</v>
      </c>
      <c r="K608" t="s">
        <v>29</v>
      </c>
      <c r="L608" t="s">
        <v>1716</v>
      </c>
      <c r="M608" t="s">
        <v>3412</v>
      </c>
      <c r="N608" t="s">
        <v>39</v>
      </c>
    </row>
    <row r="609" spans="1:14">
      <c r="A609" t="s">
        <v>1721</v>
      </c>
      <c r="B609" t="s">
        <v>18</v>
      </c>
      <c r="C609" t="s">
        <v>111</v>
      </c>
      <c r="D609" t="s">
        <v>1722</v>
      </c>
      <c r="E609" t="s">
        <v>1723</v>
      </c>
      <c r="F609" t="s">
        <v>114</v>
      </c>
      <c r="G609" t="s">
        <v>116</v>
      </c>
      <c r="H609" t="s">
        <v>26</v>
      </c>
      <c r="I609" t="s">
        <v>82</v>
      </c>
      <c r="J609" t="s">
        <v>1715</v>
      </c>
      <c r="K609" t="s">
        <v>67</v>
      </c>
      <c r="L609" t="s">
        <v>1716</v>
      </c>
      <c r="M609" t="s">
        <v>122</v>
      </c>
      <c r="N609" t="s">
        <v>39</v>
      </c>
    </row>
    <row r="610" spans="1:14">
      <c r="A610" t="s">
        <v>1733</v>
      </c>
      <c r="B610" t="s">
        <v>18</v>
      </c>
      <c r="C610" t="s">
        <v>229</v>
      </c>
      <c r="D610" t="s">
        <v>1734</v>
      </c>
      <c r="E610" t="s">
        <v>1735</v>
      </c>
      <c r="F610" t="s">
        <v>232</v>
      </c>
      <c r="G610" t="s">
        <v>25</v>
      </c>
      <c r="H610" t="s">
        <v>38</v>
      </c>
      <c r="I610" t="s">
        <v>99</v>
      </c>
      <c r="J610" t="s">
        <v>1715</v>
      </c>
      <c r="K610" t="s">
        <v>29</v>
      </c>
      <c r="L610" t="s">
        <v>1716</v>
      </c>
      <c r="M610" t="s">
        <v>57</v>
      </c>
      <c r="N610" t="s">
        <v>58</v>
      </c>
    </row>
    <row r="611" spans="1:14">
      <c r="A611" t="s">
        <v>1736</v>
      </c>
      <c r="B611" t="s">
        <v>18</v>
      </c>
      <c r="C611" t="s">
        <v>229</v>
      </c>
      <c r="D611" t="s">
        <v>1737</v>
      </c>
      <c r="E611" s="2" t="s">
        <v>3431</v>
      </c>
      <c r="F611" t="s">
        <v>232</v>
      </c>
      <c r="G611" t="s">
        <v>25</v>
      </c>
      <c r="H611" t="s">
        <v>38</v>
      </c>
      <c r="I611" t="s">
        <v>203</v>
      </c>
      <c r="J611" t="s">
        <v>1715</v>
      </c>
      <c r="K611" t="s">
        <v>29</v>
      </c>
      <c r="L611" t="s">
        <v>1716</v>
      </c>
      <c r="M611" t="s">
        <v>72</v>
      </c>
      <c r="N611" t="s">
        <v>73</v>
      </c>
    </row>
    <row r="612" spans="1:14">
      <c r="A612" t="s">
        <v>1739</v>
      </c>
      <c r="B612" t="s">
        <v>18</v>
      </c>
      <c r="C612" t="s">
        <v>184</v>
      </c>
      <c r="D612" t="s">
        <v>1740</v>
      </c>
      <c r="E612" s="2" t="s">
        <v>3426</v>
      </c>
      <c r="F612" t="s">
        <v>187</v>
      </c>
      <c r="G612" t="s">
        <v>25</v>
      </c>
      <c r="H612" t="s">
        <v>26</v>
      </c>
      <c r="I612" t="s">
        <v>39</v>
      </c>
      <c r="J612" t="s">
        <v>1715</v>
      </c>
      <c r="K612" t="s">
        <v>67</v>
      </c>
      <c r="L612" t="s">
        <v>1716</v>
      </c>
      <c r="M612" t="s">
        <v>122</v>
      </c>
      <c r="N612" t="s">
        <v>39</v>
      </c>
    </row>
    <row r="613" spans="1:14" ht="69.599999999999994">
      <c r="A613" t="s">
        <v>1746</v>
      </c>
      <c r="B613" t="s">
        <v>18</v>
      </c>
      <c r="C613" t="s">
        <v>111</v>
      </c>
      <c r="D613" t="s">
        <v>1747</v>
      </c>
      <c r="E613" s="40" t="s">
        <v>3432</v>
      </c>
      <c r="F613" t="s">
        <v>114</v>
      </c>
      <c r="G613" t="s">
        <v>25</v>
      </c>
      <c r="H613" t="s">
        <v>26</v>
      </c>
      <c r="I613" t="s">
        <v>203</v>
      </c>
      <c r="J613" t="s">
        <v>1715</v>
      </c>
      <c r="K613" t="s">
        <v>29</v>
      </c>
      <c r="L613" t="s">
        <v>1716</v>
      </c>
      <c r="M613" t="s">
        <v>122</v>
      </c>
      <c r="N613" t="s">
        <v>39</v>
      </c>
    </row>
    <row r="614" spans="1:14">
      <c r="A614" t="s">
        <v>1749</v>
      </c>
      <c r="B614" t="s">
        <v>18</v>
      </c>
      <c r="C614" t="s">
        <v>111</v>
      </c>
      <c r="D614" t="s">
        <v>1750</v>
      </c>
      <c r="E614" t="s">
        <v>1751</v>
      </c>
      <c r="F614" t="s">
        <v>114</v>
      </c>
      <c r="G614" t="s">
        <v>25</v>
      </c>
      <c r="H614" t="s">
        <v>38</v>
      </c>
      <c r="I614" t="s">
        <v>99</v>
      </c>
      <c r="J614" t="s">
        <v>1715</v>
      </c>
      <c r="K614" t="s">
        <v>29</v>
      </c>
      <c r="L614" t="s">
        <v>1716</v>
      </c>
      <c r="M614" t="s">
        <v>57</v>
      </c>
      <c r="N614" t="s">
        <v>58</v>
      </c>
    </row>
    <row r="615" spans="1:14">
      <c r="A615" t="s">
        <v>1752</v>
      </c>
      <c r="B615" t="s">
        <v>18</v>
      </c>
      <c r="C615" t="s">
        <v>111</v>
      </c>
      <c r="D615" t="s">
        <v>1753</v>
      </c>
      <c r="E615" t="s">
        <v>1754</v>
      </c>
      <c r="F615" t="s">
        <v>114</v>
      </c>
      <c r="G615" t="s">
        <v>25</v>
      </c>
      <c r="H615" t="s">
        <v>38</v>
      </c>
      <c r="I615" t="s">
        <v>39</v>
      </c>
      <c r="J615" t="s">
        <v>1715</v>
      </c>
      <c r="K615" t="s">
        <v>29</v>
      </c>
      <c r="L615" t="s">
        <v>1716</v>
      </c>
      <c r="M615" t="s">
        <v>72</v>
      </c>
      <c r="N615" t="s">
        <v>73</v>
      </c>
    </row>
    <row r="616" spans="1:14">
      <c r="A616" t="s">
        <v>1762</v>
      </c>
      <c r="B616" t="s">
        <v>18</v>
      </c>
      <c r="C616" t="s">
        <v>184</v>
      </c>
      <c r="D616" t="s">
        <v>1763</v>
      </c>
      <c r="E616" t="s">
        <v>1741</v>
      </c>
      <c r="F616" t="s">
        <v>187</v>
      </c>
      <c r="G616" t="s">
        <v>25</v>
      </c>
      <c r="H616" t="s">
        <v>26</v>
      </c>
      <c r="I616" t="s">
        <v>39</v>
      </c>
      <c r="J616" t="s">
        <v>1715</v>
      </c>
      <c r="K616" t="s">
        <v>67</v>
      </c>
      <c r="L616" t="s">
        <v>1716</v>
      </c>
      <c r="M616" t="s">
        <v>122</v>
      </c>
      <c r="N616" t="s">
        <v>39</v>
      </c>
    </row>
    <row r="617" spans="1:14">
      <c r="A617" t="s">
        <v>1764</v>
      </c>
      <c r="B617" t="s">
        <v>18</v>
      </c>
      <c r="C617" t="s">
        <v>261</v>
      </c>
      <c r="D617" t="s">
        <v>1765</v>
      </c>
      <c r="E617" t="s">
        <v>1766</v>
      </c>
      <c r="F617" t="s">
        <v>219</v>
      </c>
      <c r="G617" t="s">
        <v>25</v>
      </c>
      <c r="H617" t="s">
        <v>38</v>
      </c>
      <c r="I617" t="s">
        <v>27</v>
      </c>
      <c r="J617" t="s">
        <v>1715</v>
      </c>
      <c r="K617" t="s">
        <v>29</v>
      </c>
      <c r="L617" t="s">
        <v>1716</v>
      </c>
      <c r="M617" t="s">
        <v>72</v>
      </c>
      <c r="N617" t="s">
        <v>73</v>
      </c>
    </row>
    <row r="618" spans="1:14">
      <c r="A618" t="s">
        <v>1767</v>
      </c>
      <c r="B618" t="s">
        <v>18</v>
      </c>
      <c r="C618" t="s">
        <v>111</v>
      </c>
      <c r="D618" t="s">
        <v>1768</v>
      </c>
      <c r="E618" t="s">
        <v>1769</v>
      </c>
      <c r="F618" t="s">
        <v>114</v>
      </c>
      <c r="G618" t="s">
        <v>25</v>
      </c>
      <c r="H618" t="s">
        <v>38</v>
      </c>
      <c r="I618" t="s">
        <v>39</v>
      </c>
      <c r="J618" t="s">
        <v>1715</v>
      </c>
      <c r="K618" t="s">
        <v>29</v>
      </c>
      <c r="L618" t="s">
        <v>1716</v>
      </c>
      <c r="M618" t="s">
        <v>72</v>
      </c>
      <c r="N618" t="s">
        <v>73</v>
      </c>
    </row>
    <row r="619" spans="1:14">
      <c r="A619" t="s">
        <v>1776</v>
      </c>
      <c r="B619" t="s">
        <v>18</v>
      </c>
      <c r="C619" t="s">
        <v>216</v>
      </c>
      <c r="D619" t="s">
        <v>1777</v>
      </c>
      <c r="E619" t="s">
        <v>1778</v>
      </c>
      <c r="F619" t="s">
        <v>219</v>
      </c>
      <c r="G619" t="s">
        <v>25</v>
      </c>
      <c r="H619" t="s">
        <v>38</v>
      </c>
      <c r="I619" t="s">
        <v>82</v>
      </c>
      <c r="J619" t="s">
        <v>1715</v>
      </c>
      <c r="K619" t="s">
        <v>29</v>
      </c>
      <c r="L619" t="s">
        <v>1716</v>
      </c>
      <c r="M619" t="s">
        <v>3407</v>
      </c>
      <c r="N619" t="s">
        <v>39</v>
      </c>
    </row>
    <row r="620" spans="1:14">
      <c r="A620" t="s">
        <v>1779</v>
      </c>
      <c r="B620" t="s">
        <v>18</v>
      </c>
      <c r="C620" t="s">
        <v>216</v>
      </c>
      <c r="D620" t="s">
        <v>1780</v>
      </c>
      <c r="E620" t="s">
        <v>1781</v>
      </c>
      <c r="F620" t="s">
        <v>219</v>
      </c>
      <c r="G620" t="s">
        <v>25</v>
      </c>
      <c r="H620" t="s">
        <v>38</v>
      </c>
      <c r="I620" t="s">
        <v>39</v>
      </c>
      <c r="J620" t="s">
        <v>1715</v>
      </c>
      <c r="K620" t="s">
        <v>29</v>
      </c>
      <c r="L620" t="s">
        <v>1716</v>
      </c>
      <c r="M620" t="s">
        <v>122</v>
      </c>
      <c r="N620" t="s">
        <v>39</v>
      </c>
    </row>
    <row r="621" spans="1:14">
      <c r="A621" t="s">
        <v>1779</v>
      </c>
      <c r="B621" t="s">
        <v>18</v>
      </c>
      <c r="C621" t="s">
        <v>216</v>
      </c>
      <c r="D621" t="s">
        <v>1782</v>
      </c>
      <c r="E621" t="s">
        <v>1783</v>
      </c>
      <c r="F621" t="s">
        <v>219</v>
      </c>
      <c r="G621" t="s">
        <v>25</v>
      </c>
      <c r="H621" t="s">
        <v>38</v>
      </c>
      <c r="I621" t="s">
        <v>99</v>
      </c>
      <c r="J621" t="s">
        <v>1715</v>
      </c>
      <c r="K621" t="s">
        <v>29</v>
      </c>
      <c r="L621" t="s">
        <v>1716</v>
      </c>
      <c r="M621" t="s">
        <v>72</v>
      </c>
      <c r="N621" t="s">
        <v>73</v>
      </c>
    </row>
    <row r="622" spans="1:14">
      <c r="A622" t="s">
        <v>222</v>
      </c>
      <c r="B622" t="s">
        <v>18</v>
      </c>
      <c r="C622" t="s">
        <v>216</v>
      </c>
      <c r="D622" t="s">
        <v>1784</v>
      </c>
      <c r="E622" t="s">
        <v>1785</v>
      </c>
      <c r="F622" t="s">
        <v>219</v>
      </c>
      <c r="G622" t="s">
        <v>25</v>
      </c>
      <c r="H622" t="s">
        <v>26</v>
      </c>
      <c r="I622" t="s">
        <v>39</v>
      </c>
      <c r="J622" t="s">
        <v>1715</v>
      </c>
      <c r="K622" t="s">
        <v>67</v>
      </c>
      <c r="L622" t="s">
        <v>1716</v>
      </c>
      <c r="M622" t="s">
        <v>3412</v>
      </c>
      <c r="N622" t="s">
        <v>39</v>
      </c>
    </row>
    <row r="623" spans="1:14">
      <c r="A623" t="s">
        <v>698</v>
      </c>
      <c r="B623" t="s">
        <v>18</v>
      </c>
      <c r="C623" t="s">
        <v>275</v>
      </c>
      <c r="D623" t="s">
        <v>1786</v>
      </c>
      <c r="E623" t="s">
        <v>1787</v>
      </c>
      <c r="F623" t="s">
        <v>278</v>
      </c>
      <c r="G623" t="s">
        <v>25</v>
      </c>
      <c r="H623" t="s">
        <v>26</v>
      </c>
      <c r="I623" t="s">
        <v>39</v>
      </c>
      <c r="J623" t="s">
        <v>1715</v>
      </c>
      <c r="K623" t="s">
        <v>67</v>
      </c>
      <c r="L623" t="s">
        <v>1716</v>
      </c>
      <c r="M623" t="s">
        <v>122</v>
      </c>
      <c r="N623" t="s">
        <v>39</v>
      </c>
    </row>
    <row r="624" spans="1:14">
      <c r="A624" t="s">
        <v>1788</v>
      </c>
      <c r="B624" t="s">
        <v>18</v>
      </c>
      <c r="C624" t="s">
        <v>216</v>
      </c>
      <c r="D624" t="s">
        <v>1789</v>
      </c>
      <c r="E624" t="s">
        <v>1790</v>
      </c>
      <c r="F624" t="s">
        <v>219</v>
      </c>
      <c r="G624" t="s">
        <v>25</v>
      </c>
      <c r="H624" t="s">
        <v>38</v>
      </c>
      <c r="I624" t="s">
        <v>27</v>
      </c>
      <c r="J624" t="s">
        <v>1715</v>
      </c>
      <c r="K624" t="s">
        <v>29</v>
      </c>
      <c r="L624" t="s">
        <v>1716</v>
      </c>
      <c r="M624" t="s">
        <v>76</v>
      </c>
      <c r="N624" t="s">
        <v>73</v>
      </c>
    </row>
    <row r="625" spans="1:14">
      <c r="A625" t="s">
        <v>1796</v>
      </c>
      <c r="B625" t="s">
        <v>18</v>
      </c>
      <c r="C625" t="s">
        <v>33</v>
      </c>
      <c r="D625" t="s">
        <v>1797</v>
      </c>
      <c r="E625" t="s">
        <v>1798</v>
      </c>
      <c r="F625" t="s">
        <v>36</v>
      </c>
      <c r="G625" t="s">
        <v>25</v>
      </c>
      <c r="H625" t="s">
        <v>38</v>
      </c>
      <c r="I625" t="s">
        <v>39</v>
      </c>
      <c r="J625" t="s">
        <v>1715</v>
      </c>
      <c r="K625" t="s">
        <v>29</v>
      </c>
      <c r="L625" t="s">
        <v>1716</v>
      </c>
      <c r="M625" t="s">
        <v>122</v>
      </c>
      <c r="N625" t="s">
        <v>39</v>
      </c>
    </row>
    <row r="626" spans="1:14">
      <c r="A626" t="s">
        <v>1799</v>
      </c>
      <c r="B626" t="s">
        <v>18</v>
      </c>
      <c r="C626" t="s">
        <v>229</v>
      </c>
      <c r="D626" t="s">
        <v>1800</v>
      </c>
      <c r="E626" t="s">
        <v>1801</v>
      </c>
      <c r="F626" t="s">
        <v>232</v>
      </c>
      <c r="G626" t="s">
        <v>116</v>
      </c>
      <c r="H626" t="s">
        <v>38</v>
      </c>
      <c r="I626" t="s">
        <v>82</v>
      </c>
      <c r="J626" t="s">
        <v>1715</v>
      </c>
      <c r="K626" t="s">
        <v>29</v>
      </c>
      <c r="L626" t="s">
        <v>1716</v>
      </c>
      <c r="M626" t="s">
        <v>122</v>
      </c>
      <c r="N626" t="s">
        <v>39</v>
      </c>
    </row>
    <row r="627" spans="1:14">
      <c r="A627" t="s">
        <v>1802</v>
      </c>
      <c r="B627" t="s">
        <v>18</v>
      </c>
      <c r="C627" t="s">
        <v>229</v>
      </c>
      <c r="D627" t="s">
        <v>1803</v>
      </c>
      <c r="E627" t="s">
        <v>1804</v>
      </c>
      <c r="F627" t="s">
        <v>232</v>
      </c>
      <c r="G627" t="s">
        <v>116</v>
      </c>
      <c r="H627" t="s">
        <v>26</v>
      </c>
      <c r="I627" t="s">
        <v>99</v>
      </c>
      <c r="J627" t="s">
        <v>1715</v>
      </c>
      <c r="K627" t="s">
        <v>29</v>
      </c>
      <c r="L627" t="s">
        <v>1716</v>
      </c>
      <c r="M627" t="s">
        <v>57</v>
      </c>
      <c r="N627" t="s">
        <v>58</v>
      </c>
    </row>
    <row r="628" spans="1:14">
      <c r="A628" t="s">
        <v>1805</v>
      </c>
      <c r="B628" t="s">
        <v>18</v>
      </c>
      <c r="C628" t="s">
        <v>184</v>
      </c>
      <c r="D628" t="s">
        <v>1806</v>
      </c>
      <c r="E628" t="s">
        <v>1807</v>
      </c>
      <c r="F628" t="s">
        <v>187</v>
      </c>
      <c r="G628" t="s">
        <v>25</v>
      </c>
      <c r="H628" t="s">
        <v>26</v>
      </c>
      <c r="I628" t="s">
        <v>39</v>
      </c>
      <c r="J628" t="s">
        <v>1715</v>
      </c>
      <c r="K628" t="s">
        <v>67</v>
      </c>
      <c r="L628" t="s">
        <v>1716</v>
      </c>
      <c r="M628" t="s">
        <v>3412</v>
      </c>
      <c r="N628" t="s">
        <v>39</v>
      </c>
    </row>
    <row r="629" spans="1:14">
      <c r="A629" t="s">
        <v>1808</v>
      </c>
      <c r="B629" t="s">
        <v>18</v>
      </c>
      <c r="C629" t="s">
        <v>184</v>
      </c>
      <c r="D629" t="s">
        <v>1809</v>
      </c>
      <c r="E629" t="s">
        <v>1810</v>
      </c>
      <c r="F629" t="s">
        <v>187</v>
      </c>
      <c r="G629" t="s">
        <v>25</v>
      </c>
      <c r="H629" t="s">
        <v>26</v>
      </c>
      <c r="I629" t="s">
        <v>39</v>
      </c>
      <c r="J629" t="s">
        <v>1715</v>
      </c>
      <c r="K629" t="s">
        <v>67</v>
      </c>
      <c r="L629" t="s">
        <v>1716</v>
      </c>
      <c r="M629" t="s">
        <v>3412</v>
      </c>
      <c r="N629" t="s">
        <v>39</v>
      </c>
    </row>
    <row r="630" spans="1:14">
      <c r="A630" t="s">
        <v>1811</v>
      </c>
      <c r="B630" t="s">
        <v>18</v>
      </c>
      <c r="C630" t="s">
        <v>301</v>
      </c>
      <c r="D630" t="s">
        <v>1812</v>
      </c>
      <c r="E630" t="s">
        <v>1324</v>
      </c>
      <c r="F630" t="s">
        <v>269</v>
      </c>
      <c r="G630" t="s">
        <v>25</v>
      </c>
      <c r="H630" t="s">
        <v>26</v>
      </c>
      <c r="I630" t="s">
        <v>39</v>
      </c>
      <c r="J630" t="s">
        <v>1715</v>
      </c>
      <c r="K630" t="s">
        <v>29</v>
      </c>
      <c r="L630" t="s">
        <v>1716</v>
      </c>
      <c r="M630" t="s">
        <v>3412</v>
      </c>
      <c r="N630" t="s">
        <v>39</v>
      </c>
    </row>
    <row r="631" spans="1:14">
      <c r="A631" t="s">
        <v>1816</v>
      </c>
      <c r="B631" t="s">
        <v>18</v>
      </c>
      <c r="C631" t="s">
        <v>229</v>
      </c>
      <c r="D631" t="s">
        <v>1817</v>
      </c>
      <c r="E631" t="s">
        <v>1818</v>
      </c>
      <c r="F631" t="s">
        <v>232</v>
      </c>
      <c r="G631" t="s">
        <v>116</v>
      </c>
      <c r="H631" t="s">
        <v>38</v>
      </c>
      <c r="I631" t="s">
        <v>39</v>
      </c>
      <c r="J631" t="s">
        <v>1715</v>
      </c>
      <c r="K631" t="s">
        <v>29</v>
      </c>
      <c r="L631" t="s">
        <v>1716</v>
      </c>
      <c r="M631" t="s">
        <v>68</v>
      </c>
      <c r="N631" t="s">
        <v>69</v>
      </c>
    </row>
    <row r="632" spans="1:14">
      <c r="A632" t="s">
        <v>1837</v>
      </c>
      <c r="B632" t="s">
        <v>18</v>
      </c>
      <c r="C632" t="s">
        <v>261</v>
      </c>
      <c r="D632" t="s">
        <v>1838</v>
      </c>
      <c r="E632" t="s">
        <v>483</v>
      </c>
      <c r="F632" t="s">
        <v>219</v>
      </c>
      <c r="G632" t="s">
        <v>25</v>
      </c>
      <c r="H632" t="s">
        <v>26</v>
      </c>
      <c r="I632" t="s">
        <v>39</v>
      </c>
      <c r="J632" t="s">
        <v>1715</v>
      </c>
      <c r="K632" t="s">
        <v>106</v>
      </c>
      <c r="L632" t="s">
        <v>1716</v>
      </c>
      <c r="M632" t="s">
        <v>122</v>
      </c>
      <c r="N632" t="s">
        <v>39</v>
      </c>
    </row>
    <row r="633" spans="1:14">
      <c r="A633" t="s">
        <v>1844</v>
      </c>
      <c r="B633" t="s">
        <v>18</v>
      </c>
      <c r="C633" t="s">
        <v>216</v>
      </c>
      <c r="D633" t="s">
        <v>1845</v>
      </c>
      <c r="E633" t="s">
        <v>1846</v>
      </c>
      <c r="F633" t="s">
        <v>219</v>
      </c>
      <c r="G633" t="s">
        <v>25</v>
      </c>
      <c r="H633" t="s">
        <v>38</v>
      </c>
      <c r="I633" t="s">
        <v>39</v>
      </c>
      <c r="J633" t="s">
        <v>1715</v>
      </c>
      <c r="K633" t="s">
        <v>67</v>
      </c>
      <c r="L633" t="s">
        <v>1715</v>
      </c>
      <c r="M633" t="s">
        <v>3407</v>
      </c>
      <c r="N633" t="s">
        <v>39</v>
      </c>
    </row>
    <row r="634" spans="1:14">
      <c r="A634" t="s">
        <v>1844</v>
      </c>
      <c r="B634" t="s">
        <v>18</v>
      </c>
      <c r="C634" t="s">
        <v>216</v>
      </c>
      <c r="D634" t="s">
        <v>1847</v>
      </c>
      <c r="E634" t="s">
        <v>1848</v>
      </c>
      <c r="F634" t="s">
        <v>219</v>
      </c>
      <c r="G634" t="s">
        <v>25</v>
      </c>
      <c r="H634" t="s">
        <v>38</v>
      </c>
      <c r="I634" t="s">
        <v>39</v>
      </c>
      <c r="J634" t="s">
        <v>1715</v>
      </c>
      <c r="K634" t="s">
        <v>67</v>
      </c>
      <c r="L634" t="s">
        <v>1715</v>
      </c>
      <c r="M634" t="s">
        <v>3407</v>
      </c>
      <c r="N634" t="s">
        <v>39</v>
      </c>
    </row>
    <row r="635" spans="1:14">
      <c r="A635" t="s">
        <v>1849</v>
      </c>
      <c r="B635" t="s">
        <v>18</v>
      </c>
      <c r="C635" t="s">
        <v>275</v>
      </c>
      <c r="D635" t="s">
        <v>1850</v>
      </c>
      <c r="E635" s="2" t="s">
        <v>3428</v>
      </c>
      <c r="F635" t="s">
        <v>278</v>
      </c>
      <c r="G635" t="s">
        <v>25</v>
      </c>
      <c r="H635" t="s">
        <v>26</v>
      </c>
      <c r="I635" t="s">
        <v>39</v>
      </c>
      <c r="J635" t="s">
        <v>1715</v>
      </c>
      <c r="K635" t="s">
        <v>67</v>
      </c>
      <c r="L635" t="s">
        <v>1715</v>
      </c>
      <c r="M635" t="s">
        <v>122</v>
      </c>
      <c r="N635" t="s">
        <v>39</v>
      </c>
    </row>
    <row r="636" spans="1:14">
      <c r="A636" t="s">
        <v>701</v>
      </c>
      <c r="B636" t="s">
        <v>18</v>
      </c>
      <c r="C636" t="s">
        <v>275</v>
      </c>
      <c r="D636" t="s">
        <v>1852</v>
      </c>
      <c r="E636" s="2" t="s">
        <v>3429</v>
      </c>
      <c r="F636" t="s">
        <v>278</v>
      </c>
      <c r="G636" t="s">
        <v>25</v>
      </c>
      <c r="H636" t="s">
        <v>26</v>
      </c>
      <c r="I636" t="s">
        <v>56</v>
      </c>
      <c r="J636" t="s">
        <v>1715</v>
      </c>
      <c r="K636" t="s">
        <v>29</v>
      </c>
      <c r="L636" t="s">
        <v>1715</v>
      </c>
      <c r="M636" t="s">
        <v>72</v>
      </c>
      <c r="N636" t="s">
        <v>73</v>
      </c>
    </row>
    <row r="637" spans="1:14">
      <c r="A637" t="s">
        <v>505</v>
      </c>
      <c r="B637" t="s">
        <v>18</v>
      </c>
      <c r="C637" t="s">
        <v>275</v>
      </c>
      <c r="D637" t="s">
        <v>1854</v>
      </c>
      <c r="E637" s="2" t="s">
        <v>3430</v>
      </c>
      <c r="F637" t="s">
        <v>278</v>
      </c>
      <c r="G637" t="s">
        <v>25</v>
      </c>
      <c r="H637" t="s">
        <v>38</v>
      </c>
      <c r="I637" t="s">
        <v>39</v>
      </c>
      <c r="J637" t="s">
        <v>1715</v>
      </c>
      <c r="K637" t="s">
        <v>29</v>
      </c>
      <c r="L637" t="s">
        <v>1715</v>
      </c>
      <c r="M637" t="s">
        <v>72</v>
      </c>
      <c r="N637" t="s">
        <v>73</v>
      </c>
    </row>
    <row r="638" spans="1:14">
      <c r="A638" t="s">
        <v>1856</v>
      </c>
      <c r="B638" t="s">
        <v>18</v>
      </c>
      <c r="C638" t="s">
        <v>275</v>
      </c>
      <c r="D638" t="s">
        <v>1857</v>
      </c>
      <c r="E638" t="s">
        <v>1858</v>
      </c>
      <c r="F638" t="s">
        <v>278</v>
      </c>
      <c r="G638" t="s">
        <v>25</v>
      </c>
      <c r="H638" t="s">
        <v>26</v>
      </c>
      <c r="I638" t="s">
        <v>56</v>
      </c>
      <c r="J638" t="s">
        <v>1715</v>
      </c>
      <c r="K638" t="s">
        <v>29</v>
      </c>
      <c r="L638" t="s">
        <v>1715</v>
      </c>
      <c r="M638" t="s">
        <v>72</v>
      </c>
      <c r="N638" t="s">
        <v>73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4E86-9E13-4CB6-ACEB-28C208C04E1D}">
  <dimension ref="A3:E20"/>
  <sheetViews>
    <sheetView workbookViewId="0">
      <selection activeCell="H10" sqref="H10"/>
    </sheetView>
  </sheetViews>
  <sheetFormatPr defaultRowHeight="17.399999999999999"/>
  <cols>
    <col min="1" max="1" width="18.59765625" bestFit="1" customWidth="1"/>
    <col min="2" max="2" width="11.19921875" bestFit="1" customWidth="1"/>
    <col min="3" max="3" width="7.19921875" bestFit="1" customWidth="1"/>
    <col min="4" max="4" width="8.59765625" bestFit="1" customWidth="1"/>
    <col min="5" max="5" width="6.796875" bestFit="1" customWidth="1"/>
    <col min="6" max="6" width="8.59765625" bestFit="1" customWidth="1"/>
    <col min="7" max="7" width="6.796875" bestFit="1" customWidth="1"/>
  </cols>
  <sheetData>
    <row r="3" spans="1:5">
      <c r="A3" s="7" t="s">
        <v>3406</v>
      </c>
      <c r="B3" s="7" t="s">
        <v>3393</v>
      </c>
    </row>
    <row r="4" spans="1:5">
      <c r="A4" s="7" t="s">
        <v>3390</v>
      </c>
      <c r="B4" t="s">
        <v>25</v>
      </c>
      <c r="C4" t="s">
        <v>62</v>
      </c>
      <c r="D4" t="s">
        <v>116</v>
      </c>
      <c r="E4" t="s">
        <v>3391</v>
      </c>
    </row>
    <row r="5" spans="1:5">
      <c r="A5" s="8" t="s">
        <v>580</v>
      </c>
      <c r="B5" s="37">
        <v>4</v>
      </c>
      <c r="C5" s="37"/>
      <c r="D5" s="37">
        <v>32</v>
      </c>
      <c r="E5" s="37">
        <v>36</v>
      </c>
    </row>
    <row r="6" spans="1:5">
      <c r="A6" s="8" t="s">
        <v>33</v>
      </c>
      <c r="B6" s="37">
        <v>6</v>
      </c>
      <c r="C6" s="37"/>
      <c r="D6" s="37"/>
      <c r="E6" s="37">
        <v>6</v>
      </c>
    </row>
    <row r="7" spans="1:5">
      <c r="A7" s="8" t="s">
        <v>301</v>
      </c>
      <c r="B7" s="37">
        <v>6</v>
      </c>
      <c r="C7" s="37"/>
      <c r="D7" s="37">
        <v>1</v>
      </c>
      <c r="E7" s="37">
        <v>7</v>
      </c>
    </row>
    <row r="8" spans="1:5">
      <c r="A8" s="8" t="s">
        <v>266</v>
      </c>
      <c r="B8" s="37">
        <v>7</v>
      </c>
      <c r="C8" s="37"/>
      <c r="D8" s="37">
        <v>6</v>
      </c>
      <c r="E8" s="37">
        <v>13</v>
      </c>
    </row>
    <row r="9" spans="1:5">
      <c r="A9" s="8" t="s">
        <v>46</v>
      </c>
      <c r="B9" s="37">
        <v>19</v>
      </c>
      <c r="C9" s="37">
        <v>1</v>
      </c>
      <c r="D9" s="37">
        <v>8</v>
      </c>
      <c r="E9" s="37">
        <v>28</v>
      </c>
    </row>
    <row r="10" spans="1:5">
      <c r="A10" s="8" t="s">
        <v>261</v>
      </c>
      <c r="B10" s="37">
        <v>21</v>
      </c>
      <c r="C10" s="37"/>
      <c r="D10" s="37"/>
      <c r="E10" s="37">
        <v>21</v>
      </c>
    </row>
    <row r="11" spans="1:5">
      <c r="A11" s="8" t="s">
        <v>216</v>
      </c>
      <c r="B11" s="37">
        <v>32</v>
      </c>
      <c r="C11" s="37"/>
      <c r="D11" s="37">
        <v>12</v>
      </c>
      <c r="E11" s="37">
        <v>44</v>
      </c>
    </row>
    <row r="12" spans="1:5">
      <c r="A12" s="8" t="s">
        <v>306</v>
      </c>
      <c r="B12" s="37">
        <v>8</v>
      </c>
      <c r="C12" s="37"/>
      <c r="D12" s="37">
        <v>13</v>
      </c>
      <c r="E12" s="37">
        <v>21</v>
      </c>
    </row>
    <row r="13" spans="1:5">
      <c r="A13" s="8" t="s">
        <v>184</v>
      </c>
      <c r="B13" s="37">
        <v>29</v>
      </c>
      <c r="C13" s="37"/>
      <c r="D13" s="37"/>
      <c r="E13" s="37">
        <v>29</v>
      </c>
    </row>
    <row r="14" spans="1:5">
      <c r="A14" s="8" t="s">
        <v>229</v>
      </c>
      <c r="B14" s="37">
        <v>17</v>
      </c>
      <c r="C14" s="37"/>
      <c r="D14" s="37">
        <v>51</v>
      </c>
      <c r="E14" s="37">
        <v>68</v>
      </c>
    </row>
    <row r="15" spans="1:5">
      <c r="A15" s="8" t="s">
        <v>111</v>
      </c>
      <c r="B15" s="37">
        <v>13</v>
      </c>
      <c r="C15" s="37"/>
      <c r="D15" s="37">
        <v>17</v>
      </c>
      <c r="E15" s="37">
        <v>30</v>
      </c>
    </row>
    <row r="16" spans="1:5">
      <c r="A16" s="8" t="s">
        <v>402</v>
      </c>
      <c r="B16" s="37">
        <v>1</v>
      </c>
      <c r="C16" s="37"/>
      <c r="D16" s="37"/>
      <c r="E16" s="37">
        <v>1</v>
      </c>
    </row>
    <row r="17" spans="1:5">
      <c r="A17" s="8" t="s">
        <v>275</v>
      </c>
      <c r="B17" s="37">
        <v>15</v>
      </c>
      <c r="C17" s="37"/>
      <c r="D17" s="37">
        <v>2</v>
      </c>
      <c r="E17" s="37">
        <v>17</v>
      </c>
    </row>
    <row r="18" spans="1:5">
      <c r="A18" s="8" t="s">
        <v>974</v>
      </c>
      <c r="B18" s="37">
        <v>6</v>
      </c>
      <c r="C18" s="37"/>
      <c r="D18" s="37"/>
      <c r="E18" s="37">
        <v>6</v>
      </c>
    </row>
    <row r="19" spans="1:5">
      <c r="A19" s="8" t="s">
        <v>19</v>
      </c>
      <c r="B19" s="37">
        <v>97</v>
      </c>
      <c r="C19" s="37"/>
      <c r="D19" s="37">
        <v>24</v>
      </c>
      <c r="E19" s="37">
        <v>121</v>
      </c>
    </row>
    <row r="20" spans="1:5">
      <c r="A20" s="8" t="s">
        <v>3391</v>
      </c>
      <c r="B20" s="37">
        <v>281</v>
      </c>
      <c r="C20" s="37">
        <v>1</v>
      </c>
      <c r="D20" s="37">
        <v>166</v>
      </c>
      <c r="E20" s="37">
        <v>448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8378-2188-1D98-08E8-74C87954E018}">
  <dimension ref="A1:P638"/>
  <sheetViews>
    <sheetView zoomScale="85" zoomScaleNormal="85" workbookViewId="0">
      <selection activeCell="E14" sqref="E14"/>
    </sheetView>
  </sheetViews>
  <sheetFormatPr defaultColWidth="9.09765625" defaultRowHeight="16.5" customHeight="1"/>
  <cols>
    <col min="1" max="1" width="18.3984375" customWidth="1"/>
    <col min="2" max="2" width="13.19921875" customWidth="1"/>
    <col min="3" max="3" width="20" customWidth="1"/>
    <col min="4" max="4" width="10.59765625" customWidth="1"/>
    <col min="5" max="5" width="89.69921875" customWidth="1"/>
    <col min="6" max="6" width="7.09765625" hidden="1" customWidth="1"/>
    <col min="7" max="7" width="7.19921875" hidden="1" customWidth="1"/>
    <col min="8" max="9" width="11.19921875" customWidth="1"/>
    <col min="10" max="10" width="11.19921875" hidden="1" customWidth="1"/>
    <col min="11" max="11" width="14.09765625" customWidth="1"/>
    <col min="12" max="12" width="7.3984375" customWidth="1"/>
    <col min="13" max="13" width="5.09765625" customWidth="1"/>
    <col min="14" max="14" width="4.3984375" customWidth="1"/>
    <col min="15" max="15" width="32.19921875" customWidth="1"/>
    <col min="16" max="16" width="15.5" customWidth="1"/>
    <col min="17" max="17" width="12" customWidth="1"/>
  </cols>
  <sheetData>
    <row r="1" spans="1:16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s="1" t="s">
        <v>15</v>
      </c>
      <c r="P1" s="1" t="s">
        <v>16</v>
      </c>
    </row>
    <row r="2" spans="1:16" s="23" customFormat="1" ht="16.5" customHeight="1">
      <c r="A2" s="20" t="s">
        <v>214</v>
      </c>
      <c r="B2" s="20" t="s">
        <v>215</v>
      </c>
      <c r="C2" s="20" t="s">
        <v>216</v>
      </c>
      <c r="D2" s="20" t="s">
        <v>217</v>
      </c>
      <c r="E2" s="20" t="s">
        <v>218</v>
      </c>
      <c r="F2" s="20" t="s">
        <v>219</v>
      </c>
      <c r="G2" s="20" t="s">
        <v>116</v>
      </c>
      <c r="H2" s="20" t="s">
        <v>38</v>
      </c>
      <c r="I2" s="20" t="s">
        <v>99</v>
      </c>
      <c r="J2" s="20" t="s">
        <v>189</v>
      </c>
      <c r="K2" s="20" t="s">
        <v>67</v>
      </c>
      <c r="L2" s="20" t="s">
        <v>189</v>
      </c>
      <c r="M2" s="21">
        <v>45973.474861111114</v>
      </c>
      <c r="N2" s="22">
        <v>45973.676249999997</v>
      </c>
      <c r="O2" s="23" t="s">
        <v>30</v>
      </c>
      <c r="P2" s="23" t="s">
        <v>31</v>
      </c>
    </row>
    <row r="3" spans="1:16" s="23" customFormat="1" ht="16.5" customHeight="1">
      <c r="A3" s="20" t="s">
        <v>247</v>
      </c>
      <c r="B3" s="20" t="s">
        <v>215</v>
      </c>
      <c r="C3" s="20" t="s">
        <v>229</v>
      </c>
      <c r="D3" s="20" t="s">
        <v>248</v>
      </c>
      <c r="E3" s="20" t="s">
        <v>249</v>
      </c>
      <c r="F3" s="20" t="s">
        <v>232</v>
      </c>
      <c r="G3" s="20" t="s">
        <v>116</v>
      </c>
      <c r="H3" s="20" t="s">
        <v>26</v>
      </c>
      <c r="I3" s="20" t="s">
        <v>82</v>
      </c>
      <c r="J3" s="20" t="s">
        <v>189</v>
      </c>
      <c r="K3" s="20" t="s">
        <v>67</v>
      </c>
      <c r="L3" s="20" t="s">
        <v>189</v>
      </c>
      <c r="M3" s="21">
        <v>45974.671898148146</v>
      </c>
      <c r="N3" s="22">
        <v>45974.76767361111</v>
      </c>
      <c r="O3" s="23" t="s">
        <v>40</v>
      </c>
      <c r="P3" s="23" t="s">
        <v>41</v>
      </c>
    </row>
    <row r="4" spans="1:16" s="23" customFormat="1" ht="16.5" customHeight="1">
      <c r="A4" s="20" t="s">
        <v>251</v>
      </c>
      <c r="B4" s="20" t="s">
        <v>215</v>
      </c>
      <c r="C4" s="20" t="s">
        <v>229</v>
      </c>
      <c r="D4" s="20" t="s">
        <v>252</v>
      </c>
      <c r="E4" s="20" t="s">
        <v>253</v>
      </c>
      <c r="F4" s="20" t="s">
        <v>232</v>
      </c>
      <c r="G4" s="20" t="s">
        <v>116</v>
      </c>
      <c r="H4" s="20" t="s">
        <v>26</v>
      </c>
      <c r="I4" s="20" t="s">
        <v>82</v>
      </c>
      <c r="J4" s="20" t="s">
        <v>189</v>
      </c>
      <c r="K4" s="20" t="s">
        <v>67</v>
      </c>
      <c r="L4" s="20" t="s">
        <v>189</v>
      </c>
      <c r="M4" s="21">
        <v>45974.670891203707</v>
      </c>
      <c r="N4" s="22">
        <v>45974.768506944441</v>
      </c>
      <c r="O4" s="23" t="s">
        <v>40</v>
      </c>
      <c r="P4" s="23" t="s">
        <v>41</v>
      </c>
    </row>
    <row r="5" spans="1:16" s="23" customFormat="1" ht="16.5" customHeight="1">
      <c r="A5" s="20" t="s">
        <v>254</v>
      </c>
      <c r="B5" s="20" t="s">
        <v>215</v>
      </c>
      <c r="C5" s="20" t="s">
        <v>229</v>
      </c>
      <c r="D5" s="20" t="s">
        <v>255</v>
      </c>
      <c r="E5" s="20" t="s">
        <v>256</v>
      </c>
      <c r="F5" s="20" t="s">
        <v>232</v>
      </c>
      <c r="G5" s="20" t="s">
        <v>116</v>
      </c>
      <c r="H5" s="20" t="s">
        <v>26</v>
      </c>
      <c r="I5" s="20" t="s">
        <v>82</v>
      </c>
      <c r="J5" s="20" t="s">
        <v>189</v>
      </c>
      <c r="K5" s="20" t="s">
        <v>29</v>
      </c>
      <c r="L5" s="20" t="s">
        <v>189</v>
      </c>
      <c r="M5" s="21">
        <v>45974.606516203705</v>
      </c>
      <c r="N5" s="22">
        <v>45974.663784722223</v>
      </c>
      <c r="O5" s="23" t="s">
        <v>52</v>
      </c>
      <c r="P5" s="23" t="s">
        <v>53</v>
      </c>
    </row>
    <row r="6" spans="1:16" s="23" customFormat="1" ht="16.5" customHeight="1">
      <c r="A6" s="20" t="s">
        <v>260</v>
      </c>
      <c r="B6" s="20" t="s">
        <v>215</v>
      </c>
      <c r="C6" s="20" t="s">
        <v>261</v>
      </c>
      <c r="D6" s="20" t="s">
        <v>262</v>
      </c>
      <c r="E6" s="20" t="s">
        <v>263</v>
      </c>
      <c r="F6" s="20" t="s">
        <v>219</v>
      </c>
      <c r="G6" s="20" t="s">
        <v>25</v>
      </c>
      <c r="H6" s="20" t="s">
        <v>26</v>
      </c>
      <c r="I6" s="20" t="s">
        <v>39</v>
      </c>
      <c r="J6" s="20" t="s">
        <v>189</v>
      </c>
      <c r="K6" s="20" t="s">
        <v>67</v>
      </c>
      <c r="L6" s="20" t="s">
        <v>189</v>
      </c>
      <c r="M6" s="21">
        <v>45971.552523148152</v>
      </c>
      <c r="N6" s="22">
        <v>45972.435844907406</v>
      </c>
      <c r="O6" s="23" t="s">
        <v>57</v>
      </c>
      <c r="P6" s="23" t="s">
        <v>58</v>
      </c>
    </row>
    <row r="7" spans="1:16" s="23" customFormat="1" ht="16.5" customHeight="1">
      <c r="A7" s="20" t="s">
        <v>297</v>
      </c>
      <c r="B7" s="20" t="s">
        <v>215</v>
      </c>
      <c r="C7" s="20" t="s">
        <v>229</v>
      </c>
      <c r="D7" s="20" t="s">
        <v>298</v>
      </c>
      <c r="E7" s="20" t="s">
        <v>299</v>
      </c>
      <c r="F7" s="20" t="s">
        <v>232</v>
      </c>
      <c r="G7" s="20" t="s">
        <v>116</v>
      </c>
      <c r="H7" s="20" t="s">
        <v>26</v>
      </c>
      <c r="I7" s="20" t="s">
        <v>82</v>
      </c>
      <c r="J7" s="20" t="s">
        <v>189</v>
      </c>
      <c r="K7" s="20" t="s">
        <v>67</v>
      </c>
      <c r="L7" s="20" t="s">
        <v>189</v>
      </c>
      <c r="M7" s="21">
        <v>45974.673148148147</v>
      </c>
      <c r="N7" s="22">
        <v>45974.768067129633</v>
      </c>
      <c r="O7" s="23" t="s">
        <v>57</v>
      </c>
      <c r="P7" s="23" t="s">
        <v>58</v>
      </c>
    </row>
    <row r="8" spans="1:16" s="23" customFormat="1" ht="16.5" customHeight="1">
      <c r="A8" s="20" t="s">
        <v>355</v>
      </c>
      <c r="B8" s="20" t="s">
        <v>215</v>
      </c>
      <c r="C8" s="20" t="s">
        <v>184</v>
      </c>
      <c r="D8" s="20" t="s">
        <v>356</v>
      </c>
      <c r="E8" s="20" t="s">
        <v>357</v>
      </c>
      <c r="F8" s="20" t="s">
        <v>187</v>
      </c>
      <c r="G8" s="20" t="s">
        <v>116</v>
      </c>
      <c r="H8" s="20" t="s">
        <v>38</v>
      </c>
      <c r="I8" s="20" t="s">
        <v>99</v>
      </c>
      <c r="J8" s="20" t="s">
        <v>189</v>
      </c>
      <c r="K8" s="20" t="s">
        <v>29</v>
      </c>
      <c r="L8" s="20" t="s">
        <v>189</v>
      </c>
      <c r="M8" s="21">
        <v>45972.707418981481</v>
      </c>
      <c r="N8" s="22">
        <v>45974.392337962963</v>
      </c>
      <c r="O8" s="23" t="s">
        <v>68</v>
      </c>
      <c r="P8" s="23" t="s">
        <v>69</v>
      </c>
    </row>
    <row r="9" spans="1:16" s="23" customFormat="1" ht="16.5" customHeight="1">
      <c r="A9" s="20" t="s">
        <v>358</v>
      </c>
      <c r="B9" s="20" t="s">
        <v>215</v>
      </c>
      <c r="C9" s="20" t="s">
        <v>184</v>
      </c>
      <c r="D9" s="20" t="s">
        <v>359</v>
      </c>
      <c r="E9" s="20" t="s">
        <v>360</v>
      </c>
      <c r="F9" s="20" t="s">
        <v>187</v>
      </c>
      <c r="G9" s="20" t="s">
        <v>116</v>
      </c>
      <c r="H9" s="20" t="s">
        <v>38</v>
      </c>
      <c r="I9" s="20" t="s">
        <v>99</v>
      </c>
      <c r="J9" s="20" t="s">
        <v>189</v>
      </c>
      <c r="K9" s="20" t="s">
        <v>29</v>
      </c>
      <c r="L9" s="20" t="s">
        <v>189</v>
      </c>
      <c r="M9" s="21">
        <v>45972.719166666669</v>
      </c>
      <c r="N9" s="22">
        <v>45974.389305555553</v>
      </c>
      <c r="O9" s="23" t="s">
        <v>72</v>
      </c>
      <c r="P9" s="23" t="s">
        <v>73</v>
      </c>
    </row>
    <row r="10" spans="1:16" s="23" customFormat="1" ht="16.5" customHeight="1">
      <c r="A10" s="20" t="s">
        <v>361</v>
      </c>
      <c r="B10" s="20" t="s">
        <v>215</v>
      </c>
      <c r="C10" s="20" t="s">
        <v>184</v>
      </c>
      <c r="D10" s="20" t="s">
        <v>362</v>
      </c>
      <c r="E10" s="20" t="s">
        <v>363</v>
      </c>
      <c r="F10" s="20" t="s">
        <v>187</v>
      </c>
      <c r="G10" s="20" t="s">
        <v>116</v>
      </c>
      <c r="H10" s="20" t="s">
        <v>38</v>
      </c>
      <c r="I10" s="20" t="s">
        <v>99</v>
      </c>
      <c r="J10" s="20" t="s">
        <v>189</v>
      </c>
      <c r="K10" s="20" t="s">
        <v>29</v>
      </c>
      <c r="L10" s="20" t="s">
        <v>189</v>
      </c>
      <c r="M10" s="21">
        <v>45974.429479166669</v>
      </c>
      <c r="N10" s="22">
        <v>45974.467094907406</v>
      </c>
      <c r="O10" s="23" t="s">
        <v>76</v>
      </c>
      <c r="P10" s="23" t="s">
        <v>77</v>
      </c>
    </row>
    <row r="11" spans="1:16" s="23" customFormat="1" ht="16.5" customHeight="1">
      <c r="A11" s="20" t="s">
        <v>446</v>
      </c>
      <c r="B11" s="20" t="s">
        <v>215</v>
      </c>
      <c r="C11" s="20" t="s">
        <v>216</v>
      </c>
      <c r="D11" s="20" t="s">
        <v>447</v>
      </c>
      <c r="E11" s="20" t="s">
        <v>448</v>
      </c>
      <c r="F11" s="20" t="s">
        <v>219</v>
      </c>
      <c r="G11" s="20" t="s">
        <v>25</v>
      </c>
      <c r="H11" s="20" t="s">
        <v>26</v>
      </c>
      <c r="I11" s="20" t="s">
        <v>39</v>
      </c>
      <c r="J11" s="20" t="s">
        <v>189</v>
      </c>
      <c r="K11" s="20" t="s">
        <v>67</v>
      </c>
      <c r="L11" s="20" t="s">
        <v>189</v>
      </c>
      <c r="M11" s="21">
        <v>45971.456458333334</v>
      </c>
      <c r="N11" s="22">
        <v>45974.424212962964</v>
      </c>
      <c r="O11" s="23" t="s">
        <v>76</v>
      </c>
      <c r="P11" s="23" t="s">
        <v>77</v>
      </c>
    </row>
    <row r="12" spans="1:16" s="23" customFormat="1" ht="16.5" customHeight="1">
      <c r="A12" s="20" t="s">
        <v>455</v>
      </c>
      <c r="B12" s="20" t="s">
        <v>215</v>
      </c>
      <c r="C12" s="20" t="s">
        <v>33</v>
      </c>
      <c r="D12" s="20" t="s">
        <v>456</v>
      </c>
      <c r="E12" s="20" t="s">
        <v>457</v>
      </c>
      <c r="F12" s="20" t="s">
        <v>36</v>
      </c>
      <c r="G12" s="20" t="s">
        <v>25</v>
      </c>
      <c r="H12" s="20" t="s">
        <v>26</v>
      </c>
      <c r="I12" s="20" t="s">
        <v>27</v>
      </c>
      <c r="J12" s="20" t="s">
        <v>189</v>
      </c>
      <c r="K12" s="20" t="s">
        <v>67</v>
      </c>
      <c r="L12" s="20" t="s">
        <v>189</v>
      </c>
      <c r="M12" s="21">
        <v>45975.421527777777</v>
      </c>
      <c r="N12" s="22">
        <v>45975.482222222221</v>
      </c>
      <c r="O12" s="23" t="s">
        <v>40</v>
      </c>
      <c r="P12" s="23" t="s">
        <v>41</v>
      </c>
    </row>
    <row r="13" spans="1:16" s="23" customFormat="1" ht="16.5" customHeight="1">
      <c r="A13" s="20" t="s">
        <v>458</v>
      </c>
      <c r="B13" s="20" t="s">
        <v>215</v>
      </c>
      <c r="C13" s="20" t="s">
        <v>261</v>
      </c>
      <c r="D13" s="20" t="s">
        <v>459</v>
      </c>
      <c r="E13" s="20" t="s">
        <v>460</v>
      </c>
      <c r="F13" s="20" t="s">
        <v>219</v>
      </c>
      <c r="G13" s="20" t="s">
        <v>25</v>
      </c>
      <c r="H13" s="20" t="s">
        <v>26</v>
      </c>
      <c r="I13" s="20" t="s">
        <v>39</v>
      </c>
      <c r="J13" s="20" t="s">
        <v>189</v>
      </c>
      <c r="K13" s="20" t="s">
        <v>29</v>
      </c>
      <c r="L13" s="20" t="s">
        <v>189</v>
      </c>
      <c r="M13" s="21">
        <v>45971.629166666666</v>
      </c>
      <c r="N13" s="22">
        <v>45972.422303240739</v>
      </c>
      <c r="O13" s="23" t="s">
        <v>76</v>
      </c>
      <c r="P13" s="23" t="s">
        <v>77</v>
      </c>
    </row>
    <row r="14" spans="1:16" s="23" customFormat="1" ht="16.5" customHeight="1">
      <c r="A14" s="20" t="s">
        <v>467</v>
      </c>
      <c r="B14" s="20" t="s">
        <v>215</v>
      </c>
      <c r="C14" s="20" t="s">
        <v>184</v>
      </c>
      <c r="D14" s="20" t="s">
        <v>468</v>
      </c>
      <c r="E14" s="20" t="s">
        <v>469</v>
      </c>
      <c r="F14" s="20" t="s">
        <v>187</v>
      </c>
      <c r="G14" s="20" t="s">
        <v>116</v>
      </c>
      <c r="H14" s="20" t="s">
        <v>26</v>
      </c>
      <c r="I14" s="20" t="s">
        <v>39</v>
      </c>
      <c r="J14" s="20" t="s">
        <v>189</v>
      </c>
      <c r="K14" s="20" t="s">
        <v>67</v>
      </c>
      <c r="L14" s="20" t="s">
        <v>189</v>
      </c>
      <c r="M14" s="21">
        <v>45974.418229166666</v>
      </c>
      <c r="N14" s="22">
        <v>45974.469143518516</v>
      </c>
      <c r="O14" s="23" t="s">
        <v>76</v>
      </c>
      <c r="P14" s="23" t="s">
        <v>77</v>
      </c>
    </row>
    <row r="15" spans="1:16" s="23" customFormat="1" ht="16.5" customHeight="1">
      <c r="A15" s="20" t="s">
        <v>470</v>
      </c>
      <c r="B15" s="20" t="s">
        <v>215</v>
      </c>
      <c r="C15" s="20" t="s">
        <v>261</v>
      </c>
      <c r="D15" s="20" t="s">
        <v>471</v>
      </c>
      <c r="E15" s="20" t="s">
        <v>472</v>
      </c>
      <c r="F15" s="20" t="s">
        <v>219</v>
      </c>
      <c r="G15" s="20" t="s">
        <v>25</v>
      </c>
      <c r="H15" s="20" t="s">
        <v>26</v>
      </c>
      <c r="I15" s="20" t="s">
        <v>39</v>
      </c>
      <c r="J15" s="20" t="s">
        <v>189</v>
      </c>
      <c r="K15" s="20" t="s">
        <v>67</v>
      </c>
      <c r="L15" s="20" t="s">
        <v>189</v>
      </c>
      <c r="M15" s="21">
        <v>45971.600104166668</v>
      </c>
      <c r="N15" s="22">
        <v>45972.429652777777</v>
      </c>
      <c r="O15" s="23" t="s">
        <v>30</v>
      </c>
      <c r="P15" s="23" t="s">
        <v>31</v>
      </c>
    </row>
    <row r="16" spans="1:16" s="23" customFormat="1" ht="16.5" customHeight="1">
      <c r="A16" s="20" t="s">
        <v>487</v>
      </c>
      <c r="B16" s="20" t="s">
        <v>215</v>
      </c>
      <c r="C16" s="20" t="s">
        <v>184</v>
      </c>
      <c r="D16" s="20" t="s">
        <v>488</v>
      </c>
      <c r="E16" s="20" t="s">
        <v>489</v>
      </c>
      <c r="F16" s="20" t="s">
        <v>187</v>
      </c>
      <c r="G16" s="20" t="s">
        <v>116</v>
      </c>
      <c r="H16" s="20" t="s">
        <v>26</v>
      </c>
      <c r="I16" s="20" t="s">
        <v>39</v>
      </c>
      <c r="J16" s="20" t="s">
        <v>189</v>
      </c>
      <c r="K16" s="20" t="s">
        <v>67</v>
      </c>
      <c r="L16" s="20" t="s">
        <v>189</v>
      </c>
      <c r="M16" s="21">
        <v>45974.420115740744</v>
      </c>
      <c r="N16" s="22">
        <v>45974.468645833331</v>
      </c>
      <c r="O16" s="23" t="s">
        <v>95</v>
      </c>
      <c r="P16" s="23" t="s">
        <v>56</v>
      </c>
    </row>
    <row r="17" spans="1:16" s="23" customFormat="1" ht="16.5" customHeight="1">
      <c r="A17" s="20" t="s">
        <v>497</v>
      </c>
      <c r="B17" s="20" t="s">
        <v>215</v>
      </c>
      <c r="C17" s="20" t="s">
        <v>184</v>
      </c>
      <c r="D17" s="20" t="s">
        <v>498</v>
      </c>
      <c r="E17" s="20" t="s">
        <v>499</v>
      </c>
      <c r="F17" s="20" t="s">
        <v>187</v>
      </c>
      <c r="G17" s="20" t="s">
        <v>116</v>
      </c>
      <c r="H17" s="20" t="s">
        <v>26</v>
      </c>
      <c r="I17" s="20" t="s">
        <v>39</v>
      </c>
      <c r="J17" s="20" t="s">
        <v>189</v>
      </c>
      <c r="K17" s="20" t="s">
        <v>67</v>
      </c>
      <c r="L17" s="20" t="s">
        <v>189</v>
      </c>
      <c r="M17" s="21">
        <v>45974.413819444446</v>
      </c>
      <c r="N17" s="22">
        <v>45974.774270833332</v>
      </c>
      <c r="O17" s="23" t="s">
        <v>57</v>
      </c>
      <c r="P17" s="23" t="s">
        <v>58</v>
      </c>
    </row>
    <row r="18" spans="1:16" s="23" customFormat="1" ht="16.5" customHeight="1">
      <c r="A18" s="20" t="s">
        <v>500</v>
      </c>
      <c r="B18" s="20" t="s">
        <v>215</v>
      </c>
      <c r="C18" s="20" t="s">
        <v>229</v>
      </c>
      <c r="D18" s="20" t="s">
        <v>501</v>
      </c>
      <c r="E18" s="20" t="s">
        <v>502</v>
      </c>
      <c r="F18" s="20" t="s">
        <v>232</v>
      </c>
      <c r="G18" s="20" t="s">
        <v>116</v>
      </c>
      <c r="H18" s="20" t="s">
        <v>38</v>
      </c>
      <c r="I18" s="20" t="s">
        <v>99</v>
      </c>
      <c r="J18" s="20" t="s">
        <v>189</v>
      </c>
      <c r="K18" s="20" t="s">
        <v>29</v>
      </c>
      <c r="L18" s="20" t="s">
        <v>189</v>
      </c>
      <c r="M18" s="21">
        <v>45974.667743055557</v>
      </c>
      <c r="N18" s="22">
        <v>45975.397997685184</v>
      </c>
      <c r="O18" s="23" t="s">
        <v>76</v>
      </c>
      <c r="P18" s="23" t="s">
        <v>77</v>
      </c>
    </row>
    <row r="19" spans="1:16" s="23" customFormat="1" ht="16.5" customHeight="1">
      <c r="A19" s="20" t="s">
        <v>503</v>
      </c>
      <c r="B19" s="20" t="s">
        <v>215</v>
      </c>
      <c r="C19" s="20" t="s">
        <v>229</v>
      </c>
      <c r="D19" s="20" t="s">
        <v>504</v>
      </c>
      <c r="E19" s="20" t="s">
        <v>299</v>
      </c>
      <c r="F19" s="20" t="s">
        <v>232</v>
      </c>
      <c r="G19" s="20" t="s">
        <v>116</v>
      </c>
      <c r="H19" s="20" t="s">
        <v>26</v>
      </c>
      <c r="I19" s="20" t="s">
        <v>82</v>
      </c>
      <c r="J19" s="20" t="s">
        <v>189</v>
      </c>
      <c r="K19" s="20" t="s">
        <v>67</v>
      </c>
      <c r="L19" s="20" t="s">
        <v>189</v>
      </c>
      <c r="M19" s="21">
        <v>45974.674016203702</v>
      </c>
      <c r="N19" s="22">
        <v>45974.768831018519</v>
      </c>
      <c r="O19" s="23" t="s">
        <v>68</v>
      </c>
      <c r="P19" s="23" t="s">
        <v>69</v>
      </c>
    </row>
    <row r="20" spans="1:16" s="23" customFormat="1" ht="16.5" customHeight="1">
      <c r="A20" s="20" t="s">
        <v>539</v>
      </c>
      <c r="B20" s="20" t="s">
        <v>215</v>
      </c>
      <c r="C20" s="20" t="s">
        <v>229</v>
      </c>
      <c r="D20" s="20" t="s">
        <v>540</v>
      </c>
      <c r="E20" s="20" t="s">
        <v>541</v>
      </c>
      <c r="F20" s="20" t="s">
        <v>232</v>
      </c>
      <c r="G20" s="20" t="s">
        <v>116</v>
      </c>
      <c r="H20" s="20" t="s">
        <v>26</v>
      </c>
      <c r="I20" s="20" t="s">
        <v>82</v>
      </c>
      <c r="J20" s="20" t="s">
        <v>189</v>
      </c>
      <c r="K20" s="20" t="s">
        <v>67</v>
      </c>
      <c r="L20" s="20" t="s">
        <v>189</v>
      </c>
      <c r="M20" s="21">
        <v>45974.67765046296</v>
      </c>
      <c r="N20" s="22">
        <v>45975.404618055552</v>
      </c>
      <c r="O20" s="23" t="s">
        <v>40</v>
      </c>
      <c r="P20" s="23" t="s">
        <v>41</v>
      </c>
    </row>
    <row r="21" spans="1:16" s="23" customFormat="1" ht="16.5" customHeight="1">
      <c r="A21" s="20" t="s">
        <v>579</v>
      </c>
      <c r="B21" s="20" t="s">
        <v>215</v>
      </c>
      <c r="C21" s="20" t="s">
        <v>580</v>
      </c>
      <c r="D21" s="20" t="s">
        <v>581</v>
      </c>
      <c r="E21" s="20" t="s">
        <v>41</v>
      </c>
      <c r="F21" s="20" t="s">
        <v>582</v>
      </c>
      <c r="G21" s="20" t="s">
        <v>25</v>
      </c>
      <c r="H21" s="20" t="s">
        <v>38</v>
      </c>
      <c r="I21" s="20" t="s">
        <v>39</v>
      </c>
      <c r="J21" s="20" t="s">
        <v>189</v>
      </c>
      <c r="K21" s="20" t="s">
        <v>67</v>
      </c>
      <c r="L21" s="20" t="s">
        <v>189</v>
      </c>
      <c r="M21" s="21">
        <v>45890.727210648147</v>
      </c>
      <c r="N21" s="22">
        <v>45891.466886574075</v>
      </c>
      <c r="O21" s="23" t="s">
        <v>72</v>
      </c>
      <c r="P21" s="23" t="s">
        <v>73</v>
      </c>
    </row>
    <row r="22" spans="1:16" s="23" customFormat="1" ht="16.5" customHeight="1">
      <c r="A22" s="20" t="s">
        <v>604</v>
      </c>
      <c r="B22" s="20" t="s">
        <v>215</v>
      </c>
      <c r="C22" s="20" t="s">
        <v>580</v>
      </c>
      <c r="D22" s="20" t="s">
        <v>605</v>
      </c>
      <c r="E22" s="20" t="s">
        <v>606</v>
      </c>
      <c r="F22" s="20" t="s">
        <v>582</v>
      </c>
      <c r="G22" s="20" t="s">
        <v>116</v>
      </c>
      <c r="H22" s="20" t="s">
        <v>26</v>
      </c>
      <c r="I22" s="20" t="s">
        <v>82</v>
      </c>
      <c r="J22" s="20" t="s">
        <v>189</v>
      </c>
      <c r="K22" s="20" t="s">
        <v>29</v>
      </c>
      <c r="L22" s="20" t="s">
        <v>189</v>
      </c>
      <c r="M22" s="21">
        <v>45971.627187500002</v>
      </c>
      <c r="N22" s="22">
        <v>45972.635682870372</v>
      </c>
      <c r="O22" s="23" t="s">
        <v>72</v>
      </c>
      <c r="P22" s="23" t="s">
        <v>73</v>
      </c>
    </row>
    <row r="23" spans="1:16" s="23" customFormat="1" ht="16.5" customHeight="1">
      <c r="A23" s="20" t="s">
        <v>616</v>
      </c>
      <c r="B23" s="20" t="s">
        <v>215</v>
      </c>
      <c r="C23" s="20" t="s">
        <v>580</v>
      </c>
      <c r="D23" s="20" t="s">
        <v>617</v>
      </c>
      <c r="E23" s="20" t="s">
        <v>618</v>
      </c>
      <c r="F23" s="20" t="s">
        <v>582</v>
      </c>
      <c r="G23" s="20" t="s">
        <v>116</v>
      </c>
      <c r="H23" s="20" t="s">
        <v>26</v>
      </c>
      <c r="I23" s="20" t="s">
        <v>82</v>
      </c>
      <c r="J23" s="20" t="s">
        <v>189</v>
      </c>
      <c r="K23" s="20" t="s">
        <v>29</v>
      </c>
      <c r="L23" s="20" t="s">
        <v>189</v>
      </c>
      <c r="M23" s="21">
        <v>45971.607476851852</v>
      </c>
      <c r="N23" s="22">
        <v>45972.636018518519</v>
      </c>
      <c r="O23" s="23" t="s">
        <v>122</v>
      </c>
      <c r="P23" s="23" t="s">
        <v>39</v>
      </c>
    </row>
    <row r="24" spans="1:16" s="23" customFormat="1" ht="16.5" customHeight="1">
      <c r="A24" s="20" t="s">
        <v>642</v>
      </c>
      <c r="B24" s="20" t="s">
        <v>215</v>
      </c>
      <c r="C24" s="20" t="s">
        <v>111</v>
      </c>
      <c r="D24" s="20" t="s">
        <v>643</v>
      </c>
      <c r="E24" s="20" t="s">
        <v>644</v>
      </c>
      <c r="F24" s="20" t="s">
        <v>114</v>
      </c>
      <c r="G24" s="20" t="s">
        <v>25</v>
      </c>
      <c r="H24" s="20" t="s">
        <v>38</v>
      </c>
      <c r="I24" s="20" t="s">
        <v>66</v>
      </c>
      <c r="J24" s="20" t="s">
        <v>189</v>
      </c>
      <c r="K24" s="20" t="s">
        <v>29</v>
      </c>
      <c r="L24" s="20" t="s">
        <v>189</v>
      </c>
      <c r="M24" s="21">
        <v>45971.638124999998</v>
      </c>
      <c r="N24" s="22">
        <v>45975.403124999997</v>
      </c>
      <c r="O24" s="23" t="s">
        <v>126</v>
      </c>
      <c r="P24" s="23" t="s">
        <v>127</v>
      </c>
    </row>
    <row r="25" spans="1:16" s="23" customFormat="1" ht="16.5" customHeight="1">
      <c r="A25" s="20" t="s">
        <v>652</v>
      </c>
      <c r="B25" s="20" t="s">
        <v>215</v>
      </c>
      <c r="C25" s="20" t="s">
        <v>111</v>
      </c>
      <c r="D25" s="20" t="s">
        <v>653</v>
      </c>
      <c r="E25" s="20" t="s">
        <v>654</v>
      </c>
      <c r="F25" s="20" t="s">
        <v>114</v>
      </c>
      <c r="G25" s="20" t="s">
        <v>116</v>
      </c>
      <c r="H25" s="20" t="s">
        <v>26</v>
      </c>
      <c r="I25" s="20" t="s">
        <v>39</v>
      </c>
      <c r="J25" s="20" t="s">
        <v>189</v>
      </c>
      <c r="K25" s="20" t="s">
        <v>67</v>
      </c>
      <c r="L25" s="20" t="s">
        <v>189</v>
      </c>
      <c r="M25" s="21">
        <v>45973.390347222223</v>
      </c>
      <c r="N25" s="22">
        <v>45973.463009259256</v>
      </c>
      <c r="O25" s="23" t="s">
        <v>126</v>
      </c>
      <c r="P25" s="23" t="s">
        <v>127</v>
      </c>
    </row>
    <row r="26" spans="1:16" s="23" customFormat="1" ht="16.5" customHeight="1">
      <c r="A26" s="20" t="s">
        <v>655</v>
      </c>
      <c r="B26" s="20" t="s">
        <v>215</v>
      </c>
      <c r="C26" s="20" t="s">
        <v>111</v>
      </c>
      <c r="D26" s="20" t="s">
        <v>656</v>
      </c>
      <c r="E26" s="20" t="s">
        <v>657</v>
      </c>
      <c r="F26" s="20" t="s">
        <v>114</v>
      </c>
      <c r="G26" s="20" t="s">
        <v>116</v>
      </c>
      <c r="H26" s="20" t="s">
        <v>38</v>
      </c>
      <c r="I26" s="20" t="s">
        <v>39</v>
      </c>
      <c r="J26" s="20" t="s">
        <v>189</v>
      </c>
      <c r="K26" s="20" t="s">
        <v>67</v>
      </c>
      <c r="L26" s="20" t="s">
        <v>189</v>
      </c>
      <c r="M26" s="21">
        <v>45973.395208333335</v>
      </c>
      <c r="N26" s="22">
        <v>45973.462777777779</v>
      </c>
      <c r="O26" s="23" t="s">
        <v>122</v>
      </c>
      <c r="P26" s="23" t="s">
        <v>39</v>
      </c>
    </row>
    <row r="27" spans="1:16" s="23" customFormat="1" ht="16.5" customHeight="1">
      <c r="A27" s="20" t="s">
        <v>682</v>
      </c>
      <c r="B27" s="20" t="s">
        <v>215</v>
      </c>
      <c r="C27" s="20" t="s">
        <v>111</v>
      </c>
      <c r="D27" s="20" t="s">
        <v>683</v>
      </c>
      <c r="E27" s="20" t="s">
        <v>684</v>
      </c>
      <c r="F27" s="20" t="s">
        <v>114</v>
      </c>
      <c r="G27" s="20" t="s">
        <v>25</v>
      </c>
      <c r="H27" s="20" t="s">
        <v>26</v>
      </c>
      <c r="I27" s="20" t="s">
        <v>39</v>
      </c>
      <c r="J27" s="20" t="s">
        <v>189</v>
      </c>
      <c r="K27" s="20" t="s">
        <v>29</v>
      </c>
      <c r="L27" s="20" t="s">
        <v>189</v>
      </c>
      <c r="M27" s="21">
        <v>45973.561331018522</v>
      </c>
      <c r="N27" s="22">
        <v>45975.408634259256</v>
      </c>
      <c r="O27" s="23" t="s">
        <v>126</v>
      </c>
      <c r="P27" s="23" t="s">
        <v>127</v>
      </c>
    </row>
    <row r="28" spans="1:16" s="23" customFormat="1" ht="16.5" customHeight="1">
      <c r="A28" s="20" t="s">
        <v>721</v>
      </c>
      <c r="B28" s="20" t="s">
        <v>215</v>
      </c>
      <c r="C28" s="20" t="s">
        <v>275</v>
      </c>
      <c r="D28" s="20" t="s">
        <v>722</v>
      </c>
      <c r="E28" s="20" t="s">
        <v>723</v>
      </c>
      <c r="F28" s="20" t="s">
        <v>278</v>
      </c>
      <c r="G28" s="20" t="s">
        <v>116</v>
      </c>
      <c r="H28" s="20" t="s">
        <v>26</v>
      </c>
      <c r="I28" s="20" t="s">
        <v>39</v>
      </c>
      <c r="J28" s="20" t="s">
        <v>724</v>
      </c>
      <c r="K28" s="20" t="s">
        <v>29</v>
      </c>
      <c r="L28" s="20" t="s">
        <v>724</v>
      </c>
      <c r="M28" s="21">
        <v>45974.599895833337</v>
      </c>
      <c r="N28" s="22">
        <v>45975.633680555555</v>
      </c>
      <c r="O28" s="23" t="s">
        <v>126</v>
      </c>
      <c r="P28" s="23" t="s">
        <v>127</v>
      </c>
    </row>
    <row r="29" spans="1:16" s="23" customFormat="1" ht="16.5" customHeight="1">
      <c r="A29" s="20" t="s">
        <v>731</v>
      </c>
      <c r="B29" s="20" t="s">
        <v>215</v>
      </c>
      <c r="C29" s="20" t="s">
        <v>46</v>
      </c>
      <c r="D29" s="20" t="s">
        <v>732</v>
      </c>
      <c r="E29" s="20" t="s">
        <v>733</v>
      </c>
      <c r="F29" s="20" t="s">
        <v>49</v>
      </c>
      <c r="G29" s="20" t="s">
        <v>116</v>
      </c>
      <c r="H29" s="20" t="s">
        <v>26</v>
      </c>
      <c r="I29" s="20" t="s">
        <v>39</v>
      </c>
      <c r="J29" s="20" t="s">
        <v>724</v>
      </c>
      <c r="K29" s="20" t="s">
        <v>29</v>
      </c>
      <c r="L29" s="20" t="s">
        <v>724</v>
      </c>
      <c r="M29" s="21">
        <v>45974.46912037037</v>
      </c>
      <c r="N29" s="22">
        <v>45974.702303240738</v>
      </c>
      <c r="O29" s="23" t="s">
        <v>122</v>
      </c>
      <c r="P29" s="23" t="s">
        <v>39</v>
      </c>
    </row>
    <row r="30" spans="1:16" s="23" customFormat="1" ht="16.5" customHeight="1">
      <c r="A30" s="20" t="s">
        <v>731</v>
      </c>
      <c r="B30" s="20" t="s">
        <v>215</v>
      </c>
      <c r="C30" s="20" t="s">
        <v>46</v>
      </c>
      <c r="D30" s="20" t="s">
        <v>734</v>
      </c>
      <c r="E30" s="20" t="s">
        <v>735</v>
      </c>
      <c r="F30" s="20" t="s">
        <v>49</v>
      </c>
      <c r="G30" s="20" t="s">
        <v>116</v>
      </c>
      <c r="H30" s="20" t="s">
        <v>26</v>
      </c>
      <c r="I30" s="20" t="s">
        <v>39</v>
      </c>
      <c r="J30" s="20" t="s">
        <v>724</v>
      </c>
      <c r="K30" s="20" t="s">
        <v>67</v>
      </c>
      <c r="L30" s="20" t="s">
        <v>724</v>
      </c>
      <c r="M30" s="21">
        <v>45974.473796296297</v>
      </c>
      <c r="N30" s="22">
        <v>45974.702060185184</v>
      </c>
      <c r="O30" s="23" t="s">
        <v>122</v>
      </c>
      <c r="P30" s="23" t="s">
        <v>39</v>
      </c>
    </row>
    <row r="31" spans="1:16" s="23" customFormat="1" ht="16.5" customHeight="1">
      <c r="A31" s="20" t="s">
        <v>736</v>
      </c>
      <c r="B31" s="20" t="s">
        <v>215</v>
      </c>
      <c r="C31" s="20" t="s">
        <v>46</v>
      </c>
      <c r="D31" s="20" t="s">
        <v>737</v>
      </c>
      <c r="E31" s="20" t="s">
        <v>738</v>
      </c>
      <c r="F31" s="20" t="s">
        <v>49</v>
      </c>
      <c r="G31" s="20" t="s">
        <v>116</v>
      </c>
      <c r="H31" s="20" t="s">
        <v>26</v>
      </c>
      <c r="I31" s="20" t="s">
        <v>39</v>
      </c>
      <c r="J31" s="20" t="s">
        <v>724</v>
      </c>
      <c r="K31" s="20" t="s">
        <v>67</v>
      </c>
      <c r="L31" s="20" t="s">
        <v>724</v>
      </c>
      <c r="M31" s="21">
        <v>45974.632037037038</v>
      </c>
      <c r="N31" s="22">
        <v>45975.602418981478</v>
      </c>
      <c r="O31" s="23" t="s">
        <v>40</v>
      </c>
      <c r="P31" s="23" t="s">
        <v>41</v>
      </c>
    </row>
    <row r="32" spans="1:16" s="23" customFormat="1" ht="16.5" customHeight="1">
      <c r="A32" s="20" t="s">
        <v>739</v>
      </c>
      <c r="B32" s="20" t="s">
        <v>215</v>
      </c>
      <c r="C32" s="20" t="s">
        <v>46</v>
      </c>
      <c r="D32" s="20" t="s">
        <v>740</v>
      </c>
      <c r="E32" s="20" t="s">
        <v>741</v>
      </c>
      <c r="F32" s="20" t="s">
        <v>49</v>
      </c>
      <c r="G32" s="20" t="s">
        <v>116</v>
      </c>
      <c r="H32" s="20" t="s">
        <v>26</v>
      </c>
      <c r="I32" s="20" t="s">
        <v>39</v>
      </c>
      <c r="J32" s="20" t="s">
        <v>724</v>
      </c>
      <c r="K32" s="20" t="s">
        <v>67</v>
      </c>
      <c r="L32" s="20" t="s">
        <v>724</v>
      </c>
      <c r="M32" s="21">
        <v>45972.710949074077</v>
      </c>
      <c r="N32" s="22">
        <v>45978.428495370368</v>
      </c>
      <c r="O32" s="23" t="s">
        <v>40</v>
      </c>
      <c r="P32" s="23" t="s">
        <v>41</v>
      </c>
    </row>
    <row r="33" spans="1:16" s="23" customFormat="1" ht="16.5" customHeight="1">
      <c r="A33" s="20" t="s">
        <v>742</v>
      </c>
      <c r="B33" s="20" t="s">
        <v>215</v>
      </c>
      <c r="C33" s="20" t="s">
        <v>229</v>
      </c>
      <c r="D33" s="20" t="s">
        <v>743</v>
      </c>
      <c r="E33" s="20" t="s">
        <v>41</v>
      </c>
      <c r="F33" s="20" t="s">
        <v>232</v>
      </c>
      <c r="G33" s="20" t="s">
        <v>116</v>
      </c>
      <c r="H33" s="20" t="s">
        <v>38</v>
      </c>
      <c r="I33" s="20" t="s">
        <v>82</v>
      </c>
      <c r="J33" s="20" t="s">
        <v>724</v>
      </c>
      <c r="K33" s="20" t="s">
        <v>29</v>
      </c>
      <c r="L33" s="20" t="s">
        <v>724</v>
      </c>
      <c r="M33" s="21">
        <v>45973.460752314815</v>
      </c>
      <c r="N33" s="22">
        <v>45975.478101851855</v>
      </c>
      <c r="O33" s="23" t="s">
        <v>57</v>
      </c>
      <c r="P33" s="23" t="s">
        <v>58</v>
      </c>
    </row>
    <row r="34" spans="1:16" s="23" customFormat="1" ht="16.5" customHeight="1">
      <c r="A34" s="20" t="s">
        <v>750</v>
      </c>
      <c r="B34" s="20" t="s">
        <v>215</v>
      </c>
      <c r="C34" s="20" t="s">
        <v>580</v>
      </c>
      <c r="D34" s="20" t="s">
        <v>751</v>
      </c>
      <c r="E34" s="20" t="s">
        <v>752</v>
      </c>
      <c r="F34" s="20" t="s">
        <v>582</v>
      </c>
      <c r="G34" s="20" t="s">
        <v>25</v>
      </c>
      <c r="H34" s="20" t="s">
        <v>26</v>
      </c>
      <c r="I34" s="20" t="s">
        <v>39</v>
      </c>
      <c r="J34" s="20" t="s">
        <v>724</v>
      </c>
      <c r="K34" s="20" t="s">
        <v>29</v>
      </c>
      <c r="L34" s="20" t="s">
        <v>724</v>
      </c>
      <c r="M34" s="21">
        <v>45974.521840277775</v>
      </c>
      <c r="N34" s="22">
        <v>45975.452025462961</v>
      </c>
      <c r="O34" s="23" t="s">
        <v>57</v>
      </c>
      <c r="P34" s="23" t="s">
        <v>58</v>
      </c>
    </row>
    <row r="35" spans="1:16" s="23" customFormat="1" ht="16.5" customHeight="1">
      <c r="A35" s="20" t="s">
        <v>783</v>
      </c>
      <c r="B35" s="20" t="s">
        <v>215</v>
      </c>
      <c r="C35" s="20" t="s">
        <v>229</v>
      </c>
      <c r="D35" s="20" t="s">
        <v>784</v>
      </c>
      <c r="E35" s="20" t="s">
        <v>785</v>
      </c>
      <c r="F35" s="20" t="s">
        <v>232</v>
      </c>
      <c r="G35" s="20" t="s">
        <v>25</v>
      </c>
      <c r="H35" s="20" t="s">
        <v>26</v>
      </c>
      <c r="I35" s="20" t="s">
        <v>39</v>
      </c>
      <c r="J35" s="20" t="s">
        <v>724</v>
      </c>
      <c r="K35" s="20" t="s">
        <v>29</v>
      </c>
      <c r="L35" s="20" t="s">
        <v>724</v>
      </c>
      <c r="M35" s="21">
        <v>45972.6328125</v>
      </c>
      <c r="N35" s="22">
        <v>45974.374398148146</v>
      </c>
      <c r="O35" s="23" t="s">
        <v>72</v>
      </c>
      <c r="P35" s="23" t="s">
        <v>73</v>
      </c>
    </row>
    <row r="36" spans="1:16" s="23" customFormat="1" ht="16.5" customHeight="1">
      <c r="A36" s="20" t="s">
        <v>786</v>
      </c>
      <c r="B36" s="20" t="s">
        <v>215</v>
      </c>
      <c r="C36" s="20" t="s">
        <v>229</v>
      </c>
      <c r="D36" s="20" t="s">
        <v>787</v>
      </c>
      <c r="E36" s="20" t="s">
        <v>785</v>
      </c>
      <c r="F36" s="20" t="s">
        <v>232</v>
      </c>
      <c r="G36" s="20" t="s">
        <v>25</v>
      </c>
      <c r="H36" s="20" t="s">
        <v>26</v>
      </c>
      <c r="I36" s="20" t="s">
        <v>39</v>
      </c>
      <c r="J36" s="20" t="s">
        <v>724</v>
      </c>
      <c r="K36" s="20" t="s">
        <v>29</v>
      </c>
      <c r="L36" s="20" t="s">
        <v>724</v>
      </c>
      <c r="M36" s="21">
        <v>45972.638379629629</v>
      </c>
      <c r="N36" s="22">
        <v>45974.374652777777</v>
      </c>
      <c r="O36" s="23" t="s">
        <v>122</v>
      </c>
      <c r="P36" s="23" t="s">
        <v>39</v>
      </c>
    </row>
    <row r="37" spans="1:16" s="23" customFormat="1" ht="16.5" customHeight="1">
      <c r="A37" s="20" t="s">
        <v>788</v>
      </c>
      <c r="B37" s="20" t="s">
        <v>215</v>
      </c>
      <c r="C37" s="20" t="s">
        <v>229</v>
      </c>
      <c r="D37" s="20" t="s">
        <v>789</v>
      </c>
      <c r="E37" s="20" t="s">
        <v>790</v>
      </c>
      <c r="F37" s="20" t="s">
        <v>232</v>
      </c>
      <c r="G37" s="20" t="s">
        <v>25</v>
      </c>
      <c r="H37" s="20" t="s">
        <v>26</v>
      </c>
      <c r="I37" s="20" t="s">
        <v>39</v>
      </c>
      <c r="J37" s="20" t="s">
        <v>724</v>
      </c>
      <c r="K37" s="20" t="s">
        <v>29</v>
      </c>
      <c r="L37" s="20" t="s">
        <v>724</v>
      </c>
      <c r="M37" s="21">
        <v>45972.662430555552</v>
      </c>
      <c r="N37" s="22">
        <v>45974.368067129632</v>
      </c>
      <c r="O37" s="23" t="s">
        <v>122</v>
      </c>
      <c r="P37" s="23" t="s">
        <v>39</v>
      </c>
    </row>
    <row r="38" spans="1:16" s="23" customFormat="1" ht="16.5" customHeight="1">
      <c r="A38" s="20" t="s">
        <v>791</v>
      </c>
      <c r="B38" s="20" t="s">
        <v>215</v>
      </c>
      <c r="C38" s="20" t="s">
        <v>229</v>
      </c>
      <c r="D38" s="20" t="s">
        <v>792</v>
      </c>
      <c r="E38" s="20" t="s">
        <v>793</v>
      </c>
      <c r="F38" s="20" t="s">
        <v>232</v>
      </c>
      <c r="G38" s="20" t="s">
        <v>25</v>
      </c>
      <c r="H38" s="20" t="s">
        <v>26</v>
      </c>
      <c r="I38" s="20" t="s">
        <v>39</v>
      </c>
      <c r="J38" s="20" t="s">
        <v>724</v>
      </c>
      <c r="K38" s="20" t="s">
        <v>29</v>
      </c>
      <c r="L38" s="20" t="s">
        <v>724</v>
      </c>
      <c r="M38" s="21">
        <v>45972.670590277776</v>
      </c>
      <c r="N38" s="22">
        <v>45973.70758101852</v>
      </c>
      <c r="O38" s="23" t="s">
        <v>122</v>
      </c>
      <c r="P38" s="23" t="s">
        <v>39</v>
      </c>
    </row>
    <row r="39" spans="1:16" s="23" customFormat="1" ht="16.5" customHeight="1">
      <c r="A39" s="20" t="s">
        <v>794</v>
      </c>
      <c r="B39" s="20" t="s">
        <v>215</v>
      </c>
      <c r="C39" s="20" t="s">
        <v>229</v>
      </c>
      <c r="D39" s="20" t="s">
        <v>795</v>
      </c>
      <c r="E39" s="20" t="s">
        <v>796</v>
      </c>
      <c r="F39" s="20" t="s">
        <v>232</v>
      </c>
      <c r="G39" s="20" t="s">
        <v>25</v>
      </c>
      <c r="H39" s="20" t="s">
        <v>26</v>
      </c>
      <c r="I39" s="20" t="s">
        <v>39</v>
      </c>
      <c r="J39" s="20" t="s">
        <v>724</v>
      </c>
      <c r="K39" s="20" t="s">
        <v>29</v>
      </c>
      <c r="L39" s="20" t="s">
        <v>724</v>
      </c>
      <c r="M39" s="21">
        <v>45972.697951388887</v>
      </c>
      <c r="N39" s="22">
        <v>45973.707777777781</v>
      </c>
      <c r="O39" s="23" t="s">
        <v>122</v>
      </c>
      <c r="P39" s="23" t="s">
        <v>39</v>
      </c>
    </row>
    <row r="40" spans="1:16" s="23" customFormat="1" ht="16.5" customHeight="1">
      <c r="A40" s="20" t="s">
        <v>797</v>
      </c>
      <c r="B40" s="20" t="s">
        <v>215</v>
      </c>
      <c r="C40" s="20" t="s">
        <v>229</v>
      </c>
      <c r="D40" s="20" t="s">
        <v>798</v>
      </c>
      <c r="E40" s="20" t="s">
        <v>799</v>
      </c>
      <c r="F40" s="20" t="s">
        <v>232</v>
      </c>
      <c r="G40" s="20" t="s">
        <v>25</v>
      </c>
      <c r="H40" s="20" t="s">
        <v>26</v>
      </c>
      <c r="I40" s="20" t="s">
        <v>39</v>
      </c>
      <c r="J40" s="20" t="s">
        <v>724</v>
      </c>
      <c r="K40" s="20" t="s">
        <v>29</v>
      </c>
      <c r="L40" s="20" t="s">
        <v>724</v>
      </c>
      <c r="M40" s="21">
        <v>45973.368831018517</v>
      </c>
      <c r="N40" s="22">
        <v>45987.407870370371</v>
      </c>
      <c r="O40" s="23" t="s">
        <v>122</v>
      </c>
      <c r="P40" s="23" t="s">
        <v>39</v>
      </c>
    </row>
    <row r="41" spans="1:16" s="23" customFormat="1" ht="16.5" customHeight="1">
      <c r="A41" s="20" t="s">
        <v>800</v>
      </c>
      <c r="B41" s="20" t="s">
        <v>215</v>
      </c>
      <c r="C41" s="20" t="s">
        <v>229</v>
      </c>
      <c r="D41" s="20" t="s">
        <v>801</v>
      </c>
      <c r="E41" s="20" t="s">
        <v>802</v>
      </c>
      <c r="F41" s="20" t="s">
        <v>232</v>
      </c>
      <c r="G41" s="20" t="s">
        <v>25</v>
      </c>
      <c r="H41" s="20" t="s">
        <v>26</v>
      </c>
      <c r="I41" s="20" t="s">
        <v>39</v>
      </c>
      <c r="J41" s="20" t="s">
        <v>724</v>
      </c>
      <c r="K41" s="20" t="s">
        <v>29</v>
      </c>
      <c r="L41" s="20" t="s">
        <v>724</v>
      </c>
      <c r="M41" s="21">
        <v>45972.593148148146</v>
      </c>
      <c r="N41" s="22">
        <v>45978.455833333333</v>
      </c>
      <c r="O41" s="23" t="s">
        <v>122</v>
      </c>
      <c r="P41" s="23" t="s">
        <v>39</v>
      </c>
    </row>
    <row r="42" spans="1:16" s="23" customFormat="1" ht="16.5" customHeight="1">
      <c r="A42" s="20" t="s">
        <v>803</v>
      </c>
      <c r="B42" s="20" t="s">
        <v>215</v>
      </c>
      <c r="C42" s="20" t="s">
        <v>229</v>
      </c>
      <c r="D42" s="20" t="s">
        <v>804</v>
      </c>
      <c r="E42" s="20" t="s">
        <v>802</v>
      </c>
      <c r="F42" s="20" t="s">
        <v>232</v>
      </c>
      <c r="G42" s="20" t="s">
        <v>25</v>
      </c>
      <c r="H42" s="20" t="s">
        <v>26</v>
      </c>
      <c r="I42" s="20" t="s">
        <v>39</v>
      </c>
      <c r="J42" s="20" t="s">
        <v>724</v>
      </c>
      <c r="K42" s="20" t="s">
        <v>29</v>
      </c>
      <c r="L42" s="20" t="s">
        <v>724</v>
      </c>
      <c r="M42" s="21">
        <v>45972.600798611114</v>
      </c>
      <c r="N42" s="22">
        <v>45981.664884259262</v>
      </c>
      <c r="O42" s="23" t="s">
        <v>122</v>
      </c>
      <c r="P42" s="23" t="s">
        <v>39</v>
      </c>
    </row>
    <row r="43" spans="1:16" s="23" customFormat="1" ht="16.5" customHeight="1">
      <c r="A43" s="20" t="s">
        <v>805</v>
      </c>
      <c r="B43" s="20" t="s">
        <v>215</v>
      </c>
      <c r="C43" s="20" t="s">
        <v>229</v>
      </c>
      <c r="D43" s="20" t="s">
        <v>806</v>
      </c>
      <c r="E43" s="20" t="s">
        <v>807</v>
      </c>
      <c r="F43" s="20" t="s">
        <v>232</v>
      </c>
      <c r="G43" s="20" t="s">
        <v>25</v>
      </c>
      <c r="H43" s="20" t="s">
        <v>26</v>
      </c>
      <c r="I43" s="20" t="s">
        <v>39</v>
      </c>
      <c r="J43" s="20" t="s">
        <v>724</v>
      </c>
      <c r="K43" s="20" t="s">
        <v>29</v>
      </c>
      <c r="L43" s="20" t="s">
        <v>724</v>
      </c>
      <c r="M43" s="21">
        <v>45972.605462962965</v>
      </c>
      <c r="N43" s="22">
        <v>45974.367303240739</v>
      </c>
      <c r="O43" s="23" t="s">
        <v>122</v>
      </c>
      <c r="P43" s="23" t="s">
        <v>39</v>
      </c>
    </row>
    <row r="44" spans="1:16" s="23" customFormat="1" ht="16.5" customHeight="1">
      <c r="A44" s="20" t="s">
        <v>808</v>
      </c>
      <c r="B44" s="20" t="s">
        <v>215</v>
      </c>
      <c r="C44" s="20" t="s">
        <v>229</v>
      </c>
      <c r="D44" s="20" t="s">
        <v>809</v>
      </c>
      <c r="E44" s="20" t="s">
        <v>807</v>
      </c>
      <c r="F44" s="20" t="s">
        <v>232</v>
      </c>
      <c r="G44" s="20" t="s">
        <v>25</v>
      </c>
      <c r="H44" s="20" t="s">
        <v>26</v>
      </c>
      <c r="I44" s="20" t="s">
        <v>39</v>
      </c>
      <c r="J44" s="20" t="s">
        <v>724</v>
      </c>
      <c r="K44" s="20" t="s">
        <v>29</v>
      </c>
      <c r="L44" s="20" t="s">
        <v>724</v>
      </c>
      <c r="M44" s="21">
        <v>45972.606388888889</v>
      </c>
      <c r="N44" s="22">
        <v>45974.367673611108</v>
      </c>
      <c r="O44" s="23" t="s">
        <v>76</v>
      </c>
      <c r="P44" s="23" t="s">
        <v>77</v>
      </c>
    </row>
    <row r="45" spans="1:16" s="23" customFormat="1" ht="16.5" customHeight="1">
      <c r="A45" s="20" t="s">
        <v>810</v>
      </c>
      <c r="B45" s="20" t="s">
        <v>215</v>
      </c>
      <c r="C45" s="20" t="s">
        <v>229</v>
      </c>
      <c r="D45" s="20" t="s">
        <v>811</v>
      </c>
      <c r="E45" s="20" t="s">
        <v>812</v>
      </c>
      <c r="F45" s="20" t="s">
        <v>232</v>
      </c>
      <c r="G45" s="20" t="s">
        <v>25</v>
      </c>
      <c r="H45" s="20" t="s">
        <v>26</v>
      </c>
      <c r="I45" s="20" t="s">
        <v>39</v>
      </c>
      <c r="J45" s="20" t="s">
        <v>724</v>
      </c>
      <c r="K45" s="20" t="s">
        <v>29</v>
      </c>
      <c r="L45" s="20" t="s">
        <v>724</v>
      </c>
      <c r="M45" s="21">
        <v>45972.610115740739</v>
      </c>
      <c r="N45" s="22">
        <v>45980.698900462965</v>
      </c>
      <c r="O45" s="23" t="s">
        <v>122</v>
      </c>
      <c r="P45" s="23" t="s">
        <v>39</v>
      </c>
    </row>
    <row r="46" spans="1:16" s="23" customFormat="1" ht="16.5" customHeight="1">
      <c r="A46" s="20" t="s">
        <v>815</v>
      </c>
      <c r="B46" s="20" t="s">
        <v>215</v>
      </c>
      <c r="C46" s="20" t="s">
        <v>229</v>
      </c>
      <c r="D46" s="20" t="s">
        <v>816</v>
      </c>
      <c r="E46" s="20" t="s">
        <v>817</v>
      </c>
      <c r="F46" s="20" t="s">
        <v>232</v>
      </c>
      <c r="G46" s="20" t="s">
        <v>25</v>
      </c>
      <c r="H46" s="20" t="s">
        <v>26</v>
      </c>
      <c r="I46" s="20" t="s">
        <v>39</v>
      </c>
      <c r="J46" s="20" t="s">
        <v>724</v>
      </c>
      <c r="K46" s="20" t="s">
        <v>29</v>
      </c>
      <c r="L46" s="20" t="s">
        <v>724</v>
      </c>
      <c r="M46" s="21">
        <v>45973.361678240741</v>
      </c>
      <c r="N46" s="22">
        <v>45979.664675925924</v>
      </c>
      <c r="O46" s="23" t="s">
        <v>57</v>
      </c>
      <c r="P46" s="23" t="s">
        <v>58</v>
      </c>
    </row>
    <row r="47" spans="1:16" s="23" customFormat="1" ht="16.5" customHeight="1">
      <c r="A47" s="20" t="s">
        <v>818</v>
      </c>
      <c r="B47" s="20" t="s">
        <v>215</v>
      </c>
      <c r="C47" s="20" t="s">
        <v>229</v>
      </c>
      <c r="D47" s="20" t="s">
        <v>819</v>
      </c>
      <c r="E47" s="20" t="s">
        <v>820</v>
      </c>
      <c r="F47" s="20" t="s">
        <v>232</v>
      </c>
      <c r="G47" s="20" t="s">
        <v>116</v>
      </c>
      <c r="H47" s="20" t="s">
        <v>38</v>
      </c>
      <c r="I47" s="20" t="s">
        <v>56</v>
      </c>
      <c r="J47" s="20" t="s">
        <v>724</v>
      </c>
      <c r="K47" s="20" t="s">
        <v>29</v>
      </c>
      <c r="L47" s="20" t="s">
        <v>724</v>
      </c>
      <c r="M47" s="21">
        <v>45973.410960648151</v>
      </c>
      <c r="N47" s="22">
        <v>45973.707233796296</v>
      </c>
      <c r="O47" s="23" t="s">
        <v>76</v>
      </c>
      <c r="P47" s="23" t="s">
        <v>77</v>
      </c>
    </row>
    <row r="48" spans="1:16" s="23" customFormat="1" ht="16.5" customHeight="1">
      <c r="A48" s="20" t="s">
        <v>821</v>
      </c>
      <c r="B48" s="20" t="s">
        <v>215</v>
      </c>
      <c r="C48" s="20" t="s">
        <v>46</v>
      </c>
      <c r="D48" s="20" t="s">
        <v>822</v>
      </c>
      <c r="E48" s="20" t="s">
        <v>823</v>
      </c>
      <c r="F48" s="20" t="s">
        <v>49</v>
      </c>
      <c r="G48" s="20" t="s">
        <v>116</v>
      </c>
      <c r="H48" s="20" t="s">
        <v>26</v>
      </c>
      <c r="I48" s="20" t="s">
        <v>39</v>
      </c>
      <c r="J48" s="20" t="s">
        <v>724</v>
      </c>
      <c r="K48" s="20" t="s">
        <v>29</v>
      </c>
      <c r="L48" s="20" t="s">
        <v>724</v>
      </c>
      <c r="M48" s="21">
        <v>45971.738136574073</v>
      </c>
      <c r="N48" s="22">
        <v>45978.442280092589</v>
      </c>
      <c r="O48" s="23" t="s">
        <v>122</v>
      </c>
      <c r="P48" s="23" t="s">
        <v>39</v>
      </c>
    </row>
    <row r="49" spans="1:16" s="23" customFormat="1" ht="16.5" customHeight="1">
      <c r="A49" s="20" t="s">
        <v>824</v>
      </c>
      <c r="B49" s="20" t="s">
        <v>215</v>
      </c>
      <c r="C49" s="20" t="s">
        <v>229</v>
      </c>
      <c r="D49" s="20" t="s">
        <v>825</v>
      </c>
      <c r="E49" s="20" t="s">
        <v>826</v>
      </c>
      <c r="F49" s="20" t="s">
        <v>232</v>
      </c>
      <c r="G49" s="20" t="s">
        <v>25</v>
      </c>
      <c r="H49" s="20" t="s">
        <v>26</v>
      </c>
      <c r="I49" s="20" t="s">
        <v>39</v>
      </c>
      <c r="J49" s="20" t="s">
        <v>724</v>
      </c>
      <c r="K49" s="20" t="s">
        <v>29</v>
      </c>
      <c r="L49" s="20" t="s">
        <v>724</v>
      </c>
      <c r="M49" s="21">
        <v>45973.360324074078</v>
      </c>
      <c r="N49" s="22">
        <v>45979.665034722224</v>
      </c>
      <c r="O49" s="23" t="s">
        <v>122</v>
      </c>
      <c r="P49" s="23" t="s">
        <v>39</v>
      </c>
    </row>
    <row r="50" spans="1:16" s="23" customFormat="1" ht="16.5" customHeight="1">
      <c r="A50" s="20" t="s">
        <v>858</v>
      </c>
      <c r="B50" s="20" t="s">
        <v>215</v>
      </c>
      <c r="C50" s="20" t="s">
        <v>111</v>
      </c>
      <c r="D50" s="20" t="s">
        <v>859</v>
      </c>
      <c r="E50" s="20" t="s">
        <v>860</v>
      </c>
      <c r="F50" s="20" t="s">
        <v>114</v>
      </c>
      <c r="G50" s="20" t="s">
        <v>116</v>
      </c>
      <c r="H50" s="20" t="s">
        <v>26</v>
      </c>
      <c r="I50" s="20" t="s">
        <v>39</v>
      </c>
      <c r="J50" s="20" t="s">
        <v>724</v>
      </c>
      <c r="K50" s="20" t="s">
        <v>29</v>
      </c>
      <c r="L50" s="20" t="s">
        <v>724</v>
      </c>
      <c r="M50" s="21">
        <v>45974.65421296296</v>
      </c>
      <c r="N50" s="22">
        <v>45975.589363425926</v>
      </c>
      <c r="O50" s="23" t="s">
        <v>95</v>
      </c>
      <c r="P50" s="23" t="s">
        <v>56</v>
      </c>
    </row>
    <row r="51" spans="1:16" s="23" customFormat="1" ht="16.5" customHeight="1">
      <c r="A51" s="20" t="s">
        <v>864</v>
      </c>
      <c r="B51" s="20" t="s">
        <v>215</v>
      </c>
      <c r="C51" s="20" t="s">
        <v>46</v>
      </c>
      <c r="D51" s="20" t="s">
        <v>865</v>
      </c>
      <c r="E51" s="20" t="s">
        <v>866</v>
      </c>
      <c r="F51" s="20" t="s">
        <v>49</v>
      </c>
      <c r="G51" s="20" t="s">
        <v>25</v>
      </c>
      <c r="H51" s="20" t="s">
        <v>38</v>
      </c>
      <c r="I51" s="20" t="s">
        <v>27</v>
      </c>
      <c r="J51" s="20" t="s">
        <v>724</v>
      </c>
      <c r="K51" s="20" t="s">
        <v>29</v>
      </c>
      <c r="L51" s="20" t="s">
        <v>724</v>
      </c>
      <c r="M51" s="21">
        <v>45972.411874999998</v>
      </c>
      <c r="N51" s="22">
        <v>45975.430486111109</v>
      </c>
      <c r="O51" s="23" t="s">
        <v>95</v>
      </c>
      <c r="P51" s="23" t="s">
        <v>56</v>
      </c>
    </row>
    <row r="52" spans="1:16" s="23" customFormat="1" ht="16.5" customHeight="1">
      <c r="A52" s="20" t="s">
        <v>870</v>
      </c>
      <c r="B52" s="20" t="s">
        <v>215</v>
      </c>
      <c r="C52" s="20" t="s">
        <v>46</v>
      </c>
      <c r="D52" s="20" t="s">
        <v>871</v>
      </c>
      <c r="E52" s="20" t="s">
        <v>872</v>
      </c>
      <c r="F52" s="20" t="s">
        <v>49</v>
      </c>
      <c r="G52" s="20" t="s">
        <v>25</v>
      </c>
      <c r="H52" s="20" t="s">
        <v>26</v>
      </c>
      <c r="I52" s="20" t="s">
        <v>39</v>
      </c>
      <c r="J52" s="20" t="s">
        <v>724</v>
      </c>
      <c r="K52" s="20" t="s">
        <v>67</v>
      </c>
      <c r="L52" s="20" t="s">
        <v>724</v>
      </c>
      <c r="M52" s="21">
        <v>45971.606481481482</v>
      </c>
      <c r="N52" s="22">
        <v>45978.441377314812</v>
      </c>
      <c r="O52" s="23" t="s">
        <v>76</v>
      </c>
      <c r="P52" s="23" t="s">
        <v>77</v>
      </c>
    </row>
    <row r="53" spans="1:16" s="23" customFormat="1" ht="16.5" customHeight="1">
      <c r="A53" s="20" t="s">
        <v>878</v>
      </c>
      <c r="B53" s="20" t="s">
        <v>215</v>
      </c>
      <c r="C53" s="20" t="s">
        <v>46</v>
      </c>
      <c r="D53" s="20" t="s">
        <v>879</v>
      </c>
      <c r="E53" s="20" t="s">
        <v>880</v>
      </c>
      <c r="F53" s="20" t="s">
        <v>49</v>
      </c>
      <c r="G53" s="20" t="s">
        <v>116</v>
      </c>
      <c r="H53" s="20" t="s">
        <v>26</v>
      </c>
      <c r="I53" s="20" t="s">
        <v>39</v>
      </c>
      <c r="J53" s="20" t="s">
        <v>724</v>
      </c>
      <c r="K53" s="20" t="s">
        <v>29</v>
      </c>
      <c r="L53" s="20" t="s">
        <v>724</v>
      </c>
      <c r="M53" s="21">
        <v>45972.697685185187</v>
      </c>
      <c r="N53" s="22">
        <v>45975.433900462966</v>
      </c>
      <c r="O53" s="23" t="s">
        <v>122</v>
      </c>
      <c r="P53" s="23" t="s">
        <v>39</v>
      </c>
    </row>
    <row r="54" spans="1:16" s="23" customFormat="1" ht="16.5" customHeight="1">
      <c r="A54" s="20" t="s">
        <v>881</v>
      </c>
      <c r="B54" s="20" t="s">
        <v>215</v>
      </c>
      <c r="C54" s="20" t="s">
        <v>266</v>
      </c>
      <c r="D54" s="20" t="s">
        <v>882</v>
      </c>
      <c r="E54" s="20" t="s">
        <v>883</v>
      </c>
      <c r="F54" s="20" t="s">
        <v>269</v>
      </c>
      <c r="G54" s="20" t="s">
        <v>25</v>
      </c>
      <c r="H54" s="20" t="s">
        <v>38</v>
      </c>
      <c r="I54" s="20" t="s">
        <v>39</v>
      </c>
      <c r="J54" s="20" t="s">
        <v>724</v>
      </c>
      <c r="K54" s="20" t="s">
        <v>29</v>
      </c>
      <c r="L54" s="20" t="s">
        <v>724</v>
      </c>
      <c r="M54" s="21">
        <v>45972.452708333331</v>
      </c>
      <c r="N54" s="22">
        <v>45973.565497685187</v>
      </c>
      <c r="O54" s="23" t="s">
        <v>76</v>
      </c>
      <c r="P54" s="23" t="s">
        <v>77</v>
      </c>
    </row>
    <row r="55" spans="1:16" s="23" customFormat="1" ht="16.5" customHeight="1">
      <c r="A55" s="20" t="s">
        <v>884</v>
      </c>
      <c r="B55" s="20" t="s">
        <v>215</v>
      </c>
      <c r="C55" s="20" t="s">
        <v>266</v>
      </c>
      <c r="D55" s="20" t="s">
        <v>885</v>
      </c>
      <c r="E55" s="20" t="s">
        <v>886</v>
      </c>
      <c r="F55" s="20" t="s">
        <v>269</v>
      </c>
      <c r="G55" s="20" t="s">
        <v>25</v>
      </c>
      <c r="H55" s="20" t="s">
        <v>38</v>
      </c>
      <c r="I55" s="20" t="s">
        <v>39</v>
      </c>
      <c r="J55" s="20" t="s">
        <v>724</v>
      </c>
      <c r="K55" s="20" t="s">
        <v>29</v>
      </c>
      <c r="L55" s="20" t="s">
        <v>724</v>
      </c>
      <c r="M55" s="21">
        <v>45973.651655092595</v>
      </c>
      <c r="N55" s="22">
        <v>45974.592662037037</v>
      </c>
      <c r="O55" s="23" t="s">
        <v>122</v>
      </c>
      <c r="P55" s="23" t="s">
        <v>39</v>
      </c>
    </row>
    <row r="56" spans="1:16" s="23" customFormat="1" ht="16.5" customHeight="1">
      <c r="A56" s="20" t="s">
        <v>887</v>
      </c>
      <c r="B56" s="20" t="s">
        <v>215</v>
      </c>
      <c r="C56" s="20" t="s">
        <v>266</v>
      </c>
      <c r="D56" s="20" t="s">
        <v>888</v>
      </c>
      <c r="E56" s="20" t="s">
        <v>889</v>
      </c>
      <c r="F56" s="20" t="s">
        <v>269</v>
      </c>
      <c r="G56" s="20" t="s">
        <v>25</v>
      </c>
      <c r="H56" s="20" t="s">
        <v>26</v>
      </c>
      <c r="I56" s="20" t="s">
        <v>39</v>
      </c>
      <c r="J56" s="20" t="s">
        <v>724</v>
      </c>
      <c r="K56" s="20" t="s">
        <v>29</v>
      </c>
      <c r="L56" s="20" t="s">
        <v>724</v>
      </c>
      <c r="M56" s="21">
        <v>45974.601168981484</v>
      </c>
      <c r="N56" s="22">
        <v>45975.435173611113</v>
      </c>
      <c r="O56" s="23" t="s">
        <v>95</v>
      </c>
      <c r="P56" s="23" t="s">
        <v>56</v>
      </c>
    </row>
    <row r="57" spans="1:16" s="23" customFormat="1" ht="16.5" customHeight="1">
      <c r="A57" s="20" t="s">
        <v>887</v>
      </c>
      <c r="B57" s="20" t="s">
        <v>215</v>
      </c>
      <c r="C57" s="20" t="s">
        <v>266</v>
      </c>
      <c r="D57" s="20" t="s">
        <v>890</v>
      </c>
      <c r="E57" s="20" t="s">
        <v>886</v>
      </c>
      <c r="F57" s="20" t="s">
        <v>269</v>
      </c>
      <c r="G57" s="20" t="s">
        <v>25</v>
      </c>
      <c r="H57" s="20" t="s">
        <v>26</v>
      </c>
      <c r="I57" s="20" t="s">
        <v>39</v>
      </c>
      <c r="J57" s="20" t="s">
        <v>724</v>
      </c>
      <c r="K57" s="20" t="s">
        <v>29</v>
      </c>
      <c r="L57" s="20" t="s">
        <v>724</v>
      </c>
      <c r="M57" s="21">
        <v>45973.653634259259</v>
      </c>
      <c r="N57" s="22">
        <v>45974.59238425926</v>
      </c>
      <c r="O57" s="23" t="s">
        <v>95</v>
      </c>
      <c r="P57" s="23" t="s">
        <v>56</v>
      </c>
    </row>
    <row r="58" spans="1:16" s="23" customFormat="1" ht="16.5" customHeight="1">
      <c r="A58" s="20" t="s">
        <v>926</v>
      </c>
      <c r="B58" s="20" t="s">
        <v>215</v>
      </c>
      <c r="C58" s="20" t="s">
        <v>266</v>
      </c>
      <c r="D58" s="20" t="s">
        <v>927</v>
      </c>
      <c r="E58" s="20" t="s">
        <v>928</v>
      </c>
      <c r="F58" s="20" t="s">
        <v>269</v>
      </c>
      <c r="G58" s="20" t="s">
        <v>116</v>
      </c>
      <c r="H58" s="20" t="s">
        <v>26</v>
      </c>
      <c r="I58" s="20" t="s">
        <v>99</v>
      </c>
      <c r="J58" s="20" t="s">
        <v>724</v>
      </c>
      <c r="K58" s="20" t="s">
        <v>67</v>
      </c>
      <c r="L58" s="20" t="s">
        <v>724</v>
      </c>
      <c r="M58" s="21">
        <v>45972.430023148147</v>
      </c>
      <c r="N58" s="22">
        <v>45974.437245370369</v>
      </c>
      <c r="O58" s="23" t="s">
        <v>95</v>
      </c>
      <c r="P58" s="23" t="s">
        <v>56</v>
      </c>
    </row>
    <row r="59" spans="1:16" s="23" customFormat="1" ht="16.5" customHeight="1">
      <c r="A59" s="20" t="s">
        <v>932</v>
      </c>
      <c r="B59" s="20" t="s">
        <v>215</v>
      </c>
      <c r="C59" s="20" t="s">
        <v>266</v>
      </c>
      <c r="D59" s="20" t="s">
        <v>933</v>
      </c>
      <c r="E59" s="20" t="s">
        <v>934</v>
      </c>
      <c r="F59" s="20" t="s">
        <v>269</v>
      </c>
      <c r="G59" s="20" t="s">
        <v>116</v>
      </c>
      <c r="H59" s="20" t="s">
        <v>26</v>
      </c>
      <c r="I59" s="20" t="s">
        <v>82</v>
      </c>
      <c r="J59" s="20" t="s">
        <v>724</v>
      </c>
      <c r="K59" s="20" t="s">
        <v>67</v>
      </c>
      <c r="L59" s="20" t="s">
        <v>724</v>
      </c>
      <c r="M59" s="21">
        <v>45972.454317129632</v>
      </c>
      <c r="N59" s="22">
        <v>45975.575069444443</v>
      </c>
      <c r="O59" s="23" t="s">
        <v>122</v>
      </c>
      <c r="P59" s="23" t="s">
        <v>39</v>
      </c>
    </row>
    <row r="60" spans="1:16" s="23" customFormat="1" ht="16.5" customHeight="1">
      <c r="A60" s="20" t="s">
        <v>947</v>
      </c>
      <c r="B60" s="20" t="s">
        <v>215</v>
      </c>
      <c r="C60" s="20" t="s">
        <v>111</v>
      </c>
      <c r="D60" s="20" t="s">
        <v>948</v>
      </c>
      <c r="E60" s="20" t="s">
        <v>949</v>
      </c>
      <c r="F60" s="20" t="s">
        <v>114</v>
      </c>
      <c r="G60" s="20" t="s">
        <v>25</v>
      </c>
      <c r="H60" s="20" t="s">
        <v>26</v>
      </c>
      <c r="I60" s="20" t="s">
        <v>39</v>
      </c>
      <c r="J60" s="20" t="s">
        <v>724</v>
      </c>
      <c r="K60" s="20" t="s">
        <v>29</v>
      </c>
      <c r="L60" s="20" t="s">
        <v>724</v>
      </c>
      <c r="M60" s="21">
        <v>45971.474317129629</v>
      </c>
      <c r="N60" s="22">
        <v>45975.421909722223</v>
      </c>
      <c r="O60" s="23" t="s">
        <v>76</v>
      </c>
      <c r="P60" s="23" t="s">
        <v>77</v>
      </c>
    </row>
    <row r="61" spans="1:16" s="23" customFormat="1" ht="16.5" customHeight="1">
      <c r="A61" s="20" t="s">
        <v>950</v>
      </c>
      <c r="B61" s="20" t="s">
        <v>215</v>
      </c>
      <c r="C61" s="20" t="s">
        <v>111</v>
      </c>
      <c r="D61" s="20" t="s">
        <v>951</v>
      </c>
      <c r="E61" s="20" t="s">
        <v>952</v>
      </c>
      <c r="F61" s="20" t="s">
        <v>114</v>
      </c>
      <c r="G61" s="20" t="s">
        <v>25</v>
      </c>
      <c r="H61" s="20" t="s">
        <v>38</v>
      </c>
      <c r="I61" s="20" t="s">
        <v>203</v>
      </c>
      <c r="J61" s="20" t="s">
        <v>724</v>
      </c>
      <c r="K61" s="20" t="s">
        <v>29</v>
      </c>
      <c r="L61" s="20" t="s">
        <v>724</v>
      </c>
      <c r="M61" s="21">
        <v>45971.673275462963</v>
      </c>
      <c r="N61" s="22">
        <v>45975.6096412037</v>
      </c>
      <c r="O61" s="23" t="s">
        <v>40</v>
      </c>
      <c r="P61" s="23" t="s">
        <v>41</v>
      </c>
    </row>
    <row r="62" spans="1:16" s="23" customFormat="1" ht="16.5" customHeight="1">
      <c r="A62" s="20" t="s">
        <v>953</v>
      </c>
      <c r="B62" s="20" t="s">
        <v>215</v>
      </c>
      <c r="C62" s="20" t="s">
        <v>111</v>
      </c>
      <c r="D62" s="20" t="s">
        <v>954</v>
      </c>
      <c r="E62" s="20" t="s">
        <v>955</v>
      </c>
      <c r="F62" s="20" t="s">
        <v>114</v>
      </c>
      <c r="G62" s="20" t="s">
        <v>25</v>
      </c>
      <c r="H62" s="20" t="s">
        <v>38</v>
      </c>
      <c r="I62" s="20" t="s">
        <v>39</v>
      </c>
      <c r="J62" s="20" t="s">
        <v>724</v>
      </c>
      <c r="K62" s="20" t="s">
        <v>29</v>
      </c>
      <c r="L62" s="20" t="s">
        <v>724</v>
      </c>
      <c r="M62" s="21">
        <v>45971.665567129632</v>
      </c>
      <c r="N62" s="22">
        <v>45975.423148148147</v>
      </c>
      <c r="O62" s="23" t="s">
        <v>122</v>
      </c>
      <c r="P62" s="23" t="s">
        <v>39</v>
      </c>
    </row>
    <row r="63" spans="1:16" s="23" customFormat="1" ht="16.5" customHeight="1">
      <c r="A63" s="20" t="s">
        <v>973</v>
      </c>
      <c r="B63" s="20" t="s">
        <v>215</v>
      </c>
      <c r="C63" s="20" t="s">
        <v>974</v>
      </c>
      <c r="D63" s="20" t="s">
        <v>975</v>
      </c>
      <c r="E63" s="20" t="s">
        <v>976</v>
      </c>
      <c r="F63" s="20" t="s">
        <v>23</v>
      </c>
      <c r="G63" s="20" t="s">
        <v>25</v>
      </c>
      <c r="H63" s="20" t="s">
        <v>26</v>
      </c>
      <c r="I63" s="20" t="s">
        <v>82</v>
      </c>
      <c r="J63" s="20" t="s">
        <v>724</v>
      </c>
      <c r="K63" s="20" t="s">
        <v>29</v>
      </c>
      <c r="L63" s="20" t="s">
        <v>724</v>
      </c>
      <c r="M63" s="21">
        <v>45973.434988425928</v>
      </c>
      <c r="N63" s="22">
        <v>45973.670439814814</v>
      </c>
      <c r="O63" s="23" t="s">
        <v>40</v>
      </c>
      <c r="P63" s="23" t="s">
        <v>41</v>
      </c>
    </row>
    <row r="64" spans="1:16" s="23" customFormat="1" ht="16.5" customHeight="1">
      <c r="A64" s="20" t="s">
        <v>977</v>
      </c>
      <c r="B64" s="20" t="s">
        <v>215</v>
      </c>
      <c r="C64" s="20" t="s">
        <v>974</v>
      </c>
      <c r="D64" s="20" t="s">
        <v>978</v>
      </c>
      <c r="E64" s="20" t="s">
        <v>979</v>
      </c>
      <c r="F64" s="20" t="s">
        <v>23</v>
      </c>
      <c r="G64" s="20" t="s">
        <v>25</v>
      </c>
      <c r="H64" s="20" t="s">
        <v>38</v>
      </c>
      <c r="I64" s="20" t="s">
        <v>82</v>
      </c>
      <c r="J64" s="20" t="s">
        <v>724</v>
      </c>
      <c r="K64" s="20" t="s">
        <v>29</v>
      </c>
      <c r="L64" s="20" t="s">
        <v>724</v>
      </c>
      <c r="M64" s="21">
        <v>45973.462291666663</v>
      </c>
      <c r="N64" s="22">
        <v>45973.671087962961</v>
      </c>
      <c r="O64" s="23" t="s">
        <v>76</v>
      </c>
      <c r="P64" s="23" t="s">
        <v>77</v>
      </c>
    </row>
    <row r="65" spans="1:16" s="23" customFormat="1" ht="16.5" customHeight="1">
      <c r="A65" s="20" t="s">
        <v>980</v>
      </c>
      <c r="B65" s="20" t="s">
        <v>215</v>
      </c>
      <c r="C65" s="20" t="s">
        <v>974</v>
      </c>
      <c r="D65" s="20" t="s">
        <v>981</v>
      </c>
      <c r="E65" s="20" t="s">
        <v>982</v>
      </c>
      <c r="F65" s="20" t="s">
        <v>23</v>
      </c>
      <c r="G65" s="20" t="s">
        <v>25</v>
      </c>
      <c r="H65" s="20" t="s">
        <v>38</v>
      </c>
      <c r="I65" s="20" t="s">
        <v>82</v>
      </c>
      <c r="J65" s="20" t="s">
        <v>724</v>
      </c>
      <c r="K65" s="20" t="s">
        <v>29</v>
      </c>
      <c r="L65" s="20" t="s">
        <v>724</v>
      </c>
      <c r="M65" s="21">
        <v>45973.472488425927</v>
      </c>
      <c r="N65" s="22">
        <v>45973.672129629631</v>
      </c>
      <c r="O65" s="23" t="s">
        <v>40</v>
      </c>
      <c r="P65" s="23" t="s">
        <v>41</v>
      </c>
    </row>
    <row r="66" spans="1:16" s="23" customFormat="1" ht="16.5" customHeight="1">
      <c r="A66" s="20" t="s">
        <v>983</v>
      </c>
      <c r="B66" s="20" t="s">
        <v>215</v>
      </c>
      <c r="C66" s="20" t="s">
        <v>974</v>
      </c>
      <c r="D66" s="20" t="s">
        <v>984</v>
      </c>
      <c r="E66" s="20" t="s">
        <v>985</v>
      </c>
      <c r="F66" s="20" t="s">
        <v>23</v>
      </c>
      <c r="G66" s="20" t="s">
        <v>25</v>
      </c>
      <c r="H66" s="20" t="s">
        <v>38</v>
      </c>
      <c r="I66" s="20" t="s">
        <v>82</v>
      </c>
      <c r="J66" s="20" t="s">
        <v>724</v>
      </c>
      <c r="K66" s="20" t="s">
        <v>29</v>
      </c>
      <c r="L66" s="20" t="s">
        <v>724</v>
      </c>
      <c r="M66" s="21">
        <v>45973.559687499997</v>
      </c>
      <c r="N66" s="22">
        <v>45974.688055555554</v>
      </c>
      <c r="O66" s="23" t="s">
        <v>40</v>
      </c>
      <c r="P66" s="23" t="s">
        <v>41</v>
      </c>
    </row>
    <row r="67" spans="1:16" s="23" customFormat="1" ht="16.5" customHeight="1">
      <c r="A67" s="20" t="s">
        <v>986</v>
      </c>
      <c r="B67" s="20" t="s">
        <v>215</v>
      </c>
      <c r="C67" s="20" t="s">
        <v>974</v>
      </c>
      <c r="D67" s="20" t="s">
        <v>987</v>
      </c>
      <c r="E67" s="20" t="s">
        <v>988</v>
      </c>
      <c r="F67" s="20" t="s">
        <v>23</v>
      </c>
      <c r="G67" s="20" t="s">
        <v>25</v>
      </c>
      <c r="H67" s="20" t="s">
        <v>38</v>
      </c>
      <c r="I67" s="20" t="s">
        <v>66</v>
      </c>
      <c r="J67" s="20" t="s">
        <v>724</v>
      </c>
      <c r="K67" s="20" t="s">
        <v>29</v>
      </c>
      <c r="L67" s="20" t="s">
        <v>724</v>
      </c>
      <c r="M67" s="21">
        <v>45973.571238425924</v>
      </c>
      <c r="N67" s="22">
        <v>45974.395312499997</v>
      </c>
      <c r="O67" s="23" t="s">
        <v>122</v>
      </c>
      <c r="P67" s="23" t="s">
        <v>39</v>
      </c>
    </row>
    <row r="68" spans="1:16" s="23" customFormat="1" ht="16.5" customHeight="1">
      <c r="A68" s="20" t="s">
        <v>989</v>
      </c>
      <c r="B68" s="20" t="s">
        <v>215</v>
      </c>
      <c r="C68" s="20" t="s">
        <v>974</v>
      </c>
      <c r="D68" s="20" t="s">
        <v>990</v>
      </c>
      <c r="E68" s="20" t="s">
        <v>991</v>
      </c>
      <c r="F68" s="20" t="s">
        <v>23</v>
      </c>
      <c r="G68" s="20" t="s">
        <v>25</v>
      </c>
      <c r="H68" s="20" t="s">
        <v>26</v>
      </c>
      <c r="I68" s="20" t="s">
        <v>82</v>
      </c>
      <c r="J68" s="20" t="s">
        <v>724</v>
      </c>
      <c r="K68" s="20" t="s">
        <v>29</v>
      </c>
      <c r="L68" s="20" t="s">
        <v>724</v>
      </c>
      <c r="M68" s="21">
        <v>45973.633310185185</v>
      </c>
      <c r="N68" s="22">
        <v>45974.406574074077</v>
      </c>
      <c r="O68" s="23" t="s">
        <v>95</v>
      </c>
      <c r="P68" s="23" t="s">
        <v>56</v>
      </c>
    </row>
    <row r="69" spans="1:16" s="23" customFormat="1" ht="16.5" customHeight="1">
      <c r="A69" s="20" t="s">
        <v>989</v>
      </c>
      <c r="B69" s="20" t="s">
        <v>215</v>
      </c>
      <c r="C69" s="20" t="s">
        <v>974</v>
      </c>
      <c r="D69" s="20" t="s">
        <v>992</v>
      </c>
      <c r="E69" s="20" t="s">
        <v>993</v>
      </c>
      <c r="F69" s="20" t="s">
        <v>23</v>
      </c>
      <c r="G69" s="20" t="s">
        <v>25</v>
      </c>
      <c r="H69" s="20" t="s">
        <v>26</v>
      </c>
      <c r="I69" s="20" t="s">
        <v>39</v>
      </c>
      <c r="J69" s="20" t="s">
        <v>724</v>
      </c>
      <c r="K69" s="20" t="s">
        <v>106</v>
      </c>
      <c r="L69" s="20" t="s">
        <v>724</v>
      </c>
      <c r="M69" s="21">
        <v>45971.594826388886</v>
      </c>
      <c r="N69" s="22">
        <v>45973.674942129626</v>
      </c>
      <c r="O69" s="23" t="s">
        <v>122</v>
      </c>
      <c r="P69" s="23" t="s">
        <v>39</v>
      </c>
    </row>
    <row r="70" spans="1:16" s="23" customFormat="1" ht="16.5" customHeight="1">
      <c r="A70" s="20" t="s">
        <v>994</v>
      </c>
      <c r="B70" s="20" t="s">
        <v>215</v>
      </c>
      <c r="C70" s="20" t="s">
        <v>974</v>
      </c>
      <c r="D70" s="20" t="s">
        <v>995</v>
      </c>
      <c r="E70" s="20" t="s">
        <v>996</v>
      </c>
      <c r="F70" s="20" t="s">
        <v>23</v>
      </c>
      <c r="G70" s="20" t="s">
        <v>25</v>
      </c>
      <c r="H70" s="20" t="s">
        <v>38</v>
      </c>
      <c r="I70" s="20" t="s">
        <v>27</v>
      </c>
      <c r="J70" s="20" t="s">
        <v>724</v>
      </c>
      <c r="K70" s="20" t="s">
        <v>29</v>
      </c>
      <c r="L70" s="20" t="s">
        <v>724</v>
      </c>
      <c r="M70" s="21">
        <v>45971.592638888891</v>
      </c>
      <c r="N70" s="22">
        <v>45973.673425925925</v>
      </c>
      <c r="O70" s="23" t="s">
        <v>95</v>
      </c>
      <c r="P70" s="23" t="s">
        <v>56</v>
      </c>
    </row>
    <row r="71" spans="1:16" s="23" customFormat="1" ht="16.5" customHeight="1">
      <c r="A71" s="20" t="s">
        <v>994</v>
      </c>
      <c r="B71" s="20" t="s">
        <v>215</v>
      </c>
      <c r="C71" s="20" t="s">
        <v>974</v>
      </c>
      <c r="D71" s="20" t="s">
        <v>997</v>
      </c>
      <c r="E71" s="20" t="s">
        <v>998</v>
      </c>
      <c r="F71" s="20" t="s">
        <v>23</v>
      </c>
      <c r="G71" s="20" t="s">
        <v>25</v>
      </c>
      <c r="H71" s="20" t="s">
        <v>26</v>
      </c>
      <c r="I71" s="20" t="s">
        <v>39</v>
      </c>
      <c r="J71" s="20" t="s">
        <v>724</v>
      </c>
      <c r="K71" s="20" t="s">
        <v>29</v>
      </c>
      <c r="L71" s="20" t="s">
        <v>724</v>
      </c>
      <c r="M71" s="21">
        <v>45973.628344907411</v>
      </c>
      <c r="N71" s="22">
        <v>45974.405729166669</v>
      </c>
      <c r="O71" s="23" t="s">
        <v>95</v>
      </c>
      <c r="P71" s="23" t="s">
        <v>56</v>
      </c>
    </row>
    <row r="72" spans="1:16" s="23" customFormat="1" ht="16.5" customHeight="1">
      <c r="A72" s="20" t="s">
        <v>999</v>
      </c>
      <c r="B72" s="20" t="s">
        <v>215</v>
      </c>
      <c r="C72" s="20" t="s">
        <v>974</v>
      </c>
      <c r="D72" s="20" t="s">
        <v>1000</v>
      </c>
      <c r="E72" s="20" t="s">
        <v>1001</v>
      </c>
      <c r="F72" s="20" t="s">
        <v>23</v>
      </c>
      <c r="G72" s="20" t="s">
        <v>25</v>
      </c>
      <c r="H72" s="20" t="s">
        <v>26</v>
      </c>
      <c r="I72" s="20" t="s">
        <v>39</v>
      </c>
      <c r="J72" s="20" t="s">
        <v>724</v>
      </c>
      <c r="K72" s="20" t="s">
        <v>67</v>
      </c>
      <c r="L72" s="20" t="s">
        <v>724</v>
      </c>
      <c r="M72" s="21">
        <v>45971.603460648148</v>
      </c>
      <c r="N72" s="22">
        <v>45973.676215277781</v>
      </c>
      <c r="O72" s="23" t="s">
        <v>95</v>
      </c>
      <c r="P72" s="23" t="s">
        <v>56</v>
      </c>
    </row>
    <row r="73" spans="1:16" s="23" customFormat="1" ht="16.5" customHeight="1">
      <c r="A73" s="20" t="s">
        <v>1002</v>
      </c>
      <c r="B73" s="20" t="s">
        <v>215</v>
      </c>
      <c r="C73" s="20" t="s">
        <v>974</v>
      </c>
      <c r="D73" s="20" t="s">
        <v>1003</v>
      </c>
      <c r="E73" s="20" t="s">
        <v>1004</v>
      </c>
      <c r="F73" s="20" t="s">
        <v>23</v>
      </c>
      <c r="G73" s="20" t="s">
        <v>25</v>
      </c>
      <c r="H73" s="20" t="s">
        <v>26</v>
      </c>
      <c r="I73" s="20" t="s">
        <v>39</v>
      </c>
      <c r="J73" s="20" t="s">
        <v>724</v>
      </c>
      <c r="K73" s="20" t="s">
        <v>106</v>
      </c>
      <c r="L73" s="20" t="s">
        <v>724</v>
      </c>
      <c r="M73" s="21">
        <v>45971.614687499998</v>
      </c>
      <c r="N73" s="22">
        <v>45973.677511574075</v>
      </c>
      <c r="O73" s="23" t="s">
        <v>40</v>
      </c>
      <c r="P73" s="23" t="s">
        <v>41</v>
      </c>
    </row>
    <row r="74" spans="1:16" s="23" customFormat="1" ht="16.5" customHeight="1">
      <c r="A74" s="20" t="s">
        <v>1002</v>
      </c>
      <c r="B74" s="20" t="s">
        <v>215</v>
      </c>
      <c r="C74" s="20" t="s">
        <v>974</v>
      </c>
      <c r="D74" s="20" t="s">
        <v>1005</v>
      </c>
      <c r="E74" s="20" t="s">
        <v>1006</v>
      </c>
      <c r="F74" s="20" t="s">
        <v>23</v>
      </c>
      <c r="G74" s="20" t="s">
        <v>25</v>
      </c>
      <c r="H74" s="20" t="s">
        <v>38</v>
      </c>
      <c r="I74" s="20" t="s">
        <v>39</v>
      </c>
      <c r="J74" s="20" t="s">
        <v>724</v>
      </c>
      <c r="K74" s="20" t="s">
        <v>29</v>
      </c>
      <c r="L74" s="20" t="s">
        <v>724</v>
      </c>
      <c r="M74" s="21">
        <v>45971.612222222226</v>
      </c>
      <c r="N74" s="22">
        <v>45973.677337962959</v>
      </c>
      <c r="O74" s="23" t="s">
        <v>122</v>
      </c>
      <c r="P74" s="23" t="s">
        <v>39</v>
      </c>
    </row>
    <row r="75" spans="1:16" s="23" customFormat="1" ht="16.5" customHeight="1">
      <c r="A75" s="20" t="s">
        <v>1007</v>
      </c>
      <c r="B75" s="20" t="s">
        <v>215</v>
      </c>
      <c r="C75" s="20" t="s">
        <v>974</v>
      </c>
      <c r="D75" s="20" t="s">
        <v>1008</v>
      </c>
      <c r="E75" s="20" t="s">
        <v>1009</v>
      </c>
      <c r="F75" s="20" t="s">
        <v>23</v>
      </c>
      <c r="G75" s="20" t="s">
        <v>25</v>
      </c>
      <c r="H75" s="20" t="s">
        <v>26</v>
      </c>
      <c r="I75" s="20" t="s">
        <v>39</v>
      </c>
      <c r="J75" s="20" t="s">
        <v>724</v>
      </c>
      <c r="K75" s="20" t="s">
        <v>106</v>
      </c>
      <c r="L75" s="20" t="s">
        <v>724</v>
      </c>
      <c r="M75" s="21">
        <v>45971.618587962963</v>
      </c>
      <c r="N75" s="22">
        <v>45973.67800925926</v>
      </c>
      <c r="O75" s="23" t="s">
        <v>76</v>
      </c>
      <c r="P75" s="23" t="s">
        <v>77</v>
      </c>
    </row>
    <row r="76" spans="1:16" s="23" customFormat="1" ht="16.5" customHeight="1">
      <c r="A76" s="20" t="s">
        <v>1010</v>
      </c>
      <c r="B76" s="20" t="s">
        <v>215</v>
      </c>
      <c r="C76" s="20" t="s">
        <v>46</v>
      </c>
      <c r="D76" s="20" t="s">
        <v>1011</v>
      </c>
      <c r="E76" s="20" t="s">
        <v>1012</v>
      </c>
      <c r="F76" s="20" t="s">
        <v>49</v>
      </c>
      <c r="G76" s="20" t="s">
        <v>25</v>
      </c>
      <c r="H76" s="20" t="s">
        <v>26</v>
      </c>
      <c r="I76" s="20" t="s">
        <v>39</v>
      </c>
      <c r="J76" s="20" t="s">
        <v>724</v>
      </c>
      <c r="K76" s="20" t="s">
        <v>67</v>
      </c>
      <c r="L76" s="20" t="s">
        <v>724</v>
      </c>
      <c r="M76" s="21">
        <v>45971.598935185182</v>
      </c>
      <c r="N76" s="22">
        <v>45979.544664351852</v>
      </c>
      <c r="O76" s="23" t="s">
        <v>30</v>
      </c>
      <c r="P76" s="23" t="s">
        <v>31</v>
      </c>
    </row>
    <row r="77" spans="1:16" s="23" customFormat="1" ht="16.5" customHeight="1">
      <c r="A77" s="20" t="s">
        <v>1045</v>
      </c>
      <c r="B77" s="20" t="s">
        <v>215</v>
      </c>
      <c r="C77" s="20" t="s">
        <v>46</v>
      </c>
      <c r="D77" s="20" t="s">
        <v>1046</v>
      </c>
      <c r="E77" s="20" t="s">
        <v>1047</v>
      </c>
      <c r="F77" s="20" t="s">
        <v>49</v>
      </c>
      <c r="G77" s="20" t="s">
        <v>25</v>
      </c>
      <c r="H77" s="20" t="s">
        <v>26</v>
      </c>
      <c r="I77" s="20" t="s">
        <v>39</v>
      </c>
      <c r="J77" s="20" t="s">
        <v>724</v>
      </c>
      <c r="K77" s="20" t="s">
        <v>67</v>
      </c>
      <c r="L77" s="20" t="s">
        <v>724</v>
      </c>
      <c r="M77" s="21">
        <v>45971.588518518518</v>
      </c>
      <c r="N77" s="22">
        <v>45975.596504629626</v>
      </c>
      <c r="O77" s="23" t="s">
        <v>126</v>
      </c>
      <c r="P77" s="23" t="s">
        <v>127</v>
      </c>
    </row>
    <row r="78" spans="1:16" s="23" customFormat="1" ht="16.5" customHeight="1">
      <c r="A78" s="20" t="s">
        <v>1045</v>
      </c>
      <c r="B78" s="20" t="s">
        <v>215</v>
      </c>
      <c r="C78" s="20" t="s">
        <v>46</v>
      </c>
      <c r="D78" s="20" t="s">
        <v>1048</v>
      </c>
      <c r="E78" s="20" t="s">
        <v>1049</v>
      </c>
      <c r="F78" s="20" t="s">
        <v>49</v>
      </c>
      <c r="G78" s="20" t="s">
        <v>25</v>
      </c>
      <c r="H78" s="20" t="s">
        <v>26</v>
      </c>
      <c r="I78" s="20" t="s">
        <v>39</v>
      </c>
      <c r="J78" s="20" t="s">
        <v>724</v>
      </c>
      <c r="K78" s="20" t="s">
        <v>29</v>
      </c>
      <c r="L78" s="20" t="s">
        <v>724</v>
      </c>
      <c r="M78" s="21">
        <v>45971.578657407408</v>
      </c>
      <c r="N78" s="22">
        <v>45979.551840277774</v>
      </c>
      <c r="O78" s="23" t="s">
        <v>40</v>
      </c>
      <c r="P78" s="23" t="s">
        <v>41</v>
      </c>
    </row>
    <row r="79" spans="1:16" s="23" customFormat="1" ht="16.5" customHeight="1">
      <c r="A79" s="20" t="s">
        <v>1053</v>
      </c>
      <c r="B79" s="20" t="s">
        <v>215</v>
      </c>
      <c r="C79" s="20" t="s">
        <v>46</v>
      </c>
      <c r="D79" s="20" t="s">
        <v>1054</v>
      </c>
      <c r="E79" s="20" t="s">
        <v>1055</v>
      </c>
      <c r="F79" s="20" t="s">
        <v>49</v>
      </c>
      <c r="G79" s="20" t="s">
        <v>25</v>
      </c>
      <c r="H79" s="20" t="s">
        <v>26</v>
      </c>
      <c r="I79" s="20" t="s">
        <v>39</v>
      </c>
      <c r="J79" s="20" t="s">
        <v>724</v>
      </c>
      <c r="K79" s="20" t="s">
        <v>29</v>
      </c>
      <c r="L79" s="20" t="s">
        <v>724</v>
      </c>
      <c r="M79" s="21">
        <v>45972.701481481483</v>
      </c>
      <c r="N79" s="22">
        <v>45979.545972222222</v>
      </c>
      <c r="O79" s="23" t="s">
        <v>76</v>
      </c>
      <c r="P79" s="23" t="s">
        <v>77</v>
      </c>
    </row>
    <row r="80" spans="1:16" s="23" customFormat="1" ht="16.5" customHeight="1">
      <c r="A80" s="20" t="s">
        <v>1059</v>
      </c>
      <c r="B80" s="20" t="s">
        <v>215</v>
      </c>
      <c r="C80" s="20" t="s">
        <v>46</v>
      </c>
      <c r="D80" s="20" t="s">
        <v>1060</v>
      </c>
      <c r="E80" s="20" t="s">
        <v>1061</v>
      </c>
      <c r="F80" s="20" t="s">
        <v>49</v>
      </c>
      <c r="G80" s="20" t="s">
        <v>25</v>
      </c>
      <c r="H80" s="20" t="s">
        <v>26</v>
      </c>
      <c r="I80" s="20" t="s">
        <v>39</v>
      </c>
      <c r="J80" s="20" t="s">
        <v>724</v>
      </c>
      <c r="K80" s="20" t="s">
        <v>29</v>
      </c>
      <c r="L80" s="20" t="s">
        <v>724</v>
      </c>
      <c r="M80" s="21">
        <v>45972.717233796298</v>
      </c>
      <c r="N80" s="22">
        <v>45975.599050925928</v>
      </c>
      <c r="O80" s="23" t="s">
        <v>72</v>
      </c>
      <c r="P80" s="23" t="s">
        <v>73</v>
      </c>
    </row>
    <row r="81" spans="1:16" s="23" customFormat="1" ht="16.5" customHeight="1">
      <c r="A81" s="20" t="s">
        <v>1062</v>
      </c>
      <c r="B81" s="20" t="s">
        <v>215</v>
      </c>
      <c r="C81" s="20" t="s">
        <v>46</v>
      </c>
      <c r="D81" s="20" t="s">
        <v>1063</v>
      </c>
      <c r="E81" s="20" t="s">
        <v>1064</v>
      </c>
      <c r="F81" s="20" t="s">
        <v>49</v>
      </c>
      <c r="G81" s="20" t="s">
        <v>25</v>
      </c>
      <c r="H81" s="20" t="s">
        <v>38</v>
      </c>
      <c r="I81" s="20" t="s">
        <v>66</v>
      </c>
      <c r="J81" s="20" t="s">
        <v>724</v>
      </c>
      <c r="K81" s="20" t="s">
        <v>29</v>
      </c>
      <c r="L81" s="20" t="s">
        <v>724</v>
      </c>
      <c r="M81" s="21">
        <v>45972.691712962966</v>
      </c>
      <c r="N81" s="22">
        <v>45975.436064814814</v>
      </c>
      <c r="O81" s="23" t="s">
        <v>126</v>
      </c>
      <c r="P81" s="23" t="s">
        <v>127</v>
      </c>
    </row>
    <row r="82" spans="1:16" s="23" customFormat="1" ht="16.5" customHeight="1">
      <c r="A82" s="20" t="s">
        <v>1065</v>
      </c>
      <c r="B82" s="20" t="s">
        <v>215</v>
      </c>
      <c r="C82" s="20" t="s">
        <v>46</v>
      </c>
      <c r="D82" s="20" t="s">
        <v>1066</v>
      </c>
      <c r="E82" s="20" t="s">
        <v>1067</v>
      </c>
      <c r="F82" s="20" t="s">
        <v>49</v>
      </c>
      <c r="G82" s="20" t="s">
        <v>25</v>
      </c>
      <c r="H82" s="20" t="s">
        <v>26</v>
      </c>
      <c r="I82" s="20" t="s">
        <v>39</v>
      </c>
      <c r="J82" s="20" t="s">
        <v>724</v>
      </c>
      <c r="K82" s="20" t="s">
        <v>67</v>
      </c>
      <c r="L82" s="20" t="s">
        <v>724</v>
      </c>
      <c r="M82" s="21">
        <v>45972.62091435185</v>
      </c>
      <c r="N82" s="22">
        <v>45975.476134259261</v>
      </c>
      <c r="O82" s="23" t="s">
        <v>126</v>
      </c>
      <c r="P82" s="23" t="s">
        <v>127</v>
      </c>
    </row>
    <row r="83" spans="1:16" s="23" customFormat="1" ht="16.5" customHeight="1">
      <c r="A83" s="20" t="s">
        <v>1068</v>
      </c>
      <c r="B83" s="20" t="s">
        <v>215</v>
      </c>
      <c r="C83" s="20" t="s">
        <v>46</v>
      </c>
      <c r="D83" s="20" t="s">
        <v>1069</v>
      </c>
      <c r="E83" s="20" t="s">
        <v>1070</v>
      </c>
      <c r="F83" s="20" t="s">
        <v>49</v>
      </c>
      <c r="G83" s="20" t="s">
        <v>25</v>
      </c>
      <c r="H83" s="20" t="s">
        <v>26</v>
      </c>
      <c r="I83" s="20" t="s">
        <v>82</v>
      </c>
      <c r="J83" s="20" t="s">
        <v>724</v>
      </c>
      <c r="K83" s="20" t="s">
        <v>29</v>
      </c>
      <c r="L83" s="20" t="s">
        <v>724</v>
      </c>
      <c r="M83" s="21">
        <v>45972.457835648151</v>
      </c>
      <c r="N83" s="22">
        <v>45975.411805555559</v>
      </c>
      <c r="O83" s="23" t="s">
        <v>40</v>
      </c>
      <c r="P83" s="23" t="s">
        <v>41</v>
      </c>
    </row>
    <row r="84" spans="1:16" s="23" customFormat="1" ht="16.5" customHeight="1">
      <c r="A84" s="20" t="s">
        <v>1071</v>
      </c>
      <c r="B84" s="20" t="s">
        <v>215</v>
      </c>
      <c r="C84" s="20" t="s">
        <v>46</v>
      </c>
      <c r="D84" s="20" t="s">
        <v>1072</v>
      </c>
      <c r="E84" s="20" t="s">
        <v>1073</v>
      </c>
      <c r="F84" s="20" t="s">
        <v>49</v>
      </c>
      <c r="G84" s="20" t="s">
        <v>25</v>
      </c>
      <c r="H84" s="20" t="s">
        <v>38</v>
      </c>
      <c r="I84" s="20" t="s">
        <v>27</v>
      </c>
      <c r="J84" s="20" t="s">
        <v>724</v>
      </c>
      <c r="K84" s="20" t="s">
        <v>29</v>
      </c>
      <c r="L84" s="20" t="s">
        <v>724</v>
      </c>
      <c r="M84" s="21">
        <v>45972.443761574075</v>
      </c>
      <c r="N84" s="22">
        <v>45979.44604166667</v>
      </c>
      <c r="O84" s="23" t="s">
        <v>95</v>
      </c>
      <c r="P84" s="23" t="s">
        <v>56</v>
      </c>
    </row>
    <row r="85" spans="1:16" s="23" customFormat="1" ht="16.5" customHeight="1">
      <c r="A85" s="20" t="s">
        <v>1074</v>
      </c>
      <c r="B85" s="20" t="s">
        <v>215</v>
      </c>
      <c r="C85" s="20" t="s">
        <v>46</v>
      </c>
      <c r="D85" s="20" t="s">
        <v>1075</v>
      </c>
      <c r="E85" s="20" t="s">
        <v>1076</v>
      </c>
      <c r="F85" s="20" t="s">
        <v>49</v>
      </c>
      <c r="G85" s="20" t="s">
        <v>25</v>
      </c>
      <c r="H85" s="20" t="s">
        <v>26</v>
      </c>
      <c r="I85" s="20" t="s">
        <v>39</v>
      </c>
      <c r="J85" s="20" t="s">
        <v>724</v>
      </c>
      <c r="K85" s="20" t="s">
        <v>67</v>
      </c>
      <c r="L85" s="20" t="s">
        <v>724</v>
      </c>
      <c r="M85" s="21">
        <v>45971.455543981479</v>
      </c>
      <c r="N85" s="22">
        <v>45978.689131944448</v>
      </c>
      <c r="O85" s="23" t="s">
        <v>122</v>
      </c>
      <c r="P85" s="23" t="s">
        <v>39</v>
      </c>
    </row>
    <row r="86" spans="1:16" s="23" customFormat="1" ht="16.5" customHeight="1">
      <c r="A86" s="20" t="s">
        <v>1077</v>
      </c>
      <c r="B86" s="20" t="s">
        <v>215</v>
      </c>
      <c r="C86" s="20" t="s">
        <v>46</v>
      </c>
      <c r="D86" s="20" t="s">
        <v>1078</v>
      </c>
      <c r="E86" s="20" t="s">
        <v>1079</v>
      </c>
      <c r="F86" s="20" t="s">
        <v>49</v>
      </c>
      <c r="G86" s="20" t="s">
        <v>25</v>
      </c>
      <c r="H86" s="20" t="s">
        <v>26</v>
      </c>
      <c r="I86" s="20" t="s">
        <v>82</v>
      </c>
      <c r="J86" s="20" t="s">
        <v>724</v>
      </c>
      <c r="K86" s="20" t="s">
        <v>67</v>
      </c>
      <c r="L86" s="20" t="s">
        <v>724</v>
      </c>
      <c r="M86" s="21">
        <v>45971.647569444445</v>
      </c>
      <c r="N86" s="22">
        <v>45975.562824074077</v>
      </c>
      <c r="O86" s="23" t="s">
        <v>40</v>
      </c>
      <c r="P86" s="23" t="s">
        <v>41</v>
      </c>
    </row>
    <row r="87" spans="1:16" s="23" customFormat="1" ht="16.5" customHeight="1">
      <c r="A87" s="20" t="s">
        <v>1080</v>
      </c>
      <c r="B87" s="20" t="s">
        <v>215</v>
      </c>
      <c r="C87" s="20" t="s">
        <v>46</v>
      </c>
      <c r="D87" s="20" t="s">
        <v>1081</v>
      </c>
      <c r="E87" s="20" t="s">
        <v>1082</v>
      </c>
      <c r="F87" s="20" t="s">
        <v>49</v>
      </c>
      <c r="G87" s="20" t="s">
        <v>25</v>
      </c>
      <c r="H87" s="20" t="s">
        <v>38</v>
      </c>
      <c r="I87" s="20" t="s">
        <v>82</v>
      </c>
      <c r="J87" s="20" t="s">
        <v>724</v>
      </c>
      <c r="K87" s="20" t="s">
        <v>29</v>
      </c>
      <c r="L87" s="20" t="s">
        <v>724</v>
      </c>
      <c r="M87" s="21">
        <v>45971.676747685182</v>
      </c>
      <c r="N87" s="22">
        <v>45975.453912037039</v>
      </c>
      <c r="O87" s="23" t="s">
        <v>126</v>
      </c>
      <c r="P87" s="23" t="s">
        <v>127</v>
      </c>
    </row>
    <row r="88" spans="1:16" s="23" customFormat="1" ht="16.5" customHeight="1">
      <c r="A88" s="20" t="s">
        <v>1080</v>
      </c>
      <c r="B88" s="20" t="s">
        <v>215</v>
      </c>
      <c r="C88" s="20" t="s">
        <v>46</v>
      </c>
      <c r="D88" s="20" t="s">
        <v>1083</v>
      </c>
      <c r="E88" s="20" t="s">
        <v>1084</v>
      </c>
      <c r="F88" s="20" t="s">
        <v>49</v>
      </c>
      <c r="G88" s="20" t="s">
        <v>25</v>
      </c>
      <c r="H88" s="20" t="s">
        <v>26</v>
      </c>
      <c r="I88" s="20" t="s">
        <v>82</v>
      </c>
      <c r="J88" s="20" t="s">
        <v>724</v>
      </c>
      <c r="K88" s="20" t="s">
        <v>29</v>
      </c>
      <c r="L88" s="20" t="s">
        <v>724</v>
      </c>
      <c r="M88" s="21">
        <v>45971.684131944443</v>
      </c>
      <c r="N88" s="22">
        <v>45975.561979166669</v>
      </c>
      <c r="O88" s="23" t="s">
        <v>126</v>
      </c>
      <c r="P88" s="23" t="s">
        <v>127</v>
      </c>
    </row>
    <row r="89" spans="1:16" s="23" customFormat="1" ht="16.5" customHeight="1">
      <c r="A89" s="20" t="s">
        <v>1085</v>
      </c>
      <c r="B89" s="20" t="s">
        <v>215</v>
      </c>
      <c r="C89" s="20" t="s">
        <v>46</v>
      </c>
      <c r="D89" s="20" t="s">
        <v>1086</v>
      </c>
      <c r="E89" s="20" t="s">
        <v>1087</v>
      </c>
      <c r="F89" s="20" t="s">
        <v>49</v>
      </c>
      <c r="G89" s="20" t="s">
        <v>25</v>
      </c>
      <c r="H89" s="20" t="s">
        <v>26</v>
      </c>
      <c r="I89" s="20" t="s">
        <v>82</v>
      </c>
      <c r="J89" s="20" t="s">
        <v>724</v>
      </c>
      <c r="K89" s="20" t="s">
        <v>67</v>
      </c>
      <c r="L89" s="20" t="s">
        <v>724</v>
      </c>
      <c r="M89" s="21">
        <v>45971.707083333335</v>
      </c>
      <c r="N89" s="22">
        <v>45975.563263888886</v>
      </c>
      <c r="O89" s="23" t="s">
        <v>126</v>
      </c>
      <c r="P89" s="23" t="s">
        <v>127</v>
      </c>
    </row>
    <row r="90" spans="1:16" s="23" customFormat="1" ht="16.5" customHeight="1">
      <c r="A90" s="20" t="s">
        <v>1088</v>
      </c>
      <c r="B90" s="20" t="s">
        <v>215</v>
      </c>
      <c r="C90" s="20" t="s">
        <v>46</v>
      </c>
      <c r="D90" s="20" t="s">
        <v>1089</v>
      </c>
      <c r="E90" s="20" t="s">
        <v>1090</v>
      </c>
      <c r="F90" s="20" t="s">
        <v>49</v>
      </c>
      <c r="G90" s="20" t="s">
        <v>25</v>
      </c>
      <c r="H90" s="20" t="s">
        <v>26</v>
      </c>
      <c r="I90" s="20" t="s">
        <v>82</v>
      </c>
      <c r="J90" s="20" t="s">
        <v>724</v>
      </c>
      <c r="K90" s="20" t="s">
        <v>29</v>
      </c>
      <c r="L90" s="20" t="s">
        <v>724</v>
      </c>
      <c r="M90" s="21">
        <v>45972.419814814813</v>
      </c>
      <c r="N90" s="22">
        <v>45975.558958333335</v>
      </c>
      <c r="O90" s="23" t="s">
        <v>126</v>
      </c>
      <c r="P90" s="23" t="s">
        <v>127</v>
      </c>
    </row>
    <row r="91" spans="1:16" s="23" customFormat="1" ht="16.5" customHeight="1">
      <c r="A91" s="20" t="s">
        <v>1091</v>
      </c>
      <c r="B91" s="20" t="s">
        <v>215</v>
      </c>
      <c r="C91" s="20" t="s">
        <v>46</v>
      </c>
      <c r="D91" s="20" t="s">
        <v>1092</v>
      </c>
      <c r="E91" s="20" t="s">
        <v>1093</v>
      </c>
      <c r="F91" s="20" t="s">
        <v>49</v>
      </c>
      <c r="G91" s="20" t="s">
        <v>25</v>
      </c>
      <c r="H91" s="20" t="s">
        <v>26</v>
      </c>
      <c r="I91" s="20" t="s">
        <v>82</v>
      </c>
      <c r="J91" s="20" t="s">
        <v>724</v>
      </c>
      <c r="K91" s="20" t="s">
        <v>29</v>
      </c>
      <c r="L91" s="20" t="s">
        <v>724</v>
      </c>
      <c r="M91" s="21">
        <v>45972.446736111109</v>
      </c>
      <c r="N91" s="22">
        <v>45975.59275462963</v>
      </c>
      <c r="O91" s="23" t="s">
        <v>126</v>
      </c>
      <c r="P91" s="23" t="s">
        <v>127</v>
      </c>
    </row>
    <row r="92" spans="1:16" s="23" customFormat="1" ht="16.5" customHeight="1">
      <c r="A92" s="20" t="s">
        <v>1094</v>
      </c>
      <c r="B92" s="20" t="s">
        <v>215</v>
      </c>
      <c r="C92" s="20" t="s">
        <v>46</v>
      </c>
      <c r="D92" s="20" t="s">
        <v>1095</v>
      </c>
      <c r="E92" s="20" t="s">
        <v>1096</v>
      </c>
      <c r="F92" s="20" t="s">
        <v>49</v>
      </c>
      <c r="G92" s="20" t="s">
        <v>25</v>
      </c>
      <c r="H92" s="20" t="s">
        <v>26</v>
      </c>
      <c r="I92" s="20" t="s">
        <v>82</v>
      </c>
      <c r="J92" s="20" t="s">
        <v>724</v>
      </c>
      <c r="K92" s="20" t="s">
        <v>29</v>
      </c>
      <c r="L92" s="20" t="s">
        <v>724</v>
      </c>
      <c r="M92" s="21">
        <v>45972.455983796295</v>
      </c>
      <c r="N92" s="22">
        <v>45975.593159722222</v>
      </c>
      <c r="O92" s="23" t="s">
        <v>126</v>
      </c>
      <c r="P92" s="23" t="s">
        <v>127</v>
      </c>
    </row>
    <row r="93" spans="1:16" s="23" customFormat="1" ht="16.5" customHeight="1">
      <c r="A93" s="20" t="s">
        <v>1097</v>
      </c>
      <c r="B93" s="20" t="s">
        <v>215</v>
      </c>
      <c r="C93" s="20" t="s">
        <v>46</v>
      </c>
      <c r="D93" s="20" t="s">
        <v>1098</v>
      </c>
      <c r="E93" s="20" t="s">
        <v>1099</v>
      </c>
      <c r="F93" s="20" t="s">
        <v>49</v>
      </c>
      <c r="G93" s="20" t="s">
        <v>25</v>
      </c>
      <c r="H93" s="20" t="s">
        <v>38</v>
      </c>
      <c r="I93" s="20" t="s">
        <v>66</v>
      </c>
      <c r="J93" s="20" t="s">
        <v>724</v>
      </c>
      <c r="K93" s="20" t="s">
        <v>29</v>
      </c>
      <c r="L93" s="20" t="s">
        <v>724</v>
      </c>
      <c r="M93" s="21">
        <v>45972.469398148147</v>
      </c>
      <c r="N93" s="22">
        <v>45975.377175925925</v>
      </c>
      <c r="O93" s="23" t="s">
        <v>126</v>
      </c>
      <c r="P93" s="23" t="s">
        <v>127</v>
      </c>
    </row>
    <row r="94" spans="1:16" s="23" customFormat="1" ht="16.5" customHeight="1">
      <c r="A94" s="20" t="s">
        <v>1100</v>
      </c>
      <c r="B94" s="20" t="s">
        <v>215</v>
      </c>
      <c r="C94" s="20" t="s">
        <v>46</v>
      </c>
      <c r="D94" s="20" t="s">
        <v>1101</v>
      </c>
      <c r="E94" s="20" t="s">
        <v>1102</v>
      </c>
      <c r="F94" s="20" t="s">
        <v>49</v>
      </c>
      <c r="G94" s="20" t="s">
        <v>25</v>
      </c>
      <c r="H94" s="20" t="s">
        <v>26</v>
      </c>
      <c r="I94" s="20" t="s">
        <v>82</v>
      </c>
      <c r="J94" s="20" t="s">
        <v>724</v>
      </c>
      <c r="K94" s="20" t="s">
        <v>29</v>
      </c>
      <c r="L94" s="20" t="s">
        <v>724</v>
      </c>
      <c r="M94" s="21">
        <v>45972.464409722219</v>
      </c>
      <c r="N94" s="22">
        <v>45975.375023148146</v>
      </c>
      <c r="O94" s="23" t="s">
        <v>126</v>
      </c>
      <c r="P94" s="23" t="s">
        <v>127</v>
      </c>
    </row>
    <row r="95" spans="1:16" s="23" customFormat="1" ht="16.5" customHeight="1">
      <c r="A95" s="20" t="s">
        <v>1103</v>
      </c>
      <c r="B95" s="20" t="s">
        <v>215</v>
      </c>
      <c r="C95" s="20" t="s">
        <v>46</v>
      </c>
      <c r="D95" s="20" t="s">
        <v>1104</v>
      </c>
      <c r="E95" s="20" t="s">
        <v>1105</v>
      </c>
      <c r="F95" s="20" t="s">
        <v>49</v>
      </c>
      <c r="G95" s="20" t="s">
        <v>25</v>
      </c>
      <c r="H95" s="20" t="s">
        <v>38</v>
      </c>
      <c r="I95" s="20" t="s">
        <v>66</v>
      </c>
      <c r="J95" s="20" t="s">
        <v>724</v>
      </c>
      <c r="K95" s="20" t="s">
        <v>29</v>
      </c>
      <c r="L95" s="20" t="s">
        <v>724</v>
      </c>
      <c r="M95" s="21">
        <v>45972.480231481481</v>
      </c>
      <c r="N95" s="22">
        <v>45975.376898148148</v>
      </c>
      <c r="O95" s="23" t="s">
        <v>40</v>
      </c>
      <c r="P95" s="23" t="s">
        <v>41</v>
      </c>
    </row>
    <row r="96" spans="1:16" s="23" customFormat="1" ht="16.5" customHeight="1">
      <c r="A96" s="20" t="s">
        <v>1106</v>
      </c>
      <c r="B96" s="20" t="s">
        <v>215</v>
      </c>
      <c r="C96" s="20" t="s">
        <v>46</v>
      </c>
      <c r="D96" s="20" t="s">
        <v>1107</v>
      </c>
      <c r="E96" s="20" t="s">
        <v>1108</v>
      </c>
      <c r="F96" s="20" t="s">
        <v>49</v>
      </c>
      <c r="G96" s="20" t="s">
        <v>25</v>
      </c>
      <c r="H96" s="20" t="s">
        <v>26</v>
      </c>
      <c r="I96" s="20" t="s">
        <v>82</v>
      </c>
      <c r="J96" s="20" t="s">
        <v>724</v>
      </c>
      <c r="K96" s="20" t="s">
        <v>29</v>
      </c>
      <c r="L96" s="20" t="s">
        <v>724</v>
      </c>
      <c r="M96" s="21">
        <v>45972.477314814816</v>
      </c>
      <c r="N96" s="22">
        <v>45975.59578703704</v>
      </c>
      <c r="O96" s="23" t="s">
        <v>126</v>
      </c>
      <c r="P96" s="23" t="s">
        <v>127</v>
      </c>
    </row>
    <row r="97" spans="1:16" s="23" customFormat="1" ht="16.5" customHeight="1">
      <c r="A97" s="20" t="s">
        <v>1109</v>
      </c>
      <c r="B97" s="20" t="s">
        <v>215</v>
      </c>
      <c r="C97" s="20" t="s">
        <v>46</v>
      </c>
      <c r="D97" s="20" t="s">
        <v>1110</v>
      </c>
      <c r="E97" s="20" t="s">
        <v>1111</v>
      </c>
      <c r="F97" s="20" t="s">
        <v>49</v>
      </c>
      <c r="G97" s="20" t="s">
        <v>25</v>
      </c>
      <c r="H97" s="20" t="s">
        <v>26</v>
      </c>
      <c r="I97" s="20" t="s">
        <v>82</v>
      </c>
      <c r="J97" s="20" t="s">
        <v>724</v>
      </c>
      <c r="K97" s="20" t="s">
        <v>29</v>
      </c>
      <c r="L97" s="20" t="s">
        <v>724</v>
      </c>
      <c r="M97" s="21">
        <v>45972.579756944448</v>
      </c>
      <c r="N97" s="22">
        <v>45975.593645833331</v>
      </c>
      <c r="O97" s="23" t="s">
        <v>126</v>
      </c>
      <c r="P97" s="23" t="s">
        <v>127</v>
      </c>
    </row>
    <row r="98" spans="1:16" s="23" customFormat="1" ht="16.5" customHeight="1">
      <c r="A98" s="20" t="s">
        <v>1112</v>
      </c>
      <c r="B98" s="20" t="s">
        <v>215</v>
      </c>
      <c r="C98" s="20" t="s">
        <v>46</v>
      </c>
      <c r="D98" s="20" t="s">
        <v>1113</v>
      </c>
      <c r="E98" s="20" t="s">
        <v>1114</v>
      </c>
      <c r="F98" s="20" t="s">
        <v>49</v>
      </c>
      <c r="G98" s="20" t="s">
        <v>25</v>
      </c>
      <c r="H98" s="20" t="s">
        <v>38</v>
      </c>
      <c r="I98" s="20" t="s">
        <v>82</v>
      </c>
      <c r="J98" s="20" t="s">
        <v>724</v>
      </c>
      <c r="K98" s="20" t="s">
        <v>29</v>
      </c>
      <c r="L98" s="20" t="s">
        <v>724</v>
      </c>
      <c r="M98" s="21">
        <v>45972.584918981483</v>
      </c>
      <c r="N98" s="22">
        <v>45975.593888888892</v>
      </c>
      <c r="O98" s="23" t="s">
        <v>40</v>
      </c>
      <c r="P98" s="23" t="s">
        <v>41</v>
      </c>
    </row>
    <row r="99" spans="1:16" s="23" customFormat="1" ht="16.5" customHeight="1">
      <c r="A99" s="20" t="s">
        <v>1115</v>
      </c>
      <c r="B99" s="20" t="s">
        <v>215</v>
      </c>
      <c r="C99" s="20" t="s">
        <v>46</v>
      </c>
      <c r="D99" s="20" t="s">
        <v>1116</v>
      </c>
      <c r="E99" s="20" t="s">
        <v>1117</v>
      </c>
      <c r="F99" s="20" t="s">
        <v>49</v>
      </c>
      <c r="G99" s="20" t="s">
        <v>25</v>
      </c>
      <c r="H99" s="20" t="s">
        <v>26</v>
      </c>
      <c r="I99" s="20" t="s">
        <v>82</v>
      </c>
      <c r="J99" s="20" t="s">
        <v>724</v>
      </c>
      <c r="K99" s="20" t="s">
        <v>29</v>
      </c>
      <c r="L99" s="20" t="s">
        <v>724</v>
      </c>
      <c r="M99" s="21">
        <v>45972.606724537036</v>
      </c>
      <c r="N99" s="22">
        <v>45975.590300925927</v>
      </c>
      <c r="O99" s="23" t="s">
        <v>126</v>
      </c>
      <c r="P99" s="23" t="s">
        <v>127</v>
      </c>
    </row>
    <row r="100" spans="1:16" s="23" customFormat="1" ht="16.5" customHeight="1">
      <c r="A100" s="20" t="s">
        <v>1118</v>
      </c>
      <c r="B100" s="20" t="s">
        <v>215</v>
      </c>
      <c r="C100" s="20" t="s">
        <v>46</v>
      </c>
      <c r="D100" s="20" t="s">
        <v>1119</v>
      </c>
      <c r="E100" s="20" t="s">
        <v>1120</v>
      </c>
      <c r="F100" s="20" t="s">
        <v>49</v>
      </c>
      <c r="G100" s="20" t="s">
        <v>25</v>
      </c>
      <c r="H100" s="20" t="s">
        <v>38</v>
      </c>
      <c r="I100" s="20" t="s">
        <v>39</v>
      </c>
      <c r="J100" s="20" t="s">
        <v>724</v>
      </c>
      <c r="K100" s="20" t="s">
        <v>29</v>
      </c>
      <c r="L100" s="20" t="s">
        <v>724</v>
      </c>
      <c r="M100" s="21">
        <v>45972.622118055559</v>
      </c>
      <c r="N100" s="22">
        <v>45975.59480324074</v>
      </c>
      <c r="O100" s="23" t="s">
        <v>126</v>
      </c>
      <c r="P100" s="23" t="s">
        <v>127</v>
      </c>
    </row>
    <row r="101" spans="1:16" s="23" customFormat="1" ht="16.5" customHeight="1">
      <c r="A101" s="20" t="s">
        <v>1121</v>
      </c>
      <c r="B101" s="20" t="s">
        <v>215</v>
      </c>
      <c r="C101" s="20" t="s">
        <v>46</v>
      </c>
      <c r="D101" s="20" t="s">
        <v>1122</v>
      </c>
      <c r="E101" s="20" t="s">
        <v>1123</v>
      </c>
      <c r="F101" s="20" t="s">
        <v>49</v>
      </c>
      <c r="G101" s="20" t="s">
        <v>25</v>
      </c>
      <c r="H101" s="20" t="s">
        <v>26</v>
      </c>
      <c r="I101" s="20" t="s">
        <v>39</v>
      </c>
      <c r="J101" s="20" t="s">
        <v>724</v>
      </c>
      <c r="K101" s="20" t="s">
        <v>67</v>
      </c>
      <c r="L101" s="20" t="s">
        <v>724</v>
      </c>
      <c r="M101" s="21">
        <v>45971.633993055555</v>
      </c>
      <c r="N101" s="22">
        <v>45974.676319444443</v>
      </c>
      <c r="O101" s="23" t="s">
        <v>126</v>
      </c>
      <c r="P101" s="23" t="s">
        <v>127</v>
      </c>
    </row>
    <row r="102" spans="1:16" s="23" customFormat="1" ht="16.5" customHeight="1">
      <c r="A102" s="20" t="s">
        <v>1127</v>
      </c>
      <c r="B102" s="20" t="s">
        <v>215</v>
      </c>
      <c r="C102" s="20" t="s">
        <v>1128</v>
      </c>
      <c r="D102" s="20" t="s">
        <v>1129</v>
      </c>
      <c r="E102" s="20" t="s">
        <v>1130</v>
      </c>
      <c r="F102" s="20" t="s">
        <v>1131</v>
      </c>
      <c r="G102" s="20" t="s">
        <v>25</v>
      </c>
      <c r="H102" s="20" t="s">
        <v>26</v>
      </c>
      <c r="I102" s="20" t="s">
        <v>39</v>
      </c>
      <c r="J102" s="20" t="s">
        <v>724</v>
      </c>
      <c r="K102" s="20" t="s">
        <v>67</v>
      </c>
      <c r="L102" s="20" t="s">
        <v>724</v>
      </c>
      <c r="M102" s="21">
        <v>45973.404687499999</v>
      </c>
      <c r="N102" s="22">
        <v>45975.385925925926</v>
      </c>
      <c r="O102" s="23" t="s">
        <v>40</v>
      </c>
      <c r="P102" s="23" t="s">
        <v>41</v>
      </c>
    </row>
    <row r="103" spans="1:16" s="23" customFormat="1" ht="16.5" customHeight="1">
      <c r="A103" s="20" t="s">
        <v>1132</v>
      </c>
      <c r="B103" s="20" t="s">
        <v>215</v>
      </c>
      <c r="C103" s="20" t="s">
        <v>1128</v>
      </c>
      <c r="D103" s="20" t="s">
        <v>1133</v>
      </c>
      <c r="E103" s="20" t="s">
        <v>1134</v>
      </c>
      <c r="F103" s="20" t="s">
        <v>1131</v>
      </c>
      <c r="G103" s="20" t="s">
        <v>25</v>
      </c>
      <c r="H103" s="20" t="s">
        <v>26</v>
      </c>
      <c r="I103" s="20" t="s">
        <v>39</v>
      </c>
      <c r="J103" s="20" t="s">
        <v>724</v>
      </c>
      <c r="K103" s="20" t="s">
        <v>67</v>
      </c>
      <c r="L103" s="20" t="s">
        <v>724</v>
      </c>
      <c r="M103" s="21">
        <v>45972.654131944444</v>
      </c>
      <c r="N103" s="22">
        <v>45980.727951388886</v>
      </c>
      <c r="O103" s="23" t="s">
        <v>40</v>
      </c>
      <c r="P103" s="23" t="s">
        <v>41</v>
      </c>
    </row>
    <row r="104" spans="1:16" s="23" customFormat="1" ht="16.5" customHeight="1">
      <c r="A104" s="20" t="s">
        <v>1135</v>
      </c>
      <c r="B104" s="20" t="s">
        <v>215</v>
      </c>
      <c r="C104" s="20" t="s">
        <v>301</v>
      </c>
      <c r="D104" s="20" t="s">
        <v>1136</v>
      </c>
      <c r="E104" s="20" t="s">
        <v>886</v>
      </c>
      <c r="F104" s="20" t="s">
        <v>269</v>
      </c>
      <c r="G104" s="20" t="s">
        <v>25</v>
      </c>
      <c r="H104" s="20" t="s">
        <v>38</v>
      </c>
      <c r="I104" s="20" t="s">
        <v>39</v>
      </c>
      <c r="J104" s="20" t="s">
        <v>724</v>
      </c>
      <c r="K104" s="20" t="s">
        <v>29</v>
      </c>
      <c r="L104" s="20" t="s">
        <v>724</v>
      </c>
      <c r="M104" s="21">
        <v>45972.430069444446</v>
      </c>
      <c r="N104" s="22">
        <v>45974.651678240742</v>
      </c>
      <c r="O104" s="23" t="s">
        <v>40</v>
      </c>
      <c r="P104" s="23" t="s">
        <v>41</v>
      </c>
    </row>
    <row r="105" spans="1:16" s="23" customFormat="1" ht="16.5" customHeight="1">
      <c r="A105" s="20" t="s">
        <v>1137</v>
      </c>
      <c r="B105" s="20" t="s">
        <v>215</v>
      </c>
      <c r="C105" s="20" t="s">
        <v>301</v>
      </c>
      <c r="D105" s="20" t="s">
        <v>1138</v>
      </c>
      <c r="E105" s="20" t="s">
        <v>1139</v>
      </c>
      <c r="F105" s="20" t="s">
        <v>269</v>
      </c>
      <c r="G105" s="20" t="s">
        <v>116</v>
      </c>
      <c r="H105" s="20" t="s">
        <v>26</v>
      </c>
      <c r="I105" s="20" t="s">
        <v>39</v>
      </c>
      <c r="J105" s="20" t="s">
        <v>724</v>
      </c>
      <c r="K105" s="20" t="s">
        <v>29</v>
      </c>
      <c r="L105" s="20" t="s">
        <v>724</v>
      </c>
      <c r="M105" s="21">
        <v>45974.682893518519</v>
      </c>
      <c r="N105" s="22">
        <v>45975.392997685187</v>
      </c>
      <c r="O105" s="23" t="s">
        <v>76</v>
      </c>
      <c r="P105" s="23" t="s">
        <v>77</v>
      </c>
    </row>
    <row r="106" spans="1:16" s="23" customFormat="1" ht="16.5" customHeight="1">
      <c r="A106" s="20" t="s">
        <v>1187</v>
      </c>
      <c r="B106" s="20" t="s">
        <v>215</v>
      </c>
      <c r="C106" s="20" t="s">
        <v>46</v>
      </c>
      <c r="D106" s="20" t="s">
        <v>1188</v>
      </c>
      <c r="E106" s="20" t="s">
        <v>1189</v>
      </c>
      <c r="F106" s="20" t="s">
        <v>49</v>
      </c>
      <c r="G106" s="20" t="s">
        <v>25</v>
      </c>
      <c r="H106" s="20" t="s">
        <v>26</v>
      </c>
      <c r="I106" s="20" t="s">
        <v>82</v>
      </c>
      <c r="J106" s="20" t="s">
        <v>724</v>
      </c>
      <c r="K106" s="20" t="s">
        <v>29</v>
      </c>
      <c r="L106" s="20" t="s">
        <v>724</v>
      </c>
      <c r="M106" s="21">
        <v>45972.615034722221</v>
      </c>
      <c r="N106" s="22">
        <v>45975.595393518517</v>
      </c>
      <c r="O106" s="23" t="s">
        <v>76</v>
      </c>
      <c r="P106" s="23" t="s">
        <v>77</v>
      </c>
    </row>
    <row r="107" spans="1:16" s="23" customFormat="1" ht="16.5" customHeight="1">
      <c r="A107" s="20" t="s">
        <v>1190</v>
      </c>
      <c r="B107" s="20" t="s">
        <v>215</v>
      </c>
      <c r="C107" s="20" t="s">
        <v>216</v>
      </c>
      <c r="D107" s="20" t="s">
        <v>1191</v>
      </c>
      <c r="E107" s="20" t="s">
        <v>1192</v>
      </c>
      <c r="F107" s="20" t="s">
        <v>219</v>
      </c>
      <c r="G107" s="20" t="s">
        <v>25</v>
      </c>
      <c r="H107" s="20" t="s">
        <v>26</v>
      </c>
      <c r="I107" s="20" t="s">
        <v>82</v>
      </c>
      <c r="J107" s="20" t="s">
        <v>724</v>
      </c>
      <c r="K107" s="20" t="s">
        <v>29</v>
      </c>
      <c r="L107" s="20" t="s">
        <v>724</v>
      </c>
      <c r="M107" s="21">
        <v>45971.570219907408</v>
      </c>
      <c r="N107" s="22">
        <v>45978.574756944443</v>
      </c>
      <c r="O107" s="23" t="s">
        <v>95</v>
      </c>
      <c r="P107" s="23" t="s">
        <v>56</v>
      </c>
    </row>
    <row r="108" spans="1:16" s="23" customFormat="1" ht="16.5" customHeight="1">
      <c r="A108" s="20" t="s">
        <v>1193</v>
      </c>
      <c r="B108" s="20" t="s">
        <v>215</v>
      </c>
      <c r="C108" s="20" t="s">
        <v>46</v>
      </c>
      <c r="D108" s="20" t="s">
        <v>1194</v>
      </c>
      <c r="E108" s="20" t="s">
        <v>1195</v>
      </c>
      <c r="F108" s="20" t="s">
        <v>49</v>
      </c>
      <c r="G108" s="20" t="s">
        <v>25</v>
      </c>
      <c r="H108" s="20" t="s">
        <v>26</v>
      </c>
      <c r="I108" s="20" t="s">
        <v>39</v>
      </c>
      <c r="J108" s="20" t="s">
        <v>724</v>
      </c>
      <c r="K108" s="20" t="s">
        <v>67</v>
      </c>
      <c r="L108" s="20" t="s">
        <v>724</v>
      </c>
      <c r="M108" s="21">
        <v>45972.647268518522</v>
      </c>
      <c r="N108" s="22">
        <v>45975.621087962965</v>
      </c>
      <c r="O108" s="23" t="s">
        <v>76</v>
      </c>
      <c r="P108" s="23" t="s">
        <v>77</v>
      </c>
    </row>
    <row r="109" spans="1:16" s="23" customFormat="1" ht="16.5" customHeight="1">
      <c r="A109" s="20" t="s">
        <v>1196</v>
      </c>
      <c r="B109" s="20" t="s">
        <v>215</v>
      </c>
      <c r="C109" s="20" t="s">
        <v>46</v>
      </c>
      <c r="D109" s="20" t="s">
        <v>1197</v>
      </c>
      <c r="E109" s="20" t="s">
        <v>1198</v>
      </c>
      <c r="F109" s="20" t="s">
        <v>49</v>
      </c>
      <c r="G109" s="20" t="s">
        <v>25</v>
      </c>
      <c r="H109" s="20" t="s">
        <v>26</v>
      </c>
      <c r="I109" s="20" t="s">
        <v>39</v>
      </c>
      <c r="J109" s="20" t="s">
        <v>724</v>
      </c>
      <c r="K109" s="20" t="s">
        <v>29</v>
      </c>
      <c r="L109" s="20" t="s">
        <v>724</v>
      </c>
      <c r="M109" s="21">
        <v>45972.588842592595</v>
      </c>
      <c r="N109" s="22">
        <v>45975.594351851854</v>
      </c>
      <c r="O109" s="23" t="s">
        <v>122</v>
      </c>
      <c r="P109" s="23" t="s">
        <v>39</v>
      </c>
    </row>
    <row r="110" spans="1:16" s="23" customFormat="1" ht="16.5" customHeight="1">
      <c r="A110" s="20" t="s">
        <v>1199</v>
      </c>
      <c r="B110" s="20" t="s">
        <v>215</v>
      </c>
      <c r="C110" s="20" t="s">
        <v>216</v>
      </c>
      <c r="D110" s="20" t="s">
        <v>1200</v>
      </c>
      <c r="E110" s="20" t="s">
        <v>1201</v>
      </c>
      <c r="F110" s="20" t="s">
        <v>219</v>
      </c>
      <c r="G110" s="20" t="s">
        <v>25</v>
      </c>
      <c r="H110" s="20" t="s">
        <v>26</v>
      </c>
      <c r="I110" s="20" t="s">
        <v>39</v>
      </c>
      <c r="J110" s="20" t="s">
        <v>724</v>
      </c>
      <c r="K110" s="20" t="s">
        <v>67</v>
      </c>
      <c r="L110" s="20" t="s">
        <v>724</v>
      </c>
      <c r="M110" s="21">
        <v>45971.554814814815</v>
      </c>
      <c r="N110" s="22">
        <v>45978.581666666665</v>
      </c>
      <c r="O110" s="23" t="s">
        <v>95</v>
      </c>
      <c r="P110" s="23" t="s">
        <v>56</v>
      </c>
    </row>
    <row r="111" spans="1:16" s="23" customFormat="1" ht="16.5" customHeight="1">
      <c r="A111" s="20" t="s">
        <v>1202</v>
      </c>
      <c r="B111" s="20" t="s">
        <v>215</v>
      </c>
      <c r="C111" s="20" t="s">
        <v>216</v>
      </c>
      <c r="D111" s="20" t="s">
        <v>1203</v>
      </c>
      <c r="E111" s="20" t="s">
        <v>1204</v>
      </c>
      <c r="F111" s="20" t="s">
        <v>219</v>
      </c>
      <c r="G111" s="20" t="s">
        <v>25</v>
      </c>
      <c r="H111" s="20" t="s">
        <v>26</v>
      </c>
      <c r="I111" s="20" t="s">
        <v>39</v>
      </c>
      <c r="J111" s="20" t="s">
        <v>724</v>
      </c>
      <c r="K111" s="20" t="s">
        <v>67</v>
      </c>
      <c r="L111" s="20" t="s">
        <v>724</v>
      </c>
      <c r="M111" s="21">
        <v>45971.566886574074</v>
      </c>
      <c r="N111" s="22">
        <v>45978.593402777777</v>
      </c>
      <c r="O111" s="23" t="s">
        <v>76</v>
      </c>
      <c r="P111" s="23" t="s">
        <v>77</v>
      </c>
    </row>
    <row r="112" spans="1:16" s="23" customFormat="1" ht="16.5" customHeight="1">
      <c r="A112" s="20" t="s">
        <v>1205</v>
      </c>
      <c r="B112" s="20" t="s">
        <v>215</v>
      </c>
      <c r="C112" s="20" t="s">
        <v>216</v>
      </c>
      <c r="D112" s="20" t="s">
        <v>1206</v>
      </c>
      <c r="E112" s="20" t="s">
        <v>1207</v>
      </c>
      <c r="F112" s="20" t="s">
        <v>219</v>
      </c>
      <c r="G112" s="20" t="s">
        <v>25</v>
      </c>
      <c r="H112" s="20" t="s">
        <v>26</v>
      </c>
      <c r="I112" s="20" t="s">
        <v>82</v>
      </c>
      <c r="J112" s="20" t="s">
        <v>724</v>
      </c>
      <c r="K112" s="20" t="s">
        <v>29</v>
      </c>
      <c r="L112" s="20" t="s">
        <v>724</v>
      </c>
      <c r="M112" s="21">
        <v>45971.568391203706</v>
      </c>
      <c r="N112" s="22">
        <v>45978.592731481483</v>
      </c>
      <c r="O112" s="23" t="s">
        <v>40</v>
      </c>
      <c r="P112" s="23" t="s">
        <v>41</v>
      </c>
    </row>
    <row r="113" spans="1:16" s="23" customFormat="1" ht="16.5" customHeight="1">
      <c r="A113" s="20" t="s">
        <v>1208</v>
      </c>
      <c r="B113" s="20" t="s">
        <v>215</v>
      </c>
      <c r="C113" s="20" t="s">
        <v>33</v>
      </c>
      <c r="D113" s="20" t="s">
        <v>1209</v>
      </c>
      <c r="E113" s="20" t="s">
        <v>1210</v>
      </c>
      <c r="F113" s="20" t="s">
        <v>36</v>
      </c>
      <c r="G113" s="20" t="s">
        <v>25</v>
      </c>
      <c r="H113" s="20" t="s">
        <v>26</v>
      </c>
      <c r="I113" s="20" t="s">
        <v>56</v>
      </c>
      <c r="J113" s="20" t="s">
        <v>724</v>
      </c>
      <c r="K113" s="20" t="s">
        <v>67</v>
      </c>
      <c r="L113" s="20" t="s">
        <v>724</v>
      </c>
      <c r="M113" s="21">
        <v>45971.424664351849</v>
      </c>
      <c r="N113" s="22">
        <v>45973.689606481479</v>
      </c>
      <c r="O113" s="23" t="s">
        <v>95</v>
      </c>
      <c r="P113" s="23" t="s">
        <v>56</v>
      </c>
    </row>
    <row r="114" spans="1:16" s="23" customFormat="1" ht="16.5" customHeight="1">
      <c r="A114" s="20" t="s">
        <v>1211</v>
      </c>
      <c r="B114" s="20" t="s">
        <v>215</v>
      </c>
      <c r="C114" s="20" t="s">
        <v>33</v>
      </c>
      <c r="D114" s="20" t="s">
        <v>1212</v>
      </c>
      <c r="E114" s="20" t="s">
        <v>1213</v>
      </c>
      <c r="F114" s="20" t="s">
        <v>36</v>
      </c>
      <c r="G114" s="20" t="s">
        <v>25</v>
      </c>
      <c r="H114" s="20" t="s">
        <v>26</v>
      </c>
      <c r="I114" s="20" t="s">
        <v>39</v>
      </c>
      <c r="J114" s="20" t="s">
        <v>724</v>
      </c>
      <c r="K114" s="20" t="s">
        <v>67</v>
      </c>
      <c r="L114" s="20" t="s">
        <v>724</v>
      </c>
      <c r="M114" s="21">
        <v>45971.427349537036</v>
      </c>
      <c r="N114" s="22">
        <v>45973.691319444442</v>
      </c>
      <c r="O114" s="23" t="s">
        <v>40</v>
      </c>
      <c r="P114" s="23" t="s">
        <v>41</v>
      </c>
    </row>
    <row r="115" spans="1:16" s="23" customFormat="1" ht="16.5" customHeight="1">
      <c r="A115" s="20" t="s">
        <v>1220</v>
      </c>
      <c r="B115" s="20" t="s">
        <v>215</v>
      </c>
      <c r="C115" s="20" t="s">
        <v>33</v>
      </c>
      <c r="D115" s="20" t="s">
        <v>1221</v>
      </c>
      <c r="E115" s="20" t="s">
        <v>1222</v>
      </c>
      <c r="F115" s="20" t="s">
        <v>36</v>
      </c>
      <c r="G115" s="20" t="s">
        <v>25</v>
      </c>
      <c r="H115" s="20" t="s">
        <v>26</v>
      </c>
      <c r="I115" s="20" t="s">
        <v>99</v>
      </c>
      <c r="J115" s="20" t="s">
        <v>724</v>
      </c>
      <c r="K115" s="20" t="s">
        <v>67</v>
      </c>
      <c r="L115" s="20" t="s">
        <v>724</v>
      </c>
      <c r="M115" s="21">
        <v>45971.437094907407</v>
      </c>
      <c r="N115" s="22">
        <v>45974.395740740743</v>
      </c>
      <c r="O115" s="23" t="s">
        <v>40</v>
      </c>
      <c r="P115" s="23" t="s">
        <v>41</v>
      </c>
    </row>
    <row r="116" spans="1:16" s="23" customFormat="1" ht="16.5" customHeight="1">
      <c r="A116" s="20" t="s">
        <v>455</v>
      </c>
      <c r="B116" s="20" t="s">
        <v>215</v>
      </c>
      <c r="C116" s="20" t="s">
        <v>33</v>
      </c>
      <c r="D116" s="20" t="s">
        <v>1223</v>
      </c>
      <c r="E116" s="20" t="s">
        <v>1224</v>
      </c>
      <c r="F116" s="20" t="s">
        <v>36</v>
      </c>
      <c r="G116" s="20" t="s">
        <v>25</v>
      </c>
      <c r="H116" s="20" t="s">
        <v>38</v>
      </c>
      <c r="I116" s="20" t="s">
        <v>82</v>
      </c>
      <c r="J116" s="20" t="s">
        <v>724</v>
      </c>
      <c r="K116" s="20" t="s">
        <v>29</v>
      </c>
      <c r="L116" s="20" t="s">
        <v>724</v>
      </c>
      <c r="M116" s="21">
        <v>45979.441712962966</v>
      </c>
      <c r="N116" s="22">
        <v>45980.584074074075</v>
      </c>
      <c r="O116" s="23" t="s">
        <v>126</v>
      </c>
      <c r="P116" s="23" t="s">
        <v>127</v>
      </c>
    </row>
    <row r="117" spans="1:16" s="23" customFormat="1" ht="16.5" customHeight="1">
      <c r="A117" s="20" t="s">
        <v>455</v>
      </c>
      <c r="B117" s="20" t="s">
        <v>215</v>
      </c>
      <c r="C117" s="20" t="s">
        <v>33</v>
      </c>
      <c r="D117" s="20" t="s">
        <v>1225</v>
      </c>
      <c r="E117" s="20" t="s">
        <v>1222</v>
      </c>
      <c r="F117" s="20" t="s">
        <v>36</v>
      </c>
      <c r="G117" s="20" t="s">
        <v>25</v>
      </c>
      <c r="H117" s="20" t="s">
        <v>26</v>
      </c>
      <c r="I117" s="20" t="s">
        <v>99</v>
      </c>
      <c r="J117" s="20" t="s">
        <v>724</v>
      </c>
      <c r="K117" s="20" t="s">
        <v>67</v>
      </c>
      <c r="L117" s="20" t="s">
        <v>724</v>
      </c>
      <c r="M117" s="21">
        <v>45971.4375</v>
      </c>
      <c r="N117" s="22">
        <v>45979.455462962964</v>
      </c>
      <c r="O117" s="23" t="s">
        <v>126</v>
      </c>
      <c r="P117" s="23" t="s">
        <v>127</v>
      </c>
    </row>
    <row r="118" spans="1:16" s="23" customFormat="1" ht="16.5" customHeight="1">
      <c r="A118" s="20" t="s">
        <v>1226</v>
      </c>
      <c r="B118" s="20" t="s">
        <v>215</v>
      </c>
      <c r="C118" s="20" t="s">
        <v>261</v>
      </c>
      <c r="D118" s="20" t="s">
        <v>1227</v>
      </c>
      <c r="E118" s="20" t="s">
        <v>1228</v>
      </c>
      <c r="F118" s="20" t="s">
        <v>219</v>
      </c>
      <c r="G118" s="20" t="s">
        <v>25</v>
      </c>
      <c r="H118" s="20" t="s">
        <v>26</v>
      </c>
      <c r="I118" s="20" t="s">
        <v>39</v>
      </c>
      <c r="J118" s="20" t="s">
        <v>724</v>
      </c>
      <c r="K118" s="20" t="s">
        <v>67</v>
      </c>
      <c r="L118" s="20" t="s">
        <v>724</v>
      </c>
      <c r="M118" s="21">
        <v>45971.702962962961</v>
      </c>
      <c r="N118" s="22">
        <v>45975.659004629626</v>
      </c>
      <c r="O118" s="23" t="s">
        <v>40</v>
      </c>
      <c r="P118" s="23" t="s">
        <v>41</v>
      </c>
    </row>
    <row r="119" spans="1:16" s="23" customFormat="1" ht="16.5" customHeight="1">
      <c r="A119" s="20" t="s">
        <v>1229</v>
      </c>
      <c r="B119" s="20" t="s">
        <v>215</v>
      </c>
      <c r="C119" s="20" t="s">
        <v>261</v>
      </c>
      <c r="D119" s="20" t="s">
        <v>1230</v>
      </c>
      <c r="E119" s="20" t="s">
        <v>1228</v>
      </c>
      <c r="F119" s="20" t="s">
        <v>219</v>
      </c>
      <c r="G119" s="20" t="s">
        <v>25</v>
      </c>
      <c r="H119" s="20" t="s">
        <v>38</v>
      </c>
      <c r="I119" s="20" t="s">
        <v>39</v>
      </c>
      <c r="J119" s="20" t="s">
        <v>724</v>
      </c>
      <c r="K119" s="20" t="s">
        <v>67</v>
      </c>
      <c r="L119" s="20" t="s">
        <v>724</v>
      </c>
      <c r="M119" s="21">
        <v>45971.704745370371</v>
      </c>
      <c r="N119" s="22">
        <v>45975.657685185186</v>
      </c>
      <c r="O119" s="23" t="s">
        <v>122</v>
      </c>
      <c r="P119" s="23" t="s">
        <v>39</v>
      </c>
    </row>
    <row r="120" spans="1:16" s="23" customFormat="1" ht="16.5" customHeight="1">
      <c r="A120" s="20" t="s">
        <v>1231</v>
      </c>
      <c r="B120" s="20" t="s">
        <v>215</v>
      </c>
      <c r="C120" s="20" t="s">
        <v>261</v>
      </c>
      <c r="D120" s="20" t="s">
        <v>1232</v>
      </c>
      <c r="E120" s="20" t="s">
        <v>1233</v>
      </c>
      <c r="F120" s="20" t="s">
        <v>219</v>
      </c>
      <c r="G120" s="20" t="s">
        <v>25</v>
      </c>
      <c r="H120" s="20" t="s">
        <v>38</v>
      </c>
      <c r="I120" s="20" t="s">
        <v>39</v>
      </c>
      <c r="J120" s="20" t="s">
        <v>724</v>
      </c>
      <c r="K120" s="20" t="s">
        <v>67</v>
      </c>
      <c r="L120" s="20" t="s">
        <v>724</v>
      </c>
      <c r="M120" s="21">
        <v>45971.705763888887</v>
      </c>
      <c r="N120" s="22">
        <v>45975.660902777781</v>
      </c>
      <c r="O120" s="23" t="s">
        <v>76</v>
      </c>
      <c r="P120" s="23" t="s">
        <v>77</v>
      </c>
    </row>
    <row r="121" spans="1:16" s="23" customFormat="1" ht="16.5" customHeight="1">
      <c r="A121" s="20" t="s">
        <v>1234</v>
      </c>
      <c r="B121" s="20" t="s">
        <v>215</v>
      </c>
      <c r="C121" s="20" t="s">
        <v>261</v>
      </c>
      <c r="D121" s="20" t="s">
        <v>1235</v>
      </c>
      <c r="E121" s="20" t="s">
        <v>1228</v>
      </c>
      <c r="F121" s="20" t="s">
        <v>219</v>
      </c>
      <c r="G121" s="20" t="s">
        <v>25</v>
      </c>
      <c r="H121" s="20" t="s">
        <v>38</v>
      </c>
      <c r="I121" s="20" t="s">
        <v>39</v>
      </c>
      <c r="J121" s="20" t="s">
        <v>724</v>
      </c>
      <c r="K121" s="20" t="s">
        <v>67</v>
      </c>
      <c r="L121" s="20" t="s">
        <v>724</v>
      </c>
      <c r="M121" s="21">
        <v>45971.706736111111</v>
      </c>
      <c r="N121" s="22">
        <v>45975.654120370367</v>
      </c>
      <c r="O121" s="23" t="s">
        <v>76</v>
      </c>
      <c r="P121" s="23" t="s">
        <v>77</v>
      </c>
    </row>
    <row r="122" spans="1:16" s="23" customFormat="1" ht="16.5" customHeight="1">
      <c r="A122" s="20" t="s">
        <v>1236</v>
      </c>
      <c r="B122" s="20" t="s">
        <v>215</v>
      </c>
      <c r="C122" s="20" t="s">
        <v>261</v>
      </c>
      <c r="D122" s="20" t="s">
        <v>1237</v>
      </c>
      <c r="E122" s="20" t="s">
        <v>1238</v>
      </c>
      <c r="F122" s="20" t="s">
        <v>219</v>
      </c>
      <c r="G122" s="20" t="s">
        <v>25</v>
      </c>
      <c r="H122" s="20" t="s">
        <v>148</v>
      </c>
      <c r="I122" s="20" t="s">
        <v>27</v>
      </c>
      <c r="J122" s="20" t="s">
        <v>724</v>
      </c>
      <c r="K122" s="20" t="s">
        <v>67</v>
      </c>
      <c r="L122" s="20" t="s">
        <v>724</v>
      </c>
      <c r="M122" s="21">
        <v>45971.71292824074</v>
      </c>
      <c r="N122" s="22">
        <v>45974.451516203706</v>
      </c>
      <c r="O122" s="23" t="s">
        <v>122</v>
      </c>
      <c r="P122" s="23" t="s">
        <v>39</v>
      </c>
    </row>
    <row r="123" spans="1:16" s="23" customFormat="1" ht="16.5" customHeight="1">
      <c r="A123" s="20" t="s">
        <v>1239</v>
      </c>
      <c r="B123" s="20" t="s">
        <v>215</v>
      </c>
      <c r="C123" s="20" t="s">
        <v>261</v>
      </c>
      <c r="D123" s="20" t="s">
        <v>1240</v>
      </c>
      <c r="E123" s="20" t="s">
        <v>1241</v>
      </c>
      <c r="F123" s="20" t="s">
        <v>219</v>
      </c>
      <c r="G123" s="20" t="s">
        <v>25</v>
      </c>
      <c r="H123" s="20" t="s">
        <v>26</v>
      </c>
      <c r="I123" s="20" t="s">
        <v>82</v>
      </c>
      <c r="J123" s="20" t="s">
        <v>724</v>
      </c>
      <c r="K123" s="20" t="s">
        <v>29</v>
      </c>
      <c r="L123" s="20" t="s">
        <v>724</v>
      </c>
      <c r="M123" s="21">
        <v>45971.47859953704</v>
      </c>
      <c r="N123" s="22">
        <v>45975.650879629633</v>
      </c>
      <c r="O123" s="23" t="s">
        <v>419</v>
      </c>
      <c r="P123" s="23" t="s">
        <v>66</v>
      </c>
    </row>
    <row r="124" spans="1:16" s="23" customFormat="1" ht="16.5" customHeight="1">
      <c r="A124" s="20" t="s">
        <v>1242</v>
      </c>
      <c r="B124" s="20" t="s">
        <v>215</v>
      </c>
      <c r="C124" s="20" t="s">
        <v>261</v>
      </c>
      <c r="D124" s="20" t="s">
        <v>1243</v>
      </c>
      <c r="E124" s="20" t="s">
        <v>1244</v>
      </c>
      <c r="F124" s="20" t="s">
        <v>219</v>
      </c>
      <c r="G124" s="20" t="s">
        <v>25</v>
      </c>
      <c r="H124" s="20" t="s">
        <v>26</v>
      </c>
      <c r="I124" s="20" t="s">
        <v>82</v>
      </c>
      <c r="J124" s="20" t="s">
        <v>724</v>
      </c>
      <c r="K124" s="20" t="s">
        <v>67</v>
      </c>
      <c r="L124" s="20" t="s">
        <v>724</v>
      </c>
      <c r="M124" s="21">
        <v>45971.481423611112</v>
      </c>
      <c r="N124" s="22">
        <v>45978.614317129628</v>
      </c>
      <c r="O124" s="23" t="s">
        <v>57</v>
      </c>
      <c r="P124" s="23" t="s">
        <v>58</v>
      </c>
    </row>
    <row r="125" spans="1:16" s="23" customFormat="1" ht="16.5" customHeight="1">
      <c r="A125" s="20" t="s">
        <v>1245</v>
      </c>
      <c r="B125" s="20" t="s">
        <v>215</v>
      </c>
      <c r="C125" s="20" t="s">
        <v>261</v>
      </c>
      <c r="D125" s="20" t="s">
        <v>1246</v>
      </c>
      <c r="E125" s="20" t="s">
        <v>1247</v>
      </c>
      <c r="F125" s="20" t="s">
        <v>219</v>
      </c>
      <c r="G125" s="20" t="s">
        <v>25</v>
      </c>
      <c r="H125" s="20" t="s">
        <v>26</v>
      </c>
      <c r="I125" s="20" t="s">
        <v>82</v>
      </c>
      <c r="J125" s="20" t="s">
        <v>724</v>
      </c>
      <c r="K125" s="20" t="s">
        <v>67</v>
      </c>
      <c r="L125" s="20" t="s">
        <v>724</v>
      </c>
      <c r="M125" s="21">
        <v>45971.483263888891</v>
      </c>
      <c r="N125" s="22">
        <v>45975.651122685187</v>
      </c>
      <c r="O125" s="23" t="s">
        <v>40</v>
      </c>
      <c r="P125" s="23" t="s">
        <v>41</v>
      </c>
    </row>
    <row r="126" spans="1:16" s="23" customFormat="1" ht="16.5" customHeight="1">
      <c r="A126" s="20" t="s">
        <v>1248</v>
      </c>
      <c r="B126" s="20" t="s">
        <v>215</v>
      </c>
      <c r="C126" s="20" t="s">
        <v>261</v>
      </c>
      <c r="D126" s="20" t="s">
        <v>1249</v>
      </c>
      <c r="E126" s="20" t="s">
        <v>1250</v>
      </c>
      <c r="F126" s="20" t="s">
        <v>219</v>
      </c>
      <c r="G126" s="20" t="s">
        <v>25</v>
      </c>
      <c r="H126" s="20" t="s">
        <v>26</v>
      </c>
      <c r="I126" s="20" t="s">
        <v>82</v>
      </c>
      <c r="J126" s="20" t="s">
        <v>724</v>
      </c>
      <c r="K126" s="20" t="s">
        <v>67</v>
      </c>
      <c r="L126" s="20" t="s">
        <v>724</v>
      </c>
      <c r="M126" s="21">
        <v>45971.576574074075</v>
      </c>
      <c r="N126" s="22">
        <v>45978.622511574074</v>
      </c>
      <c r="O126" s="23" t="s">
        <v>95</v>
      </c>
      <c r="P126" s="23" t="s">
        <v>56</v>
      </c>
    </row>
    <row r="127" spans="1:16" s="23" customFormat="1" ht="16.5" customHeight="1">
      <c r="A127" s="20" t="s">
        <v>1251</v>
      </c>
      <c r="B127" s="20" t="s">
        <v>215</v>
      </c>
      <c r="C127" s="20" t="s">
        <v>261</v>
      </c>
      <c r="D127" s="20" t="s">
        <v>1252</v>
      </c>
      <c r="E127" s="20" t="s">
        <v>1250</v>
      </c>
      <c r="F127" s="20" t="s">
        <v>219</v>
      </c>
      <c r="G127" s="20" t="s">
        <v>25</v>
      </c>
      <c r="H127" s="20" t="s">
        <v>26</v>
      </c>
      <c r="I127" s="20" t="s">
        <v>82</v>
      </c>
      <c r="J127" s="20" t="s">
        <v>724</v>
      </c>
      <c r="K127" s="20" t="s">
        <v>67</v>
      </c>
      <c r="L127" s="20" t="s">
        <v>724</v>
      </c>
      <c r="M127" s="21">
        <v>45971.58048611111</v>
      </c>
      <c r="N127" s="22">
        <v>45978.623935185184</v>
      </c>
      <c r="O127" s="23" t="s">
        <v>40</v>
      </c>
      <c r="P127" s="23" t="s">
        <v>41</v>
      </c>
    </row>
    <row r="128" spans="1:16" s="23" customFormat="1" ht="16.5" customHeight="1">
      <c r="A128" s="20" t="s">
        <v>1253</v>
      </c>
      <c r="B128" s="20" t="s">
        <v>215</v>
      </c>
      <c r="C128" s="20" t="s">
        <v>261</v>
      </c>
      <c r="D128" s="20" t="s">
        <v>1254</v>
      </c>
      <c r="E128" s="20" t="s">
        <v>1255</v>
      </c>
      <c r="F128" s="20" t="s">
        <v>219</v>
      </c>
      <c r="G128" s="20" t="s">
        <v>25</v>
      </c>
      <c r="H128" s="20" t="s">
        <v>26</v>
      </c>
      <c r="I128" s="20" t="s">
        <v>520</v>
      </c>
      <c r="J128" s="20" t="s">
        <v>724</v>
      </c>
      <c r="K128" s="20" t="s">
        <v>29</v>
      </c>
      <c r="L128" s="20" t="s">
        <v>724</v>
      </c>
      <c r="M128" s="21">
        <v>45971.616979166669</v>
      </c>
      <c r="N128" s="22">
        <v>45974.383402777778</v>
      </c>
      <c r="O128" s="23" t="s">
        <v>40</v>
      </c>
      <c r="P128" s="23" t="s">
        <v>41</v>
      </c>
    </row>
    <row r="129" spans="1:16" s="23" customFormat="1" ht="16.5" customHeight="1">
      <c r="A129" s="20" t="s">
        <v>1256</v>
      </c>
      <c r="B129" s="20" t="s">
        <v>215</v>
      </c>
      <c r="C129" s="20" t="s">
        <v>261</v>
      </c>
      <c r="D129" s="20" t="s">
        <v>1257</v>
      </c>
      <c r="E129" s="20" t="s">
        <v>1258</v>
      </c>
      <c r="F129" s="20" t="s">
        <v>219</v>
      </c>
      <c r="G129" s="20" t="s">
        <v>25</v>
      </c>
      <c r="H129" s="20" t="s">
        <v>26</v>
      </c>
      <c r="I129" s="20" t="s">
        <v>82</v>
      </c>
      <c r="J129" s="20" t="s">
        <v>724</v>
      </c>
      <c r="K129" s="20" t="s">
        <v>67</v>
      </c>
      <c r="L129" s="20" t="s">
        <v>724</v>
      </c>
      <c r="M129" s="21">
        <v>45971.642997685187</v>
      </c>
      <c r="N129" s="22">
        <v>45975.661608796298</v>
      </c>
      <c r="O129" s="23" t="s">
        <v>126</v>
      </c>
      <c r="P129" s="23" t="s">
        <v>127</v>
      </c>
    </row>
    <row r="130" spans="1:16" s="23" customFormat="1" ht="16.5" customHeight="1">
      <c r="A130" s="20" t="s">
        <v>1262</v>
      </c>
      <c r="B130" s="20" t="s">
        <v>215</v>
      </c>
      <c r="C130" s="20" t="s">
        <v>974</v>
      </c>
      <c r="D130" s="20" t="s">
        <v>1263</v>
      </c>
      <c r="E130" s="20" t="s">
        <v>1264</v>
      </c>
      <c r="F130" s="20" t="s">
        <v>23</v>
      </c>
      <c r="G130" s="20" t="s">
        <v>25</v>
      </c>
      <c r="H130" s="20" t="s">
        <v>38</v>
      </c>
      <c r="I130" s="20" t="s">
        <v>82</v>
      </c>
      <c r="J130" s="20" t="s">
        <v>724</v>
      </c>
      <c r="K130" s="20" t="s">
        <v>29</v>
      </c>
      <c r="L130" s="20" t="s">
        <v>724</v>
      </c>
      <c r="M130" s="21">
        <v>45973.456180555557</v>
      </c>
      <c r="N130" s="22">
        <v>45973.66914351852</v>
      </c>
      <c r="O130" s="23" t="s">
        <v>68</v>
      </c>
      <c r="P130" s="23" t="s">
        <v>69</v>
      </c>
    </row>
    <row r="131" spans="1:16" s="23" customFormat="1" ht="16.5" customHeight="1">
      <c r="A131" s="20" t="s">
        <v>1274</v>
      </c>
      <c r="B131" s="20" t="s">
        <v>215</v>
      </c>
      <c r="C131" s="20" t="s">
        <v>261</v>
      </c>
      <c r="D131" s="20" t="s">
        <v>1275</v>
      </c>
      <c r="E131" s="20" t="s">
        <v>1276</v>
      </c>
      <c r="F131" s="20" t="s">
        <v>219</v>
      </c>
      <c r="G131" s="20" t="s">
        <v>25</v>
      </c>
      <c r="H131" s="20" t="s">
        <v>26</v>
      </c>
      <c r="I131" s="20" t="s">
        <v>82</v>
      </c>
      <c r="J131" s="20" t="s">
        <v>724</v>
      </c>
      <c r="K131" s="20" t="s">
        <v>29</v>
      </c>
      <c r="L131" s="20" t="s">
        <v>724</v>
      </c>
      <c r="M131" s="21">
        <v>45978.636053240742</v>
      </c>
      <c r="N131" s="22">
        <v>45987.566817129627</v>
      </c>
      <c r="O131" s="23" t="s">
        <v>40</v>
      </c>
      <c r="P131" s="23" t="s">
        <v>41</v>
      </c>
    </row>
    <row r="132" spans="1:16" s="23" customFormat="1" ht="16.5" customHeight="1">
      <c r="A132" s="20" t="s">
        <v>1274</v>
      </c>
      <c r="B132" s="20" t="s">
        <v>215</v>
      </c>
      <c r="C132" s="20" t="s">
        <v>261</v>
      </c>
      <c r="D132" s="20" t="s">
        <v>1277</v>
      </c>
      <c r="E132" s="20" t="s">
        <v>1278</v>
      </c>
      <c r="F132" s="20" t="s">
        <v>219</v>
      </c>
      <c r="G132" s="20" t="s">
        <v>25</v>
      </c>
      <c r="H132" s="20" t="s">
        <v>26</v>
      </c>
      <c r="I132" s="20" t="s">
        <v>82</v>
      </c>
      <c r="J132" s="20" t="s">
        <v>724</v>
      </c>
      <c r="K132" s="20" t="s">
        <v>67</v>
      </c>
      <c r="L132" s="20" t="s">
        <v>724</v>
      </c>
      <c r="M132" s="21">
        <v>45971.656631944446</v>
      </c>
      <c r="N132" s="22">
        <v>45975.660104166665</v>
      </c>
      <c r="O132" s="23" t="s">
        <v>40</v>
      </c>
      <c r="P132" s="23" t="s">
        <v>41</v>
      </c>
    </row>
    <row r="133" spans="1:16" s="23" customFormat="1" ht="16.5" customHeight="1">
      <c r="A133" s="20" t="s">
        <v>1279</v>
      </c>
      <c r="B133" s="20" t="s">
        <v>215</v>
      </c>
      <c r="C133" s="20" t="s">
        <v>261</v>
      </c>
      <c r="D133" s="20" t="s">
        <v>1280</v>
      </c>
      <c r="E133" s="20" t="s">
        <v>1281</v>
      </c>
      <c r="F133" s="20" t="s">
        <v>219</v>
      </c>
      <c r="G133" s="20" t="s">
        <v>25</v>
      </c>
      <c r="H133" s="20" t="s">
        <v>26</v>
      </c>
      <c r="I133" s="20" t="s">
        <v>39</v>
      </c>
      <c r="J133" s="20" t="s">
        <v>724</v>
      </c>
      <c r="K133" s="20" t="s">
        <v>67</v>
      </c>
      <c r="L133" s="20" t="s">
        <v>724</v>
      </c>
      <c r="M133" s="21">
        <v>45971.68173611111</v>
      </c>
      <c r="N133" s="22">
        <v>45975.660567129627</v>
      </c>
      <c r="O133" s="23" t="s">
        <v>122</v>
      </c>
      <c r="P133" s="23" t="s">
        <v>39</v>
      </c>
    </row>
    <row r="134" spans="1:16" s="23" customFormat="1" ht="16.5" customHeight="1">
      <c r="A134" s="20" t="s">
        <v>1282</v>
      </c>
      <c r="B134" s="20" t="s">
        <v>215</v>
      </c>
      <c r="C134" s="20" t="s">
        <v>184</v>
      </c>
      <c r="D134" s="20" t="s">
        <v>1283</v>
      </c>
      <c r="E134" s="20" t="s">
        <v>1284</v>
      </c>
      <c r="F134" s="20" t="s">
        <v>187</v>
      </c>
      <c r="G134" s="20" t="s">
        <v>25</v>
      </c>
      <c r="H134" s="20" t="s">
        <v>26</v>
      </c>
      <c r="I134" s="20" t="s">
        <v>82</v>
      </c>
      <c r="J134" s="20" t="s">
        <v>724</v>
      </c>
      <c r="K134" s="20" t="s">
        <v>29</v>
      </c>
      <c r="L134" s="20" t="s">
        <v>724</v>
      </c>
      <c r="M134" s="21">
        <v>45971.587858796294</v>
      </c>
      <c r="N134" s="22">
        <v>45975.549560185187</v>
      </c>
      <c r="O134" s="23" t="s">
        <v>76</v>
      </c>
      <c r="P134" s="23" t="s">
        <v>77</v>
      </c>
    </row>
    <row r="135" spans="1:16" s="23" customFormat="1" ht="16.5" customHeight="1">
      <c r="A135" s="20" t="s">
        <v>1285</v>
      </c>
      <c r="B135" s="20" t="s">
        <v>215</v>
      </c>
      <c r="C135" s="20" t="s">
        <v>184</v>
      </c>
      <c r="D135" s="20" t="s">
        <v>1286</v>
      </c>
      <c r="E135" s="20" t="s">
        <v>1287</v>
      </c>
      <c r="F135" s="20" t="s">
        <v>187</v>
      </c>
      <c r="G135" s="20" t="s">
        <v>25</v>
      </c>
      <c r="H135" s="20" t="s">
        <v>38</v>
      </c>
      <c r="I135" s="20" t="s">
        <v>39</v>
      </c>
      <c r="J135" s="20" t="s">
        <v>724</v>
      </c>
      <c r="K135" s="20" t="s">
        <v>29</v>
      </c>
      <c r="L135" s="20" t="s">
        <v>724</v>
      </c>
      <c r="M135" s="21">
        <v>45971.594386574077</v>
      </c>
      <c r="N135" s="22">
        <v>45975.549247685187</v>
      </c>
      <c r="O135" s="23" t="s">
        <v>76</v>
      </c>
      <c r="P135" s="23" t="s">
        <v>77</v>
      </c>
    </row>
    <row r="136" spans="1:16" s="23" customFormat="1" ht="16.5" customHeight="1">
      <c r="A136" s="20" t="s">
        <v>1294</v>
      </c>
      <c r="B136" s="20" t="s">
        <v>215</v>
      </c>
      <c r="C136" s="20" t="s">
        <v>184</v>
      </c>
      <c r="D136" s="20" t="s">
        <v>1295</v>
      </c>
      <c r="E136" s="20" t="s">
        <v>1296</v>
      </c>
      <c r="F136" s="20" t="s">
        <v>187</v>
      </c>
      <c r="G136" s="20" t="s">
        <v>25</v>
      </c>
      <c r="H136" s="20" t="s">
        <v>38</v>
      </c>
      <c r="I136" s="20" t="s">
        <v>27</v>
      </c>
      <c r="J136" s="20" t="s">
        <v>724</v>
      </c>
      <c r="K136" s="20" t="s">
        <v>29</v>
      </c>
      <c r="L136" s="20" t="s">
        <v>724</v>
      </c>
      <c r="M136" s="21">
        <v>45841.468206018515</v>
      </c>
      <c r="N136" s="22">
        <v>45887.433263888888</v>
      </c>
      <c r="O136" s="23" t="s">
        <v>76</v>
      </c>
      <c r="P136" s="23" t="s">
        <v>77</v>
      </c>
    </row>
    <row r="137" spans="1:16" s="23" customFormat="1" ht="16.5" customHeight="1">
      <c r="A137" s="20" t="s">
        <v>1297</v>
      </c>
      <c r="B137" s="20" t="s">
        <v>215</v>
      </c>
      <c r="C137" s="20" t="s">
        <v>184</v>
      </c>
      <c r="D137" s="20" t="s">
        <v>1298</v>
      </c>
      <c r="E137" s="20" t="s">
        <v>1299</v>
      </c>
      <c r="F137" s="20" t="s">
        <v>187</v>
      </c>
      <c r="G137" s="20" t="s">
        <v>25</v>
      </c>
      <c r="H137" s="20" t="s">
        <v>38</v>
      </c>
      <c r="I137" s="20" t="s">
        <v>99</v>
      </c>
      <c r="J137" s="20" t="s">
        <v>724</v>
      </c>
      <c r="K137" s="20" t="s">
        <v>29</v>
      </c>
      <c r="L137" s="20" t="s">
        <v>724</v>
      </c>
      <c r="M137" s="21">
        <v>45841.47320601852</v>
      </c>
      <c r="N137" s="22">
        <v>45889.446828703702</v>
      </c>
      <c r="O137" s="23" t="s">
        <v>122</v>
      </c>
      <c r="P137" s="23" t="s">
        <v>39</v>
      </c>
    </row>
    <row r="138" spans="1:16" s="23" customFormat="1" ht="16.5" customHeight="1">
      <c r="A138" s="20" t="s">
        <v>1300</v>
      </c>
      <c r="B138" s="20" t="s">
        <v>215</v>
      </c>
      <c r="C138" s="20" t="s">
        <v>184</v>
      </c>
      <c r="D138" s="20" t="s">
        <v>1301</v>
      </c>
      <c r="E138" s="20" t="s">
        <v>1302</v>
      </c>
      <c r="F138" s="20" t="s">
        <v>187</v>
      </c>
      <c r="G138" s="20" t="s">
        <v>25</v>
      </c>
      <c r="H138" s="20" t="s">
        <v>38</v>
      </c>
      <c r="I138" s="20" t="s">
        <v>99</v>
      </c>
      <c r="J138" s="20" t="s">
        <v>724</v>
      </c>
      <c r="K138" s="20" t="s">
        <v>29</v>
      </c>
      <c r="L138" s="20" t="s">
        <v>724</v>
      </c>
      <c r="M138" s="21">
        <v>45841.478518518517</v>
      </c>
      <c r="N138" s="22">
        <v>45887.433668981481</v>
      </c>
      <c r="O138" s="23" t="s">
        <v>122</v>
      </c>
      <c r="P138" s="23" t="s">
        <v>39</v>
      </c>
    </row>
    <row r="139" spans="1:16" s="23" customFormat="1" ht="16.5" customHeight="1">
      <c r="A139" s="20" t="s">
        <v>1303</v>
      </c>
      <c r="B139" s="20" t="s">
        <v>215</v>
      </c>
      <c r="C139" s="20" t="s">
        <v>184</v>
      </c>
      <c r="D139" s="20" t="s">
        <v>1304</v>
      </c>
      <c r="E139" s="20" t="s">
        <v>1305</v>
      </c>
      <c r="F139" s="20" t="s">
        <v>187</v>
      </c>
      <c r="G139" s="20" t="s">
        <v>25</v>
      </c>
      <c r="H139" s="20" t="s">
        <v>26</v>
      </c>
      <c r="I139" s="20" t="s">
        <v>39</v>
      </c>
      <c r="J139" s="20" t="s">
        <v>724</v>
      </c>
      <c r="K139" s="20" t="s">
        <v>67</v>
      </c>
      <c r="L139" s="20" t="s">
        <v>724</v>
      </c>
      <c r="M139" s="21">
        <v>45972.551412037035</v>
      </c>
      <c r="N139" s="22">
        <v>45975.475092592591</v>
      </c>
      <c r="O139" s="23" t="s">
        <v>95</v>
      </c>
      <c r="P139" s="23" t="s">
        <v>56</v>
      </c>
    </row>
    <row r="140" spans="1:16" s="23" customFormat="1" ht="16.5" customHeight="1">
      <c r="A140" s="20" t="s">
        <v>1306</v>
      </c>
      <c r="B140" s="20" t="s">
        <v>215</v>
      </c>
      <c r="C140" s="20" t="s">
        <v>184</v>
      </c>
      <c r="D140" s="20" t="s">
        <v>1307</v>
      </c>
      <c r="E140" s="20" t="s">
        <v>1308</v>
      </c>
      <c r="F140" s="20" t="s">
        <v>187</v>
      </c>
      <c r="G140" s="20" t="s">
        <v>25</v>
      </c>
      <c r="H140" s="20" t="s">
        <v>26</v>
      </c>
      <c r="I140" s="20" t="s">
        <v>39</v>
      </c>
      <c r="J140" s="20" t="s">
        <v>724</v>
      </c>
      <c r="K140" s="20" t="s">
        <v>67</v>
      </c>
      <c r="L140" s="20" t="s">
        <v>724</v>
      </c>
      <c r="M140" s="21">
        <v>45972.585972222223</v>
      </c>
      <c r="N140" s="22">
        <v>45975.549687500003</v>
      </c>
      <c r="O140" s="23" t="s">
        <v>419</v>
      </c>
      <c r="P140" s="23" t="s">
        <v>66</v>
      </c>
    </row>
    <row r="141" spans="1:16" s="23" customFormat="1" ht="16.5" customHeight="1">
      <c r="A141" s="20" t="s">
        <v>1314</v>
      </c>
      <c r="B141" s="20" t="s">
        <v>215</v>
      </c>
      <c r="C141" s="20" t="s">
        <v>301</v>
      </c>
      <c r="D141" s="20" t="s">
        <v>1315</v>
      </c>
      <c r="E141" s="20" t="s">
        <v>1316</v>
      </c>
      <c r="F141" s="20" t="s">
        <v>269</v>
      </c>
      <c r="G141" s="20" t="s">
        <v>116</v>
      </c>
      <c r="H141" s="20" t="s">
        <v>26</v>
      </c>
      <c r="I141" s="20" t="s">
        <v>82</v>
      </c>
      <c r="J141" s="20" t="s">
        <v>724</v>
      </c>
      <c r="K141" s="20" t="s">
        <v>29</v>
      </c>
      <c r="L141" s="20" t="s">
        <v>724</v>
      </c>
      <c r="M141" s="21">
        <v>45973.468287037038</v>
      </c>
      <c r="N141" s="22">
        <v>45973.704942129632</v>
      </c>
      <c r="O141" s="23" t="s">
        <v>76</v>
      </c>
      <c r="P141" s="23" t="s">
        <v>77</v>
      </c>
    </row>
    <row r="142" spans="1:16" s="23" customFormat="1" ht="16.5" customHeight="1">
      <c r="A142" s="20" t="s">
        <v>1317</v>
      </c>
      <c r="B142" s="20" t="s">
        <v>215</v>
      </c>
      <c r="C142" s="20" t="s">
        <v>266</v>
      </c>
      <c r="D142" s="20" t="s">
        <v>1318</v>
      </c>
      <c r="E142" s="20" t="s">
        <v>1319</v>
      </c>
      <c r="F142" s="20" t="s">
        <v>269</v>
      </c>
      <c r="G142" s="20" t="s">
        <v>116</v>
      </c>
      <c r="H142" s="20" t="s">
        <v>26</v>
      </c>
      <c r="I142" s="20" t="s">
        <v>39</v>
      </c>
      <c r="J142" s="20" t="s">
        <v>724</v>
      </c>
      <c r="K142" s="20" t="s">
        <v>67</v>
      </c>
      <c r="L142" s="20" t="s">
        <v>724</v>
      </c>
      <c r="M142" s="21">
        <v>45974.423993055556</v>
      </c>
      <c r="N142" s="22">
        <v>45974.65111111111</v>
      </c>
      <c r="O142" s="23" t="s">
        <v>57</v>
      </c>
      <c r="P142" s="23" t="s">
        <v>58</v>
      </c>
    </row>
    <row r="143" spans="1:16" s="23" customFormat="1" ht="16.5" customHeight="1">
      <c r="A143" s="20" t="s">
        <v>1317</v>
      </c>
      <c r="B143" s="20" t="s">
        <v>215</v>
      </c>
      <c r="C143" s="20" t="s">
        <v>266</v>
      </c>
      <c r="D143" s="20" t="s">
        <v>1320</v>
      </c>
      <c r="E143" s="20" t="s">
        <v>1321</v>
      </c>
      <c r="F143" s="20" t="s">
        <v>269</v>
      </c>
      <c r="G143" s="20" t="s">
        <v>116</v>
      </c>
      <c r="H143" s="20" t="s">
        <v>26</v>
      </c>
      <c r="I143" s="20" t="s">
        <v>39</v>
      </c>
      <c r="J143" s="20" t="s">
        <v>724</v>
      </c>
      <c r="K143" s="20" t="s">
        <v>67</v>
      </c>
      <c r="L143" s="20" t="s">
        <v>724</v>
      </c>
      <c r="M143" s="21">
        <v>45972.459166666667</v>
      </c>
      <c r="N143" s="22">
        <v>45974.650891203702</v>
      </c>
      <c r="O143" s="23" t="s">
        <v>479</v>
      </c>
      <c r="P143" s="23" t="s">
        <v>480</v>
      </c>
    </row>
    <row r="144" spans="1:16" s="23" customFormat="1" ht="16.5" customHeight="1">
      <c r="A144" s="20" t="s">
        <v>1328</v>
      </c>
      <c r="B144" s="20" t="s">
        <v>215</v>
      </c>
      <c r="C144" s="20" t="s">
        <v>46</v>
      </c>
      <c r="D144" s="20" t="s">
        <v>1329</v>
      </c>
      <c r="E144" s="20" t="s">
        <v>1330</v>
      </c>
      <c r="F144" s="20" t="s">
        <v>49</v>
      </c>
      <c r="G144" s="20" t="s">
        <v>116</v>
      </c>
      <c r="H144" s="20" t="s">
        <v>26</v>
      </c>
      <c r="I144" s="20" t="s">
        <v>39</v>
      </c>
      <c r="J144" s="20" t="s">
        <v>724</v>
      </c>
      <c r="K144" s="20" t="s">
        <v>29</v>
      </c>
      <c r="L144" s="20" t="s">
        <v>724</v>
      </c>
      <c r="M144" s="21">
        <v>45971.743379629632</v>
      </c>
      <c r="N144" s="22">
        <v>45975.608611111114</v>
      </c>
      <c r="O144" s="23" t="s">
        <v>479</v>
      </c>
      <c r="P144" s="23" t="s">
        <v>480</v>
      </c>
    </row>
    <row r="145" spans="1:16" s="23" customFormat="1" ht="16.5" customHeight="1">
      <c r="A145" s="20" t="s">
        <v>1331</v>
      </c>
      <c r="B145" s="20" t="s">
        <v>215</v>
      </c>
      <c r="C145" s="20" t="s">
        <v>46</v>
      </c>
      <c r="D145" s="20" t="s">
        <v>1332</v>
      </c>
      <c r="E145" s="20" t="s">
        <v>1333</v>
      </c>
      <c r="F145" s="20" t="s">
        <v>49</v>
      </c>
      <c r="G145" s="20" t="s">
        <v>116</v>
      </c>
      <c r="H145" s="20" t="s">
        <v>26</v>
      </c>
      <c r="I145" s="20" t="s">
        <v>39</v>
      </c>
      <c r="J145" s="20" t="s">
        <v>724</v>
      </c>
      <c r="K145" s="20" t="s">
        <v>67</v>
      </c>
      <c r="L145" s="20" t="s">
        <v>724</v>
      </c>
      <c r="M145" s="21">
        <v>45972.564525462964</v>
      </c>
      <c r="N145" s="22">
        <v>45975.622997685183</v>
      </c>
      <c r="O145" s="23" t="s">
        <v>57</v>
      </c>
      <c r="P145" s="23" t="s">
        <v>58</v>
      </c>
    </row>
    <row r="146" spans="1:16" s="23" customFormat="1" ht="16.5" customHeight="1">
      <c r="A146" s="20" t="s">
        <v>1337</v>
      </c>
      <c r="B146" s="20" t="s">
        <v>215</v>
      </c>
      <c r="C146" s="20" t="s">
        <v>46</v>
      </c>
      <c r="D146" s="20" t="s">
        <v>1338</v>
      </c>
      <c r="E146" s="20" t="s">
        <v>1339</v>
      </c>
      <c r="F146" s="20" t="s">
        <v>49</v>
      </c>
      <c r="G146" s="20" t="s">
        <v>116</v>
      </c>
      <c r="H146" s="20" t="s">
        <v>26</v>
      </c>
      <c r="I146" s="20" t="s">
        <v>39</v>
      </c>
      <c r="J146" s="20" t="s">
        <v>724</v>
      </c>
      <c r="K146" s="20" t="s">
        <v>67</v>
      </c>
      <c r="L146" s="20" t="s">
        <v>724</v>
      </c>
      <c r="M146" s="21">
        <v>45972.587268518517</v>
      </c>
      <c r="N146" s="22">
        <v>45975.615081018521</v>
      </c>
      <c r="O146" s="23" t="s">
        <v>419</v>
      </c>
      <c r="P146" s="23" t="s">
        <v>66</v>
      </c>
    </row>
    <row r="147" spans="1:16" s="23" customFormat="1" ht="16.5" customHeight="1">
      <c r="A147" s="20" t="s">
        <v>1343</v>
      </c>
      <c r="B147" s="20" t="s">
        <v>215</v>
      </c>
      <c r="C147" s="20" t="s">
        <v>46</v>
      </c>
      <c r="D147" s="20" t="s">
        <v>1344</v>
      </c>
      <c r="E147" s="20" t="s">
        <v>1345</v>
      </c>
      <c r="F147" s="20" t="s">
        <v>49</v>
      </c>
      <c r="G147" s="20" t="s">
        <v>116</v>
      </c>
      <c r="H147" s="20" t="s">
        <v>26</v>
      </c>
      <c r="I147" s="20" t="s">
        <v>39</v>
      </c>
      <c r="J147" s="20" t="s">
        <v>724</v>
      </c>
      <c r="K147" s="20" t="s">
        <v>29</v>
      </c>
      <c r="L147" s="20" t="s">
        <v>724</v>
      </c>
      <c r="M147" s="21">
        <v>45971.723333333335</v>
      </c>
      <c r="N147" s="22">
        <v>45978.437106481484</v>
      </c>
      <c r="O147" s="23" t="s">
        <v>76</v>
      </c>
      <c r="P147" s="23" t="s">
        <v>77</v>
      </c>
    </row>
    <row r="148" spans="1:16" s="23" customFormat="1" ht="16.5" customHeight="1">
      <c r="A148" s="20" t="s">
        <v>1346</v>
      </c>
      <c r="B148" s="20" t="s">
        <v>215</v>
      </c>
      <c r="C148" s="20" t="s">
        <v>46</v>
      </c>
      <c r="D148" s="20" t="s">
        <v>1347</v>
      </c>
      <c r="E148" s="20" t="s">
        <v>41</v>
      </c>
      <c r="F148" s="20" t="s">
        <v>49</v>
      </c>
      <c r="G148" s="20" t="s">
        <v>116</v>
      </c>
      <c r="H148" s="20" t="s">
        <v>26</v>
      </c>
      <c r="I148" s="20" t="s">
        <v>39</v>
      </c>
      <c r="J148" s="20" t="s">
        <v>724</v>
      </c>
      <c r="K148" s="20" t="s">
        <v>67</v>
      </c>
      <c r="L148" s="20" t="s">
        <v>724</v>
      </c>
      <c r="M148" s="21">
        <v>45974.448819444442</v>
      </c>
      <c r="N148" s="22">
        <v>45975.5547337963</v>
      </c>
      <c r="O148" s="23" t="s">
        <v>76</v>
      </c>
      <c r="P148" s="23" t="s">
        <v>77</v>
      </c>
    </row>
    <row r="149" spans="1:16" s="23" customFormat="1" ht="16.5" customHeight="1">
      <c r="A149" s="20" t="s">
        <v>1348</v>
      </c>
      <c r="B149" s="20" t="s">
        <v>215</v>
      </c>
      <c r="C149" s="20" t="s">
        <v>301</v>
      </c>
      <c r="D149" s="20" t="s">
        <v>1349</v>
      </c>
      <c r="E149" s="20" t="s">
        <v>886</v>
      </c>
      <c r="F149" s="20" t="s">
        <v>269</v>
      </c>
      <c r="G149" s="20" t="s">
        <v>25</v>
      </c>
      <c r="H149" s="20" t="s">
        <v>38</v>
      </c>
      <c r="I149" s="20" t="s">
        <v>39</v>
      </c>
      <c r="J149" s="20" t="s">
        <v>724</v>
      </c>
      <c r="K149" s="20" t="s">
        <v>29</v>
      </c>
      <c r="L149" s="20" t="s">
        <v>724</v>
      </c>
      <c r="M149" s="21">
        <v>45972.432743055557</v>
      </c>
      <c r="N149" s="22">
        <v>45974.650879629633</v>
      </c>
      <c r="O149" s="23" t="s">
        <v>419</v>
      </c>
      <c r="P149" s="23" t="s">
        <v>66</v>
      </c>
    </row>
    <row r="150" spans="1:16" s="23" customFormat="1" ht="16.5" customHeight="1">
      <c r="A150" s="20" t="s">
        <v>1348</v>
      </c>
      <c r="B150" s="20" t="s">
        <v>215</v>
      </c>
      <c r="C150" s="20" t="s">
        <v>301</v>
      </c>
      <c r="D150" s="20" t="s">
        <v>1350</v>
      </c>
      <c r="E150" s="20" t="s">
        <v>1351</v>
      </c>
      <c r="F150" s="20" t="s">
        <v>269</v>
      </c>
      <c r="G150" s="20" t="s">
        <v>25</v>
      </c>
      <c r="H150" s="20" t="s">
        <v>26</v>
      </c>
      <c r="I150" s="20" t="s">
        <v>39</v>
      </c>
      <c r="J150" s="20" t="s">
        <v>724</v>
      </c>
      <c r="K150" s="20" t="s">
        <v>29</v>
      </c>
      <c r="L150" s="20" t="s">
        <v>724</v>
      </c>
      <c r="M150" s="21">
        <v>45974.603946759256</v>
      </c>
      <c r="N150" s="22">
        <v>45975.594675925924</v>
      </c>
      <c r="O150" s="23" t="s">
        <v>40</v>
      </c>
      <c r="P150" s="23" t="s">
        <v>41</v>
      </c>
    </row>
    <row r="151" spans="1:16" s="23" customFormat="1" ht="16.5" customHeight="1">
      <c r="A151" s="20" t="s">
        <v>1360</v>
      </c>
      <c r="B151" s="20" t="s">
        <v>215</v>
      </c>
      <c r="C151" s="20" t="s">
        <v>301</v>
      </c>
      <c r="D151" s="20" t="s">
        <v>1361</v>
      </c>
      <c r="E151" s="20" t="s">
        <v>1362</v>
      </c>
      <c r="F151" s="20" t="s">
        <v>269</v>
      </c>
      <c r="G151" s="20" t="s">
        <v>25</v>
      </c>
      <c r="H151" s="20" t="s">
        <v>38</v>
      </c>
      <c r="I151" s="20" t="s">
        <v>39</v>
      </c>
      <c r="J151" s="20" t="s">
        <v>724</v>
      </c>
      <c r="K151" s="20" t="s">
        <v>29</v>
      </c>
      <c r="L151" s="20" t="s">
        <v>724</v>
      </c>
      <c r="M151" s="21">
        <v>45972.444537037038</v>
      </c>
      <c r="N151" s="22">
        <v>45973.567395833335</v>
      </c>
      <c r="O151" s="23" t="s">
        <v>126</v>
      </c>
      <c r="P151" s="23" t="s">
        <v>127</v>
      </c>
    </row>
    <row r="152" spans="1:16" s="23" customFormat="1" ht="16.5" customHeight="1">
      <c r="A152" s="20" t="s">
        <v>1373</v>
      </c>
      <c r="B152" s="20" t="s">
        <v>215</v>
      </c>
      <c r="C152" s="20" t="s">
        <v>19</v>
      </c>
      <c r="D152" s="20" t="s">
        <v>1374</v>
      </c>
      <c r="E152" s="20" t="s">
        <v>1375</v>
      </c>
      <c r="F152" s="20" t="s">
        <v>22</v>
      </c>
      <c r="G152" s="20" t="s">
        <v>25</v>
      </c>
      <c r="H152" s="20" t="s">
        <v>26</v>
      </c>
      <c r="I152" s="20" t="s">
        <v>39</v>
      </c>
      <c r="J152" s="20" t="s">
        <v>724</v>
      </c>
      <c r="K152" s="20" t="s">
        <v>67</v>
      </c>
      <c r="L152" s="20" t="s">
        <v>724</v>
      </c>
      <c r="M152" s="21">
        <v>45971.717615740738</v>
      </c>
      <c r="N152" s="22">
        <v>45975.481145833335</v>
      </c>
      <c r="O152" s="23" t="s">
        <v>76</v>
      </c>
      <c r="P152" s="23" t="s">
        <v>77</v>
      </c>
    </row>
    <row r="153" spans="1:16" s="23" customFormat="1" ht="16.5" customHeight="1">
      <c r="A153" s="20" t="s">
        <v>1376</v>
      </c>
      <c r="B153" s="20" t="s">
        <v>215</v>
      </c>
      <c r="C153" s="20" t="s">
        <v>111</v>
      </c>
      <c r="D153" s="20" t="s">
        <v>1377</v>
      </c>
      <c r="E153" s="20" t="s">
        <v>952</v>
      </c>
      <c r="F153" s="20" t="s">
        <v>114</v>
      </c>
      <c r="G153" s="20" t="s">
        <v>25</v>
      </c>
      <c r="H153" s="20" t="s">
        <v>38</v>
      </c>
      <c r="I153" s="20" t="s">
        <v>203</v>
      </c>
      <c r="J153" s="20" t="s">
        <v>724</v>
      </c>
      <c r="K153" s="20" t="s">
        <v>29</v>
      </c>
      <c r="L153" s="20" t="s">
        <v>724</v>
      </c>
      <c r="M153" s="21">
        <v>45971.684351851851</v>
      </c>
      <c r="N153" s="22">
        <v>45975.609409722223</v>
      </c>
      <c r="O153" s="23" t="s">
        <v>40</v>
      </c>
      <c r="P153" s="23" t="s">
        <v>41</v>
      </c>
    </row>
    <row r="154" spans="1:16" s="23" customFormat="1" ht="16.5" customHeight="1">
      <c r="A154" s="20" t="s">
        <v>1390</v>
      </c>
      <c r="B154" s="20" t="s">
        <v>215</v>
      </c>
      <c r="C154" s="20" t="s">
        <v>19</v>
      </c>
      <c r="D154" s="20" t="s">
        <v>1391</v>
      </c>
      <c r="E154" s="20" t="s">
        <v>1392</v>
      </c>
      <c r="F154" s="20" t="s">
        <v>22</v>
      </c>
      <c r="G154" s="20" t="s">
        <v>25</v>
      </c>
      <c r="H154" s="20" t="s">
        <v>26</v>
      </c>
      <c r="I154" s="20" t="s">
        <v>39</v>
      </c>
      <c r="J154" s="20" t="s">
        <v>724</v>
      </c>
      <c r="K154" s="20" t="s">
        <v>29</v>
      </c>
      <c r="L154" s="20" t="s">
        <v>724</v>
      </c>
      <c r="M154" s="21">
        <v>45971.608101851853</v>
      </c>
      <c r="N154" s="22">
        <v>45974.694166666668</v>
      </c>
      <c r="O154" s="23" t="s">
        <v>40</v>
      </c>
      <c r="P154" s="23" t="s">
        <v>41</v>
      </c>
    </row>
    <row r="155" spans="1:16" s="23" customFormat="1" ht="16.5" customHeight="1">
      <c r="A155" s="20" t="s">
        <v>1390</v>
      </c>
      <c r="B155" s="20" t="s">
        <v>215</v>
      </c>
      <c r="C155" s="20" t="s">
        <v>19</v>
      </c>
      <c r="D155" s="20" t="s">
        <v>1393</v>
      </c>
      <c r="E155" s="20" t="s">
        <v>1394</v>
      </c>
      <c r="F155" s="20" t="s">
        <v>22</v>
      </c>
      <c r="G155" s="20" t="s">
        <v>25</v>
      </c>
      <c r="H155" s="20" t="s">
        <v>38</v>
      </c>
      <c r="I155" s="20" t="s">
        <v>39</v>
      </c>
      <c r="J155" s="20" t="s">
        <v>724</v>
      </c>
      <c r="K155" s="20" t="s">
        <v>29</v>
      </c>
      <c r="L155" s="20" t="s">
        <v>724</v>
      </c>
      <c r="M155" s="21">
        <v>45971.610173611109</v>
      </c>
      <c r="N155" s="22">
        <v>45975.474872685183</v>
      </c>
      <c r="O155" s="23" t="s">
        <v>40</v>
      </c>
      <c r="P155" s="23" t="s">
        <v>41</v>
      </c>
    </row>
    <row r="156" spans="1:16" s="23" customFormat="1" ht="16.5" customHeight="1">
      <c r="A156" s="20" t="s">
        <v>1395</v>
      </c>
      <c r="B156" s="20" t="s">
        <v>215</v>
      </c>
      <c r="C156" s="20" t="s">
        <v>19</v>
      </c>
      <c r="D156" s="20" t="s">
        <v>1396</v>
      </c>
      <c r="E156" s="20" t="s">
        <v>1397</v>
      </c>
      <c r="F156" s="20" t="s">
        <v>22</v>
      </c>
      <c r="G156" s="20" t="s">
        <v>25</v>
      </c>
      <c r="H156" s="20" t="s">
        <v>26</v>
      </c>
      <c r="I156" s="20" t="s">
        <v>39</v>
      </c>
      <c r="J156" s="20" t="s">
        <v>724</v>
      </c>
      <c r="K156" s="20" t="s">
        <v>67</v>
      </c>
      <c r="L156" s="20" t="s">
        <v>724</v>
      </c>
      <c r="M156" s="21">
        <v>45971.648738425924</v>
      </c>
      <c r="N156" s="22">
        <v>45974.684583333335</v>
      </c>
      <c r="O156" s="23" t="s">
        <v>40</v>
      </c>
      <c r="P156" s="23" t="s">
        <v>41</v>
      </c>
    </row>
    <row r="157" spans="1:16" s="23" customFormat="1" ht="16.5" customHeight="1">
      <c r="A157" s="20" t="s">
        <v>1398</v>
      </c>
      <c r="B157" s="20" t="s">
        <v>215</v>
      </c>
      <c r="C157" s="20" t="s">
        <v>19</v>
      </c>
      <c r="D157" s="20" t="s">
        <v>1399</v>
      </c>
      <c r="E157" s="20" t="s">
        <v>1400</v>
      </c>
      <c r="F157" s="20" t="s">
        <v>22</v>
      </c>
      <c r="G157" s="20" t="s">
        <v>25</v>
      </c>
      <c r="H157" s="20" t="s">
        <v>38</v>
      </c>
      <c r="I157" s="20" t="s">
        <v>39</v>
      </c>
      <c r="J157" s="20" t="s">
        <v>724</v>
      </c>
      <c r="K157" s="20" t="s">
        <v>29</v>
      </c>
      <c r="L157" s="20" t="s">
        <v>724</v>
      </c>
      <c r="M157" s="21">
        <v>45971.651493055557</v>
      </c>
      <c r="N157" s="22">
        <v>45975.474652777775</v>
      </c>
      <c r="O157" s="23" t="s">
        <v>419</v>
      </c>
      <c r="P157" s="23" t="s">
        <v>66</v>
      </c>
    </row>
    <row r="158" spans="1:16" s="23" customFormat="1" ht="16.5" customHeight="1">
      <c r="A158" s="20" t="s">
        <v>1398</v>
      </c>
      <c r="B158" s="20" t="s">
        <v>215</v>
      </c>
      <c r="C158" s="20" t="s">
        <v>19</v>
      </c>
      <c r="D158" s="20" t="s">
        <v>1401</v>
      </c>
      <c r="E158" s="20" t="s">
        <v>1402</v>
      </c>
      <c r="F158" s="20" t="s">
        <v>22</v>
      </c>
      <c r="G158" s="20" t="s">
        <v>25</v>
      </c>
      <c r="H158" s="20" t="s">
        <v>38</v>
      </c>
      <c r="I158" s="20" t="s">
        <v>39</v>
      </c>
      <c r="J158" s="20" t="s">
        <v>724</v>
      </c>
      <c r="K158" s="20" t="s">
        <v>29</v>
      </c>
      <c r="L158" s="20" t="s">
        <v>724</v>
      </c>
      <c r="M158" s="21">
        <v>45971.654039351852</v>
      </c>
      <c r="N158" s="22">
        <v>45975.475312499999</v>
      </c>
      <c r="O158" s="23" t="s">
        <v>419</v>
      </c>
      <c r="P158" s="23" t="s">
        <v>66</v>
      </c>
    </row>
    <row r="159" spans="1:16" s="23" customFormat="1" ht="16.5" customHeight="1">
      <c r="A159" s="20" t="s">
        <v>1403</v>
      </c>
      <c r="B159" s="20" t="s">
        <v>215</v>
      </c>
      <c r="C159" s="20" t="s">
        <v>19</v>
      </c>
      <c r="D159" s="20" t="s">
        <v>1404</v>
      </c>
      <c r="E159" s="20" t="s">
        <v>1405</v>
      </c>
      <c r="F159" s="20" t="s">
        <v>22</v>
      </c>
      <c r="G159" s="20" t="s">
        <v>25</v>
      </c>
      <c r="H159" s="20" t="s">
        <v>26</v>
      </c>
      <c r="I159" s="20" t="s">
        <v>39</v>
      </c>
      <c r="J159" s="20" t="s">
        <v>724</v>
      </c>
      <c r="K159" s="20" t="s">
        <v>29</v>
      </c>
      <c r="L159" s="20" t="s">
        <v>724</v>
      </c>
      <c r="M159" s="21">
        <v>45971.670277777775</v>
      </c>
      <c r="N159" s="22">
        <v>45975.420266203706</v>
      </c>
      <c r="O159" s="23" t="s">
        <v>95</v>
      </c>
      <c r="P159" s="23" t="s">
        <v>56</v>
      </c>
    </row>
    <row r="160" spans="1:16" s="23" customFormat="1" ht="16.5" customHeight="1">
      <c r="A160" s="20" t="s">
        <v>1406</v>
      </c>
      <c r="B160" s="20" t="s">
        <v>215</v>
      </c>
      <c r="C160" s="20" t="s">
        <v>19</v>
      </c>
      <c r="D160" s="20" t="s">
        <v>1407</v>
      </c>
      <c r="E160" s="20" t="s">
        <v>1408</v>
      </c>
      <c r="F160" s="20" t="s">
        <v>22</v>
      </c>
      <c r="G160" s="20" t="s">
        <v>25</v>
      </c>
      <c r="H160" s="20" t="s">
        <v>26</v>
      </c>
      <c r="I160" s="20" t="s">
        <v>82</v>
      </c>
      <c r="J160" s="20" t="s">
        <v>724</v>
      </c>
      <c r="K160" s="20" t="s">
        <v>67</v>
      </c>
      <c r="L160" s="20" t="s">
        <v>724</v>
      </c>
      <c r="M160" s="21">
        <v>45971.682824074072</v>
      </c>
      <c r="N160" s="22">
        <v>45980.59611111111</v>
      </c>
      <c r="O160" s="23" t="s">
        <v>126</v>
      </c>
      <c r="P160" s="23" t="s">
        <v>127</v>
      </c>
    </row>
    <row r="161" spans="1:16" s="23" customFormat="1" ht="16.5" customHeight="1">
      <c r="A161" s="20" t="s">
        <v>1406</v>
      </c>
      <c r="B161" s="20" t="s">
        <v>215</v>
      </c>
      <c r="C161" s="20" t="s">
        <v>19</v>
      </c>
      <c r="D161" s="20" t="s">
        <v>1409</v>
      </c>
      <c r="E161" s="20" t="s">
        <v>1410</v>
      </c>
      <c r="F161" s="20" t="s">
        <v>22</v>
      </c>
      <c r="G161" s="20" t="s">
        <v>25</v>
      </c>
      <c r="H161" s="20" t="s">
        <v>26</v>
      </c>
      <c r="I161" s="20" t="s">
        <v>39</v>
      </c>
      <c r="J161" s="20" t="s">
        <v>724</v>
      </c>
      <c r="K161" s="20" t="s">
        <v>29</v>
      </c>
      <c r="L161" s="20" t="s">
        <v>724</v>
      </c>
      <c r="M161" s="21">
        <v>45971.684050925927</v>
      </c>
      <c r="N161" s="22">
        <v>45975.420439814814</v>
      </c>
      <c r="O161" s="23" t="s">
        <v>30</v>
      </c>
      <c r="P161" s="23" t="s">
        <v>31</v>
      </c>
    </row>
    <row r="162" spans="1:16" s="23" customFormat="1" ht="16.5" customHeight="1">
      <c r="A162" s="20" t="s">
        <v>1411</v>
      </c>
      <c r="B162" s="20" t="s">
        <v>215</v>
      </c>
      <c r="C162" s="20" t="s">
        <v>19</v>
      </c>
      <c r="D162" s="20" t="s">
        <v>1412</v>
      </c>
      <c r="E162" s="20" t="s">
        <v>1413</v>
      </c>
      <c r="F162" s="20" t="s">
        <v>22</v>
      </c>
      <c r="G162" s="20" t="s">
        <v>25</v>
      </c>
      <c r="H162" s="20" t="s">
        <v>38</v>
      </c>
      <c r="I162" s="20" t="s">
        <v>39</v>
      </c>
      <c r="J162" s="20" t="s">
        <v>724</v>
      </c>
      <c r="K162" s="20" t="s">
        <v>29</v>
      </c>
      <c r="L162" s="20" t="s">
        <v>724</v>
      </c>
      <c r="M162" s="21">
        <v>45979.744259259256</v>
      </c>
      <c r="N162" s="22">
        <v>45981.573333333334</v>
      </c>
      <c r="O162" s="23" t="s">
        <v>40</v>
      </c>
      <c r="P162" s="23" t="s">
        <v>41</v>
      </c>
    </row>
    <row r="163" spans="1:16" s="23" customFormat="1" ht="16.5" customHeight="1">
      <c r="A163" s="20" t="s">
        <v>1411</v>
      </c>
      <c r="B163" s="20" t="s">
        <v>215</v>
      </c>
      <c r="C163" s="20" t="s">
        <v>19</v>
      </c>
      <c r="D163" s="20" t="s">
        <v>1414</v>
      </c>
      <c r="E163" s="20" t="s">
        <v>1415</v>
      </c>
      <c r="F163" s="20" t="s">
        <v>22</v>
      </c>
      <c r="G163" s="20" t="s">
        <v>25</v>
      </c>
      <c r="H163" s="20" t="s">
        <v>38</v>
      </c>
      <c r="I163" s="20" t="s">
        <v>27</v>
      </c>
      <c r="J163" s="20" t="s">
        <v>724</v>
      </c>
      <c r="K163" s="20" t="s">
        <v>29</v>
      </c>
      <c r="L163" s="20" t="s">
        <v>724</v>
      </c>
      <c r="M163" s="21">
        <v>45979.745381944442</v>
      </c>
      <c r="N163" s="22">
        <v>45981.573657407411</v>
      </c>
      <c r="O163" s="23" t="s">
        <v>126</v>
      </c>
      <c r="P163" s="23" t="s">
        <v>127</v>
      </c>
    </row>
    <row r="164" spans="1:16" s="23" customFormat="1" ht="16.5" customHeight="1">
      <c r="A164" s="20" t="s">
        <v>1411</v>
      </c>
      <c r="B164" s="20" t="s">
        <v>215</v>
      </c>
      <c r="C164" s="20" t="s">
        <v>19</v>
      </c>
      <c r="D164" s="20" t="s">
        <v>1416</v>
      </c>
      <c r="E164" s="20" t="s">
        <v>1417</v>
      </c>
      <c r="F164" s="20" t="s">
        <v>22</v>
      </c>
      <c r="G164" s="20" t="s">
        <v>25</v>
      </c>
      <c r="H164" s="20" t="s">
        <v>38</v>
      </c>
      <c r="I164" s="20" t="s">
        <v>82</v>
      </c>
      <c r="J164" s="20" t="s">
        <v>724</v>
      </c>
      <c r="K164" s="20" t="s">
        <v>29</v>
      </c>
      <c r="L164" s="20" t="s">
        <v>724</v>
      </c>
      <c r="M164" s="21">
        <v>45971.70239583333</v>
      </c>
      <c r="N164" s="22">
        <v>45980.600254629629</v>
      </c>
      <c r="O164" s="23" t="s">
        <v>95</v>
      </c>
      <c r="P164" s="23" t="s">
        <v>56</v>
      </c>
    </row>
    <row r="165" spans="1:16" s="23" customFormat="1" ht="16.5" customHeight="1">
      <c r="A165" s="20" t="s">
        <v>1418</v>
      </c>
      <c r="B165" s="20" t="s">
        <v>215</v>
      </c>
      <c r="C165" s="20" t="s">
        <v>19</v>
      </c>
      <c r="D165" s="20" t="s">
        <v>1419</v>
      </c>
      <c r="E165" s="20" t="s">
        <v>1420</v>
      </c>
      <c r="F165" s="20" t="s">
        <v>22</v>
      </c>
      <c r="G165" s="20" t="s">
        <v>25</v>
      </c>
      <c r="H165" s="20" t="s">
        <v>26</v>
      </c>
      <c r="I165" s="20" t="s">
        <v>39</v>
      </c>
      <c r="J165" s="20" t="s">
        <v>724</v>
      </c>
      <c r="K165" s="20" t="s">
        <v>29</v>
      </c>
      <c r="L165" s="20" t="s">
        <v>724</v>
      </c>
      <c r="M165" s="21">
        <v>45971.706180555557</v>
      </c>
      <c r="N165" s="22">
        <v>45975.552662037036</v>
      </c>
      <c r="O165" s="23" t="s">
        <v>95</v>
      </c>
      <c r="P165" s="23" t="s">
        <v>56</v>
      </c>
    </row>
    <row r="166" spans="1:16" s="23" customFormat="1" ht="16.5" customHeight="1">
      <c r="A166" s="20" t="s">
        <v>1421</v>
      </c>
      <c r="B166" s="20" t="s">
        <v>215</v>
      </c>
      <c r="C166" s="20" t="s">
        <v>19</v>
      </c>
      <c r="D166" s="20" t="s">
        <v>1422</v>
      </c>
      <c r="E166" s="20" t="s">
        <v>1423</v>
      </c>
      <c r="F166" s="20" t="s">
        <v>22</v>
      </c>
      <c r="G166" s="20" t="s">
        <v>25</v>
      </c>
      <c r="H166" s="20" t="s">
        <v>26</v>
      </c>
      <c r="I166" s="20" t="s">
        <v>39</v>
      </c>
      <c r="J166" s="20" t="s">
        <v>724</v>
      </c>
      <c r="K166" s="20" t="s">
        <v>106</v>
      </c>
      <c r="L166" s="20" t="s">
        <v>724</v>
      </c>
      <c r="M166" s="21">
        <v>45971.722824074073</v>
      </c>
      <c r="N166" s="22">
        <v>45975.478784722225</v>
      </c>
      <c r="O166" s="23" t="s">
        <v>95</v>
      </c>
      <c r="P166" s="23" t="s">
        <v>56</v>
      </c>
    </row>
    <row r="167" spans="1:16" s="23" customFormat="1" ht="16.5" customHeight="1">
      <c r="A167" s="20" t="s">
        <v>1421</v>
      </c>
      <c r="B167" s="20" t="s">
        <v>215</v>
      </c>
      <c r="C167" s="20" t="s">
        <v>19</v>
      </c>
      <c r="D167" s="20" t="s">
        <v>1424</v>
      </c>
      <c r="E167" s="20" t="s">
        <v>1425</v>
      </c>
      <c r="F167" s="20" t="s">
        <v>22</v>
      </c>
      <c r="G167" s="20" t="s">
        <v>25</v>
      </c>
      <c r="H167" s="20" t="s">
        <v>38</v>
      </c>
      <c r="I167" s="20" t="s">
        <v>27</v>
      </c>
      <c r="J167" s="20" t="s">
        <v>724</v>
      </c>
      <c r="K167" s="20" t="s">
        <v>29</v>
      </c>
      <c r="L167" s="20" t="s">
        <v>724</v>
      </c>
      <c r="M167" s="21">
        <v>45979.728831018518</v>
      </c>
      <c r="N167" s="22">
        <v>45986.593182870369</v>
      </c>
      <c r="O167" s="23" t="s">
        <v>95</v>
      </c>
      <c r="P167" s="23" t="s">
        <v>56</v>
      </c>
    </row>
    <row r="168" spans="1:16" s="23" customFormat="1" ht="16.5" customHeight="1">
      <c r="A168" s="20" t="s">
        <v>1426</v>
      </c>
      <c r="B168" s="20" t="s">
        <v>215</v>
      </c>
      <c r="C168" s="20" t="s">
        <v>19</v>
      </c>
      <c r="D168" s="20" t="s">
        <v>1427</v>
      </c>
      <c r="E168" s="20" t="s">
        <v>1428</v>
      </c>
      <c r="F168" s="20" t="s">
        <v>22</v>
      </c>
      <c r="G168" s="20" t="s">
        <v>25</v>
      </c>
      <c r="H168" s="20" t="s">
        <v>26</v>
      </c>
      <c r="I168" s="20" t="s">
        <v>39</v>
      </c>
      <c r="J168" s="20" t="s">
        <v>724</v>
      </c>
      <c r="K168" s="20" t="s">
        <v>67</v>
      </c>
      <c r="L168" s="20" t="s">
        <v>724</v>
      </c>
      <c r="M168" s="21">
        <v>45971.726458333331</v>
      </c>
      <c r="N168" s="22">
        <v>45980.593854166669</v>
      </c>
      <c r="O168" s="23" t="s">
        <v>95</v>
      </c>
      <c r="P168" s="23" t="s">
        <v>56</v>
      </c>
    </row>
    <row r="169" spans="1:16" s="23" customFormat="1" ht="16.5" customHeight="1">
      <c r="A169" s="20" t="s">
        <v>1432</v>
      </c>
      <c r="B169" s="20" t="s">
        <v>215</v>
      </c>
      <c r="C169" s="20" t="s">
        <v>275</v>
      </c>
      <c r="D169" s="20" t="s">
        <v>1433</v>
      </c>
      <c r="E169" s="20" t="s">
        <v>1434</v>
      </c>
      <c r="F169" s="20" t="s">
        <v>278</v>
      </c>
      <c r="G169" s="20" t="s">
        <v>25</v>
      </c>
      <c r="H169" s="20" t="s">
        <v>26</v>
      </c>
      <c r="I169" s="20" t="s">
        <v>203</v>
      </c>
      <c r="J169" s="20" t="s">
        <v>724</v>
      </c>
      <c r="K169" s="20" t="s">
        <v>67</v>
      </c>
      <c r="L169" s="20" t="s">
        <v>724</v>
      </c>
      <c r="M169" s="21">
        <v>45973.602337962962</v>
      </c>
      <c r="N169" s="22">
        <v>45975.611805555556</v>
      </c>
      <c r="O169" s="23" t="s">
        <v>40</v>
      </c>
      <c r="P169" s="23" t="s">
        <v>41</v>
      </c>
    </row>
    <row r="170" spans="1:16" s="23" customFormat="1" ht="16.5" customHeight="1">
      <c r="A170" s="20" t="s">
        <v>1441</v>
      </c>
      <c r="B170" s="20" t="s">
        <v>215</v>
      </c>
      <c r="C170" s="20" t="s">
        <v>301</v>
      </c>
      <c r="D170" s="20" t="s">
        <v>1442</v>
      </c>
      <c r="E170" s="20" t="s">
        <v>1443</v>
      </c>
      <c r="F170" s="20" t="s">
        <v>269</v>
      </c>
      <c r="G170" s="20" t="s">
        <v>25</v>
      </c>
      <c r="H170" s="20" t="s">
        <v>26</v>
      </c>
      <c r="I170" s="20" t="s">
        <v>39</v>
      </c>
      <c r="J170" s="20" t="s">
        <v>724</v>
      </c>
      <c r="K170" s="20" t="s">
        <v>29</v>
      </c>
      <c r="L170" s="20" t="s">
        <v>724</v>
      </c>
      <c r="M170" s="21">
        <v>45971.683888888889</v>
      </c>
      <c r="N170" s="22">
        <v>45972.568576388891</v>
      </c>
      <c r="O170" s="23" t="s">
        <v>40</v>
      </c>
      <c r="P170" s="23" t="s">
        <v>41</v>
      </c>
    </row>
    <row r="171" spans="1:16" s="23" customFormat="1" ht="16.5" customHeight="1">
      <c r="A171" s="20" t="s">
        <v>1459</v>
      </c>
      <c r="B171" s="20" t="s">
        <v>215</v>
      </c>
      <c r="C171" s="20" t="s">
        <v>111</v>
      </c>
      <c r="D171" s="20" t="s">
        <v>1460</v>
      </c>
      <c r="E171" s="20" t="s">
        <v>1461</v>
      </c>
      <c r="F171" s="20" t="s">
        <v>114</v>
      </c>
      <c r="G171" s="20" t="s">
        <v>25</v>
      </c>
      <c r="H171" s="20" t="s">
        <v>26</v>
      </c>
      <c r="I171" s="20" t="s">
        <v>39</v>
      </c>
      <c r="J171" s="20" t="s">
        <v>724</v>
      </c>
      <c r="K171" s="20" t="s">
        <v>67</v>
      </c>
      <c r="L171" s="20" t="s">
        <v>724</v>
      </c>
      <c r="M171" s="21">
        <v>45971.633981481478</v>
      </c>
      <c r="N171" s="22">
        <v>45981.634641203702</v>
      </c>
      <c r="O171" s="23" t="s">
        <v>40</v>
      </c>
      <c r="P171" s="23" t="s">
        <v>41</v>
      </c>
    </row>
    <row r="172" spans="1:16" s="23" customFormat="1" ht="16.5" customHeight="1">
      <c r="A172" s="20" t="s">
        <v>1480</v>
      </c>
      <c r="B172" s="20" t="s">
        <v>215</v>
      </c>
      <c r="C172" s="20" t="s">
        <v>216</v>
      </c>
      <c r="D172" s="20" t="s">
        <v>1481</v>
      </c>
      <c r="E172" s="20" t="s">
        <v>1482</v>
      </c>
      <c r="F172" s="20" t="s">
        <v>219</v>
      </c>
      <c r="G172" s="20" t="s">
        <v>116</v>
      </c>
      <c r="H172" s="20" t="s">
        <v>26</v>
      </c>
      <c r="I172" s="20" t="s">
        <v>39</v>
      </c>
      <c r="J172" s="20" t="s">
        <v>724</v>
      </c>
      <c r="K172" s="20" t="s">
        <v>67</v>
      </c>
      <c r="L172" s="20" t="s">
        <v>724</v>
      </c>
      <c r="M172" s="21">
        <v>45973.740879629629</v>
      </c>
      <c r="N172" s="22">
        <v>45981.60355324074</v>
      </c>
      <c r="O172" s="23" t="s">
        <v>40</v>
      </c>
      <c r="P172" s="23" t="s">
        <v>41</v>
      </c>
    </row>
    <row r="173" spans="1:16" s="23" customFormat="1" ht="16.5" customHeight="1">
      <c r="A173" s="20" t="s">
        <v>1483</v>
      </c>
      <c r="B173" s="20" t="s">
        <v>215</v>
      </c>
      <c r="C173" s="20" t="s">
        <v>216</v>
      </c>
      <c r="D173" s="20" t="s">
        <v>1484</v>
      </c>
      <c r="E173" s="20" t="s">
        <v>1485</v>
      </c>
      <c r="F173" s="20" t="s">
        <v>219</v>
      </c>
      <c r="G173" s="20" t="s">
        <v>116</v>
      </c>
      <c r="H173" s="20" t="s">
        <v>38</v>
      </c>
      <c r="I173" s="20" t="s">
        <v>99</v>
      </c>
      <c r="J173" s="20" t="s">
        <v>724</v>
      </c>
      <c r="K173" s="20" t="s">
        <v>29</v>
      </c>
      <c r="L173" s="20" t="s">
        <v>724</v>
      </c>
      <c r="M173" s="21">
        <v>45974.622418981482</v>
      </c>
      <c r="N173" s="22">
        <v>45981.61577546296</v>
      </c>
      <c r="O173" s="23" t="s">
        <v>40</v>
      </c>
      <c r="P173" s="23" t="s">
        <v>41</v>
      </c>
    </row>
    <row r="174" spans="1:16" s="23" customFormat="1" ht="16.5" customHeight="1">
      <c r="A174" s="20" t="s">
        <v>1486</v>
      </c>
      <c r="B174" s="20" t="s">
        <v>215</v>
      </c>
      <c r="C174" s="20" t="s">
        <v>216</v>
      </c>
      <c r="D174" s="20" t="s">
        <v>1487</v>
      </c>
      <c r="E174" s="20" t="s">
        <v>1488</v>
      </c>
      <c r="F174" s="20" t="s">
        <v>219</v>
      </c>
      <c r="G174" s="20" t="s">
        <v>116</v>
      </c>
      <c r="H174" s="20" t="s">
        <v>26</v>
      </c>
      <c r="I174" s="20" t="s">
        <v>39</v>
      </c>
      <c r="J174" s="20" t="s">
        <v>724</v>
      </c>
      <c r="K174" s="20" t="s">
        <v>67</v>
      </c>
      <c r="L174" s="20" t="s">
        <v>724</v>
      </c>
      <c r="M174" s="21">
        <v>45972.558182870373</v>
      </c>
      <c r="N174" s="22">
        <v>45982.703379629631</v>
      </c>
      <c r="O174" s="23" t="s">
        <v>40</v>
      </c>
      <c r="P174" s="23" t="s">
        <v>41</v>
      </c>
    </row>
    <row r="175" spans="1:16" s="23" customFormat="1" ht="16.5" customHeight="1">
      <c r="A175" s="20" t="s">
        <v>1489</v>
      </c>
      <c r="B175" s="20" t="s">
        <v>215</v>
      </c>
      <c r="C175" s="20" t="s">
        <v>216</v>
      </c>
      <c r="D175" s="20" t="s">
        <v>1490</v>
      </c>
      <c r="E175" s="20" t="s">
        <v>1491</v>
      </c>
      <c r="F175" s="20" t="s">
        <v>219</v>
      </c>
      <c r="G175" s="20" t="s">
        <v>116</v>
      </c>
      <c r="H175" s="20" t="s">
        <v>26</v>
      </c>
      <c r="I175" s="20" t="s">
        <v>82</v>
      </c>
      <c r="J175" s="20" t="s">
        <v>724</v>
      </c>
      <c r="K175" s="20" t="s">
        <v>67</v>
      </c>
      <c r="L175" s="20" t="s">
        <v>724</v>
      </c>
      <c r="M175" s="21">
        <v>45973.396539351852</v>
      </c>
      <c r="N175" s="22">
        <v>45981.736342592594</v>
      </c>
      <c r="O175" s="23" t="s">
        <v>40</v>
      </c>
      <c r="P175" s="23" t="s">
        <v>41</v>
      </c>
    </row>
    <row r="176" spans="1:16" s="23" customFormat="1" ht="16.5" customHeight="1">
      <c r="A176" s="20" t="s">
        <v>1492</v>
      </c>
      <c r="B176" s="20" t="s">
        <v>215</v>
      </c>
      <c r="C176" s="20" t="s">
        <v>216</v>
      </c>
      <c r="D176" s="20" t="s">
        <v>1493</v>
      </c>
      <c r="E176" s="20" t="s">
        <v>1491</v>
      </c>
      <c r="F176" s="20" t="s">
        <v>219</v>
      </c>
      <c r="G176" s="20" t="s">
        <v>116</v>
      </c>
      <c r="H176" s="20" t="s">
        <v>26</v>
      </c>
      <c r="I176" s="20" t="s">
        <v>99</v>
      </c>
      <c r="J176" s="20" t="s">
        <v>724</v>
      </c>
      <c r="K176" s="20" t="s">
        <v>67</v>
      </c>
      <c r="L176" s="20" t="s">
        <v>724</v>
      </c>
      <c r="M176" s="21">
        <v>45973.59138888889</v>
      </c>
      <c r="N176" s="22">
        <v>45985.691307870373</v>
      </c>
      <c r="O176" s="23" t="s">
        <v>40</v>
      </c>
      <c r="P176" s="23" t="s">
        <v>41</v>
      </c>
    </row>
    <row r="177" spans="1:16" s="23" customFormat="1" ht="16.5" customHeight="1">
      <c r="A177" s="20" t="s">
        <v>1494</v>
      </c>
      <c r="B177" s="20" t="s">
        <v>215</v>
      </c>
      <c r="C177" s="20" t="s">
        <v>184</v>
      </c>
      <c r="D177" s="20" t="s">
        <v>1495</v>
      </c>
      <c r="E177" s="20" t="s">
        <v>1496</v>
      </c>
      <c r="F177" s="20" t="s">
        <v>187</v>
      </c>
      <c r="G177" s="20" t="s">
        <v>116</v>
      </c>
      <c r="H177" s="20" t="s">
        <v>38</v>
      </c>
      <c r="I177" s="20" t="s">
        <v>99</v>
      </c>
      <c r="J177" s="20" t="s">
        <v>724</v>
      </c>
      <c r="K177" s="20" t="s">
        <v>29</v>
      </c>
      <c r="L177" s="20" t="s">
        <v>724</v>
      </c>
      <c r="M177" s="21">
        <v>45972.699305555558</v>
      </c>
      <c r="N177" s="22">
        <v>45974.467962962961</v>
      </c>
      <c r="O177" s="23" t="s">
        <v>40</v>
      </c>
      <c r="P177" s="23" t="s">
        <v>41</v>
      </c>
    </row>
    <row r="178" spans="1:16" s="23" customFormat="1" ht="16.5" customHeight="1">
      <c r="A178" s="20" t="s">
        <v>355</v>
      </c>
      <c r="B178" s="20" t="s">
        <v>215</v>
      </c>
      <c r="C178" s="20" t="s">
        <v>184</v>
      </c>
      <c r="D178" s="20" t="s">
        <v>1497</v>
      </c>
      <c r="E178" s="20" t="s">
        <v>1498</v>
      </c>
      <c r="F178" s="20" t="s">
        <v>187</v>
      </c>
      <c r="G178" s="20" t="s">
        <v>116</v>
      </c>
      <c r="H178" s="20" t="s">
        <v>26</v>
      </c>
      <c r="I178" s="20" t="s">
        <v>39</v>
      </c>
      <c r="J178" s="20" t="s">
        <v>724</v>
      </c>
      <c r="K178" s="20" t="s">
        <v>67</v>
      </c>
      <c r="L178" s="20" t="s">
        <v>724</v>
      </c>
      <c r="M178" s="21">
        <v>45972.706041666665</v>
      </c>
      <c r="N178" s="22">
        <v>45974.472361111111</v>
      </c>
      <c r="O178" s="23" t="s">
        <v>122</v>
      </c>
      <c r="P178" s="23" t="s">
        <v>39</v>
      </c>
    </row>
    <row r="179" spans="1:16" s="23" customFormat="1" ht="16.5" customHeight="1">
      <c r="A179" s="20" t="s">
        <v>1499</v>
      </c>
      <c r="B179" s="20" t="s">
        <v>215</v>
      </c>
      <c r="C179" s="20" t="s">
        <v>184</v>
      </c>
      <c r="D179" s="20" t="s">
        <v>1500</v>
      </c>
      <c r="E179" s="20" t="s">
        <v>1501</v>
      </c>
      <c r="F179" s="20" t="s">
        <v>187</v>
      </c>
      <c r="G179" s="20" t="s">
        <v>116</v>
      </c>
      <c r="H179" s="20" t="s">
        <v>26</v>
      </c>
      <c r="I179" s="20" t="s">
        <v>39</v>
      </c>
      <c r="J179" s="20" t="s">
        <v>724</v>
      </c>
      <c r="K179" s="20" t="s">
        <v>67</v>
      </c>
      <c r="L179" s="20" t="s">
        <v>724</v>
      </c>
      <c r="M179" s="21">
        <v>45972.721435185187</v>
      </c>
      <c r="N179" s="22">
        <v>45974.542523148149</v>
      </c>
      <c r="O179" s="23" t="s">
        <v>40</v>
      </c>
      <c r="P179" s="23" t="s">
        <v>41</v>
      </c>
    </row>
    <row r="180" spans="1:16" s="23" customFormat="1" ht="16.5" customHeight="1">
      <c r="A180" s="20" t="s">
        <v>1502</v>
      </c>
      <c r="B180" s="20" t="s">
        <v>215</v>
      </c>
      <c r="C180" s="20" t="s">
        <v>184</v>
      </c>
      <c r="D180" s="20" t="s">
        <v>1503</v>
      </c>
      <c r="E180" s="20" t="s">
        <v>1504</v>
      </c>
      <c r="F180" s="20" t="s">
        <v>187</v>
      </c>
      <c r="G180" s="20" t="s">
        <v>116</v>
      </c>
      <c r="H180" s="20" t="s">
        <v>38</v>
      </c>
      <c r="I180" s="20" t="s">
        <v>99</v>
      </c>
      <c r="J180" s="20" t="s">
        <v>724</v>
      </c>
      <c r="K180" s="20" t="s">
        <v>29</v>
      </c>
      <c r="L180" s="20" t="s">
        <v>724</v>
      </c>
      <c r="M180" s="21">
        <v>45974.432199074072</v>
      </c>
      <c r="N180" s="22">
        <v>45975.62703703704</v>
      </c>
      <c r="O180" s="23" t="s">
        <v>40</v>
      </c>
      <c r="P180" s="23" t="s">
        <v>41</v>
      </c>
    </row>
    <row r="181" spans="1:16" s="23" customFormat="1" ht="16.5" customHeight="1">
      <c r="A181" s="20" t="s">
        <v>1505</v>
      </c>
      <c r="B181" s="20" t="s">
        <v>215</v>
      </c>
      <c r="C181" s="20" t="s">
        <v>184</v>
      </c>
      <c r="D181" s="20" t="s">
        <v>1506</v>
      </c>
      <c r="E181" s="20" t="s">
        <v>1507</v>
      </c>
      <c r="F181" s="20" t="s">
        <v>187</v>
      </c>
      <c r="G181" s="20" t="s">
        <v>25</v>
      </c>
      <c r="H181" s="20" t="s">
        <v>38</v>
      </c>
      <c r="I181" s="20" t="s">
        <v>39</v>
      </c>
      <c r="J181" s="20" t="s">
        <v>724</v>
      </c>
      <c r="K181" s="20" t="s">
        <v>29</v>
      </c>
      <c r="L181" s="20" t="s">
        <v>724</v>
      </c>
      <c r="M181" s="21">
        <v>45972.603344907409</v>
      </c>
      <c r="N181" s="22">
        <v>45975.549432870372</v>
      </c>
      <c r="O181" s="23" t="s">
        <v>40</v>
      </c>
      <c r="P181" s="23" t="s">
        <v>41</v>
      </c>
    </row>
    <row r="182" spans="1:16" s="23" customFormat="1" ht="16.5" customHeight="1">
      <c r="A182" s="20" t="s">
        <v>1518</v>
      </c>
      <c r="B182" s="20" t="s">
        <v>215</v>
      </c>
      <c r="C182" s="20" t="s">
        <v>216</v>
      </c>
      <c r="D182" s="20" t="s">
        <v>1519</v>
      </c>
      <c r="E182" s="20" t="s">
        <v>1520</v>
      </c>
      <c r="F182" s="20" t="s">
        <v>219</v>
      </c>
      <c r="G182" s="20" t="s">
        <v>116</v>
      </c>
      <c r="H182" s="20" t="s">
        <v>26</v>
      </c>
      <c r="I182" s="20" t="s">
        <v>82</v>
      </c>
      <c r="J182" s="20" t="s">
        <v>724</v>
      </c>
      <c r="K182" s="20" t="s">
        <v>67</v>
      </c>
      <c r="L182" s="20" t="s">
        <v>724</v>
      </c>
      <c r="M182" s="21">
        <v>45974.567569444444</v>
      </c>
      <c r="N182" s="22">
        <v>45981.621319444443</v>
      </c>
      <c r="O182" s="23" t="s">
        <v>95</v>
      </c>
      <c r="P182" s="23" t="s">
        <v>56</v>
      </c>
    </row>
    <row r="183" spans="1:16" s="23" customFormat="1" ht="16.5" customHeight="1">
      <c r="A183" s="20" t="s">
        <v>1521</v>
      </c>
      <c r="B183" s="20" t="s">
        <v>215</v>
      </c>
      <c r="C183" s="20" t="s">
        <v>216</v>
      </c>
      <c r="D183" s="20" t="s">
        <v>1522</v>
      </c>
      <c r="E183" s="20" t="s">
        <v>1523</v>
      </c>
      <c r="F183" s="20" t="s">
        <v>219</v>
      </c>
      <c r="G183" s="20" t="s">
        <v>116</v>
      </c>
      <c r="H183" s="20" t="s">
        <v>26</v>
      </c>
      <c r="I183" s="20" t="s">
        <v>39</v>
      </c>
      <c r="J183" s="20" t="s">
        <v>724</v>
      </c>
      <c r="K183" s="20" t="s">
        <v>67</v>
      </c>
      <c r="L183" s="20" t="s">
        <v>724</v>
      </c>
      <c r="M183" s="21">
        <v>45973.694560185184</v>
      </c>
      <c r="N183" s="22">
        <v>45981.58289351852</v>
      </c>
      <c r="O183" s="23" t="s">
        <v>122</v>
      </c>
      <c r="P183" s="23" t="s">
        <v>39</v>
      </c>
    </row>
    <row r="184" spans="1:16" s="23" customFormat="1" ht="16.5" customHeight="1">
      <c r="A184" s="20" t="s">
        <v>1524</v>
      </c>
      <c r="B184" s="20" t="s">
        <v>215</v>
      </c>
      <c r="C184" s="20" t="s">
        <v>216</v>
      </c>
      <c r="D184" s="20" t="s">
        <v>1525</v>
      </c>
      <c r="E184" s="20" t="s">
        <v>1526</v>
      </c>
      <c r="F184" s="20" t="s">
        <v>219</v>
      </c>
      <c r="G184" s="20" t="s">
        <v>116</v>
      </c>
      <c r="H184" s="20" t="s">
        <v>38</v>
      </c>
      <c r="I184" s="20" t="s">
        <v>99</v>
      </c>
      <c r="J184" s="20" t="s">
        <v>724</v>
      </c>
      <c r="K184" s="20" t="s">
        <v>29</v>
      </c>
      <c r="L184" s="20" t="s">
        <v>724</v>
      </c>
      <c r="M184" s="21">
        <v>45974.443287037036</v>
      </c>
      <c r="N184" s="22">
        <v>45986.439571759256</v>
      </c>
      <c r="O184" s="23" t="s">
        <v>95</v>
      </c>
      <c r="P184" s="23" t="s">
        <v>56</v>
      </c>
    </row>
    <row r="185" spans="1:16" s="23" customFormat="1" ht="16.5" customHeight="1">
      <c r="A185" s="20" t="s">
        <v>1527</v>
      </c>
      <c r="B185" s="20" t="s">
        <v>215</v>
      </c>
      <c r="C185" s="20" t="s">
        <v>216</v>
      </c>
      <c r="D185" s="20" t="s">
        <v>1528</v>
      </c>
      <c r="E185" s="20" t="s">
        <v>1529</v>
      </c>
      <c r="F185" s="20" t="s">
        <v>219</v>
      </c>
      <c r="G185" s="20" t="s">
        <v>116</v>
      </c>
      <c r="H185" s="20" t="s">
        <v>38</v>
      </c>
      <c r="I185" s="20" t="s">
        <v>99</v>
      </c>
      <c r="J185" s="20" t="s">
        <v>724</v>
      </c>
      <c r="K185" s="20" t="s">
        <v>29</v>
      </c>
      <c r="L185" s="20" t="s">
        <v>724</v>
      </c>
      <c r="M185" s="21">
        <v>45974.44940972222</v>
      </c>
      <c r="N185" s="22">
        <v>45986.436377314814</v>
      </c>
      <c r="O185" s="23" t="s">
        <v>95</v>
      </c>
      <c r="P185" s="23" t="s">
        <v>56</v>
      </c>
    </row>
    <row r="186" spans="1:16" s="23" customFormat="1" ht="16.5" customHeight="1">
      <c r="A186" s="20" t="s">
        <v>1530</v>
      </c>
      <c r="B186" s="20" t="s">
        <v>215</v>
      </c>
      <c r="C186" s="20" t="s">
        <v>216</v>
      </c>
      <c r="D186" s="20" t="s">
        <v>1531</v>
      </c>
      <c r="E186" s="20" t="s">
        <v>1532</v>
      </c>
      <c r="F186" s="20" t="s">
        <v>219</v>
      </c>
      <c r="G186" s="20" t="s">
        <v>116</v>
      </c>
      <c r="H186" s="20" t="s">
        <v>38</v>
      </c>
      <c r="I186" s="20" t="s">
        <v>99</v>
      </c>
      <c r="J186" s="20" t="s">
        <v>724</v>
      </c>
      <c r="K186" s="20" t="s">
        <v>29</v>
      </c>
      <c r="L186" s="20" t="s">
        <v>724</v>
      </c>
      <c r="M186" s="21">
        <v>45974.45108796296</v>
      </c>
      <c r="N186" s="22">
        <v>45986.448194444441</v>
      </c>
      <c r="O186" s="23" t="s">
        <v>40</v>
      </c>
      <c r="P186" s="23" t="s">
        <v>41</v>
      </c>
    </row>
    <row r="187" spans="1:16" s="23" customFormat="1" ht="16.5" customHeight="1">
      <c r="A187" s="20" t="s">
        <v>1533</v>
      </c>
      <c r="B187" s="20" t="s">
        <v>215</v>
      </c>
      <c r="C187" s="20" t="s">
        <v>216</v>
      </c>
      <c r="D187" s="20" t="s">
        <v>1534</v>
      </c>
      <c r="E187" s="20" t="s">
        <v>1535</v>
      </c>
      <c r="F187" s="20" t="s">
        <v>219</v>
      </c>
      <c r="G187" s="20" t="s">
        <v>116</v>
      </c>
      <c r="H187" s="20" t="s">
        <v>38</v>
      </c>
      <c r="I187" s="20" t="s">
        <v>99</v>
      </c>
      <c r="J187" s="20" t="s">
        <v>724</v>
      </c>
      <c r="K187" s="20" t="s">
        <v>29</v>
      </c>
      <c r="L187" s="20" t="s">
        <v>724</v>
      </c>
      <c r="M187" s="21">
        <v>45974.454837962963</v>
      </c>
      <c r="N187" s="22">
        <v>45986.451192129629</v>
      </c>
      <c r="O187" s="23" t="s">
        <v>122</v>
      </c>
      <c r="P187" s="23" t="s">
        <v>39</v>
      </c>
    </row>
    <row r="188" spans="1:16" s="23" customFormat="1" ht="16.5" customHeight="1">
      <c r="A188" s="20" t="s">
        <v>1536</v>
      </c>
      <c r="B188" s="20" t="s">
        <v>215</v>
      </c>
      <c r="C188" s="20" t="s">
        <v>216</v>
      </c>
      <c r="D188" s="20" t="s">
        <v>1537</v>
      </c>
      <c r="E188" s="20" t="s">
        <v>1538</v>
      </c>
      <c r="F188" s="20" t="s">
        <v>219</v>
      </c>
      <c r="G188" s="20" t="s">
        <v>116</v>
      </c>
      <c r="H188" s="20" t="s">
        <v>38</v>
      </c>
      <c r="I188" s="20" t="s">
        <v>99</v>
      </c>
      <c r="J188" s="20" t="s">
        <v>724</v>
      </c>
      <c r="K188" s="20" t="s">
        <v>29</v>
      </c>
      <c r="L188" s="20" t="s">
        <v>724</v>
      </c>
      <c r="M188" s="21">
        <v>45974.456192129626</v>
      </c>
      <c r="N188" s="22">
        <v>45986.4530787037</v>
      </c>
      <c r="O188" s="23" t="s">
        <v>40</v>
      </c>
      <c r="P188" s="23" t="s">
        <v>41</v>
      </c>
    </row>
    <row r="189" spans="1:16" s="23" customFormat="1" ht="16.5" customHeight="1">
      <c r="A189" s="20" t="s">
        <v>1539</v>
      </c>
      <c r="B189" s="20" t="s">
        <v>215</v>
      </c>
      <c r="C189" s="20" t="s">
        <v>216</v>
      </c>
      <c r="D189" s="20" t="s">
        <v>1540</v>
      </c>
      <c r="E189" s="20" t="s">
        <v>1538</v>
      </c>
      <c r="F189" s="20" t="s">
        <v>219</v>
      </c>
      <c r="G189" s="20" t="s">
        <v>116</v>
      </c>
      <c r="H189" s="20" t="s">
        <v>38</v>
      </c>
      <c r="I189" s="20" t="s">
        <v>99</v>
      </c>
      <c r="J189" s="20" t="s">
        <v>724</v>
      </c>
      <c r="K189" s="20" t="s">
        <v>29</v>
      </c>
      <c r="L189" s="20" t="s">
        <v>724</v>
      </c>
      <c r="M189" s="21">
        <v>45974.457916666666</v>
      </c>
      <c r="N189" s="22">
        <v>45986.456585648149</v>
      </c>
      <c r="O189" s="23" t="s">
        <v>122</v>
      </c>
      <c r="P189" s="23" t="s">
        <v>39</v>
      </c>
    </row>
    <row r="190" spans="1:16" s="23" customFormat="1" ht="16.5" customHeight="1">
      <c r="A190" s="20" t="s">
        <v>1541</v>
      </c>
      <c r="B190" s="20" t="s">
        <v>215</v>
      </c>
      <c r="C190" s="20" t="s">
        <v>216</v>
      </c>
      <c r="D190" s="20" t="s">
        <v>1542</v>
      </c>
      <c r="E190" s="20" t="s">
        <v>1543</v>
      </c>
      <c r="F190" s="20" t="s">
        <v>219</v>
      </c>
      <c r="G190" s="20" t="s">
        <v>116</v>
      </c>
      <c r="H190" s="20" t="s">
        <v>38</v>
      </c>
      <c r="I190" s="20" t="s">
        <v>99</v>
      </c>
      <c r="J190" s="20" t="s">
        <v>724</v>
      </c>
      <c r="K190" s="20" t="s">
        <v>29</v>
      </c>
      <c r="L190" s="20" t="s">
        <v>724</v>
      </c>
      <c r="M190" s="21">
        <v>45974.559918981482</v>
      </c>
      <c r="N190" s="22">
        <v>45981.607719907406</v>
      </c>
      <c r="O190" s="23" t="s">
        <v>40</v>
      </c>
      <c r="P190" s="23" t="s">
        <v>41</v>
      </c>
    </row>
    <row r="191" spans="1:16" s="23" customFormat="1" ht="16.5" customHeight="1">
      <c r="A191" s="20" t="s">
        <v>1544</v>
      </c>
      <c r="B191" s="20" t="s">
        <v>215</v>
      </c>
      <c r="C191" s="20" t="s">
        <v>216</v>
      </c>
      <c r="D191" s="20" t="s">
        <v>1545</v>
      </c>
      <c r="E191" s="20" t="s">
        <v>1546</v>
      </c>
      <c r="F191" s="20" t="s">
        <v>219</v>
      </c>
      <c r="G191" s="20" t="s">
        <v>116</v>
      </c>
      <c r="H191" s="20" t="s">
        <v>38</v>
      </c>
      <c r="I191" s="20" t="s">
        <v>99</v>
      </c>
      <c r="J191" s="20" t="s">
        <v>724</v>
      </c>
      <c r="K191" s="20" t="s">
        <v>29</v>
      </c>
      <c r="L191" s="20" t="s">
        <v>724</v>
      </c>
      <c r="M191" s="21">
        <v>45974.562719907408</v>
      </c>
      <c r="N191" s="22">
        <v>45986.463182870371</v>
      </c>
      <c r="O191" s="23" t="s">
        <v>95</v>
      </c>
      <c r="P191" s="23" t="s">
        <v>56</v>
      </c>
    </row>
    <row r="192" spans="1:16" s="23" customFormat="1" ht="16.5" customHeight="1">
      <c r="A192" s="20" t="s">
        <v>1547</v>
      </c>
      <c r="B192" s="20" t="s">
        <v>215</v>
      </c>
      <c r="C192" s="20" t="s">
        <v>216</v>
      </c>
      <c r="D192" s="20" t="s">
        <v>1548</v>
      </c>
      <c r="E192" s="20" t="s">
        <v>1549</v>
      </c>
      <c r="F192" s="20" t="s">
        <v>219</v>
      </c>
      <c r="G192" s="20" t="s">
        <v>116</v>
      </c>
      <c r="H192" s="20" t="s">
        <v>26</v>
      </c>
      <c r="I192" s="20" t="s">
        <v>99</v>
      </c>
      <c r="J192" s="20" t="s">
        <v>724</v>
      </c>
      <c r="K192" s="20" t="s">
        <v>67</v>
      </c>
      <c r="L192" s="20" t="s">
        <v>724</v>
      </c>
      <c r="M192" s="21">
        <v>45973.663483796299</v>
      </c>
      <c r="N192" s="22">
        <v>45985.596238425926</v>
      </c>
      <c r="O192" s="23" t="s">
        <v>95</v>
      </c>
      <c r="P192" s="23" t="s">
        <v>56</v>
      </c>
    </row>
    <row r="193" spans="1:16" s="23" customFormat="1" ht="16.5" customHeight="1">
      <c r="A193" s="20" t="s">
        <v>1550</v>
      </c>
      <c r="B193" s="20" t="s">
        <v>215</v>
      </c>
      <c r="C193" s="20" t="s">
        <v>46</v>
      </c>
      <c r="D193" s="20" t="s">
        <v>1551</v>
      </c>
      <c r="E193" s="20" t="s">
        <v>1552</v>
      </c>
      <c r="F193" s="20" t="s">
        <v>49</v>
      </c>
      <c r="G193" s="20" t="s">
        <v>25</v>
      </c>
      <c r="H193" s="20" t="s">
        <v>38</v>
      </c>
      <c r="I193" s="20" t="s">
        <v>66</v>
      </c>
      <c r="J193" s="20" t="s">
        <v>724</v>
      </c>
      <c r="K193" s="20" t="s">
        <v>29</v>
      </c>
      <c r="L193" s="20" t="s">
        <v>724</v>
      </c>
      <c r="M193" s="21">
        <v>45971.6878125</v>
      </c>
      <c r="N193" s="22">
        <v>45975.430046296293</v>
      </c>
      <c r="O193" s="23" t="s">
        <v>40</v>
      </c>
      <c r="P193" s="23" t="s">
        <v>41</v>
      </c>
    </row>
    <row r="194" spans="1:16" s="23" customFormat="1" ht="16.5" customHeight="1">
      <c r="A194" s="20" t="s">
        <v>1553</v>
      </c>
      <c r="B194" s="20" t="s">
        <v>215</v>
      </c>
      <c r="C194" s="20" t="s">
        <v>216</v>
      </c>
      <c r="D194" s="20" t="s">
        <v>1554</v>
      </c>
      <c r="E194" s="20" t="s">
        <v>1555</v>
      </c>
      <c r="F194" s="20" t="s">
        <v>219</v>
      </c>
      <c r="G194" s="20" t="s">
        <v>116</v>
      </c>
      <c r="H194" s="20" t="s">
        <v>38</v>
      </c>
      <c r="I194" s="20" t="s">
        <v>99</v>
      </c>
      <c r="J194" s="20" t="s">
        <v>724</v>
      </c>
      <c r="K194" s="20" t="s">
        <v>29</v>
      </c>
      <c r="L194" s="20" t="s">
        <v>724</v>
      </c>
      <c r="M194" s="21">
        <v>45974.564675925925</v>
      </c>
      <c r="N194" s="22">
        <v>45986.472349537034</v>
      </c>
      <c r="O194" s="23" t="s">
        <v>40</v>
      </c>
      <c r="P194" s="23" t="s">
        <v>41</v>
      </c>
    </row>
    <row r="195" spans="1:16" s="23" customFormat="1" ht="16.5" customHeight="1">
      <c r="A195" s="20" t="s">
        <v>1556</v>
      </c>
      <c r="B195" s="20" t="s">
        <v>215</v>
      </c>
      <c r="C195" s="20" t="s">
        <v>216</v>
      </c>
      <c r="D195" s="20" t="s">
        <v>1557</v>
      </c>
      <c r="E195" s="20" t="s">
        <v>1558</v>
      </c>
      <c r="F195" s="20" t="s">
        <v>219</v>
      </c>
      <c r="G195" s="20" t="s">
        <v>116</v>
      </c>
      <c r="H195" s="20" t="s">
        <v>38</v>
      </c>
      <c r="I195" s="20" t="s">
        <v>99</v>
      </c>
      <c r="J195" s="20" t="s">
        <v>724</v>
      </c>
      <c r="K195" s="20" t="s">
        <v>29</v>
      </c>
      <c r="L195" s="20" t="s">
        <v>724</v>
      </c>
      <c r="M195" s="21">
        <v>45974.625578703701</v>
      </c>
      <c r="N195" s="22">
        <v>45986.47729166667</v>
      </c>
      <c r="O195" s="23" t="s">
        <v>95</v>
      </c>
      <c r="P195" s="23" t="s">
        <v>56</v>
      </c>
    </row>
    <row r="196" spans="1:16" s="23" customFormat="1" ht="16.5" customHeight="1">
      <c r="A196" s="20" t="s">
        <v>1559</v>
      </c>
      <c r="B196" s="20" t="s">
        <v>215</v>
      </c>
      <c r="C196" s="20" t="s">
        <v>216</v>
      </c>
      <c r="D196" s="20" t="s">
        <v>1560</v>
      </c>
      <c r="E196" s="20" t="s">
        <v>1561</v>
      </c>
      <c r="F196" s="20" t="s">
        <v>219</v>
      </c>
      <c r="G196" s="20" t="s">
        <v>116</v>
      </c>
      <c r="H196" s="20" t="s">
        <v>38</v>
      </c>
      <c r="I196" s="20" t="s">
        <v>99</v>
      </c>
      <c r="J196" s="20" t="s">
        <v>724</v>
      </c>
      <c r="K196" s="20" t="s">
        <v>29</v>
      </c>
      <c r="L196" s="20" t="s">
        <v>724</v>
      </c>
      <c r="M196" s="21">
        <v>45974.627708333333</v>
      </c>
      <c r="N196" s="22">
        <v>45981.562893518516</v>
      </c>
      <c r="O196" s="23" t="s">
        <v>40</v>
      </c>
      <c r="P196" s="23" t="s">
        <v>41</v>
      </c>
    </row>
    <row r="197" spans="1:16" s="23" customFormat="1" ht="16.5" customHeight="1">
      <c r="A197" s="20" t="s">
        <v>1562</v>
      </c>
      <c r="B197" s="20" t="s">
        <v>215</v>
      </c>
      <c r="C197" s="20" t="s">
        <v>216</v>
      </c>
      <c r="D197" s="20" t="s">
        <v>1563</v>
      </c>
      <c r="E197" s="20" t="s">
        <v>1564</v>
      </c>
      <c r="F197" s="20" t="s">
        <v>219</v>
      </c>
      <c r="G197" s="20" t="s">
        <v>116</v>
      </c>
      <c r="H197" s="20" t="s">
        <v>38</v>
      </c>
      <c r="I197" s="20" t="s">
        <v>99</v>
      </c>
      <c r="J197" s="20" t="s">
        <v>724</v>
      </c>
      <c r="K197" s="20" t="s">
        <v>29</v>
      </c>
      <c r="L197" s="20" t="s">
        <v>724</v>
      </c>
      <c r="M197" s="21">
        <v>45974.628796296296</v>
      </c>
      <c r="N197" s="22">
        <v>45986.552141203705</v>
      </c>
      <c r="O197" s="23" t="s">
        <v>95</v>
      </c>
      <c r="P197" s="23" t="s">
        <v>56</v>
      </c>
    </row>
    <row r="198" spans="1:16" s="23" customFormat="1" ht="16.5" customHeight="1">
      <c r="A198" s="20" t="s">
        <v>1565</v>
      </c>
      <c r="B198" s="20" t="s">
        <v>215</v>
      </c>
      <c r="C198" s="20" t="s">
        <v>216</v>
      </c>
      <c r="D198" s="20" t="s">
        <v>1566</v>
      </c>
      <c r="E198" s="20" t="s">
        <v>1567</v>
      </c>
      <c r="F198" s="20" t="s">
        <v>219</v>
      </c>
      <c r="G198" s="20" t="s">
        <v>116</v>
      </c>
      <c r="H198" s="20" t="s">
        <v>38</v>
      </c>
      <c r="I198" s="20" t="s">
        <v>99</v>
      </c>
      <c r="J198" s="20" t="s">
        <v>724</v>
      </c>
      <c r="K198" s="20" t="s">
        <v>29</v>
      </c>
      <c r="L198" s="20" t="s">
        <v>724</v>
      </c>
      <c r="M198" s="21">
        <v>45974.650578703702</v>
      </c>
      <c r="N198" s="22">
        <v>45986.560520833336</v>
      </c>
      <c r="O198" s="23" t="s">
        <v>40</v>
      </c>
      <c r="P198" s="23" t="s">
        <v>41</v>
      </c>
    </row>
    <row r="199" spans="1:16" s="23" customFormat="1" ht="16.5" customHeight="1">
      <c r="A199" s="20" t="s">
        <v>1568</v>
      </c>
      <c r="B199" s="20" t="s">
        <v>215</v>
      </c>
      <c r="C199" s="20" t="s">
        <v>216</v>
      </c>
      <c r="D199" s="20" t="s">
        <v>1569</v>
      </c>
      <c r="E199" s="20" t="s">
        <v>1570</v>
      </c>
      <c r="F199" s="20" t="s">
        <v>219</v>
      </c>
      <c r="G199" s="20" t="s">
        <v>116</v>
      </c>
      <c r="H199" s="20" t="s">
        <v>38</v>
      </c>
      <c r="I199" s="20" t="s">
        <v>99</v>
      </c>
      <c r="J199" s="20" t="s">
        <v>724</v>
      </c>
      <c r="K199" s="20" t="s">
        <v>29</v>
      </c>
      <c r="L199" s="20" t="s">
        <v>724</v>
      </c>
      <c r="M199" s="21">
        <v>45974.651898148149</v>
      </c>
      <c r="N199" s="22">
        <v>45981.7265625</v>
      </c>
      <c r="O199" s="23" t="s">
        <v>40</v>
      </c>
      <c r="P199" s="23" t="s">
        <v>41</v>
      </c>
    </row>
    <row r="200" spans="1:16" s="23" customFormat="1" ht="16.5" customHeight="1">
      <c r="A200" s="20" t="s">
        <v>1571</v>
      </c>
      <c r="B200" s="20" t="s">
        <v>215</v>
      </c>
      <c r="C200" s="20" t="s">
        <v>216</v>
      </c>
      <c r="D200" s="20" t="s">
        <v>1572</v>
      </c>
      <c r="E200" s="20" t="s">
        <v>1573</v>
      </c>
      <c r="F200" s="20" t="s">
        <v>219</v>
      </c>
      <c r="G200" s="20" t="s">
        <v>116</v>
      </c>
      <c r="H200" s="20" t="s">
        <v>38</v>
      </c>
      <c r="I200" s="20" t="s">
        <v>99</v>
      </c>
      <c r="J200" s="20" t="s">
        <v>724</v>
      </c>
      <c r="K200" s="20" t="s">
        <v>29</v>
      </c>
      <c r="L200" s="20" t="s">
        <v>724</v>
      </c>
      <c r="M200" s="21">
        <v>45974.65351851852</v>
      </c>
      <c r="N200" s="22">
        <v>45986.563761574071</v>
      </c>
      <c r="O200" s="23" t="s">
        <v>76</v>
      </c>
      <c r="P200" s="23" t="s">
        <v>77</v>
      </c>
    </row>
    <row r="201" spans="1:16" s="23" customFormat="1" ht="16.5" customHeight="1">
      <c r="A201" s="20" t="s">
        <v>1574</v>
      </c>
      <c r="B201" s="20" t="s">
        <v>215</v>
      </c>
      <c r="C201" s="20" t="s">
        <v>216</v>
      </c>
      <c r="D201" s="20" t="s">
        <v>1575</v>
      </c>
      <c r="E201" s="20" t="s">
        <v>1576</v>
      </c>
      <c r="F201" s="20" t="s">
        <v>219</v>
      </c>
      <c r="G201" s="20" t="s">
        <v>116</v>
      </c>
      <c r="H201" s="20" t="s">
        <v>38</v>
      </c>
      <c r="I201" s="20" t="s">
        <v>99</v>
      </c>
      <c r="J201" s="20" t="s">
        <v>724</v>
      </c>
      <c r="K201" s="20" t="s">
        <v>29</v>
      </c>
      <c r="L201" s="20" t="s">
        <v>724</v>
      </c>
      <c r="M201" s="21">
        <v>45974.656099537038</v>
      </c>
      <c r="N201" s="22">
        <v>45986.570162037038</v>
      </c>
      <c r="O201" s="23" t="s">
        <v>76</v>
      </c>
      <c r="P201" s="23" t="s">
        <v>77</v>
      </c>
    </row>
    <row r="202" spans="1:16" s="23" customFormat="1" ht="16.5" customHeight="1">
      <c r="A202" s="20" t="s">
        <v>1577</v>
      </c>
      <c r="B202" s="20" t="s">
        <v>215</v>
      </c>
      <c r="C202" s="20" t="s">
        <v>216</v>
      </c>
      <c r="D202" s="20" t="s">
        <v>1578</v>
      </c>
      <c r="E202" s="20" t="s">
        <v>1579</v>
      </c>
      <c r="F202" s="20" t="s">
        <v>219</v>
      </c>
      <c r="G202" s="20" t="s">
        <v>116</v>
      </c>
      <c r="H202" s="20" t="s">
        <v>38</v>
      </c>
      <c r="I202" s="20" t="s">
        <v>99</v>
      </c>
      <c r="J202" s="20" t="s">
        <v>724</v>
      </c>
      <c r="K202" s="20" t="s">
        <v>29</v>
      </c>
      <c r="L202" s="20" t="s">
        <v>724</v>
      </c>
      <c r="M202" s="21">
        <v>45974.65730324074</v>
      </c>
      <c r="N202" s="22">
        <v>45981.54892361111</v>
      </c>
      <c r="O202" s="23" t="s">
        <v>419</v>
      </c>
      <c r="P202" s="23" t="s">
        <v>66</v>
      </c>
    </row>
    <row r="203" spans="1:16" s="23" customFormat="1" ht="16.5" customHeight="1">
      <c r="A203" s="20" t="s">
        <v>1580</v>
      </c>
      <c r="B203" s="20" t="s">
        <v>215</v>
      </c>
      <c r="C203" s="20" t="s">
        <v>216</v>
      </c>
      <c r="D203" s="20" t="s">
        <v>1581</v>
      </c>
      <c r="E203" s="20" t="s">
        <v>1582</v>
      </c>
      <c r="F203" s="20" t="s">
        <v>219</v>
      </c>
      <c r="G203" s="20" t="s">
        <v>116</v>
      </c>
      <c r="H203" s="20" t="s">
        <v>38</v>
      </c>
      <c r="I203" s="20" t="s">
        <v>99</v>
      </c>
      <c r="J203" s="20" t="s">
        <v>724</v>
      </c>
      <c r="K203" s="20" t="s">
        <v>29</v>
      </c>
      <c r="L203" s="20" t="s">
        <v>724</v>
      </c>
      <c r="M203" s="21">
        <v>45974.658159722225</v>
      </c>
      <c r="N203" s="22">
        <v>45986.579884259256</v>
      </c>
      <c r="O203" s="23" t="s">
        <v>40</v>
      </c>
      <c r="P203" s="23" t="s">
        <v>41</v>
      </c>
    </row>
    <row r="204" spans="1:16" s="23" customFormat="1" ht="16.5" customHeight="1">
      <c r="A204" s="20" t="s">
        <v>1583</v>
      </c>
      <c r="B204" s="20" t="s">
        <v>215</v>
      </c>
      <c r="C204" s="20" t="s">
        <v>216</v>
      </c>
      <c r="D204" s="20" t="s">
        <v>1584</v>
      </c>
      <c r="E204" s="20" t="s">
        <v>1585</v>
      </c>
      <c r="F204" s="20" t="s">
        <v>219</v>
      </c>
      <c r="G204" s="20" t="s">
        <v>116</v>
      </c>
      <c r="H204" s="20" t="s">
        <v>38</v>
      </c>
      <c r="I204" s="20" t="s">
        <v>99</v>
      </c>
      <c r="J204" s="20" t="s">
        <v>724</v>
      </c>
      <c r="K204" s="20" t="s">
        <v>29</v>
      </c>
      <c r="L204" s="20" t="s">
        <v>724</v>
      </c>
      <c r="M204" s="21">
        <v>45974.659375000003</v>
      </c>
      <c r="N204" s="22">
        <v>45986.588645833333</v>
      </c>
      <c r="O204" s="23" t="s">
        <v>57</v>
      </c>
      <c r="P204" s="23" t="s">
        <v>58</v>
      </c>
    </row>
    <row r="205" spans="1:16" s="23" customFormat="1" ht="16.5" customHeight="1">
      <c r="A205" s="20" t="s">
        <v>1586</v>
      </c>
      <c r="B205" s="20" t="s">
        <v>215</v>
      </c>
      <c r="C205" s="20" t="s">
        <v>216</v>
      </c>
      <c r="D205" s="20" t="s">
        <v>1587</v>
      </c>
      <c r="E205" s="20" t="s">
        <v>1582</v>
      </c>
      <c r="F205" s="20" t="s">
        <v>219</v>
      </c>
      <c r="G205" s="20" t="s">
        <v>116</v>
      </c>
      <c r="H205" s="20" t="s">
        <v>38</v>
      </c>
      <c r="I205" s="20" t="s">
        <v>99</v>
      </c>
      <c r="J205" s="20" t="s">
        <v>724</v>
      </c>
      <c r="K205" s="20" t="s">
        <v>29</v>
      </c>
      <c r="L205" s="20" t="s">
        <v>724</v>
      </c>
      <c r="M205" s="21">
        <v>45974.660208333335</v>
      </c>
      <c r="N205" s="22">
        <v>45981.472858796296</v>
      </c>
      <c r="O205" s="23" t="s">
        <v>57</v>
      </c>
      <c r="P205" s="23" t="s">
        <v>58</v>
      </c>
    </row>
    <row r="206" spans="1:16" s="23" customFormat="1" ht="16.5" customHeight="1">
      <c r="A206" s="20" t="s">
        <v>1588</v>
      </c>
      <c r="B206" s="20" t="s">
        <v>215</v>
      </c>
      <c r="C206" s="20" t="s">
        <v>216</v>
      </c>
      <c r="D206" s="20" t="s">
        <v>1589</v>
      </c>
      <c r="E206" s="20" t="s">
        <v>1590</v>
      </c>
      <c r="F206" s="20" t="s">
        <v>219</v>
      </c>
      <c r="G206" s="20" t="s">
        <v>116</v>
      </c>
      <c r="H206" s="20" t="s">
        <v>38</v>
      </c>
      <c r="I206" s="20" t="s">
        <v>99</v>
      </c>
      <c r="J206" s="20" t="s">
        <v>724</v>
      </c>
      <c r="K206" s="20" t="s">
        <v>29</v>
      </c>
      <c r="L206" s="20" t="s">
        <v>724</v>
      </c>
      <c r="M206" s="21">
        <v>45974.661006944443</v>
      </c>
      <c r="N206" s="22">
        <v>45986.582094907404</v>
      </c>
      <c r="O206" s="23" t="s">
        <v>68</v>
      </c>
      <c r="P206" s="23" t="s">
        <v>69</v>
      </c>
    </row>
    <row r="207" spans="1:16" s="23" customFormat="1" ht="16.5" customHeight="1">
      <c r="A207" s="20" t="s">
        <v>1591</v>
      </c>
      <c r="B207" s="20" t="s">
        <v>215</v>
      </c>
      <c r="C207" s="20" t="s">
        <v>216</v>
      </c>
      <c r="D207" s="20" t="s">
        <v>1592</v>
      </c>
      <c r="E207" s="20" t="s">
        <v>1582</v>
      </c>
      <c r="F207" s="20" t="s">
        <v>219</v>
      </c>
      <c r="G207" s="20" t="s">
        <v>116</v>
      </c>
      <c r="H207" s="20" t="s">
        <v>38</v>
      </c>
      <c r="I207" s="20" t="s">
        <v>99</v>
      </c>
      <c r="J207" s="20" t="s">
        <v>724</v>
      </c>
      <c r="K207" s="20" t="s">
        <v>29</v>
      </c>
      <c r="L207" s="20" t="s">
        <v>724</v>
      </c>
      <c r="M207" s="21">
        <v>45974.661886574075</v>
      </c>
      <c r="N207" s="22">
        <v>45986.585509259261</v>
      </c>
      <c r="O207" s="23" t="s">
        <v>72</v>
      </c>
      <c r="P207" s="23" t="s">
        <v>73</v>
      </c>
    </row>
    <row r="208" spans="1:16" s="23" customFormat="1" ht="16.5" customHeight="1">
      <c r="A208" s="20" t="s">
        <v>1593</v>
      </c>
      <c r="B208" s="20" t="s">
        <v>215</v>
      </c>
      <c r="C208" s="20" t="s">
        <v>216</v>
      </c>
      <c r="D208" s="20" t="s">
        <v>1594</v>
      </c>
      <c r="E208" s="20" t="s">
        <v>1595</v>
      </c>
      <c r="F208" s="20" t="s">
        <v>219</v>
      </c>
      <c r="G208" s="20" t="s">
        <v>116</v>
      </c>
      <c r="H208" s="20" t="s">
        <v>26</v>
      </c>
      <c r="I208" s="20" t="s">
        <v>82</v>
      </c>
      <c r="J208" s="20" t="s">
        <v>724</v>
      </c>
      <c r="K208" s="20" t="s">
        <v>67</v>
      </c>
      <c r="L208" s="20" t="s">
        <v>724</v>
      </c>
      <c r="M208" s="21">
        <v>45972.564259259256</v>
      </c>
      <c r="N208" s="22">
        <v>45981.430578703701</v>
      </c>
      <c r="O208" s="23" t="s">
        <v>95</v>
      </c>
      <c r="P208" s="23" t="s">
        <v>56</v>
      </c>
    </row>
    <row r="209" spans="1:16" s="23" customFormat="1" ht="16.5" customHeight="1">
      <c r="A209" s="20" t="s">
        <v>1596</v>
      </c>
      <c r="B209" s="20" t="s">
        <v>215</v>
      </c>
      <c r="C209" s="20" t="s">
        <v>216</v>
      </c>
      <c r="D209" s="20" t="s">
        <v>1597</v>
      </c>
      <c r="E209" s="20" t="s">
        <v>1598</v>
      </c>
      <c r="F209" s="20" t="s">
        <v>219</v>
      </c>
      <c r="G209" s="20" t="s">
        <v>116</v>
      </c>
      <c r="H209" s="20" t="s">
        <v>26</v>
      </c>
      <c r="I209" s="20" t="s">
        <v>82</v>
      </c>
      <c r="J209" s="20" t="s">
        <v>724</v>
      </c>
      <c r="K209" s="20" t="s">
        <v>67</v>
      </c>
      <c r="L209" s="20" t="s">
        <v>724</v>
      </c>
      <c r="M209" s="21">
        <v>45972.577060185184</v>
      </c>
      <c r="N209" s="22">
        <v>45982.712175925924</v>
      </c>
      <c r="O209" s="23" t="s">
        <v>122</v>
      </c>
      <c r="P209" s="23" t="s">
        <v>39</v>
      </c>
    </row>
    <row r="210" spans="1:16" s="23" customFormat="1" ht="16.5" customHeight="1">
      <c r="A210" s="20" t="s">
        <v>1599</v>
      </c>
      <c r="B210" s="20" t="s">
        <v>215</v>
      </c>
      <c r="C210" s="20" t="s">
        <v>216</v>
      </c>
      <c r="D210" s="20" t="s">
        <v>1600</v>
      </c>
      <c r="E210" s="20" t="s">
        <v>1601</v>
      </c>
      <c r="F210" s="20" t="s">
        <v>219</v>
      </c>
      <c r="G210" s="20" t="s">
        <v>116</v>
      </c>
      <c r="H210" s="20" t="s">
        <v>26</v>
      </c>
      <c r="I210" s="20" t="s">
        <v>82</v>
      </c>
      <c r="J210" s="20" t="s">
        <v>724</v>
      </c>
      <c r="K210" s="20" t="s">
        <v>67</v>
      </c>
      <c r="L210" s="20" t="s">
        <v>724</v>
      </c>
      <c r="M210" s="21">
        <v>45972.70040509259</v>
      </c>
      <c r="N210" s="22">
        <v>45982.716099537036</v>
      </c>
      <c r="O210" s="23" t="s">
        <v>72</v>
      </c>
      <c r="P210" s="23" t="s">
        <v>73</v>
      </c>
    </row>
    <row r="211" spans="1:16" s="23" customFormat="1" ht="16.5" customHeight="1">
      <c r="A211" s="20" t="s">
        <v>1602</v>
      </c>
      <c r="B211" s="20" t="s">
        <v>215</v>
      </c>
      <c r="C211" s="20" t="s">
        <v>216</v>
      </c>
      <c r="D211" s="20" t="s">
        <v>1603</v>
      </c>
      <c r="E211" s="20" t="s">
        <v>1604</v>
      </c>
      <c r="F211" s="20" t="s">
        <v>219</v>
      </c>
      <c r="G211" s="20" t="s">
        <v>116</v>
      </c>
      <c r="H211" s="20" t="s">
        <v>26</v>
      </c>
      <c r="I211" s="20" t="s">
        <v>82</v>
      </c>
      <c r="J211" s="20" t="s">
        <v>724</v>
      </c>
      <c r="K211" s="20" t="s">
        <v>67</v>
      </c>
      <c r="L211" s="20" t="s">
        <v>724</v>
      </c>
      <c r="M211" s="21">
        <v>45972.706608796296</v>
      </c>
      <c r="N211" s="22">
        <v>45981.449143518519</v>
      </c>
      <c r="O211" s="23" t="s">
        <v>57</v>
      </c>
      <c r="P211" s="23" t="s">
        <v>58</v>
      </c>
    </row>
    <row r="212" spans="1:16" s="23" customFormat="1" ht="16.5" customHeight="1">
      <c r="A212" s="20" t="s">
        <v>1605</v>
      </c>
      <c r="B212" s="20" t="s">
        <v>215</v>
      </c>
      <c r="C212" s="20" t="s">
        <v>216</v>
      </c>
      <c r="D212" s="20" t="s">
        <v>1606</v>
      </c>
      <c r="E212" s="20" t="s">
        <v>1607</v>
      </c>
      <c r="F212" s="20" t="s">
        <v>219</v>
      </c>
      <c r="G212" s="20" t="s">
        <v>116</v>
      </c>
      <c r="H212" s="20" t="s">
        <v>26</v>
      </c>
      <c r="I212" s="20" t="s">
        <v>82</v>
      </c>
      <c r="J212" s="20" t="s">
        <v>724</v>
      </c>
      <c r="K212" s="20" t="s">
        <v>67</v>
      </c>
      <c r="L212" s="20" t="s">
        <v>724</v>
      </c>
      <c r="M212" s="21">
        <v>45972.708182870374</v>
      </c>
      <c r="N212" s="22">
        <v>45986.385752314818</v>
      </c>
      <c r="O212" s="23" t="s">
        <v>122</v>
      </c>
      <c r="P212" s="23" t="s">
        <v>39</v>
      </c>
    </row>
    <row r="213" spans="1:16" s="23" customFormat="1" ht="16.5" customHeight="1">
      <c r="A213" s="20" t="s">
        <v>1608</v>
      </c>
      <c r="B213" s="20" t="s">
        <v>215</v>
      </c>
      <c r="C213" s="20" t="s">
        <v>216</v>
      </c>
      <c r="D213" s="20" t="s">
        <v>1609</v>
      </c>
      <c r="E213" s="20" t="s">
        <v>1610</v>
      </c>
      <c r="F213" s="20" t="s">
        <v>219</v>
      </c>
      <c r="G213" s="20" t="s">
        <v>116</v>
      </c>
      <c r="H213" s="20" t="s">
        <v>26</v>
      </c>
      <c r="I213" s="20" t="s">
        <v>99</v>
      </c>
      <c r="J213" s="20" t="s">
        <v>724</v>
      </c>
      <c r="K213" s="20" t="s">
        <v>67</v>
      </c>
      <c r="L213" s="20" t="s">
        <v>724</v>
      </c>
      <c r="M213" s="21">
        <v>45972.712187500001</v>
      </c>
      <c r="N213" s="22">
        <v>45986.388657407406</v>
      </c>
      <c r="O213" s="23" t="s">
        <v>95</v>
      </c>
      <c r="P213" s="23" t="s">
        <v>56</v>
      </c>
    </row>
    <row r="214" spans="1:16" s="23" customFormat="1" ht="16.5" customHeight="1">
      <c r="A214" s="20" t="s">
        <v>1611</v>
      </c>
      <c r="B214" s="20" t="s">
        <v>215</v>
      </c>
      <c r="C214" s="20" t="s">
        <v>216</v>
      </c>
      <c r="D214" s="20" t="s">
        <v>1612</v>
      </c>
      <c r="E214" s="20" t="s">
        <v>1613</v>
      </c>
      <c r="F214" s="20" t="s">
        <v>219</v>
      </c>
      <c r="G214" s="20" t="s">
        <v>116</v>
      </c>
      <c r="H214" s="20" t="s">
        <v>26</v>
      </c>
      <c r="I214" s="20" t="s">
        <v>82</v>
      </c>
      <c r="J214" s="20" t="s">
        <v>724</v>
      </c>
      <c r="K214" s="20" t="s">
        <v>67</v>
      </c>
      <c r="L214" s="20" t="s">
        <v>724</v>
      </c>
      <c r="M214" s="21">
        <v>45972.71607638889</v>
      </c>
      <c r="N214" s="22">
        <v>45981.435266203705</v>
      </c>
      <c r="O214" s="23" t="s">
        <v>40</v>
      </c>
      <c r="P214" s="23" t="s">
        <v>41</v>
      </c>
    </row>
    <row r="215" spans="1:16" s="23" customFormat="1" ht="16.5" customHeight="1">
      <c r="A215" s="20" t="s">
        <v>1614</v>
      </c>
      <c r="B215" s="20" t="s">
        <v>215</v>
      </c>
      <c r="C215" s="20" t="s">
        <v>216</v>
      </c>
      <c r="D215" s="20" t="s">
        <v>1615</v>
      </c>
      <c r="E215" s="20" t="s">
        <v>1616</v>
      </c>
      <c r="F215" s="20" t="s">
        <v>219</v>
      </c>
      <c r="G215" s="20" t="s">
        <v>116</v>
      </c>
      <c r="H215" s="20" t="s">
        <v>26</v>
      </c>
      <c r="I215" s="20" t="s">
        <v>82</v>
      </c>
      <c r="J215" s="20" t="s">
        <v>724</v>
      </c>
      <c r="K215" s="20" t="s">
        <v>67</v>
      </c>
      <c r="L215" s="20" t="s">
        <v>724</v>
      </c>
      <c r="M215" s="21">
        <v>45972.71738425926</v>
      </c>
      <c r="N215" s="22">
        <v>45982.743564814817</v>
      </c>
      <c r="O215" s="23" t="s">
        <v>95</v>
      </c>
      <c r="P215" s="23" t="s">
        <v>56</v>
      </c>
    </row>
    <row r="216" spans="1:16" s="23" customFormat="1" ht="16.5" customHeight="1">
      <c r="A216" s="20" t="s">
        <v>1617</v>
      </c>
      <c r="B216" s="20" t="s">
        <v>215</v>
      </c>
      <c r="C216" s="20" t="s">
        <v>216</v>
      </c>
      <c r="D216" s="20" t="s">
        <v>1618</v>
      </c>
      <c r="E216" s="20" t="s">
        <v>1619</v>
      </c>
      <c r="F216" s="20" t="s">
        <v>219</v>
      </c>
      <c r="G216" s="20" t="s">
        <v>116</v>
      </c>
      <c r="H216" s="20" t="s">
        <v>26</v>
      </c>
      <c r="I216" s="20" t="s">
        <v>99</v>
      </c>
      <c r="J216" s="20" t="s">
        <v>724</v>
      </c>
      <c r="K216" s="20" t="s">
        <v>67</v>
      </c>
      <c r="L216" s="20" t="s">
        <v>724</v>
      </c>
      <c r="M216" s="21">
        <v>45972.725208333337</v>
      </c>
      <c r="N216" s="22">
        <v>45985.656087962961</v>
      </c>
      <c r="O216" s="23" t="s">
        <v>40</v>
      </c>
      <c r="P216" s="23" t="s">
        <v>41</v>
      </c>
    </row>
    <row r="217" spans="1:16" s="23" customFormat="1" ht="16.5" customHeight="1">
      <c r="A217" s="20" t="s">
        <v>1620</v>
      </c>
      <c r="B217" s="20" t="s">
        <v>215</v>
      </c>
      <c r="C217" s="20" t="s">
        <v>216</v>
      </c>
      <c r="D217" s="20" t="s">
        <v>1621</v>
      </c>
      <c r="E217" s="20" t="s">
        <v>1622</v>
      </c>
      <c r="F217" s="20" t="s">
        <v>219</v>
      </c>
      <c r="G217" s="20" t="s">
        <v>116</v>
      </c>
      <c r="H217" s="20" t="s">
        <v>26</v>
      </c>
      <c r="I217" s="20" t="s">
        <v>82</v>
      </c>
      <c r="J217" s="20" t="s">
        <v>724</v>
      </c>
      <c r="K217" s="20" t="s">
        <v>67</v>
      </c>
      <c r="L217" s="20" t="s">
        <v>724</v>
      </c>
      <c r="M217" s="21">
        <v>45972.727916666663</v>
      </c>
      <c r="N217" s="22">
        <v>45981.438356481478</v>
      </c>
      <c r="O217" s="23" t="s">
        <v>122</v>
      </c>
      <c r="P217" s="23" t="s">
        <v>39</v>
      </c>
    </row>
    <row r="218" spans="1:16" s="23" customFormat="1" ht="16.5" customHeight="1">
      <c r="A218" s="20" t="s">
        <v>1623</v>
      </c>
      <c r="B218" s="20" t="s">
        <v>215</v>
      </c>
      <c r="C218" s="20" t="s">
        <v>216</v>
      </c>
      <c r="D218" s="20" t="s">
        <v>1624</v>
      </c>
      <c r="E218" s="20" t="s">
        <v>1625</v>
      </c>
      <c r="F218" s="20" t="s">
        <v>219</v>
      </c>
      <c r="G218" s="20" t="s">
        <v>116</v>
      </c>
      <c r="H218" s="20" t="s">
        <v>26</v>
      </c>
      <c r="I218" s="20" t="s">
        <v>82</v>
      </c>
      <c r="J218" s="20" t="s">
        <v>724</v>
      </c>
      <c r="K218" s="20" t="s">
        <v>67</v>
      </c>
      <c r="L218" s="20" t="s">
        <v>724</v>
      </c>
      <c r="M218" s="21">
        <v>45973.381296296298</v>
      </c>
      <c r="N218" s="22">
        <v>45985.662083333336</v>
      </c>
      <c r="O218" s="23" t="s">
        <v>122</v>
      </c>
      <c r="P218" s="23" t="s">
        <v>39</v>
      </c>
    </row>
    <row r="219" spans="1:16" s="23" customFormat="1" ht="16.5" customHeight="1">
      <c r="A219" s="20" t="s">
        <v>1626</v>
      </c>
      <c r="B219" s="20" t="s">
        <v>215</v>
      </c>
      <c r="C219" s="20" t="s">
        <v>216</v>
      </c>
      <c r="D219" s="20" t="s">
        <v>1627</v>
      </c>
      <c r="E219" s="20" t="s">
        <v>1491</v>
      </c>
      <c r="F219" s="20" t="s">
        <v>219</v>
      </c>
      <c r="G219" s="20" t="s">
        <v>116</v>
      </c>
      <c r="H219" s="20" t="s">
        <v>26</v>
      </c>
      <c r="I219" s="20" t="s">
        <v>99</v>
      </c>
      <c r="J219" s="20" t="s">
        <v>724</v>
      </c>
      <c r="K219" s="20" t="s">
        <v>67</v>
      </c>
      <c r="L219" s="20" t="s">
        <v>724</v>
      </c>
      <c r="M219" s="21">
        <v>45972.729247685187</v>
      </c>
      <c r="N219" s="22">
        <v>45985.665694444448</v>
      </c>
      <c r="O219" s="23" t="s">
        <v>122</v>
      </c>
      <c r="P219" s="23" t="s">
        <v>39</v>
      </c>
    </row>
    <row r="220" spans="1:16" s="23" customFormat="1" ht="16.5" customHeight="1">
      <c r="A220" s="20" t="s">
        <v>1628</v>
      </c>
      <c r="B220" s="20" t="s">
        <v>215</v>
      </c>
      <c r="C220" s="20" t="s">
        <v>216</v>
      </c>
      <c r="D220" s="20" t="s">
        <v>1629</v>
      </c>
      <c r="E220" s="20" t="s">
        <v>1630</v>
      </c>
      <c r="F220" s="20" t="s">
        <v>219</v>
      </c>
      <c r="G220" s="20" t="s">
        <v>116</v>
      </c>
      <c r="H220" s="20" t="s">
        <v>38</v>
      </c>
      <c r="I220" s="20" t="s">
        <v>99</v>
      </c>
      <c r="J220" s="20" t="s">
        <v>724</v>
      </c>
      <c r="K220" s="20" t="s">
        <v>67</v>
      </c>
      <c r="L220" s="20" t="s">
        <v>724</v>
      </c>
      <c r="M220" s="21">
        <v>45973.385983796295</v>
      </c>
      <c r="N220" s="22">
        <v>45981.443379629629</v>
      </c>
      <c r="O220" s="23" t="s">
        <v>40</v>
      </c>
      <c r="P220" s="23" t="s">
        <v>41</v>
      </c>
    </row>
    <row r="221" spans="1:16" s="23" customFormat="1" ht="16.5" customHeight="1">
      <c r="A221" s="20" t="s">
        <v>1631</v>
      </c>
      <c r="B221" s="20" t="s">
        <v>215</v>
      </c>
      <c r="C221" s="20" t="s">
        <v>216</v>
      </c>
      <c r="D221" s="20" t="s">
        <v>1632</v>
      </c>
      <c r="E221" s="20" t="s">
        <v>1633</v>
      </c>
      <c r="F221" s="20" t="s">
        <v>219</v>
      </c>
      <c r="G221" s="20" t="s">
        <v>116</v>
      </c>
      <c r="H221" s="20" t="s">
        <v>26</v>
      </c>
      <c r="I221" s="20" t="s">
        <v>99</v>
      </c>
      <c r="J221" s="20" t="s">
        <v>724</v>
      </c>
      <c r="K221" s="20" t="s">
        <v>67</v>
      </c>
      <c r="L221" s="20" t="s">
        <v>724</v>
      </c>
      <c r="M221" s="21">
        <v>45973.399444444447</v>
      </c>
      <c r="N221" s="22">
        <v>45981.416180555556</v>
      </c>
      <c r="O221" s="23" t="s">
        <v>40</v>
      </c>
      <c r="P221" s="23" t="s">
        <v>41</v>
      </c>
    </row>
    <row r="222" spans="1:16" s="23" customFormat="1" ht="16.5" customHeight="1">
      <c r="A222" s="20" t="s">
        <v>1634</v>
      </c>
      <c r="B222" s="20" t="s">
        <v>215</v>
      </c>
      <c r="C222" s="20" t="s">
        <v>216</v>
      </c>
      <c r="D222" s="20" t="s">
        <v>1635</v>
      </c>
      <c r="E222" s="20" t="s">
        <v>1633</v>
      </c>
      <c r="F222" s="20" t="s">
        <v>219</v>
      </c>
      <c r="G222" s="20" t="s">
        <v>116</v>
      </c>
      <c r="H222" s="20" t="s">
        <v>26</v>
      </c>
      <c r="I222" s="20" t="s">
        <v>99</v>
      </c>
      <c r="J222" s="20" t="s">
        <v>724</v>
      </c>
      <c r="K222" s="20" t="s">
        <v>67</v>
      </c>
      <c r="L222" s="20" t="s">
        <v>724</v>
      </c>
      <c r="M222" s="21">
        <v>45973.440937500003</v>
      </c>
      <c r="N222" s="22">
        <v>45985.671018518522</v>
      </c>
      <c r="O222" s="23" t="s">
        <v>122</v>
      </c>
      <c r="P222" s="23" t="s">
        <v>39</v>
      </c>
    </row>
    <row r="223" spans="1:16" s="23" customFormat="1" ht="16.5" customHeight="1">
      <c r="A223" s="20" t="s">
        <v>1636</v>
      </c>
      <c r="B223" s="20" t="s">
        <v>215</v>
      </c>
      <c r="C223" s="20" t="s">
        <v>216</v>
      </c>
      <c r="D223" s="20" t="s">
        <v>1637</v>
      </c>
      <c r="E223" s="20" t="s">
        <v>1638</v>
      </c>
      <c r="F223" s="20" t="s">
        <v>219</v>
      </c>
      <c r="G223" s="20" t="s">
        <v>116</v>
      </c>
      <c r="H223" s="20" t="s">
        <v>26</v>
      </c>
      <c r="I223" s="20" t="s">
        <v>82</v>
      </c>
      <c r="J223" s="20" t="s">
        <v>724</v>
      </c>
      <c r="K223" s="20" t="s">
        <v>67</v>
      </c>
      <c r="L223" s="20" t="s">
        <v>724</v>
      </c>
      <c r="M223" s="21">
        <v>45973.448078703703</v>
      </c>
      <c r="N223" s="22">
        <v>45985.681296296294</v>
      </c>
      <c r="O223" s="23" t="s">
        <v>40</v>
      </c>
      <c r="P223" s="23" t="s">
        <v>41</v>
      </c>
    </row>
    <row r="224" spans="1:16" s="23" customFormat="1" ht="16.5" customHeight="1">
      <c r="A224" s="20" t="s">
        <v>1639</v>
      </c>
      <c r="B224" s="20" t="s">
        <v>215</v>
      </c>
      <c r="C224" s="20" t="s">
        <v>216</v>
      </c>
      <c r="D224" s="20" t="s">
        <v>1640</v>
      </c>
      <c r="E224" s="20" t="s">
        <v>1641</v>
      </c>
      <c r="F224" s="20" t="s">
        <v>219</v>
      </c>
      <c r="G224" s="20" t="s">
        <v>116</v>
      </c>
      <c r="H224" s="20" t="s">
        <v>26</v>
      </c>
      <c r="I224" s="20" t="s">
        <v>82</v>
      </c>
      <c r="J224" s="20" t="s">
        <v>724</v>
      </c>
      <c r="K224" s="20" t="s">
        <v>67</v>
      </c>
      <c r="L224" s="20" t="s">
        <v>724</v>
      </c>
      <c r="M224" s="21">
        <v>45973.454884259256</v>
      </c>
      <c r="N224" s="22">
        <v>45985.737766203703</v>
      </c>
      <c r="O224" s="23" t="s">
        <v>40</v>
      </c>
      <c r="P224" s="23" t="s">
        <v>41</v>
      </c>
    </row>
    <row r="225" spans="1:16" s="23" customFormat="1" ht="16.5" customHeight="1">
      <c r="A225" s="20" t="s">
        <v>214</v>
      </c>
      <c r="B225" s="20" t="s">
        <v>215</v>
      </c>
      <c r="C225" s="20" t="s">
        <v>216</v>
      </c>
      <c r="D225" s="20" t="s">
        <v>1642</v>
      </c>
      <c r="E225" s="20" t="s">
        <v>1643</v>
      </c>
      <c r="F225" s="20" t="s">
        <v>219</v>
      </c>
      <c r="G225" s="20" t="s">
        <v>116</v>
      </c>
      <c r="H225" s="20" t="s">
        <v>38</v>
      </c>
      <c r="I225" s="20" t="s">
        <v>99</v>
      </c>
      <c r="J225" s="20" t="s">
        <v>724</v>
      </c>
      <c r="K225" s="20" t="s">
        <v>67</v>
      </c>
      <c r="L225" s="20" t="s">
        <v>724</v>
      </c>
      <c r="M225" s="21">
        <v>45973.474537037036</v>
      </c>
      <c r="N225" s="22">
        <v>45985.73364583333</v>
      </c>
      <c r="O225" s="23" t="s">
        <v>122</v>
      </c>
      <c r="P225" s="23" t="s">
        <v>39</v>
      </c>
    </row>
    <row r="226" spans="1:16" s="23" customFormat="1" ht="16.5" customHeight="1">
      <c r="A226" s="20" t="s">
        <v>1644</v>
      </c>
      <c r="B226" s="20" t="s">
        <v>215</v>
      </c>
      <c r="C226" s="20" t="s">
        <v>216</v>
      </c>
      <c r="D226" s="20" t="s">
        <v>1645</v>
      </c>
      <c r="E226" s="20" t="s">
        <v>1643</v>
      </c>
      <c r="F226" s="20" t="s">
        <v>219</v>
      </c>
      <c r="G226" s="20" t="s">
        <v>116</v>
      </c>
      <c r="H226" s="20" t="s">
        <v>26</v>
      </c>
      <c r="I226" s="20" t="s">
        <v>99</v>
      </c>
      <c r="J226" s="20" t="s">
        <v>724</v>
      </c>
      <c r="K226" s="20" t="s">
        <v>67</v>
      </c>
      <c r="L226" s="20" t="s">
        <v>724</v>
      </c>
      <c r="M226" s="21">
        <v>45973.476087962961</v>
      </c>
      <c r="N226" s="22">
        <v>45986.393530092595</v>
      </c>
      <c r="O226" s="23" t="s">
        <v>40</v>
      </c>
      <c r="P226" s="23" t="s">
        <v>41</v>
      </c>
    </row>
    <row r="227" spans="1:16" s="23" customFormat="1" ht="16.5" customHeight="1">
      <c r="A227" s="20" t="s">
        <v>1646</v>
      </c>
      <c r="B227" s="20" t="s">
        <v>215</v>
      </c>
      <c r="C227" s="20" t="s">
        <v>216</v>
      </c>
      <c r="D227" s="20" t="s">
        <v>1647</v>
      </c>
      <c r="E227" s="20" t="s">
        <v>1643</v>
      </c>
      <c r="F227" s="20" t="s">
        <v>219</v>
      </c>
      <c r="G227" s="20" t="s">
        <v>116</v>
      </c>
      <c r="H227" s="20" t="s">
        <v>26</v>
      </c>
      <c r="I227" s="20" t="s">
        <v>99</v>
      </c>
      <c r="J227" s="20" t="s">
        <v>724</v>
      </c>
      <c r="K227" s="20" t="s">
        <v>67</v>
      </c>
      <c r="L227" s="20" t="s">
        <v>724</v>
      </c>
      <c r="M227" s="21">
        <v>45973.548900462964</v>
      </c>
      <c r="N227" s="22">
        <v>45986.419224537036</v>
      </c>
      <c r="O227" s="23" t="s">
        <v>126</v>
      </c>
      <c r="P227" s="23" t="s">
        <v>127</v>
      </c>
    </row>
    <row r="228" spans="1:16" s="23" customFormat="1" ht="16.5" customHeight="1">
      <c r="A228" s="20" t="s">
        <v>1648</v>
      </c>
      <c r="B228" s="20" t="s">
        <v>215</v>
      </c>
      <c r="C228" s="20" t="s">
        <v>216</v>
      </c>
      <c r="D228" s="20" t="s">
        <v>1649</v>
      </c>
      <c r="E228" s="20" t="s">
        <v>1491</v>
      </c>
      <c r="F228" s="20" t="s">
        <v>219</v>
      </c>
      <c r="G228" s="20" t="s">
        <v>116</v>
      </c>
      <c r="H228" s="20" t="s">
        <v>26</v>
      </c>
      <c r="I228" s="20" t="s">
        <v>99</v>
      </c>
      <c r="J228" s="20" t="s">
        <v>724</v>
      </c>
      <c r="K228" s="20" t="s">
        <v>67</v>
      </c>
      <c r="L228" s="20" t="s">
        <v>724</v>
      </c>
      <c r="M228" s="21">
        <v>45973.578587962962</v>
      </c>
      <c r="N228" s="22">
        <v>45987.639236111114</v>
      </c>
      <c r="O228" s="23" t="s">
        <v>95</v>
      </c>
      <c r="P228" s="23" t="s">
        <v>56</v>
      </c>
    </row>
    <row r="229" spans="1:16" s="23" customFormat="1" ht="16.5" customHeight="1">
      <c r="A229" s="20" t="s">
        <v>1650</v>
      </c>
      <c r="B229" s="20" t="s">
        <v>215</v>
      </c>
      <c r="C229" s="20" t="s">
        <v>216</v>
      </c>
      <c r="D229" s="20" t="s">
        <v>1651</v>
      </c>
      <c r="E229" s="20" t="s">
        <v>1652</v>
      </c>
      <c r="F229" s="20" t="s">
        <v>219</v>
      </c>
      <c r="G229" s="20" t="s">
        <v>116</v>
      </c>
      <c r="H229" s="20" t="s">
        <v>26</v>
      </c>
      <c r="I229" s="20" t="s">
        <v>82</v>
      </c>
      <c r="J229" s="20" t="s">
        <v>724</v>
      </c>
      <c r="K229" s="20" t="s">
        <v>67</v>
      </c>
      <c r="L229" s="20" t="s">
        <v>724</v>
      </c>
      <c r="M229" s="21">
        <v>45973.651006944441</v>
      </c>
      <c r="N229" s="22">
        <v>45985.722986111112</v>
      </c>
      <c r="O229" s="23" t="s">
        <v>122</v>
      </c>
      <c r="P229" s="23" t="s">
        <v>39</v>
      </c>
    </row>
    <row r="230" spans="1:16" s="23" customFormat="1" ht="16.5" customHeight="1">
      <c r="A230" s="20" t="s">
        <v>1653</v>
      </c>
      <c r="B230" s="20" t="s">
        <v>215</v>
      </c>
      <c r="C230" s="20" t="s">
        <v>216</v>
      </c>
      <c r="D230" s="20" t="s">
        <v>1654</v>
      </c>
      <c r="E230" s="20" t="s">
        <v>1652</v>
      </c>
      <c r="F230" s="20" t="s">
        <v>219</v>
      </c>
      <c r="G230" s="20" t="s">
        <v>116</v>
      </c>
      <c r="H230" s="20" t="s">
        <v>26</v>
      </c>
      <c r="I230" s="20" t="s">
        <v>99</v>
      </c>
      <c r="J230" s="20" t="s">
        <v>724</v>
      </c>
      <c r="K230" s="20" t="s">
        <v>67</v>
      </c>
      <c r="L230" s="20" t="s">
        <v>724</v>
      </c>
      <c r="M230" s="21">
        <v>45973.650011574071</v>
      </c>
      <c r="N230" s="22">
        <v>45985.593923611108</v>
      </c>
      <c r="O230" s="23" t="s">
        <v>68</v>
      </c>
      <c r="P230" s="23" t="s">
        <v>69</v>
      </c>
    </row>
    <row r="231" spans="1:16" s="23" customFormat="1" ht="16.5" customHeight="1">
      <c r="A231" s="20" t="s">
        <v>1653</v>
      </c>
      <c r="B231" s="20" t="s">
        <v>215</v>
      </c>
      <c r="C231" s="20" t="s">
        <v>216</v>
      </c>
      <c r="D231" s="20" t="s">
        <v>1655</v>
      </c>
      <c r="E231" s="20" t="s">
        <v>1656</v>
      </c>
      <c r="F231" s="20" t="s">
        <v>219</v>
      </c>
      <c r="G231" s="20" t="s">
        <v>116</v>
      </c>
      <c r="H231" s="20" t="s">
        <v>26</v>
      </c>
      <c r="I231" s="20" t="s">
        <v>99</v>
      </c>
      <c r="J231" s="20" t="s">
        <v>724</v>
      </c>
      <c r="K231" s="20" t="s">
        <v>67</v>
      </c>
      <c r="L231" s="20" t="s">
        <v>724</v>
      </c>
      <c r="M231" s="21">
        <v>45973.650208333333</v>
      </c>
      <c r="N231" s="22">
        <v>45985.594189814816</v>
      </c>
      <c r="O231" s="23" t="s">
        <v>68</v>
      </c>
      <c r="P231" s="23" t="s">
        <v>69</v>
      </c>
    </row>
    <row r="232" spans="1:16" s="23" customFormat="1" ht="16.5" customHeight="1">
      <c r="A232" s="20" t="s">
        <v>1657</v>
      </c>
      <c r="B232" s="20" t="s">
        <v>215</v>
      </c>
      <c r="C232" s="20" t="s">
        <v>216</v>
      </c>
      <c r="D232" s="20" t="s">
        <v>1658</v>
      </c>
      <c r="E232" s="20" t="s">
        <v>1659</v>
      </c>
      <c r="F232" s="20" t="s">
        <v>219</v>
      </c>
      <c r="G232" s="20" t="s">
        <v>116</v>
      </c>
      <c r="H232" s="20" t="s">
        <v>38</v>
      </c>
      <c r="I232" s="20" t="s">
        <v>99</v>
      </c>
      <c r="J232" s="20" t="s">
        <v>724</v>
      </c>
      <c r="K232" s="20" t="s">
        <v>67</v>
      </c>
      <c r="L232" s="20" t="s">
        <v>724</v>
      </c>
      <c r="M232" s="21">
        <v>45973.656458333331</v>
      </c>
      <c r="N232" s="22">
        <v>45985.58834490741</v>
      </c>
      <c r="O232" s="23" t="s">
        <v>126</v>
      </c>
      <c r="P232" s="23" t="s">
        <v>127</v>
      </c>
    </row>
    <row r="233" spans="1:16" s="23" customFormat="1" ht="16.5" customHeight="1">
      <c r="A233" s="20" t="s">
        <v>1660</v>
      </c>
      <c r="B233" s="20" t="s">
        <v>215</v>
      </c>
      <c r="C233" s="20" t="s">
        <v>216</v>
      </c>
      <c r="D233" s="20" t="s">
        <v>1661</v>
      </c>
      <c r="E233" s="20" t="s">
        <v>1659</v>
      </c>
      <c r="F233" s="20" t="s">
        <v>219</v>
      </c>
      <c r="G233" s="20" t="s">
        <v>116</v>
      </c>
      <c r="H233" s="20" t="s">
        <v>38</v>
      </c>
      <c r="I233" s="20" t="s">
        <v>99</v>
      </c>
      <c r="J233" s="20" t="s">
        <v>724</v>
      </c>
      <c r="K233" s="20" t="s">
        <v>67</v>
      </c>
      <c r="L233" s="20" t="s">
        <v>724</v>
      </c>
      <c r="M233" s="21">
        <v>45973.656863425924</v>
      </c>
      <c r="N233" s="22">
        <v>45985.72587962963</v>
      </c>
      <c r="O233" s="23" t="s">
        <v>126</v>
      </c>
      <c r="P233" s="23" t="s">
        <v>127</v>
      </c>
    </row>
    <row r="234" spans="1:16" s="23" customFormat="1" ht="16.5" customHeight="1">
      <c r="A234" s="20" t="s">
        <v>1662</v>
      </c>
      <c r="B234" s="20" t="s">
        <v>215</v>
      </c>
      <c r="C234" s="20" t="s">
        <v>216</v>
      </c>
      <c r="D234" s="20" t="s">
        <v>1663</v>
      </c>
      <c r="E234" s="20" t="s">
        <v>1664</v>
      </c>
      <c r="F234" s="20" t="s">
        <v>219</v>
      </c>
      <c r="G234" s="20" t="s">
        <v>116</v>
      </c>
      <c r="H234" s="20" t="s">
        <v>26</v>
      </c>
      <c r="I234" s="20" t="s">
        <v>99</v>
      </c>
      <c r="J234" s="20" t="s">
        <v>724</v>
      </c>
      <c r="K234" s="20" t="s">
        <v>67</v>
      </c>
      <c r="L234" s="20" t="s">
        <v>724</v>
      </c>
      <c r="M234" s="21">
        <v>45973.657997685186</v>
      </c>
      <c r="N234" s="22">
        <v>45985.728090277778</v>
      </c>
      <c r="O234" s="23" t="s">
        <v>40</v>
      </c>
      <c r="P234" s="23" t="s">
        <v>41</v>
      </c>
    </row>
    <row r="235" spans="1:16" s="23" customFormat="1" ht="16.5" customHeight="1">
      <c r="A235" s="20" t="s">
        <v>1665</v>
      </c>
      <c r="B235" s="20" t="s">
        <v>215</v>
      </c>
      <c r="C235" s="20" t="s">
        <v>216</v>
      </c>
      <c r="D235" s="20" t="s">
        <v>1666</v>
      </c>
      <c r="E235" s="20" t="s">
        <v>1664</v>
      </c>
      <c r="F235" s="20" t="s">
        <v>219</v>
      </c>
      <c r="G235" s="20" t="s">
        <v>116</v>
      </c>
      <c r="H235" s="20" t="s">
        <v>26</v>
      </c>
      <c r="I235" s="20" t="s">
        <v>99</v>
      </c>
      <c r="J235" s="20" t="s">
        <v>724</v>
      </c>
      <c r="K235" s="20" t="s">
        <v>67</v>
      </c>
      <c r="L235" s="20" t="s">
        <v>724</v>
      </c>
      <c r="M235" s="21">
        <v>45973.658495370371</v>
      </c>
      <c r="N235" s="22">
        <v>45985.589467592596</v>
      </c>
      <c r="O235" s="23" t="s">
        <v>40</v>
      </c>
      <c r="P235" s="23" t="s">
        <v>41</v>
      </c>
    </row>
    <row r="236" spans="1:16" s="23" customFormat="1" ht="16.5" customHeight="1">
      <c r="A236" s="20" t="s">
        <v>1667</v>
      </c>
      <c r="B236" s="20" t="s">
        <v>215</v>
      </c>
      <c r="C236" s="20" t="s">
        <v>216</v>
      </c>
      <c r="D236" s="20" t="s">
        <v>1668</v>
      </c>
      <c r="E236" s="20" t="s">
        <v>1549</v>
      </c>
      <c r="F236" s="20" t="s">
        <v>219</v>
      </c>
      <c r="G236" s="20" t="s">
        <v>116</v>
      </c>
      <c r="H236" s="20" t="s">
        <v>26</v>
      </c>
      <c r="I236" s="20" t="s">
        <v>99</v>
      </c>
      <c r="J236" s="20" t="s">
        <v>724</v>
      </c>
      <c r="K236" s="20" t="s">
        <v>67</v>
      </c>
      <c r="L236" s="20" t="s">
        <v>724</v>
      </c>
      <c r="M236" s="21">
        <v>45973.66233796296</v>
      </c>
      <c r="N236" s="22">
        <v>45985.590810185182</v>
      </c>
      <c r="O236" s="23" t="s">
        <v>40</v>
      </c>
      <c r="P236" s="23" t="s">
        <v>41</v>
      </c>
    </row>
    <row r="237" spans="1:16" s="23" customFormat="1" ht="16.5" customHeight="1">
      <c r="A237" s="20" t="s">
        <v>1669</v>
      </c>
      <c r="B237" s="20" t="s">
        <v>215</v>
      </c>
      <c r="C237" s="20" t="s">
        <v>216</v>
      </c>
      <c r="D237" s="20" t="s">
        <v>1670</v>
      </c>
      <c r="E237" s="20" t="s">
        <v>1549</v>
      </c>
      <c r="F237" s="20" t="s">
        <v>219</v>
      </c>
      <c r="G237" s="20" t="s">
        <v>116</v>
      </c>
      <c r="H237" s="20" t="s">
        <v>38</v>
      </c>
      <c r="I237" s="20" t="s">
        <v>99</v>
      </c>
      <c r="J237" s="20" t="s">
        <v>724</v>
      </c>
      <c r="K237" s="20" t="s">
        <v>67</v>
      </c>
      <c r="L237" s="20" t="s">
        <v>724</v>
      </c>
      <c r="M237" s="21">
        <v>45973.662974537037</v>
      </c>
      <c r="N237" s="22">
        <v>45985.697789351849</v>
      </c>
      <c r="O237" s="23" t="s">
        <v>122</v>
      </c>
      <c r="P237" s="23" t="s">
        <v>39</v>
      </c>
    </row>
    <row r="238" spans="1:16" s="23" customFormat="1" ht="16.5" customHeight="1">
      <c r="A238" s="20" t="s">
        <v>1671</v>
      </c>
      <c r="B238" s="20" t="s">
        <v>215</v>
      </c>
      <c r="C238" s="20" t="s">
        <v>216</v>
      </c>
      <c r="D238" s="20" t="s">
        <v>1672</v>
      </c>
      <c r="E238" s="20" t="s">
        <v>1673</v>
      </c>
      <c r="F238" s="20" t="s">
        <v>219</v>
      </c>
      <c r="G238" s="20" t="s">
        <v>116</v>
      </c>
      <c r="H238" s="20" t="s">
        <v>26</v>
      </c>
      <c r="I238" s="20" t="s">
        <v>99</v>
      </c>
      <c r="J238" s="20" t="s">
        <v>724</v>
      </c>
      <c r="K238" s="20" t="s">
        <v>67</v>
      </c>
      <c r="L238" s="20" t="s">
        <v>724</v>
      </c>
      <c r="M238" s="21">
        <v>45973.664664351854</v>
      </c>
      <c r="N238" s="22">
        <v>45985.730729166666</v>
      </c>
      <c r="O238" s="23" t="s">
        <v>76</v>
      </c>
      <c r="P238" s="23" t="s">
        <v>77</v>
      </c>
    </row>
    <row r="239" spans="1:16" s="23" customFormat="1" ht="16.5" customHeight="1">
      <c r="A239" s="20" t="s">
        <v>1674</v>
      </c>
      <c r="B239" s="20" t="s">
        <v>215</v>
      </c>
      <c r="C239" s="20" t="s">
        <v>216</v>
      </c>
      <c r="D239" s="20" t="s">
        <v>1675</v>
      </c>
      <c r="E239" s="20" t="s">
        <v>1673</v>
      </c>
      <c r="F239" s="20" t="s">
        <v>219</v>
      </c>
      <c r="G239" s="20" t="s">
        <v>116</v>
      </c>
      <c r="H239" s="20" t="s">
        <v>26</v>
      </c>
      <c r="I239" s="20" t="s">
        <v>99</v>
      </c>
      <c r="J239" s="20" t="s">
        <v>724</v>
      </c>
      <c r="K239" s="20" t="s">
        <v>67</v>
      </c>
      <c r="L239" s="20" t="s">
        <v>724</v>
      </c>
      <c r="M239" s="21">
        <v>45973.668761574074</v>
      </c>
      <c r="N239" s="22">
        <v>45986.409039351849</v>
      </c>
      <c r="O239" s="23" t="s">
        <v>40</v>
      </c>
      <c r="P239" s="23" t="s">
        <v>41</v>
      </c>
    </row>
    <row r="240" spans="1:16" s="23" customFormat="1" ht="16.5" customHeight="1">
      <c r="A240" s="20" t="s">
        <v>1676</v>
      </c>
      <c r="B240" s="20" t="s">
        <v>215</v>
      </c>
      <c r="C240" s="20" t="s">
        <v>216</v>
      </c>
      <c r="D240" s="20" t="s">
        <v>1677</v>
      </c>
      <c r="E240" s="20" t="s">
        <v>1678</v>
      </c>
      <c r="F240" s="20" t="s">
        <v>219</v>
      </c>
      <c r="G240" s="20" t="s">
        <v>116</v>
      </c>
      <c r="H240" s="20" t="s">
        <v>26</v>
      </c>
      <c r="I240" s="20" t="s">
        <v>99</v>
      </c>
      <c r="J240" s="20" t="s">
        <v>724</v>
      </c>
      <c r="K240" s="20" t="s">
        <v>67</v>
      </c>
      <c r="L240" s="20" t="s">
        <v>724</v>
      </c>
      <c r="M240" s="21">
        <v>45973.669803240744</v>
      </c>
      <c r="N240" s="22">
        <v>45986.415520833332</v>
      </c>
      <c r="O240" s="23" t="s">
        <v>76</v>
      </c>
      <c r="P240" s="23" t="s">
        <v>77</v>
      </c>
    </row>
    <row r="241" spans="1:16" s="23" customFormat="1" ht="16.5" customHeight="1">
      <c r="A241" s="20" t="s">
        <v>1679</v>
      </c>
      <c r="B241" s="20" t="s">
        <v>215</v>
      </c>
      <c r="C241" s="20" t="s">
        <v>216</v>
      </c>
      <c r="D241" s="20" t="s">
        <v>1680</v>
      </c>
      <c r="E241" s="20" t="s">
        <v>1678</v>
      </c>
      <c r="F241" s="20" t="s">
        <v>219</v>
      </c>
      <c r="G241" s="20" t="s">
        <v>116</v>
      </c>
      <c r="H241" s="20" t="s">
        <v>26</v>
      </c>
      <c r="I241" s="20" t="s">
        <v>99</v>
      </c>
      <c r="J241" s="20" t="s">
        <v>724</v>
      </c>
      <c r="K241" s="20" t="s">
        <v>67</v>
      </c>
      <c r="L241" s="20" t="s">
        <v>724</v>
      </c>
      <c r="M241" s="21">
        <v>45973.672789351855</v>
      </c>
      <c r="N241" s="22">
        <v>45986.413645833331</v>
      </c>
      <c r="O241" s="23" t="s">
        <v>40</v>
      </c>
      <c r="P241" s="23" t="s">
        <v>41</v>
      </c>
    </row>
    <row r="242" spans="1:16" s="23" customFormat="1" ht="16.5" customHeight="1">
      <c r="A242" s="20" t="s">
        <v>1681</v>
      </c>
      <c r="B242" s="20" t="s">
        <v>215</v>
      </c>
      <c r="C242" s="20" t="s">
        <v>216</v>
      </c>
      <c r="D242" s="20" t="s">
        <v>1682</v>
      </c>
      <c r="E242" s="20" t="s">
        <v>1683</v>
      </c>
      <c r="F242" s="20" t="s">
        <v>219</v>
      </c>
      <c r="G242" s="20" t="s">
        <v>116</v>
      </c>
      <c r="H242" s="20" t="s">
        <v>26</v>
      </c>
      <c r="I242" s="20" t="s">
        <v>39</v>
      </c>
      <c r="J242" s="20" t="s">
        <v>724</v>
      </c>
      <c r="K242" s="20" t="s">
        <v>29</v>
      </c>
      <c r="L242" s="20" t="s">
        <v>724</v>
      </c>
      <c r="M242" s="21">
        <v>45972.61277777778</v>
      </c>
      <c r="N242" s="22">
        <v>45987.418842592589</v>
      </c>
      <c r="O242" s="23" t="s">
        <v>40</v>
      </c>
      <c r="P242" s="23" t="s">
        <v>41</v>
      </c>
    </row>
    <row r="243" spans="1:16" s="23" customFormat="1" ht="16.5" customHeight="1">
      <c r="A243" s="20" t="s">
        <v>1689</v>
      </c>
      <c r="B243" s="20" t="s">
        <v>215</v>
      </c>
      <c r="C243" s="20" t="s">
        <v>216</v>
      </c>
      <c r="D243" s="20" t="s">
        <v>1690</v>
      </c>
      <c r="E243" s="20" t="s">
        <v>1691</v>
      </c>
      <c r="F243" s="20" t="s">
        <v>219</v>
      </c>
      <c r="G243" s="20" t="s">
        <v>25</v>
      </c>
      <c r="H243" s="20" t="s">
        <v>26</v>
      </c>
      <c r="I243" s="20" t="s">
        <v>39</v>
      </c>
      <c r="J243" s="20" t="s">
        <v>724</v>
      </c>
      <c r="K243" s="20" t="s">
        <v>67</v>
      </c>
      <c r="L243" s="20" t="s">
        <v>724</v>
      </c>
      <c r="M243" s="21">
        <v>45971.693599537037</v>
      </c>
      <c r="N243" s="22">
        <v>45975.417800925927</v>
      </c>
      <c r="O243" s="23" t="s">
        <v>68</v>
      </c>
      <c r="P243" s="23" t="s">
        <v>69</v>
      </c>
    </row>
    <row r="244" spans="1:16" s="23" customFormat="1" ht="16.5" customHeight="1">
      <c r="A244" s="20" t="s">
        <v>1692</v>
      </c>
      <c r="B244" s="20" t="s">
        <v>215</v>
      </c>
      <c r="C244" s="20" t="s">
        <v>216</v>
      </c>
      <c r="D244" s="20" t="s">
        <v>1693</v>
      </c>
      <c r="E244" s="20" t="s">
        <v>1694</v>
      </c>
      <c r="F244" s="20" t="s">
        <v>219</v>
      </c>
      <c r="G244" s="20" t="s">
        <v>25</v>
      </c>
      <c r="H244" s="20" t="s">
        <v>26</v>
      </c>
      <c r="I244" s="20" t="s">
        <v>39</v>
      </c>
      <c r="J244" s="20" t="s">
        <v>724</v>
      </c>
      <c r="K244" s="20" t="s">
        <v>67</v>
      </c>
      <c r="L244" s="20" t="s">
        <v>724</v>
      </c>
      <c r="M244" s="21">
        <v>45972.390069444446</v>
      </c>
      <c r="N244" s="22">
        <v>45975.417997685188</v>
      </c>
      <c r="O244" s="23" t="s">
        <v>40</v>
      </c>
      <c r="P244" s="23" t="s">
        <v>41</v>
      </c>
    </row>
    <row r="245" spans="1:16" s="23" customFormat="1" ht="16.5" customHeight="1">
      <c r="A245" s="20" t="s">
        <v>1695</v>
      </c>
      <c r="B245" s="20" t="s">
        <v>215</v>
      </c>
      <c r="C245" s="20" t="s">
        <v>216</v>
      </c>
      <c r="D245" s="20" t="s">
        <v>1696</v>
      </c>
      <c r="E245" s="20" t="s">
        <v>1697</v>
      </c>
      <c r="F245" s="20" t="s">
        <v>219</v>
      </c>
      <c r="G245" s="20" t="s">
        <v>25</v>
      </c>
      <c r="H245" s="20" t="s">
        <v>26</v>
      </c>
      <c r="I245" s="20" t="s">
        <v>39</v>
      </c>
      <c r="J245" s="20" t="s">
        <v>724</v>
      </c>
      <c r="K245" s="20" t="s">
        <v>67</v>
      </c>
      <c r="L245" s="20" t="s">
        <v>724</v>
      </c>
      <c r="M245" s="21">
        <v>45972.429722222223</v>
      </c>
      <c r="N245" s="22">
        <v>45975.417581018519</v>
      </c>
      <c r="O245" s="23" t="s">
        <v>122</v>
      </c>
      <c r="P245" s="23" t="s">
        <v>39</v>
      </c>
    </row>
    <row r="246" spans="1:16" s="23" customFormat="1" ht="16.5" customHeight="1">
      <c r="A246" s="20" t="s">
        <v>1698</v>
      </c>
      <c r="B246" s="20" t="s">
        <v>215</v>
      </c>
      <c r="C246" s="20" t="s">
        <v>46</v>
      </c>
      <c r="D246" s="20" t="s">
        <v>1699</v>
      </c>
      <c r="E246" s="20" t="s">
        <v>866</v>
      </c>
      <c r="F246" s="20" t="s">
        <v>49</v>
      </c>
      <c r="G246" s="20" t="s">
        <v>62</v>
      </c>
      <c r="H246" s="20" t="s">
        <v>26</v>
      </c>
      <c r="I246" s="20" t="s">
        <v>27</v>
      </c>
      <c r="J246" s="20" t="s">
        <v>724</v>
      </c>
      <c r="K246" s="20" t="s">
        <v>29</v>
      </c>
      <c r="L246" s="20" t="s">
        <v>724</v>
      </c>
      <c r="M246" s="21">
        <v>45971.707395833335</v>
      </c>
      <c r="N246" s="22">
        <v>45979.447835648149</v>
      </c>
      <c r="O246" s="23" t="s">
        <v>76</v>
      </c>
      <c r="P246" s="23" t="s">
        <v>77</v>
      </c>
    </row>
    <row r="247" spans="1:16" s="23" customFormat="1" ht="16.5" customHeight="1">
      <c r="A247" s="20" t="s">
        <v>1700</v>
      </c>
      <c r="B247" s="20" t="s">
        <v>215</v>
      </c>
      <c r="C247" s="20" t="s">
        <v>46</v>
      </c>
      <c r="D247" s="20" t="s">
        <v>1701</v>
      </c>
      <c r="E247" s="20" t="s">
        <v>1702</v>
      </c>
      <c r="F247" s="20" t="s">
        <v>49</v>
      </c>
      <c r="G247" s="20" t="s">
        <v>25</v>
      </c>
      <c r="H247" s="20" t="s">
        <v>38</v>
      </c>
      <c r="I247" s="20" t="s">
        <v>39</v>
      </c>
      <c r="J247" s="20" t="s">
        <v>724</v>
      </c>
      <c r="K247" s="20" t="s">
        <v>29</v>
      </c>
      <c r="L247" s="20" t="s">
        <v>724</v>
      </c>
      <c r="M247" s="21">
        <v>45972.632638888892</v>
      </c>
      <c r="N247" s="22">
        <v>45975.560439814813</v>
      </c>
      <c r="O247" s="23" t="s">
        <v>76</v>
      </c>
      <c r="P247" s="23" t="s">
        <v>77</v>
      </c>
    </row>
    <row r="248" spans="1:16" s="23" customFormat="1" ht="16.5" customHeight="1">
      <c r="A248" s="20" t="s">
        <v>182</v>
      </c>
      <c r="B248" s="20" t="s">
        <v>183</v>
      </c>
      <c r="C248" s="20" t="s">
        <v>184</v>
      </c>
      <c r="D248" s="20" t="s">
        <v>185</v>
      </c>
      <c r="E248" s="20" t="s">
        <v>186</v>
      </c>
      <c r="F248" s="20" t="s">
        <v>187</v>
      </c>
      <c r="G248" s="20" t="s">
        <v>25</v>
      </c>
      <c r="H248" s="20" t="s">
        <v>26</v>
      </c>
      <c r="I248" s="20" t="s">
        <v>39</v>
      </c>
      <c r="J248" s="20" t="s">
        <v>189</v>
      </c>
      <c r="K248" s="20" t="s">
        <v>67</v>
      </c>
      <c r="L248" s="20" t="s">
        <v>189</v>
      </c>
      <c r="M248" s="21">
        <v>46041.469525462962</v>
      </c>
      <c r="N248" s="22">
        <v>46051.573125000003</v>
      </c>
      <c r="O248" s="23" t="s">
        <v>122</v>
      </c>
      <c r="P248" s="23" t="s">
        <v>39</v>
      </c>
    </row>
    <row r="249" spans="1:16" s="19" customFormat="1" ht="16.5" customHeight="1">
      <c r="A249" s="16" t="s">
        <v>182</v>
      </c>
      <c r="B249" s="16" t="s">
        <v>183</v>
      </c>
      <c r="C249" s="16" t="s">
        <v>184</v>
      </c>
      <c r="D249" s="16" t="s">
        <v>191</v>
      </c>
      <c r="E249" s="16" t="s">
        <v>192</v>
      </c>
      <c r="F249" s="16" t="s">
        <v>187</v>
      </c>
      <c r="G249" s="16" t="s">
        <v>25</v>
      </c>
      <c r="H249" s="16" t="s">
        <v>26</v>
      </c>
      <c r="I249" s="16" t="s">
        <v>39</v>
      </c>
      <c r="J249" s="16" t="s">
        <v>189</v>
      </c>
      <c r="K249" s="16" t="s">
        <v>67</v>
      </c>
      <c r="L249" s="16" t="s">
        <v>189</v>
      </c>
      <c r="M249" s="17">
        <v>46041.461655092593</v>
      </c>
      <c r="N249" s="18">
        <v>46048.692615740743</v>
      </c>
      <c r="O249" s="19" t="s">
        <v>76</v>
      </c>
      <c r="P249" s="19" t="s">
        <v>77</v>
      </c>
    </row>
    <row r="250" spans="1:16" s="19" customFormat="1" ht="16.5" customHeight="1">
      <c r="A250" s="16" t="s">
        <v>193</v>
      </c>
      <c r="B250" s="16" t="s">
        <v>183</v>
      </c>
      <c r="C250" s="16" t="s">
        <v>184</v>
      </c>
      <c r="D250" s="16" t="s">
        <v>194</v>
      </c>
      <c r="E250" s="16" t="s">
        <v>195</v>
      </c>
      <c r="F250" s="16" t="s">
        <v>187</v>
      </c>
      <c r="G250" s="16" t="s">
        <v>25</v>
      </c>
      <c r="H250" s="16" t="s">
        <v>26</v>
      </c>
      <c r="I250" s="16" t="s">
        <v>39</v>
      </c>
      <c r="J250" s="16" t="s">
        <v>189</v>
      </c>
      <c r="K250" s="16" t="s">
        <v>67</v>
      </c>
      <c r="L250" s="16" t="s">
        <v>189</v>
      </c>
      <c r="M250" s="17">
        <v>46041.555127314816</v>
      </c>
      <c r="N250" s="18">
        <v>46048.874907407408</v>
      </c>
      <c r="O250" s="19" t="s">
        <v>76</v>
      </c>
      <c r="P250" s="19" t="s">
        <v>77</v>
      </c>
    </row>
    <row r="251" spans="1:16" s="19" customFormat="1" ht="16.5" customHeight="1">
      <c r="A251" s="16" t="s">
        <v>193</v>
      </c>
      <c r="B251" s="16" t="s">
        <v>183</v>
      </c>
      <c r="C251" s="16" t="s">
        <v>184</v>
      </c>
      <c r="D251" s="16" t="s">
        <v>196</v>
      </c>
      <c r="E251" s="16" t="s">
        <v>197</v>
      </c>
      <c r="F251" s="16" t="s">
        <v>187</v>
      </c>
      <c r="G251" s="16" t="s">
        <v>25</v>
      </c>
      <c r="H251" s="16" t="s">
        <v>26</v>
      </c>
      <c r="I251" s="16" t="s">
        <v>27</v>
      </c>
      <c r="J251" s="16" t="s">
        <v>189</v>
      </c>
      <c r="K251" s="16" t="s">
        <v>29</v>
      </c>
      <c r="L251" s="16" t="s">
        <v>189</v>
      </c>
      <c r="M251" s="17">
        <v>46041.570138888892</v>
      </c>
      <c r="N251" s="18">
        <v>46048.682523148149</v>
      </c>
      <c r="O251" s="19" t="s">
        <v>76</v>
      </c>
      <c r="P251" s="19" t="s">
        <v>77</v>
      </c>
    </row>
    <row r="252" spans="1:16" s="19" customFormat="1" ht="16.5" customHeight="1">
      <c r="A252" s="16" t="s">
        <v>193</v>
      </c>
      <c r="B252" s="16" t="s">
        <v>183</v>
      </c>
      <c r="C252" s="16" t="s">
        <v>184</v>
      </c>
      <c r="D252" s="16" t="s">
        <v>198</v>
      </c>
      <c r="E252" s="16" t="s">
        <v>199</v>
      </c>
      <c r="F252" s="16" t="s">
        <v>187</v>
      </c>
      <c r="G252" s="16" t="s">
        <v>25</v>
      </c>
      <c r="H252" s="16" t="s">
        <v>26</v>
      </c>
      <c r="I252" s="16" t="s">
        <v>27</v>
      </c>
      <c r="J252" s="16" t="s">
        <v>189</v>
      </c>
      <c r="K252" s="16" t="s">
        <v>67</v>
      </c>
      <c r="L252" s="16" t="s">
        <v>189</v>
      </c>
      <c r="M252" s="17">
        <v>46041.554189814815</v>
      </c>
      <c r="N252" s="18">
        <v>46048.585949074077</v>
      </c>
      <c r="O252" s="19" t="s">
        <v>76</v>
      </c>
      <c r="P252" s="19" t="s">
        <v>77</v>
      </c>
    </row>
    <row r="253" spans="1:16" s="19" customFormat="1" ht="16.5" customHeight="1">
      <c r="A253" s="16" t="s">
        <v>200</v>
      </c>
      <c r="B253" s="16" t="s">
        <v>183</v>
      </c>
      <c r="C253" s="16" t="s">
        <v>184</v>
      </c>
      <c r="D253" s="16" t="s">
        <v>201</v>
      </c>
      <c r="E253" s="16" t="s">
        <v>202</v>
      </c>
      <c r="F253" s="16" t="s">
        <v>187</v>
      </c>
      <c r="G253" s="16" t="s">
        <v>25</v>
      </c>
      <c r="H253" s="16" t="s">
        <v>26</v>
      </c>
      <c r="I253" s="16" t="s">
        <v>203</v>
      </c>
      <c r="J253" s="16" t="s">
        <v>189</v>
      </c>
      <c r="K253" s="16" t="s">
        <v>29</v>
      </c>
      <c r="L253" s="16" t="s">
        <v>189</v>
      </c>
      <c r="M253" s="17">
        <v>46041.607800925929</v>
      </c>
      <c r="N253" s="18">
        <v>46048.602326388886</v>
      </c>
      <c r="O253" s="19" t="s">
        <v>57</v>
      </c>
      <c r="P253" s="19" t="s">
        <v>58</v>
      </c>
    </row>
    <row r="254" spans="1:16" s="19" customFormat="1" ht="16.5" customHeight="1">
      <c r="A254" s="16" t="s">
        <v>200</v>
      </c>
      <c r="B254" s="16" t="s">
        <v>183</v>
      </c>
      <c r="C254" s="16" t="s">
        <v>184</v>
      </c>
      <c r="D254" s="16" t="s">
        <v>204</v>
      </c>
      <c r="E254" s="16" t="s">
        <v>199</v>
      </c>
      <c r="F254" s="16" t="s">
        <v>187</v>
      </c>
      <c r="G254" s="16" t="s">
        <v>25</v>
      </c>
      <c r="H254" s="16" t="s">
        <v>26</v>
      </c>
      <c r="I254" s="16" t="s">
        <v>27</v>
      </c>
      <c r="J254" s="16" t="s">
        <v>189</v>
      </c>
      <c r="K254" s="16" t="s">
        <v>67</v>
      </c>
      <c r="L254" s="16" t="s">
        <v>189</v>
      </c>
      <c r="M254" s="17">
        <v>46041.609467592592</v>
      </c>
      <c r="N254" s="18">
        <v>46048.586134259262</v>
      </c>
      <c r="O254" s="19" t="s">
        <v>122</v>
      </c>
      <c r="P254" s="19" t="s">
        <v>39</v>
      </c>
    </row>
    <row r="255" spans="1:16" s="19" customFormat="1" ht="16.5" customHeight="1">
      <c r="A255" s="16" t="s">
        <v>200</v>
      </c>
      <c r="B255" s="16" t="s">
        <v>183</v>
      </c>
      <c r="C255" s="16" t="s">
        <v>184</v>
      </c>
      <c r="D255" s="16" t="s">
        <v>205</v>
      </c>
      <c r="E255" s="16" t="s">
        <v>192</v>
      </c>
      <c r="F255" s="16" t="s">
        <v>187</v>
      </c>
      <c r="G255" s="16" t="s">
        <v>25</v>
      </c>
      <c r="H255" s="16" t="s">
        <v>26</v>
      </c>
      <c r="I255" s="16" t="s">
        <v>39</v>
      </c>
      <c r="J255" s="16" t="s">
        <v>189</v>
      </c>
      <c r="K255" s="16" t="s">
        <v>67</v>
      </c>
      <c r="L255" s="16" t="s">
        <v>189</v>
      </c>
      <c r="M255" s="17">
        <v>46041.611018518517</v>
      </c>
      <c r="N255" s="18">
        <v>46048.69290509259</v>
      </c>
      <c r="O255" s="19" t="s">
        <v>122</v>
      </c>
      <c r="P255" s="19" t="s">
        <v>39</v>
      </c>
    </row>
    <row r="256" spans="1:16" s="19" customFormat="1" ht="16.5" customHeight="1">
      <c r="A256" s="16" t="s">
        <v>200</v>
      </c>
      <c r="B256" s="16" t="s">
        <v>183</v>
      </c>
      <c r="C256" s="16" t="s">
        <v>184</v>
      </c>
      <c r="D256" s="16" t="s">
        <v>206</v>
      </c>
      <c r="E256" s="16" t="s">
        <v>197</v>
      </c>
      <c r="F256" s="16" t="s">
        <v>187</v>
      </c>
      <c r="G256" s="16" t="s">
        <v>25</v>
      </c>
      <c r="H256" s="16" t="s">
        <v>26</v>
      </c>
      <c r="I256" s="16" t="s">
        <v>27</v>
      </c>
      <c r="J256" s="16" t="s">
        <v>189</v>
      </c>
      <c r="K256" s="16" t="s">
        <v>29</v>
      </c>
      <c r="L256" s="16" t="s">
        <v>189</v>
      </c>
      <c r="M256" s="17">
        <v>46041.61273148148</v>
      </c>
      <c r="N256" s="18">
        <v>46048.68273148148</v>
      </c>
      <c r="O256" s="19" t="s">
        <v>122</v>
      </c>
      <c r="P256" s="19" t="s">
        <v>39</v>
      </c>
    </row>
    <row r="257" spans="1:16" s="19" customFormat="1" ht="16.5" customHeight="1">
      <c r="A257" s="16" t="s">
        <v>200</v>
      </c>
      <c r="B257" s="16" t="s">
        <v>183</v>
      </c>
      <c r="C257" s="16" t="s">
        <v>184</v>
      </c>
      <c r="D257" s="16" t="s">
        <v>207</v>
      </c>
      <c r="E257" s="16" t="s">
        <v>208</v>
      </c>
      <c r="F257" s="16" t="s">
        <v>187</v>
      </c>
      <c r="G257" s="16" t="s">
        <v>25</v>
      </c>
      <c r="H257" s="16" t="s">
        <v>26</v>
      </c>
      <c r="I257" s="16" t="s">
        <v>27</v>
      </c>
      <c r="J257" s="16" t="s">
        <v>189</v>
      </c>
      <c r="K257" s="16" t="s">
        <v>67</v>
      </c>
      <c r="L257" s="16" t="s">
        <v>189</v>
      </c>
      <c r="M257" s="17">
        <v>46041.614999999998</v>
      </c>
      <c r="N257" s="18">
        <v>46048.875243055554</v>
      </c>
      <c r="O257" s="19" t="s">
        <v>76</v>
      </c>
      <c r="P257" s="19" t="s">
        <v>77</v>
      </c>
    </row>
    <row r="258" spans="1:16" s="19" customFormat="1" ht="16.5" customHeight="1">
      <c r="A258" s="16" t="s">
        <v>209</v>
      </c>
      <c r="B258" s="16" t="s">
        <v>183</v>
      </c>
      <c r="C258" s="16" t="s">
        <v>184</v>
      </c>
      <c r="D258" s="16" t="s">
        <v>210</v>
      </c>
      <c r="E258" s="16" t="s">
        <v>197</v>
      </c>
      <c r="F258" s="16" t="s">
        <v>187</v>
      </c>
      <c r="G258" s="16" t="s">
        <v>25</v>
      </c>
      <c r="H258" s="16" t="s">
        <v>26</v>
      </c>
      <c r="I258" s="16" t="s">
        <v>27</v>
      </c>
      <c r="J258" s="16" t="s">
        <v>189</v>
      </c>
      <c r="K258" s="16" t="s">
        <v>29</v>
      </c>
      <c r="L258" s="16" t="s">
        <v>189</v>
      </c>
      <c r="M258" s="17">
        <v>46041.620833333334</v>
      </c>
      <c r="N258" s="18">
        <v>46048.682939814818</v>
      </c>
      <c r="O258" s="19" t="s">
        <v>76</v>
      </c>
      <c r="P258" s="19" t="s">
        <v>77</v>
      </c>
    </row>
    <row r="259" spans="1:16" s="19" customFormat="1" ht="16.5" customHeight="1">
      <c r="A259" s="16" t="s">
        <v>209</v>
      </c>
      <c r="B259" s="16" t="s">
        <v>183</v>
      </c>
      <c r="C259" s="16" t="s">
        <v>184</v>
      </c>
      <c r="D259" s="16" t="s">
        <v>211</v>
      </c>
      <c r="E259" s="16" t="s">
        <v>202</v>
      </c>
      <c r="F259" s="16" t="s">
        <v>187</v>
      </c>
      <c r="G259" s="16" t="s">
        <v>25</v>
      </c>
      <c r="H259" s="16" t="s">
        <v>26</v>
      </c>
      <c r="I259" s="16" t="s">
        <v>203</v>
      </c>
      <c r="J259" s="16" t="s">
        <v>189</v>
      </c>
      <c r="K259" s="16" t="s">
        <v>67</v>
      </c>
      <c r="L259" s="16" t="s">
        <v>189</v>
      </c>
      <c r="M259" s="17">
        <v>46041.621168981481</v>
      </c>
      <c r="N259" s="18">
        <v>46048.602534722224</v>
      </c>
      <c r="O259" s="19" t="s">
        <v>122</v>
      </c>
      <c r="P259" s="19" t="s">
        <v>39</v>
      </c>
    </row>
    <row r="260" spans="1:16" s="19" customFormat="1" ht="16.5" customHeight="1">
      <c r="A260" s="16" t="s">
        <v>212</v>
      </c>
      <c r="B260" s="16" t="s">
        <v>183</v>
      </c>
      <c r="C260" s="16" t="s">
        <v>184</v>
      </c>
      <c r="D260" s="16" t="s">
        <v>213</v>
      </c>
      <c r="E260" s="16" t="s">
        <v>199</v>
      </c>
      <c r="F260" s="16" t="s">
        <v>187</v>
      </c>
      <c r="G260" s="16" t="s">
        <v>25</v>
      </c>
      <c r="H260" s="16" t="s">
        <v>26</v>
      </c>
      <c r="I260" s="16" t="s">
        <v>27</v>
      </c>
      <c r="J260" s="16" t="s">
        <v>189</v>
      </c>
      <c r="K260" s="16" t="s">
        <v>67</v>
      </c>
      <c r="L260" s="16" t="s">
        <v>189</v>
      </c>
      <c r="M260" s="17">
        <v>46041.61645833333</v>
      </c>
      <c r="N260" s="18">
        <v>46048.586493055554</v>
      </c>
      <c r="O260" s="19" t="s">
        <v>95</v>
      </c>
      <c r="P260" s="19" t="s">
        <v>56</v>
      </c>
    </row>
    <row r="261" spans="1:16" s="19" customFormat="1" ht="16.5" customHeight="1">
      <c r="A261" s="16" t="s">
        <v>257</v>
      </c>
      <c r="B261" s="16" t="s">
        <v>183</v>
      </c>
      <c r="C261" s="16" t="s">
        <v>229</v>
      </c>
      <c r="D261" s="16" t="s">
        <v>258</v>
      </c>
      <c r="E261" s="16" t="s">
        <v>259</v>
      </c>
      <c r="F261" s="16" t="s">
        <v>232</v>
      </c>
      <c r="G261" s="16" t="s">
        <v>25</v>
      </c>
      <c r="H261" s="16" t="s">
        <v>38</v>
      </c>
      <c r="I261" s="16" t="s">
        <v>27</v>
      </c>
      <c r="J261" s="16" t="s">
        <v>189</v>
      </c>
      <c r="K261" s="16" t="s">
        <v>29</v>
      </c>
      <c r="L261" s="16" t="s">
        <v>189</v>
      </c>
      <c r="M261" s="17">
        <v>46042.415034722224</v>
      </c>
      <c r="N261" s="18">
        <v>46043.413807870369</v>
      </c>
      <c r="O261" s="19" t="s">
        <v>76</v>
      </c>
      <c r="P261" s="19" t="s">
        <v>77</v>
      </c>
    </row>
    <row r="262" spans="1:16" s="19" customFormat="1" ht="16.5" customHeight="1">
      <c r="A262" s="16" t="s">
        <v>270</v>
      </c>
      <c r="B262" s="16" t="s">
        <v>183</v>
      </c>
      <c r="C262" s="16" t="s">
        <v>266</v>
      </c>
      <c r="D262" s="16" t="s">
        <v>271</v>
      </c>
      <c r="E262" s="16" t="s">
        <v>272</v>
      </c>
      <c r="F262" s="16" t="s">
        <v>269</v>
      </c>
      <c r="G262" s="16" t="s">
        <v>25</v>
      </c>
      <c r="H262" s="16" t="s">
        <v>26</v>
      </c>
      <c r="I262" s="16" t="s">
        <v>39</v>
      </c>
      <c r="J262" s="16" t="s">
        <v>189</v>
      </c>
      <c r="K262" s="16" t="s">
        <v>29</v>
      </c>
      <c r="L262" s="16" t="s">
        <v>189</v>
      </c>
      <c r="M262" s="17">
        <v>46043.572615740741</v>
      </c>
      <c r="N262" s="18">
        <v>46043.705243055556</v>
      </c>
      <c r="O262" s="19" t="s">
        <v>40</v>
      </c>
      <c r="P262" s="19" t="s">
        <v>41</v>
      </c>
    </row>
    <row r="263" spans="1:16" s="19" customFormat="1" ht="16.5" customHeight="1">
      <c r="A263" s="16" t="s">
        <v>274</v>
      </c>
      <c r="B263" s="16" t="s">
        <v>183</v>
      </c>
      <c r="C263" s="16" t="s">
        <v>275</v>
      </c>
      <c r="D263" s="16" t="s">
        <v>276</v>
      </c>
      <c r="E263" s="16" t="s">
        <v>277</v>
      </c>
      <c r="F263" s="16" t="s">
        <v>278</v>
      </c>
      <c r="G263" s="16" t="s">
        <v>116</v>
      </c>
      <c r="H263" s="16" t="s">
        <v>26</v>
      </c>
      <c r="I263" s="16" t="s">
        <v>82</v>
      </c>
      <c r="J263" s="16" t="s">
        <v>189</v>
      </c>
      <c r="K263" s="16" t="s">
        <v>29</v>
      </c>
      <c r="L263" s="16" t="s">
        <v>189</v>
      </c>
      <c r="M263" s="17">
        <v>46042.598796296297</v>
      </c>
      <c r="N263" s="18">
        <v>46043.561782407407</v>
      </c>
      <c r="O263" s="19" t="s">
        <v>95</v>
      </c>
      <c r="P263" s="19" t="s">
        <v>56</v>
      </c>
    </row>
    <row r="264" spans="1:16" s="19" customFormat="1" ht="16.5" customHeight="1">
      <c r="A264" s="16" t="s">
        <v>280</v>
      </c>
      <c r="B264" s="16" t="s">
        <v>183</v>
      </c>
      <c r="C264" s="16" t="s">
        <v>229</v>
      </c>
      <c r="D264" s="16" t="s">
        <v>281</v>
      </c>
      <c r="E264" s="16" t="s">
        <v>282</v>
      </c>
      <c r="F264" s="16" t="s">
        <v>232</v>
      </c>
      <c r="G264" s="16" t="s">
        <v>25</v>
      </c>
      <c r="H264" s="16" t="s">
        <v>148</v>
      </c>
      <c r="I264" s="16" t="s">
        <v>99</v>
      </c>
      <c r="J264" s="16" t="s">
        <v>189</v>
      </c>
      <c r="K264" s="16" t="s">
        <v>67</v>
      </c>
      <c r="L264" s="16" t="s">
        <v>189</v>
      </c>
      <c r="M264" s="17">
        <v>46044.76935185185</v>
      </c>
      <c r="N264" s="18">
        <v>46048.389664351853</v>
      </c>
      <c r="O264" s="19" t="s">
        <v>76</v>
      </c>
      <c r="P264" s="19" t="s">
        <v>77</v>
      </c>
    </row>
    <row r="265" spans="1:16" s="19" customFormat="1" ht="16.5" customHeight="1">
      <c r="A265" s="16" t="s">
        <v>283</v>
      </c>
      <c r="B265" s="16" t="s">
        <v>183</v>
      </c>
      <c r="C265" s="16" t="s">
        <v>229</v>
      </c>
      <c r="D265" s="16" t="s">
        <v>284</v>
      </c>
      <c r="E265" s="16" t="s">
        <v>285</v>
      </c>
      <c r="F265" s="16" t="s">
        <v>232</v>
      </c>
      <c r="G265" s="16" t="s">
        <v>25</v>
      </c>
      <c r="H265" s="16" t="s">
        <v>26</v>
      </c>
      <c r="I265" s="16" t="s">
        <v>39</v>
      </c>
      <c r="J265" s="16" t="s">
        <v>189</v>
      </c>
      <c r="K265" s="16" t="s">
        <v>106</v>
      </c>
      <c r="L265" s="16" t="s">
        <v>189</v>
      </c>
      <c r="M265" s="17">
        <v>46041.599953703706</v>
      </c>
      <c r="N265" s="18">
        <v>46043.790231481478</v>
      </c>
      <c r="O265" s="19" t="s">
        <v>72</v>
      </c>
      <c r="P265" s="19" t="s">
        <v>73</v>
      </c>
    </row>
    <row r="266" spans="1:16" s="19" customFormat="1" ht="16.5" customHeight="1">
      <c r="A266" s="16" t="s">
        <v>283</v>
      </c>
      <c r="B266" s="16" t="s">
        <v>183</v>
      </c>
      <c r="C266" s="16" t="s">
        <v>229</v>
      </c>
      <c r="D266" s="16" t="s">
        <v>286</v>
      </c>
      <c r="E266" s="16" t="s">
        <v>287</v>
      </c>
      <c r="F266" s="16" t="s">
        <v>232</v>
      </c>
      <c r="G266" s="16" t="s">
        <v>25</v>
      </c>
      <c r="H266" s="16" t="s">
        <v>26</v>
      </c>
      <c r="I266" s="16" t="s">
        <v>39</v>
      </c>
      <c r="J266" s="16" t="s">
        <v>189</v>
      </c>
      <c r="K266" s="16" t="s">
        <v>106</v>
      </c>
      <c r="L266" s="16" t="s">
        <v>189</v>
      </c>
      <c r="M266" s="17">
        <v>46041.594942129632</v>
      </c>
      <c r="N266" s="18">
        <v>46043.804224537038</v>
      </c>
      <c r="O266" s="19" t="s">
        <v>40</v>
      </c>
      <c r="P266" s="19" t="s">
        <v>41</v>
      </c>
    </row>
    <row r="267" spans="1:16" s="19" customFormat="1" ht="16.5" customHeight="1">
      <c r="A267" s="16" t="s">
        <v>288</v>
      </c>
      <c r="B267" s="16" t="s">
        <v>183</v>
      </c>
      <c r="C267" s="16" t="s">
        <v>275</v>
      </c>
      <c r="D267" s="16" t="s">
        <v>289</v>
      </c>
      <c r="E267" s="16" t="s">
        <v>290</v>
      </c>
      <c r="F267" s="16" t="s">
        <v>278</v>
      </c>
      <c r="G267" s="16" t="s">
        <v>116</v>
      </c>
      <c r="H267" s="16" t="s">
        <v>26</v>
      </c>
      <c r="I267" s="16" t="s">
        <v>82</v>
      </c>
      <c r="J267" s="16" t="s">
        <v>189</v>
      </c>
      <c r="K267" s="16" t="s">
        <v>29</v>
      </c>
      <c r="L267" s="16" t="s">
        <v>189</v>
      </c>
      <c r="M267" s="17">
        <v>46042.600243055553</v>
      </c>
      <c r="N267" s="18">
        <v>46043.560740740744</v>
      </c>
      <c r="O267" s="19" t="s">
        <v>30</v>
      </c>
      <c r="P267" s="19" t="s">
        <v>31</v>
      </c>
    </row>
    <row r="268" spans="1:16" s="19" customFormat="1" ht="16.5" customHeight="1">
      <c r="A268" s="16" t="s">
        <v>291</v>
      </c>
      <c r="B268" s="16" t="s">
        <v>183</v>
      </c>
      <c r="C268" s="16" t="s">
        <v>275</v>
      </c>
      <c r="D268" s="16" t="s">
        <v>292</v>
      </c>
      <c r="E268" s="16" t="s">
        <v>293</v>
      </c>
      <c r="F268" s="16" t="s">
        <v>278</v>
      </c>
      <c r="G268" s="16" t="s">
        <v>116</v>
      </c>
      <c r="H268" s="16" t="s">
        <v>26</v>
      </c>
      <c r="I268" s="16" t="s">
        <v>82</v>
      </c>
      <c r="J268" s="16" t="s">
        <v>189</v>
      </c>
      <c r="K268" s="16" t="s">
        <v>29</v>
      </c>
      <c r="L268" s="16" t="s">
        <v>189</v>
      </c>
      <c r="M268" s="17">
        <v>46042.602453703701</v>
      </c>
      <c r="N268" s="18">
        <v>46043.561157407406</v>
      </c>
      <c r="O268" s="19" t="s">
        <v>122</v>
      </c>
      <c r="P268" s="19" t="s">
        <v>39</v>
      </c>
    </row>
    <row r="269" spans="1:16" s="19" customFormat="1" ht="16.5" customHeight="1">
      <c r="A269" s="16" t="s">
        <v>310</v>
      </c>
      <c r="B269" s="16" t="s">
        <v>183</v>
      </c>
      <c r="C269" s="16" t="s">
        <v>275</v>
      </c>
      <c r="D269" s="16" t="s">
        <v>311</v>
      </c>
      <c r="E269" s="16" t="s">
        <v>312</v>
      </c>
      <c r="F269" s="16" t="s">
        <v>278</v>
      </c>
      <c r="G269" s="16" t="s">
        <v>116</v>
      </c>
      <c r="H269" s="16" t="s">
        <v>26</v>
      </c>
      <c r="I269" s="16" t="s">
        <v>82</v>
      </c>
      <c r="J269" s="16" t="s">
        <v>189</v>
      </c>
      <c r="K269" s="16" t="s">
        <v>29</v>
      </c>
      <c r="L269" s="16" t="s">
        <v>189</v>
      </c>
      <c r="M269" s="17">
        <v>46042.599664351852</v>
      </c>
      <c r="N269" s="18">
        <v>46043.561666666668</v>
      </c>
      <c r="O269" s="19" t="s">
        <v>419</v>
      </c>
      <c r="P269" s="19" t="s">
        <v>66</v>
      </c>
    </row>
    <row r="270" spans="1:16" s="19" customFormat="1" ht="16.5" customHeight="1">
      <c r="A270" s="16" t="s">
        <v>313</v>
      </c>
      <c r="B270" s="16" t="s">
        <v>183</v>
      </c>
      <c r="C270" s="16" t="s">
        <v>275</v>
      </c>
      <c r="D270" s="16" t="s">
        <v>314</v>
      </c>
      <c r="E270" s="16" t="s">
        <v>315</v>
      </c>
      <c r="F270" s="16" t="s">
        <v>278</v>
      </c>
      <c r="G270" s="16" t="s">
        <v>116</v>
      </c>
      <c r="H270" s="16" t="s">
        <v>26</v>
      </c>
      <c r="I270" s="16" t="s">
        <v>82</v>
      </c>
      <c r="J270" s="16" t="s">
        <v>189</v>
      </c>
      <c r="K270" s="16" t="s">
        <v>29</v>
      </c>
      <c r="L270" s="16" t="s">
        <v>189</v>
      </c>
      <c r="M270" s="17">
        <v>46042.603506944448</v>
      </c>
      <c r="N270" s="18">
        <v>46043.561516203707</v>
      </c>
      <c r="O270" s="19" t="s">
        <v>40</v>
      </c>
      <c r="P270" s="19" t="s">
        <v>41</v>
      </c>
    </row>
    <row r="271" spans="1:16" s="19" customFormat="1" ht="16.5" customHeight="1">
      <c r="A271" s="16" t="s">
        <v>316</v>
      </c>
      <c r="B271" s="16" t="s">
        <v>183</v>
      </c>
      <c r="C271" s="16" t="s">
        <v>275</v>
      </c>
      <c r="D271" s="16" t="s">
        <v>317</v>
      </c>
      <c r="E271" s="16" t="s">
        <v>318</v>
      </c>
      <c r="F271" s="16" t="s">
        <v>278</v>
      </c>
      <c r="G271" s="16" t="s">
        <v>116</v>
      </c>
      <c r="H271" s="16" t="s">
        <v>26</v>
      </c>
      <c r="I271" s="16" t="s">
        <v>82</v>
      </c>
      <c r="J271" s="16" t="s">
        <v>189</v>
      </c>
      <c r="K271" s="16" t="s">
        <v>29</v>
      </c>
      <c r="L271" s="16" t="s">
        <v>189</v>
      </c>
      <c r="M271" s="17">
        <v>46042.603020833332</v>
      </c>
      <c r="N271" s="18">
        <v>46043.561412037037</v>
      </c>
      <c r="O271" s="19" t="s">
        <v>40</v>
      </c>
      <c r="P271" s="19" t="s">
        <v>41</v>
      </c>
    </row>
    <row r="272" spans="1:16" s="19" customFormat="1" ht="16.5" customHeight="1">
      <c r="A272" s="16" t="s">
        <v>319</v>
      </c>
      <c r="B272" s="16" t="s">
        <v>183</v>
      </c>
      <c r="C272" s="16" t="s">
        <v>275</v>
      </c>
      <c r="D272" s="16" t="s">
        <v>320</v>
      </c>
      <c r="E272" s="16" t="s">
        <v>321</v>
      </c>
      <c r="F272" s="16" t="s">
        <v>278</v>
      </c>
      <c r="G272" s="16" t="s">
        <v>116</v>
      </c>
      <c r="H272" s="16" t="s">
        <v>26</v>
      </c>
      <c r="I272" s="16" t="s">
        <v>82</v>
      </c>
      <c r="J272" s="16" t="s">
        <v>189</v>
      </c>
      <c r="K272" s="16" t="s">
        <v>29</v>
      </c>
      <c r="L272" s="16" t="s">
        <v>189</v>
      </c>
      <c r="M272" s="17">
        <v>46042.602685185186</v>
      </c>
      <c r="N272" s="18">
        <v>46043.561284722222</v>
      </c>
      <c r="O272" s="19" t="s">
        <v>40</v>
      </c>
      <c r="P272" s="19" t="s">
        <v>41</v>
      </c>
    </row>
    <row r="273" spans="1:16" s="19" customFormat="1" ht="16.5" customHeight="1">
      <c r="A273" s="16" t="s">
        <v>322</v>
      </c>
      <c r="B273" s="16" t="s">
        <v>183</v>
      </c>
      <c r="C273" s="16" t="s">
        <v>275</v>
      </c>
      <c r="D273" s="16" t="s">
        <v>323</v>
      </c>
      <c r="E273" s="16" t="s">
        <v>324</v>
      </c>
      <c r="F273" s="16" t="s">
        <v>278</v>
      </c>
      <c r="G273" s="16" t="s">
        <v>116</v>
      </c>
      <c r="H273" s="16" t="s">
        <v>26</v>
      </c>
      <c r="I273" s="16" t="s">
        <v>82</v>
      </c>
      <c r="J273" s="16" t="s">
        <v>189</v>
      </c>
      <c r="K273" s="16" t="s">
        <v>29</v>
      </c>
      <c r="L273" s="16" t="s">
        <v>189</v>
      </c>
      <c r="M273" s="17">
        <v>46042.566134259258</v>
      </c>
      <c r="N273" s="18">
        <v>46043.562951388885</v>
      </c>
      <c r="O273" s="19" t="s">
        <v>95</v>
      </c>
      <c r="P273" s="19" t="s">
        <v>56</v>
      </c>
    </row>
    <row r="274" spans="1:16" s="19" customFormat="1" ht="16.5" customHeight="1">
      <c r="A274" s="16" t="s">
        <v>325</v>
      </c>
      <c r="B274" s="16" t="s">
        <v>183</v>
      </c>
      <c r="C274" s="16" t="s">
        <v>275</v>
      </c>
      <c r="D274" s="16" t="s">
        <v>326</v>
      </c>
      <c r="E274" s="16" t="s">
        <v>327</v>
      </c>
      <c r="F274" s="16" t="s">
        <v>278</v>
      </c>
      <c r="G274" s="16" t="s">
        <v>116</v>
      </c>
      <c r="H274" s="16" t="s">
        <v>26</v>
      </c>
      <c r="I274" s="16" t="s">
        <v>82</v>
      </c>
      <c r="J274" s="16" t="s">
        <v>189</v>
      </c>
      <c r="K274" s="16" t="s">
        <v>29</v>
      </c>
      <c r="L274" s="16" t="s">
        <v>189</v>
      </c>
      <c r="M274" s="17">
        <v>46042.567349537036</v>
      </c>
      <c r="N274" s="18">
        <v>46043.562569444446</v>
      </c>
      <c r="O274" s="19" t="s">
        <v>122</v>
      </c>
      <c r="P274" s="19" t="s">
        <v>39</v>
      </c>
    </row>
    <row r="275" spans="1:16" s="19" customFormat="1" ht="16.5" customHeight="1">
      <c r="A275" s="16" t="s">
        <v>328</v>
      </c>
      <c r="B275" s="16" t="s">
        <v>183</v>
      </c>
      <c r="C275" s="16" t="s">
        <v>275</v>
      </c>
      <c r="D275" s="16" t="s">
        <v>329</v>
      </c>
      <c r="E275" s="16" t="s">
        <v>330</v>
      </c>
      <c r="F275" s="16" t="s">
        <v>278</v>
      </c>
      <c r="G275" s="16" t="s">
        <v>116</v>
      </c>
      <c r="H275" s="16" t="s">
        <v>26</v>
      </c>
      <c r="I275" s="16" t="s">
        <v>82</v>
      </c>
      <c r="J275" s="16" t="s">
        <v>189</v>
      </c>
      <c r="K275" s="16" t="s">
        <v>29</v>
      </c>
      <c r="L275" s="16" t="s">
        <v>189</v>
      </c>
      <c r="M275" s="17">
        <v>46042.572847222225</v>
      </c>
      <c r="N275" s="18">
        <v>46043.5624537037</v>
      </c>
      <c r="O275" s="19" t="s">
        <v>40</v>
      </c>
      <c r="P275" s="19" t="s">
        <v>41</v>
      </c>
    </row>
    <row r="276" spans="1:16" s="19" customFormat="1" ht="16.5" customHeight="1">
      <c r="A276" s="16" t="s">
        <v>331</v>
      </c>
      <c r="B276" s="16" t="s">
        <v>183</v>
      </c>
      <c r="C276" s="16" t="s">
        <v>275</v>
      </c>
      <c r="D276" s="16" t="s">
        <v>332</v>
      </c>
      <c r="E276" s="16" t="s">
        <v>333</v>
      </c>
      <c r="F276" s="16" t="s">
        <v>278</v>
      </c>
      <c r="G276" s="16" t="s">
        <v>116</v>
      </c>
      <c r="H276" s="16" t="s">
        <v>26</v>
      </c>
      <c r="I276" s="16" t="s">
        <v>82</v>
      </c>
      <c r="J276" s="16" t="s">
        <v>189</v>
      </c>
      <c r="K276" s="16" t="s">
        <v>29</v>
      </c>
      <c r="L276" s="16" t="s">
        <v>189</v>
      </c>
      <c r="M276" s="17">
        <v>46042.574965277781</v>
      </c>
      <c r="N276" s="18">
        <v>46043.562685185185</v>
      </c>
      <c r="O276" s="19" t="s">
        <v>76</v>
      </c>
      <c r="P276" s="19" t="s">
        <v>77</v>
      </c>
    </row>
    <row r="277" spans="1:16" s="19" customFormat="1" ht="16.5" customHeight="1">
      <c r="A277" s="16" t="s">
        <v>334</v>
      </c>
      <c r="B277" s="16" t="s">
        <v>183</v>
      </c>
      <c r="C277" s="16" t="s">
        <v>275</v>
      </c>
      <c r="D277" s="16" t="s">
        <v>335</v>
      </c>
      <c r="E277" s="16" t="s">
        <v>336</v>
      </c>
      <c r="F277" s="16" t="s">
        <v>278</v>
      </c>
      <c r="G277" s="16" t="s">
        <v>116</v>
      </c>
      <c r="H277" s="16" t="s">
        <v>148</v>
      </c>
      <c r="I277" s="16" t="s">
        <v>99</v>
      </c>
      <c r="J277" s="16" t="s">
        <v>189</v>
      </c>
      <c r="K277" s="16" t="s">
        <v>29</v>
      </c>
      <c r="L277" s="16" t="s">
        <v>189</v>
      </c>
      <c r="M277" s="17">
        <v>46042.578831018516</v>
      </c>
      <c r="N277" s="18">
        <v>46062.361805555556</v>
      </c>
      <c r="O277" s="19" t="s">
        <v>122</v>
      </c>
      <c r="P277" s="19" t="s">
        <v>39</v>
      </c>
    </row>
    <row r="278" spans="1:16" s="19" customFormat="1" ht="16.5" customHeight="1">
      <c r="A278" s="16" t="s">
        <v>337</v>
      </c>
      <c r="B278" s="16" t="s">
        <v>183</v>
      </c>
      <c r="C278" s="16" t="s">
        <v>275</v>
      </c>
      <c r="D278" s="16" t="s">
        <v>338</v>
      </c>
      <c r="E278" s="16" t="s">
        <v>339</v>
      </c>
      <c r="F278" s="16" t="s">
        <v>278</v>
      </c>
      <c r="G278" s="16" t="s">
        <v>116</v>
      </c>
      <c r="H278" s="16" t="s">
        <v>26</v>
      </c>
      <c r="I278" s="16" t="s">
        <v>82</v>
      </c>
      <c r="J278" s="16" t="s">
        <v>189</v>
      </c>
      <c r="K278" s="16" t="s">
        <v>29</v>
      </c>
      <c r="L278" s="16" t="s">
        <v>189</v>
      </c>
      <c r="M278" s="17">
        <v>46042.552928240744</v>
      </c>
      <c r="N278" s="18">
        <v>46043.563055555554</v>
      </c>
      <c r="O278" s="19" t="s">
        <v>57</v>
      </c>
      <c r="P278" s="19" t="s">
        <v>58</v>
      </c>
    </row>
    <row r="279" spans="1:16" s="19" customFormat="1" ht="16.5" customHeight="1">
      <c r="A279" s="16" t="s">
        <v>340</v>
      </c>
      <c r="B279" s="16" t="s">
        <v>183</v>
      </c>
      <c r="C279" s="16" t="s">
        <v>275</v>
      </c>
      <c r="D279" s="16" t="s">
        <v>341</v>
      </c>
      <c r="E279" s="16" t="s">
        <v>342</v>
      </c>
      <c r="F279" s="16" t="s">
        <v>278</v>
      </c>
      <c r="G279" s="16" t="s">
        <v>116</v>
      </c>
      <c r="H279" s="16" t="s">
        <v>26</v>
      </c>
      <c r="I279" s="16" t="s">
        <v>82</v>
      </c>
      <c r="J279" s="16" t="s">
        <v>189</v>
      </c>
      <c r="K279" s="16" t="s">
        <v>29</v>
      </c>
      <c r="L279" s="16" t="s">
        <v>189</v>
      </c>
      <c r="M279" s="17">
        <v>46042.565428240741</v>
      </c>
      <c r="N279" s="18">
        <v>46043.562800925924</v>
      </c>
      <c r="O279" s="19" t="s">
        <v>40</v>
      </c>
      <c r="P279" s="19" t="s">
        <v>41</v>
      </c>
    </row>
    <row r="280" spans="1:16" s="19" customFormat="1" ht="16.5" customHeight="1">
      <c r="A280" s="16" t="s">
        <v>343</v>
      </c>
      <c r="B280" s="16" t="s">
        <v>183</v>
      </c>
      <c r="C280" s="16" t="s">
        <v>266</v>
      </c>
      <c r="D280" s="16" t="s">
        <v>344</v>
      </c>
      <c r="E280" s="16" t="s">
        <v>345</v>
      </c>
      <c r="F280" s="16" t="s">
        <v>269</v>
      </c>
      <c r="G280" s="16" t="s">
        <v>25</v>
      </c>
      <c r="H280" s="16" t="s">
        <v>38</v>
      </c>
      <c r="I280" s="16" t="s">
        <v>39</v>
      </c>
      <c r="J280" s="16" t="s">
        <v>189</v>
      </c>
      <c r="K280" s="16" t="s">
        <v>29</v>
      </c>
      <c r="L280" s="16" t="s">
        <v>189</v>
      </c>
      <c r="M280" s="17">
        <v>46042.694895833331</v>
      </c>
      <c r="N280" s="18">
        <v>46042.731064814812</v>
      </c>
      <c r="O280" s="19" t="s">
        <v>68</v>
      </c>
      <c r="P280" s="19" t="s">
        <v>69</v>
      </c>
    </row>
    <row r="281" spans="1:16" s="19" customFormat="1" ht="16.5" customHeight="1">
      <c r="A281" s="16" t="s">
        <v>346</v>
      </c>
      <c r="B281" s="16" t="s">
        <v>183</v>
      </c>
      <c r="C281" s="16" t="s">
        <v>275</v>
      </c>
      <c r="D281" s="16" t="s">
        <v>347</v>
      </c>
      <c r="E281" s="16" t="s">
        <v>348</v>
      </c>
      <c r="F281" s="16" t="s">
        <v>278</v>
      </c>
      <c r="G281" s="16" t="s">
        <v>116</v>
      </c>
      <c r="H281" s="16" t="s">
        <v>26</v>
      </c>
      <c r="I281" s="16" t="s">
        <v>82</v>
      </c>
      <c r="J281" s="16" t="s">
        <v>189</v>
      </c>
      <c r="K281" s="16" t="s">
        <v>29</v>
      </c>
      <c r="L281" s="16" t="s">
        <v>189</v>
      </c>
      <c r="M281" s="17">
        <v>46042.597928240742</v>
      </c>
      <c r="N281" s="18">
        <v>46043.561944444446</v>
      </c>
      <c r="O281" s="19" t="s">
        <v>122</v>
      </c>
      <c r="P281" s="19" t="s">
        <v>39</v>
      </c>
    </row>
    <row r="282" spans="1:16" s="19" customFormat="1" ht="16.5" customHeight="1">
      <c r="A282" s="16" t="s">
        <v>349</v>
      </c>
      <c r="B282" s="16" t="s">
        <v>183</v>
      </c>
      <c r="C282" s="16" t="s">
        <v>275</v>
      </c>
      <c r="D282" s="16" t="s">
        <v>350</v>
      </c>
      <c r="E282" s="16" t="s">
        <v>351</v>
      </c>
      <c r="F282" s="16" t="s">
        <v>278</v>
      </c>
      <c r="G282" s="16" t="s">
        <v>116</v>
      </c>
      <c r="H282" s="16" t="s">
        <v>26</v>
      </c>
      <c r="I282" s="16" t="s">
        <v>82</v>
      </c>
      <c r="J282" s="16" t="s">
        <v>189</v>
      </c>
      <c r="K282" s="16" t="s">
        <v>29</v>
      </c>
      <c r="L282" s="16" t="s">
        <v>189</v>
      </c>
      <c r="M282" s="17">
        <v>46042.601030092592</v>
      </c>
      <c r="N282" s="18">
        <v>46043.560914351852</v>
      </c>
      <c r="O282" s="19" t="s">
        <v>122</v>
      </c>
      <c r="P282" s="19" t="s">
        <v>39</v>
      </c>
    </row>
    <row r="283" spans="1:16" s="19" customFormat="1" ht="16.5" customHeight="1">
      <c r="A283" s="16" t="s">
        <v>352</v>
      </c>
      <c r="B283" s="16" t="s">
        <v>183</v>
      </c>
      <c r="C283" s="16" t="s">
        <v>275</v>
      </c>
      <c r="D283" s="16" t="s">
        <v>353</v>
      </c>
      <c r="E283" s="16" t="s">
        <v>354</v>
      </c>
      <c r="F283" s="16" t="s">
        <v>278</v>
      </c>
      <c r="G283" s="16" t="s">
        <v>116</v>
      </c>
      <c r="H283" s="16" t="s">
        <v>26</v>
      </c>
      <c r="I283" s="16" t="s">
        <v>82</v>
      </c>
      <c r="J283" s="16" t="s">
        <v>189</v>
      </c>
      <c r="K283" s="16" t="s">
        <v>29</v>
      </c>
      <c r="L283" s="16" t="s">
        <v>189</v>
      </c>
      <c r="M283" s="17">
        <v>46042.45517361111</v>
      </c>
      <c r="N283" s="18">
        <v>46043.476840277777</v>
      </c>
      <c r="O283" s="19" t="s">
        <v>122</v>
      </c>
      <c r="P283" s="19" t="s">
        <v>39</v>
      </c>
    </row>
    <row r="284" spans="1:16" s="19" customFormat="1" ht="16.5" customHeight="1">
      <c r="A284" s="16" t="s">
        <v>182</v>
      </c>
      <c r="B284" s="16" t="s">
        <v>183</v>
      </c>
      <c r="C284" s="16" t="s">
        <v>184</v>
      </c>
      <c r="D284" s="16" t="s">
        <v>364</v>
      </c>
      <c r="E284" s="16" t="s">
        <v>199</v>
      </c>
      <c r="F284" s="16" t="s">
        <v>187</v>
      </c>
      <c r="G284" s="16" t="s">
        <v>25</v>
      </c>
      <c r="H284" s="16" t="s">
        <v>26</v>
      </c>
      <c r="I284" s="16" t="s">
        <v>27</v>
      </c>
      <c r="J284" s="16" t="s">
        <v>189</v>
      </c>
      <c r="K284" s="16" t="s">
        <v>67</v>
      </c>
      <c r="L284" s="16" t="s">
        <v>189</v>
      </c>
      <c r="M284" s="17">
        <v>46041.457488425927</v>
      </c>
      <c r="N284" s="18">
        <v>46048.585740740738</v>
      </c>
      <c r="O284" s="19" t="s">
        <v>126</v>
      </c>
      <c r="P284" s="19" t="s">
        <v>127</v>
      </c>
    </row>
    <row r="285" spans="1:16" s="19" customFormat="1" ht="16.5" customHeight="1">
      <c r="A285" s="16" t="s">
        <v>182</v>
      </c>
      <c r="B285" s="16" t="s">
        <v>183</v>
      </c>
      <c r="C285" s="16" t="s">
        <v>184</v>
      </c>
      <c r="D285" s="16" t="s">
        <v>365</v>
      </c>
      <c r="E285" s="16" t="s">
        <v>197</v>
      </c>
      <c r="F285" s="16" t="s">
        <v>187</v>
      </c>
      <c r="G285" s="16" t="s">
        <v>25</v>
      </c>
      <c r="H285" s="16" t="s">
        <v>26</v>
      </c>
      <c r="I285" s="16" t="s">
        <v>27</v>
      </c>
      <c r="J285" s="16" t="s">
        <v>189</v>
      </c>
      <c r="K285" s="16" t="s">
        <v>29</v>
      </c>
      <c r="L285" s="16" t="s">
        <v>189</v>
      </c>
      <c r="M285" s="17">
        <v>46041.562800925924</v>
      </c>
      <c r="N285" s="18">
        <v>46048.682268518518</v>
      </c>
      <c r="O285" s="19" t="s">
        <v>40</v>
      </c>
      <c r="P285" s="19" t="s">
        <v>41</v>
      </c>
    </row>
    <row r="286" spans="1:16" s="19" customFormat="1" ht="16.5" customHeight="1">
      <c r="A286" s="16" t="s">
        <v>366</v>
      </c>
      <c r="B286" s="16" t="s">
        <v>183</v>
      </c>
      <c r="C286" s="16" t="s">
        <v>111</v>
      </c>
      <c r="D286" s="16" t="s">
        <v>367</v>
      </c>
      <c r="E286" s="16" t="s">
        <v>368</v>
      </c>
      <c r="F286" s="16" t="s">
        <v>114</v>
      </c>
      <c r="G286" s="16" t="s">
        <v>25</v>
      </c>
      <c r="H286" s="16" t="s">
        <v>26</v>
      </c>
      <c r="I286" s="16" t="s">
        <v>39</v>
      </c>
      <c r="J286" s="16" t="s">
        <v>189</v>
      </c>
      <c r="K286" s="16" t="s">
        <v>67</v>
      </c>
      <c r="L286" s="16" t="s">
        <v>189</v>
      </c>
      <c r="M286" s="17">
        <v>46045.55840277778</v>
      </c>
      <c r="N286" s="18">
        <v>46051.606412037036</v>
      </c>
      <c r="O286" s="19" t="s">
        <v>40</v>
      </c>
      <c r="P286" s="19" t="s">
        <v>41</v>
      </c>
    </row>
    <row r="287" spans="1:16" s="19" customFormat="1" ht="16.5" customHeight="1">
      <c r="A287" s="16" t="s">
        <v>370</v>
      </c>
      <c r="B287" s="16" t="s">
        <v>183</v>
      </c>
      <c r="C287" s="16" t="s">
        <v>111</v>
      </c>
      <c r="D287" s="16" t="s">
        <v>371</v>
      </c>
      <c r="E287" s="16" t="s">
        <v>372</v>
      </c>
      <c r="F287" s="16" t="s">
        <v>114</v>
      </c>
      <c r="G287" s="16" t="s">
        <v>25</v>
      </c>
      <c r="H287" s="16" t="s">
        <v>26</v>
      </c>
      <c r="I287" s="16" t="s">
        <v>203</v>
      </c>
      <c r="J287" s="16" t="s">
        <v>189</v>
      </c>
      <c r="K287" s="16" t="s">
        <v>29</v>
      </c>
      <c r="L287" s="16" t="s">
        <v>189</v>
      </c>
      <c r="M287" s="17">
        <v>46042.448657407411</v>
      </c>
      <c r="N287" s="18">
        <v>46048.730046296296</v>
      </c>
      <c r="O287" s="19" t="s">
        <v>122</v>
      </c>
      <c r="P287" s="19" t="s">
        <v>39</v>
      </c>
    </row>
    <row r="288" spans="1:16" s="19" customFormat="1" ht="16.5" customHeight="1">
      <c r="A288" s="16" t="s">
        <v>373</v>
      </c>
      <c r="B288" s="16" t="s">
        <v>183</v>
      </c>
      <c r="C288" s="16" t="s">
        <v>111</v>
      </c>
      <c r="D288" s="16" t="s">
        <v>374</v>
      </c>
      <c r="E288" s="16" t="s">
        <v>375</v>
      </c>
      <c r="F288" s="16" t="s">
        <v>114</v>
      </c>
      <c r="G288" s="16" t="s">
        <v>25</v>
      </c>
      <c r="H288" s="16" t="s">
        <v>26</v>
      </c>
      <c r="I288" s="16" t="s">
        <v>39</v>
      </c>
      <c r="J288" s="16" t="s">
        <v>189</v>
      </c>
      <c r="K288" s="16" t="s">
        <v>106</v>
      </c>
      <c r="L288" s="16" t="s">
        <v>189</v>
      </c>
      <c r="M288" s="17">
        <v>46041.69803240741</v>
      </c>
      <c r="N288" s="18">
        <v>46104.431493055556</v>
      </c>
      <c r="O288" s="19" t="s">
        <v>479</v>
      </c>
      <c r="P288" s="19" t="s">
        <v>480</v>
      </c>
    </row>
    <row r="289" spans="1:16" s="19" customFormat="1" ht="16.5" customHeight="1">
      <c r="A289" s="16" t="s">
        <v>376</v>
      </c>
      <c r="B289" s="16" t="s">
        <v>183</v>
      </c>
      <c r="C289" s="16" t="s">
        <v>111</v>
      </c>
      <c r="D289" s="16" t="s">
        <v>377</v>
      </c>
      <c r="E289" s="16" t="s">
        <v>372</v>
      </c>
      <c r="F289" s="16" t="s">
        <v>114</v>
      </c>
      <c r="G289" s="16" t="s">
        <v>25</v>
      </c>
      <c r="H289" s="16" t="s">
        <v>26</v>
      </c>
      <c r="I289" s="16" t="s">
        <v>203</v>
      </c>
      <c r="J289" s="16" t="s">
        <v>189</v>
      </c>
      <c r="K289" s="16" t="s">
        <v>29</v>
      </c>
      <c r="L289" s="16" t="s">
        <v>189</v>
      </c>
      <c r="M289" s="17">
        <v>46042.44940972222</v>
      </c>
      <c r="N289" s="18">
        <v>46042.632187499999</v>
      </c>
      <c r="O289" s="19" t="s">
        <v>72</v>
      </c>
      <c r="P289" s="19" t="s">
        <v>73</v>
      </c>
    </row>
    <row r="290" spans="1:16" s="19" customFormat="1" ht="16.5" customHeight="1">
      <c r="A290" s="16" t="s">
        <v>378</v>
      </c>
      <c r="B290" s="16" t="s">
        <v>183</v>
      </c>
      <c r="C290" s="16" t="s">
        <v>111</v>
      </c>
      <c r="D290" s="16" t="s">
        <v>379</v>
      </c>
      <c r="E290" s="16" t="s">
        <v>372</v>
      </c>
      <c r="F290" s="16" t="s">
        <v>114</v>
      </c>
      <c r="G290" s="16" t="s">
        <v>25</v>
      </c>
      <c r="H290" s="16" t="s">
        <v>26</v>
      </c>
      <c r="I290" s="16" t="s">
        <v>203</v>
      </c>
      <c r="J290" s="16" t="s">
        <v>189</v>
      </c>
      <c r="K290" s="16" t="s">
        <v>29</v>
      </c>
      <c r="L290" s="16" t="s">
        <v>189</v>
      </c>
      <c r="M290" s="17">
        <v>46042.453611111108</v>
      </c>
      <c r="N290" s="18">
        <v>46042.631620370368</v>
      </c>
      <c r="O290" s="19" t="s">
        <v>122</v>
      </c>
      <c r="P290" s="19" t="s">
        <v>39</v>
      </c>
    </row>
    <row r="291" spans="1:16" s="19" customFormat="1" ht="16.5" customHeight="1">
      <c r="A291" s="16" t="s">
        <v>380</v>
      </c>
      <c r="B291" s="16" t="s">
        <v>183</v>
      </c>
      <c r="C291" s="16" t="s">
        <v>111</v>
      </c>
      <c r="D291" s="16" t="s">
        <v>381</v>
      </c>
      <c r="E291" s="16" t="s">
        <v>382</v>
      </c>
      <c r="F291" s="16" t="s">
        <v>114</v>
      </c>
      <c r="G291" s="16" t="s">
        <v>25</v>
      </c>
      <c r="H291" s="16" t="s">
        <v>38</v>
      </c>
      <c r="I291" s="16" t="s">
        <v>27</v>
      </c>
      <c r="J291" s="16" t="s">
        <v>189</v>
      </c>
      <c r="K291" s="16" t="s">
        <v>29</v>
      </c>
      <c r="L291" s="16" t="s">
        <v>189</v>
      </c>
      <c r="M291" s="17">
        <v>46041.674120370371</v>
      </c>
      <c r="N291" s="18">
        <v>46044.566423611112</v>
      </c>
      <c r="O291" s="19" t="s">
        <v>72</v>
      </c>
      <c r="P291" s="19" t="s">
        <v>73</v>
      </c>
    </row>
    <row r="292" spans="1:16" s="19" customFormat="1" ht="16.5" customHeight="1">
      <c r="A292" s="16" t="s">
        <v>383</v>
      </c>
      <c r="B292" s="16" t="s">
        <v>183</v>
      </c>
      <c r="C292" s="16" t="s">
        <v>111</v>
      </c>
      <c r="D292" s="16" t="s">
        <v>384</v>
      </c>
      <c r="E292" s="16" t="s">
        <v>385</v>
      </c>
      <c r="F292" s="16" t="s">
        <v>114</v>
      </c>
      <c r="G292" s="16" t="s">
        <v>25</v>
      </c>
      <c r="H292" s="16" t="s">
        <v>26</v>
      </c>
      <c r="I292" s="16" t="s">
        <v>39</v>
      </c>
      <c r="J292" s="16" t="s">
        <v>189</v>
      </c>
      <c r="K292" s="16" t="s">
        <v>67</v>
      </c>
      <c r="L292" s="16" t="s">
        <v>189</v>
      </c>
      <c r="M292" s="17">
        <v>46042.613657407404</v>
      </c>
      <c r="N292" s="18">
        <v>46049.751354166663</v>
      </c>
      <c r="O292" s="19" t="s">
        <v>40</v>
      </c>
      <c r="P292" s="19" t="s">
        <v>41</v>
      </c>
    </row>
    <row r="293" spans="1:16" s="19" customFormat="1" ht="16.5" customHeight="1">
      <c r="A293" s="16" t="s">
        <v>383</v>
      </c>
      <c r="B293" s="16" t="s">
        <v>183</v>
      </c>
      <c r="C293" s="16" t="s">
        <v>111</v>
      </c>
      <c r="D293" s="16" t="s">
        <v>387</v>
      </c>
      <c r="E293" s="16" t="s">
        <v>388</v>
      </c>
      <c r="F293" s="16" t="s">
        <v>114</v>
      </c>
      <c r="G293" s="16" t="s">
        <v>25</v>
      </c>
      <c r="H293" s="16" t="s">
        <v>38</v>
      </c>
      <c r="I293" s="16" t="s">
        <v>39</v>
      </c>
      <c r="J293" s="16" t="s">
        <v>189</v>
      </c>
      <c r="K293" s="16" t="s">
        <v>67</v>
      </c>
      <c r="L293" s="16" t="s">
        <v>189</v>
      </c>
      <c r="M293" s="17">
        <v>46045.573449074072</v>
      </c>
      <c r="N293" s="18">
        <v>46048.451423611114</v>
      </c>
      <c r="O293" s="19" t="s">
        <v>30</v>
      </c>
      <c r="P293" s="19" t="s">
        <v>31</v>
      </c>
    </row>
    <row r="294" spans="1:16" s="19" customFormat="1" ht="16.5" customHeight="1">
      <c r="A294" s="16" t="s">
        <v>389</v>
      </c>
      <c r="B294" s="16" t="s">
        <v>183</v>
      </c>
      <c r="C294" s="16" t="s">
        <v>266</v>
      </c>
      <c r="D294" s="16" t="s">
        <v>390</v>
      </c>
      <c r="E294" s="16" t="s">
        <v>391</v>
      </c>
      <c r="F294" s="16" t="s">
        <v>269</v>
      </c>
      <c r="G294" s="16" t="s">
        <v>25</v>
      </c>
      <c r="H294" s="16" t="s">
        <v>38</v>
      </c>
      <c r="I294" s="16" t="s">
        <v>39</v>
      </c>
      <c r="J294" s="16" t="s">
        <v>189</v>
      </c>
      <c r="K294" s="16" t="s">
        <v>29</v>
      </c>
      <c r="L294" s="16" t="s">
        <v>189</v>
      </c>
      <c r="M294" s="17">
        <v>46043.475891203707</v>
      </c>
      <c r="N294" s="18">
        <v>46048.558136574073</v>
      </c>
      <c r="O294" s="19" t="s">
        <v>68</v>
      </c>
      <c r="P294" s="19" t="s">
        <v>69</v>
      </c>
    </row>
    <row r="295" spans="1:16" s="19" customFormat="1" ht="16.5" customHeight="1">
      <c r="A295" s="16" t="s">
        <v>392</v>
      </c>
      <c r="B295" s="16" t="s">
        <v>183</v>
      </c>
      <c r="C295" s="16" t="s">
        <v>275</v>
      </c>
      <c r="D295" s="16" t="s">
        <v>393</v>
      </c>
      <c r="E295" s="16" t="s">
        <v>394</v>
      </c>
      <c r="F295" s="16" t="s">
        <v>278</v>
      </c>
      <c r="G295" s="16" t="s">
        <v>116</v>
      </c>
      <c r="H295" s="16" t="s">
        <v>26</v>
      </c>
      <c r="I295" s="16" t="s">
        <v>82</v>
      </c>
      <c r="J295" s="16" t="s">
        <v>189</v>
      </c>
      <c r="K295" s="16" t="s">
        <v>29</v>
      </c>
      <c r="L295" s="16" t="s">
        <v>189</v>
      </c>
      <c r="M295" s="17">
        <v>46042.596168981479</v>
      </c>
      <c r="N295" s="18">
        <v>46043.560555555552</v>
      </c>
      <c r="O295" s="19" t="s">
        <v>57</v>
      </c>
      <c r="P295" s="19" t="s">
        <v>58</v>
      </c>
    </row>
    <row r="296" spans="1:16" s="19" customFormat="1" ht="16.5" customHeight="1">
      <c r="A296" s="16" t="s">
        <v>395</v>
      </c>
      <c r="B296" s="16" t="s">
        <v>183</v>
      </c>
      <c r="C296" s="16" t="s">
        <v>275</v>
      </c>
      <c r="D296" s="16" t="s">
        <v>396</v>
      </c>
      <c r="E296" s="16" t="s">
        <v>397</v>
      </c>
      <c r="F296" s="16" t="s">
        <v>278</v>
      </c>
      <c r="G296" s="16" t="s">
        <v>116</v>
      </c>
      <c r="H296" s="16" t="s">
        <v>26</v>
      </c>
      <c r="I296" s="16" t="s">
        <v>82</v>
      </c>
      <c r="J296" s="16" t="s">
        <v>189</v>
      </c>
      <c r="K296" s="16" t="s">
        <v>29</v>
      </c>
      <c r="L296" s="16" t="s">
        <v>189</v>
      </c>
      <c r="M296" s="17">
        <v>46042.597245370373</v>
      </c>
      <c r="N296" s="18">
        <v>46043.561030092591</v>
      </c>
      <c r="O296" s="19" t="s">
        <v>122</v>
      </c>
      <c r="P296" s="19" t="s">
        <v>39</v>
      </c>
    </row>
    <row r="297" spans="1:16" s="19" customFormat="1" ht="16.5" customHeight="1">
      <c r="A297" s="16" t="s">
        <v>401</v>
      </c>
      <c r="B297" s="16" t="s">
        <v>183</v>
      </c>
      <c r="C297" s="16" t="s">
        <v>402</v>
      </c>
      <c r="D297" s="16" t="s">
        <v>403</v>
      </c>
      <c r="E297" s="16" t="s">
        <v>404</v>
      </c>
      <c r="F297" s="16" t="s">
        <v>405</v>
      </c>
      <c r="G297" s="16" t="s">
        <v>25</v>
      </c>
      <c r="H297" s="16" t="s">
        <v>26</v>
      </c>
      <c r="I297" s="16" t="s">
        <v>39</v>
      </c>
      <c r="J297" s="16" t="s">
        <v>189</v>
      </c>
      <c r="K297" s="16" t="s">
        <v>29</v>
      </c>
      <c r="L297" s="16" t="s">
        <v>189</v>
      </c>
      <c r="M297" s="17">
        <v>46045.51390046296</v>
      </c>
      <c r="N297" s="18">
        <v>46050.690949074073</v>
      </c>
      <c r="O297" s="19" t="s">
        <v>122</v>
      </c>
      <c r="P297" s="19" t="s">
        <v>39</v>
      </c>
    </row>
    <row r="298" spans="1:16" s="19" customFormat="1" ht="16.5" customHeight="1">
      <c r="A298" s="16" t="s">
        <v>406</v>
      </c>
      <c r="B298" s="16" t="s">
        <v>183</v>
      </c>
      <c r="C298" s="16" t="s">
        <v>402</v>
      </c>
      <c r="D298" s="16" t="s">
        <v>407</v>
      </c>
      <c r="E298" s="16" t="s">
        <v>408</v>
      </c>
      <c r="F298" s="16" t="s">
        <v>405</v>
      </c>
      <c r="G298" s="16" t="s">
        <v>25</v>
      </c>
      <c r="H298" s="16" t="s">
        <v>26</v>
      </c>
      <c r="I298" s="16" t="s">
        <v>39</v>
      </c>
      <c r="J298" s="16" t="s">
        <v>189</v>
      </c>
      <c r="K298" s="16" t="s">
        <v>67</v>
      </c>
      <c r="L298" s="16" t="s">
        <v>189</v>
      </c>
      <c r="M298" s="17">
        <v>46043.658958333333</v>
      </c>
      <c r="N298" s="18">
        <v>46044.452141203707</v>
      </c>
      <c r="O298" s="19" t="s">
        <v>72</v>
      </c>
      <c r="P298" s="19" t="s">
        <v>73</v>
      </c>
    </row>
    <row r="299" spans="1:16" s="19" customFormat="1" ht="16.5" customHeight="1">
      <c r="A299" s="16" t="s">
        <v>409</v>
      </c>
      <c r="B299" s="16" t="s">
        <v>183</v>
      </c>
      <c r="C299" s="16" t="s">
        <v>402</v>
      </c>
      <c r="D299" s="16" t="s">
        <v>410</v>
      </c>
      <c r="E299" s="16" t="s">
        <v>411</v>
      </c>
      <c r="F299" s="16" t="s">
        <v>405</v>
      </c>
      <c r="G299" s="16" t="s">
        <v>25</v>
      </c>
      <c r="H299" s="16" t="s">
        <v>26</v>
      </c>
      <c r="I299" s="16" t="s">
        <v>39</v>
      </c>
      <c r="J299" s="16" t="s">
        <v>189</v>
      </c>
      <c r="K299" s="16" t="s">
        <v>67</v>
      </c>
      <c r="L299" s="16" t="s">
        <v>189</v>
      </c>
      <c r="M299" s="17">
        <v>46043.678912037038</v>
      </c>
      <c r="N299" s="18">
        <v>46044.451412037037</v>
      </c>
      <c r="O299" s="19" t="s">
        <v>122</v>
      </c>
      <c r="P299" s="19" t="s">
        <v>39</v>
      </c>
    </row>
    <row r="300" spans="1:16" s="19" customFormat="1" ht="16.5" customHeight="1">
      <c r="A300" s="16" t="s">
        <v>412</v>
      </c>
      <c r="B300" s="16" t="s">
        <v>183</v>
      </c>
      <c r="C300" s="16" t="s">
        <v>301</v>
      </c>
      <c r="D300" s="16" t="s">
        <v>413</v>
      </c>
      <c r="E300" s="16" t="s">
        <v>414</v>
      </c>
      <c r="F300" s="16" t="s">
        <v>269</v>
      </c>
      <c r="G300" s="16" t="s">
        <v>116</v>
      </c>
      <c r="H300" s="16" t="s">
        <v>26</v>
      </c>
      <c r="I300" s="16" t="s">
        <v>39</v>
      </c>
      <c r="J300" s="16" t="s">
        <v>189</v>
      </c>
      <c r="K300" s="16" t="s">
        <v>29</v>
      </c>
      <c r="L300" s="16" t="s">
        <v>189</v>
      </c>
      <c r="M300" s="17">
        <v>46044.44358796296</v>
      </c>
      <c r="N300" s="18">
        <v>46048.61546296296</v>
      </c>
      <c r="O300" s="19" t="s">
        <v>122</v>
      </c>
      <c r="P300" s="19" t="s">
        <v>39</v>
      </c>
    </row>
    <row r="301" spans="1:16" s="19" customFormat="1" ht="16.5" customHeight="1">
      <c r="A301" s="16" t="s">
        <v>416</v>
      </c>
      <c r="B301" s="16" t="s">
        <v>183</v>
      </c>
      <c r="C301" s="16" t="s">
        <v>301</v>
      </c>
      <c r="D301" s="16" t="s">
        <v>417</v>
      </c>
      <c r="E301" s="16" t="s">
        <v>418</v>
      </c>
      <c r="F301" s="16" t="s">
        <v>269</v>
      </c>
      <c r="G301" s="16" t="s">
        <v>116</v>
      </c>
      <c r="H301" s="16" t="s">
        <v>26</v>
      </c>
      <c r="I301" s="16" t="s">
        <v>39</v>
      </c>
      <c r="J301" s="16" t="s">
        <v>189</v>
      </c>
      <c r="K301" s="16" t="s">
        <v>29</v>
      </c>
      <c r="L301" s="16" t="s">
        <v>189</v>
      </c>
      <c r="M301" s="17">
        <v>46044.472083333334</v>
      </c>
      <c r="N301" s="18">
        <v>46048.608356481483</v>
      </c>
      <c r="O301" s="19" t="s">
        <v>126</v>
      </c>
      <c r="P301" s="19" t="s">
        <v>127</v>
      </c>
    </row>
    <row r="302" spans="1:16" s="19" customFormat="1" ht="16.5" customHeight="1">
      <c r="A302" s="16" t="s">
        <v>420</v>
      </c>
      <c r="B302" s="16" t="s">
        <v>183</v>
      </c>
      <c r="C302" s="16" t="s">
        <v>301</v>
      </c>
      <c r="D302" s="16" t="s">
        <v>421</v>
      </c>
      <c r="E302" s="16" t="s">
        <v>422</v>
      </c>
      <c r="F302" s="16" t="s">
        <v>269</v>
      </c>
      <c r="G302" s="16" t="s">
        <v>116</v>
      </c>
      <c r="H302" s="16" t="s">
        <v>26</v>
      </c>
      <c r="I302" s="16" t="s">
        <v>99</v>
      </c>
      <c r="J302" s="16" t="s">
        <v>189</v>
      </c>
      <c r="K302" s="16" t="s">
        <v>29</v>
      </c>
      <c r="L302" s="16" t="s">
        <v>189</v>
      </c>
      <c r="M302" s="17">
        <v>46045.607361111113</v>
      </c>
      <c r="N302" s="18">
        <v>46048.3984375</v>
      </c>
      <c r="O302" s="19" t="s">
        <v>419</v>
      </c>
      <c r="P302" s="19" t="s">
        <v>66</v>
      </c>
    </row>
    <row r="303" spans="1:16" s="19" customFormat="1" ht="16.5" customHeight="1">
      <c r="A303" s="16" t="s">
        <v>423</v>
      </c>
      <c r="B303" s="16" t="s">
        <v>183</v>
      </c>
      <c r="C303" s="16" t="s">
        <v>301</v>
      </c>
      <c r="D303" s="16" t="s">
        <v>424</v>
      </c>
      <c r="E303" s="16" t="s">
        <v>425</v>
      </c>
      <c r="F303" s="16" t="s">
        <v>269</v>
      </c>
      <c r="G303" s="16" t="s">
        <v>25</v>
      </c>
      <c r="H303" s="16" t="s">
        <v>38</v>
      </c>
      <c r="I303" s="16" t="s">
        <v>99</v>
      </c>
      <c r="J303" s="16" t="s">
        <v>189</v>
      </c>
      <c r="K303" s="16" t="s">
        <v>29</v>
      </c>
      <c r="L303" s="16" t="s">
        <v>189</v>
      </c>
      <c r="M303" s="17">
        <v>46041.457997685182</v>
      </c>
      <c r="N303" s="18">
        <v>46042.409479166665</v>
      </c>
      <c r="O303" s="19" t="s">
        <v>68</v>
      </c>
      <c r="P303" s="19" t="s">
        <v>69</v>
      </c>
    </row>
    <row r="304" spans="1:16" s="19" customFormat="1" ht="16.5" customHeight="1">
      <c r="A304" s="16" t="s">
        <v>426</v>
      </c>
      <c r="B304" s="16" t="s">
        <v>183</v>
      </c>
      <c r="C304" s="16" t="s">
        <v>301</v>
      </c>
      <c r="D304" s="16" t="s">
        <v>427</v>
      </c>
      <c r="E304" s="16" t="s">
        <v>428</v>
      </c>
      <c r="F304" s="16" t="s">
        <v>269</v>
      </c>
      <c r="G304" s="16" t="s">
        <v>25</v>
      </c>
      <c r="H304" s="16" t="s">
        <v>26</v>
      </c>
      <c r="I304" s="16" t="s">
        <v>82</v>
      </c>
      <c r="J304" s="16" t="s">
        <v>189</v>
      </c>
      <c r="K304" s="16" t="s">
        <v>29</v>
      </c>
      <c r="L304" s="16" t="s">
        <v>189</v>
      </c>
      <c r="M304" s="17">
        <v>46042.558553240742</v>
      </c>
      <c r="N304" s="18">
        <v>46048.552395833336</v>
      </c>
      <c r="O304" s="19" t="s">
        <v>122</v>
      </c>
      <c r="P304" s="19" t="s">
        <v>39</v>
      </c>
    </row>
    <row r="305" spans="1:16" s="19" customFormat="1" ht="16.5" customHeight="1">
      <c r="A305" s="16" t="s">
        <v>429</v>
      </c>
      <c r="B305" s="16" t="s">
        <v>183</v>
      </c>
      <c r="C305" s="16" t="s">
        <v>301</v>
      </c>
      <c r="D305" s="16" t="s">
        <v>430</v>
      </c>
      <c r="E305" s="16" t="s">
        <v>431</v>
      </c>
      <c r="F305" s="16" t="s">
        <v>269</v>
      </c>
      <c r="G305" s="16" t="s">
        <v>25</v>
      </c>
      <c r="H305" s="16" t="s">
        <v>38</v>
      </c>
      <c r="I305" s="16" t="s">
        <v>99</v>
      </c>
      <c r="J305" s="16" t="s">
        <v>189</v>
      </c>
      <c r="K305" s="16" t="s">
        <v>29</v>
      </c>
      <c r="L305" s="16" t="s">
        <v>189</v>
      </c>
      <c r="M305" s="17">
        <v>46041.690995370373</v>
      </c>
      <c r="N305" s="18">
        <v>46042.624479166669</v>
      </c>
      <c r="O305" s="19" t="s">
        <v>419</v>
      </c>
      <c r="P305" s="19" t="s">
        <v>66</v>
      </c>
    </row>
    <row r="306" spans="1:16" s="19" customFormat="1" ht="16.5" customHeight="1">
      <c r="A306" s="16" t="s">
        <v>432</v>
      </c>
      <c r="B306" s="16" t="s">
        <v>183</v>
      </c>
      <c r="C306" s="16" t="s">
        <v>301</v>
      </c>
      <c r="D306" s="16" t="s">
        <v>433</v>
      </c>
      <c r="E306" s="16" t="s">
        <v>434</v>
      </c>
      <c r="F306" s="16" t="s">
        <v>269</v>
      </c>
      <c r="G306" s="16" t="s">
        <v>25</v>
      </c>
      <c r="H306" s="16" t="s">
        <v>38</v>
      </c>
      <c r="I306" s="16" t="s">
        <v>56</v>
      </c>
      <c r="J306" s="16" t="s">
        <v>189</v>
      </c>
      <c r="K306" s="16" t="s">
        <v>29</v>
      </c>
      <c r="L306" s="16" t="s">
        <v>189</v>
      </c>
      <c r="M306" s="17">
        <v>46041.700208333335</v>
      </c>
      <c r="N306" s="18">
        <v>46042.73878472222</v>
      </c>
      <c r="O306" s="19" t="s">
        <v>419</v>
      </c>
      <c r="P306" s="19" t="s">
        <v>66</v>
      </c>
    </row>
    <row r="307" spans="1:16" s="19" customFormat="1" ht="16.5" customHeight="1">
      <c r="A307" s="16" t="s">
        <v>435</v>
      </c>
      <c r="B307" s="16" t="s">
        <v>183</v>
      </c>
      <c r="C307" s="16" t="s">
        <v>301</v>
      </c>
      <c r="D307" s="16" t="s">
        <v>436</v>
      </c>
      <c r="E307" s="16" t="s">
        <v>437</v>
      </c>
      <c r="F307" s="16" t="s">
        <v>269</v>
      </c>
      <c r="G307" s="16" t="s">
        <v>25</v>
      </c>
      <c r="H307" s="16" t="s">
        <v>26</v>
      </c>
      <c r="I307" s="16" t="s">
        <v>39</v>
      </c>
      <c r="J307" s="16" t="s">
        <v>189</v>
      </c>
      <c r="K307" s="16" t="s">
        <v>29</v>
      </c>
      <c r="L307" s="16" t="s">
        <v>189</v>
      </c>
      <c r="M307" s="17">
        <v>46042.42564814815</v>
      </c>
      <c r="N307" s="18">
        <v>46048.563009259262</v>
      </c>
      <c r="O307" s="19" t="s">
        <v>95</v>
      </c>
      <c r="P307" s="19" t="s">
        <v>56</v>
      </c>
    </row>
    <row r="308" spans="1:16" s="19" customFormat="1" ht="16.5" customHeight="1">
      <c r="A308" s="16" t="s">
        <v>438</v>
      </c>
      <c r="B308" s="16" t="s">
        <v>183</v>
      </c>
      <c r="C308" s="16" t="s">
        <v>301</v>
      </c>
      <c r="D308" s="16" t="s">
        <v>439</v>
      </c>
      <c r="E308" s="16" t="s">
        <v>440</v>
      </c>
      <c r="F308" s="16" t="s">
        <v>269</v>
      </c>
      <c r="G308" s="16" t="s">
        <v>25</v>
      </c>
      <c r="H308" s="16" t="s">
        <v>26</v>
      </c>
      <c r="I308" s="16" t="s">
        <v>39</v>
      </c>
      <c r="J308" s="16" t="s">
        <v>189</v>
      </c>
      <c r="K308" s="16" t="s">
        <v>29</v>
      </c>
      <c r="L308" s="16" t="s">
        <v>189</v>
      </c>
      <c r="M308" s="17">
        <v>46042.456979166665</v>
      </c>
      <c r="N308" s="18">
        <v>46043.688634259262</v>
      </c>
      <c r="O308" s="19" t="s">
        <v>57</v>
      </c>
      <c r="P308" s="19" t="s">
        <v>58</v>
      </c>
    </row>
    <row r="309" spans="1:16" s="19" customFormat="1" ht="16.5" customHeight="1">
      <c r="A309" s="16" t="s">
        <v>441</v>
      </c>
      <c r="B309" s="16" t="s">
        <v>183</v>
      </c>
      <c r="C309" s="16" t="s">
        <v>216</v>
      </c>
      <c r="D309" s="16" t="s">
        <v>442</v>
      </c>
      <c r="E309" s="16" t="s">
        <v>443</v>
      </c>
      <c r="F309" s="16" t="s">
        <v>219</v>
      </c>
      <c r="G309" s="16" t="s">
        <v>25</v>
      </c>
      <c r="H309" s="16" t="s">
        <v>38</v>
      </c>
      <c r="I309" s="16" t="s">
        <v>82</v>
      </c>
      <c r="J309" s="16" t="s">
        <v>189</v>
      </c>
      <c r="K309" s="16" t="s">
        <v>29</v>
      </c>
      <c r="L309" s="16" t="s">
        <v>189</v>
      </c>
      <c r="M309" s="17">
        <v>46042.643958333334</v>
      </c>
      <c r="N309" s="18">
        <v>46043.329837962963</v>
      </c>
      <c r="O309" s="19" t="s">
        <v>40</v>
      </c>
      <c r="P309" s="19" t="s">
        <v>41</v>
      </c>
    </row>
    <row r="310" spans="1:16" s="19" customFormat="1" ht="16.5" customHeight="1">
      <c r="A310" s="16" t="s">
        <v>444</v>
      </c>
      <c r="B310" s="16" t="s">
        <v>183</v>
      </c>
      <c r="C310" s="16" t="s">
        <v>216</v>
      </c>
      <c r="D310" s="16" t="s">
        <v>445</v>
      </c>
      <c r="E310" s="16" t="s">
        <v>443</v>
      </c>
      <c r="F310" s="16" t="s">
        <v>219</v>
      </c>
      <c r="G310" s="16" t="s">
        <v>25</v>
      </c>
      <c r="H310" s="16" t="s">
        <v>38</v>
      </c>
      <c r="I310" s="16" t="s">
        <v>82</v>
      </c>
      <c r="J310" s="16" t="s">
        <v>189</v>
      </c>
      <c r="K310" s="16" t="s">
        <v>29</v>
      </c>
      <c r="L310" s="16" t="s">
        <v>189</v>
      </c>
      <c r="M310" s="17">
        <v>46042.655532407407</v>
      </c>
      <c r="N310" s="18">
        <v>46043.330590277779</v>
      </c>
      <c r="O310" s="19" t="s">
        <v>40</v>
      </c>
      <c r="P310" s="19" t="s">
        <v>41</v>
      </c>
    </row>
    <row r="311" spans="1:16" s="19" customFormat="1" ht="16.5" customHeight="1">
      <c r="A311" s="16" t="s">
        <v>449</v>
      </c>
      <c r="B311" s="16" t="s">
        <v>183</v>
      </c>
      <c r="C311" s="16" t="s">
        <v>33</v>
      </c>
      <c r="D311" s="16" t="s">
        <v>450</v>
      </c>
      <c r="E311" s="16" t="s">
        <v>451</v>
      </c>
      <c r="F311" s="16" t="s">
        <v>36</v>
      </c>
      <c r="G311" s="16" t="s">
        <v>25</v>
      </c>
      <c r="H311" s="16" t="s">
        <v>26</v>
      </c>
      <c r="I311" s="16" t="s">
        <v>39</v>
      </c>
      <c r="J311" s="16" t="s">
        <v>189</v>
      </c>
      <c r="K311" s="16" t="s">
        <v>29</v>
      </c>
      <c r="L311" s="16" t="s">
        <v>189</v>
      </c>
      <c r="M311" s="17">
        <v>46042.60728009259</v>
      </c>
      <c r="N311" s="18">
        <v>46050.63108796296</v>
      </c>
      <c r="O311" s="19" t="s">
        <v>72</v>
      </c>
      <c r="P311" s="19" t="s">
        <v>73</v>
      </c>
    </row>
    <row r="312" spans="1:16" s="19" customFormat="1" ht="16.5" customHeight="1">
      <c r="A312" s="16" t="s">
        <v>452</v>
      </c>
      <c r="B312" s="16" t="s">
        <v>183</v>
      </c>
      <c r="C312" s="16" t="s">
        <v>33</v>
      </c>
      <c r="D312" s="16" t="s">
        <v>453</v>
      </c>
      <c r="E312" s="16" t="s">
        <v>454</v>
      </c>
      <c r="F312" s="16" t="s">
        <v>36</v>
      </c>
      <c r="G312" s="16" t="s">
        <v>25</v>
      </c>
      <c r="H312" s="16" t="s">
        <v>26</v>
      </c>
      <c r="I312" s="16" t="s">
        <v>39</v>
      </c>
      <c r="J312" s="16" t="s">
        <v>189</v>
      </c>
      <c r="K312" s="16" t="s">
        <v>29</v>
      </c>
      <c r="L312" s="16" t="s">
        <v>189</v>
      </c>
      <c r="M312" s="17">
        <v>46042.609363425923</v>
      </c>
      <c r="N312" s="18">
        <v>46042.633460648147</v>
      </c>
      <c r="O312" s="19" t="s">
        <v>40</v>
      </c>
      <c r="P312" s="19" t="s">
        <v>41</v>
      </c>
    </row>
    <row r="313" spans="1:16" s="19" customFormat="1" ht="16.5" customHeight="1">
      <c r="A313" s="16" t="s">
        <v>461</v>
      </c>
      <c r="B313" s="16" t="s">
        <v>183</v>
      </c>
      <c r="C313" s="16" t="s">
        <v>261</v>
      </c>
      <c r="D313" s="16" t="s">
        <v>462</v>
      </c>
      <c r="E313" s="16" t="s">
        <v>463</v>
      </c>
      <c r="F313" s="16" t="s">
        <v>219</v>
      </c>
      <c r="G313" s="16" t="s">
        <v>25</v>
      </c>
      <c r="H313" s="16" t="s">
        <v>26</v>
      </c>
      <c r="I313" s="16" t="s">
        <v>39</v>
      </c>
      <c r="J313" s="16" t="s">
        <v>189</v>
      </c>
      <c r="K313" s="16" t="s">
        <v>67</v>
      </c>
      <c r="L313" s="16" t="s">
        <v>189</v>
      </c>
      <c r="M313" s="17">
        <v>46041.554293981484</v>
      </c>
      <c r="N313" s="18">
        <v>46041.850717592592</v>
      </c>
      <c r="O313" s="19" t="s">
        <v>40</v>
      </c>
      <c r="P313" s="19" t="s">
        <v>41</v>
      </c>
    </row>
    <row r="314" spans="1:16" s="19" customFormat="1" ht="16.5" customHeight="1">
      <c r="A314" s="16" t="s">
        <v>464</v>
      </c>
      <c r="B314" s="16" t="s">
        <v>183</v>
      </c>
      <c r="C314" s="16" t="s">
        <v>261</v>
      </c>
      <c r="D314" s="16" t="s">
        <v>465</v>
      </c>
      <c r="E314" s="16" t="s">
        <v>466</v>
      </c>
      <c r="F314" s="16" t="s">
        <v>219</v>
      </c>
      <c r="G314" s="16" t="s">
        <v>25</v>
      </c>
      <c r="H314" s="16" t="s">
        <v>26</v>
      </c>
      <c r="I314" s="16" t="s">
        <v>39</v>
      </c>
      <c r="J314" s="16" t="s">
        <v>189</v>
      </c>
      <c r="K314" s="16" t="s">
        <v>67</v>
      </c>
      <c r="L314" s="16" t="s">
        <v>189</v>
      </c>
      <c r="M314" s="17">
        <v>46041.570520833331</v>
      </c>
      <c r="N314" s="18">
        <v>46041.845960648148</v>
      </c>
      <c r="O314" s="19" t="s">
        <v>76</v>
      </c>
      <c r="P314" s="19" t="s">
        <v>77</v>
      </c>
    </row>
    <row r="315" spans="1:16" s="19" customFormat="1" ht="16.5" customHeight="1">
      <c r="A315" s="16" t="s">
        <v>490</v>
      </c>
      <c r="B315" s="16" t="s">
        <v>183</v>
      </c>
      <c r="C315" s="16" t="s">
        <v>184</v>
      </c>
      <c r="D315" s="16" t="s">
        <v>491</v>
      </c>
      <c r="E315" s="16" t="s">
        <v>492</v>
      </c>
      <c r="F315" s="16" t="s">
        <v>187</v>
      </c>
      <c r="G315" s="16" t="s">
        <v>25</v>
      </c>
      <c r="H315" s="16" t="s">
        <v>26</v>
      </c>
      <c r="I315" s="16" t="s">
        <v>39</v>
      </c>
      <c r="J315" s="16" t="s">
        <v>189</v>
      </c>
      <c r="K315" s="16" t="s">
        <v>67</v>
      </c>
      <c r="L315" s="16" t="s">
        <v>189</v>
      </c>
      <c r="M315" s="17">
        <v>46042.40997685185</v>
      </c>
      <c r="N315" s="18">
        <v>46044.457118055558</v>
      </c>
      <c r="O315" s="19" t="s">
        <v>40</v>
      </c>
      <c r="P315" s="19" t="s">
        <v>41</v>
      </c>
    </row>
    <row r="316" spans="1:16" s="19" customFormat="1" ht="16.5" customHeight="1">
      <c r="A316" s="16" t="s">
        <v>494</v>
      </c>
      <c r="B316" s="16" t="s">
        <v>183</v>
      </c>
      <c r="C316" s="16" t="s">
        <v>184</v>
      </c>
      <c r="D316" s="16" t="s">
        <v>495</v>
      </c>
      <c r="E316" s="16" t="s">
        <v>492</v>
      </c>
      <c r="F316" s="16" t="s">
        <v>187</v>
      </c>
      <c r="G316" s="16" t="s">
        <v>25</v>
      </c>
      <c r="H316" s="16" t="s">
        <v>26</v>
      </c>
      <c r="I316" s="16" t="s">
        <v>39</v>
      </c>
      <c r="J316" s="16" t="s">
        <v>189</v>
      </c>
      <c r="K316" s="16" t="s">
        <v>67</v>
      </c>
      <c r="L316" s="16" t="s">
        <v>189</v>
      </c>
      <c r="M316" s="17">
        <v>46042.411319444444</v>
      </c>
      <c r="N316" s="18">
        <v>46044.457372685189</v>
      </c>
      <c r="O316" s="19" t="s">
        <v>40</v>
      </c>
      <c r="P316" s="19" t="s">
        <v>41</v>
      </c>
    </row>
    <row r="317" spans="1:16" s="19" customFormat="1" ht="16.5" customHeight="1">
      <c r="A317" s="16" t="s">
        <v>521</v>
      </c>
      <c r="B317" s="16" t="s">
        <v>183</v>
      </c>
      <c r="C317" s="16" t="s">
        <v>275</v>
      </c>
      <c r="D317" s="16" t="s">
        <v>522</v>
      </c>
      <c r="E317" s="16" t="s">
        <v>523</v>
      </c>
      <c r="F317" s="16" t="s">
        <v>278</v>
      </c>
      <c r="G317" s="16" t="s">
        <v>116</v>
      </c>
      <c r="H317" s="16" t="s">
        <v>26</v>
      </c>
      <c r="I317" s="16" t="s">
        <v>82</v>
      </c>
      <c r="J317" s="16" t="s">
        <v>189</v>
      </c>
      <c r="K317" s="16" t="s">
        <v>29</v>
      </c>
      <c r="L317" s="16" t="s">
        <v>189</v>
      </c>
      <c r="M317" s="17">
        <v>46042.417303240742</v>
      </c>
      <c r="N317" s="18">
        <v>46043.476979166669</v>
      </c>
      <c r="O317" s="19" t="s">
        <v>72</v>
      </c>
      <c r="P317" s="19" t="s">
        <v>73</v>
      </c>
    </row>
    <row r="318" spans="1:16" s="19" customFormat="1" ht="16.5" customHeight="1">
      <c r="A318" s="16" t="s">
        <v>524</v>
      </c>
      <c r="B318" s="16" t="s">
        <v>183</v>
      </c>
      <c r="C318" s="16" t="s">
        <v>275</v>
      </c>
      <c r="D318" s="16" t="s">
        <v>525</v>
      </c>
      <c r="E318" s="16" t="s">
        <v>526</v>
      </c>
      <c r="F318" s="16" t="s">
        <v>278</v>
      </c>
      <c r="G318" s="16" t="s">
        <v>116</v>
      </c>
      <c r="H318" s="16" t="s">
        <v>26</v>
      </c>
      <c r="I318" s="16" t="s">
        <v>82</v>
      </c>
      <c r="J318" s="16" t="s">
        <v>189</v>
      </c>
      <c r="K318" s="16" t="s">
        <v>29</v>
      </c>
      <c r="L318" s="16" t="s">
        <v>189</v>
      </c>
      <c r="M318" s="17">
        <v>46042.427476851852</v>
      </c>
      <c r="N318" s="18">
        <v>46043.476701388892</v>
      </c>
      <c r="O318" s="19" t="s">
        <v>40</v>
      </c>
      <c r="P318" s="19" t="s">
        <v>41</v>
      </c>
    </row>
    <row r="319" spans="1:16" s="19" customFormat="1" ht="16.5" customHeight="1">
      <c r="A319" s="16" t="s">
        <v>530</v>
      </c>
      <c r="B319" s="16" t="s">
        <v>183</v>
      </c>
      <c r="C319" s="16" t="s">
        <v>275</v>
      </c>
      <c r="D319" s="16" t="s">
        <v>531</v>
      </c>
      <c r="E319" s="16" t="s">
        <v>532</v>
      </c>
      <c r="F319" s="16" t="s">
        <v>278</v>
      </c>
      <c r="G319" s="16" t="s">
        <v>116</v>
      </c>
      <c r="H319" s="16" t="s">
        <v>26</v>
      </c>
      <c r="I319" s="16" t="s">
        <v>82</v>
      </c>
      <c r="J319" s="16" t="s">
        <v>189</v>
      </c>
      <c r="K319" s="16" t="s">
        <v>29</v>
      </c>
      <c r="L319" s="16" t="s">
        <v>189</v>
      </c>
      <c r="M319" s="17">
        <v>46042.435763888891</v>
      </c>
      <c r="N319" s="18">
        <v>46043.476539351854</v>
      </c>
      <c r="O319" s="19" t="s">
        <v>122</v>
      </c>
      <c r="P319" s="19" t="s">
        <v>39</v>
      </c>
    </row>
    <row r="320" spans="1:16" s="19" customFormat="1" ht="16.5" customHeight="1">
      <c r="A320" s="16" t="s">
        <v>536</v>
      </c>
      <c r="B320" s="16" t="s">
        <v>183</v>
      </c>
      <c r="C320" s="16" t="s">
        <v>275</v>
      </c>
      <c r="D320" s="16" t="s">
        <v>537</v>
      </c>
      <c r="E320" s="16" t="s">
        <v>538</v>
      </c>
      <c r="F320" s="16" t="s">
        <v>278</v>
      </c>
      <c r="G320" s="16" t="s">
        <v>25</v>
      </c>
      <c r="H320" s="16" t="s">
        <v>148</v>
      </c>
      <c r="I320" s="16" t="s">
        <v>99</v>
      </c>
      <c r="J320" s="16" t="s">
        <v>189</v>
      </c>
      <c r="K320" s="16" t="s">
        <v>29</v>
      </c>
      <c r="L320" s="16" t="s">
        <v>189</v>
      </c>
      <c r="M320" s="17">
        <v>46042.632974537039</v>
      </c>
      <c r="N320" s="18">
        <v>46043.475937499999</v>
      </c>
      <c r="O320" s="19" t="s">
        <v>40</v>
      </c>
      <c r="P320" s="19" t="s">
        <v>41</v>
      </c>
    </row>
    <row r="321" spans="1:16" s="19" customFormat="1" ht="16.5" customHeight="1">
      <c r="A321" s="16" t="s">
        <v>542</v>
      </c>
      <c r="B321" s="16" t="s">
        <v>183</v>
      </c>
      <c r="C321" s="16" t="s">
        <v>229</v>
      </c>
      <c r="D321" s="16" t="s">
        <v>543</v>
      </c>
      <c r="E321" s="16" t="s">
        <v>544</v>
      </c>
      <c r="F321" s="16" t="s">
        <v>232</v>
      </c>
      <c r="G321" s="16" t="s">
        <v>116</v>
      </c>
      <c r="H321" s="16" t="s">
        <v>26</v>
      </c>
      <c r="I321" s="16" t="s">
        <v>39</v>
      </c>
      <c r="J321" s="16" t="s">
        <v>189</v>
      </c>
      <c r="K321" s="16" t="s">
        <v>67</v>
      </c>
      <c r="L321" s="16" t="s">
        <v>189</v>
      </c>
      <c r="M321" s="17">
        <v>46043.420254629629</v>
      </c>
      <c r="N321" s="18">
        <v>46044.467638888891</v>
      </c>
      <c r="O321" s="19" t="s">
        <v>40</v>
      </c>
      <c r="P321" s="19" t="s">
        <v>41</v>
      </c>
    </row>
    <row r="322" spans="1:16" s="19" customFormat="1" ht="16.5" customHeight="1">
      <c r="A322" s="16" t="s">
        <v>542</v>
      </c>
      <c r="B322" s="16" t="s">
        <v>183</v>
      </c>
      <c r="C322" s="16" t="s">
        <v>229</v>
      </c>
      <c r="D322" s="16" t="s">
        <v>545</v>
      </c>
      <c r="E322" s="16" t="s">
        <v>546</v>
      </c>
      <c r="F322" s="16" t="s">
        <v>232</v>
      </c>
      <c r="G322" s="16" t="s">
        <v>116</v>
      </c>
      <c r="H322" s="16" t="s">
        <v>26</v>
      </c>
      <c r="I322" s="16" t="s">
        <v>39</v>
      </c>
      <c r="J322" s="16" t="s">
        <v>189</v>
      </c>
      <c r="K322" s="16" t="s">
        <v>67</v>
      </c>
      <c r="L322" s="16" t="s">
        <v>189</v>
      </c>
      <c r="M322" s="17">
        <v>46043.416215277779</v>
      </c>
      <c r="N322" s="18">
        <v>46043.818437499998</v>
      </c>
      <c r="O322" s="19" t="s">
        <v>40</v>
      </c>
      <c r="P322" s="19" t="s">
        <v>41</v>
      </c>
    </row>
    <row r="323" spans="1:16" s="19" customFormat="1" ht="16.5" customHeight="1">
      <c r="A323" s="16" t="s">
        <v>547</v>
      </c>
      <c r="B323" s="16" t="s">
        <v>183</v>
      </c>
      <c r="C323" s="16" t="s">
        <v>229</v>
      </c>
      <c r="D323" s="16" t="s">
        <v>548</v>
      </c>
      <c r="E323" s="16" t="s">
        <v>549</v>
      </c>
      <c r="F323" s="16" t="s">
        <v>232</v>
      </c>
      <c r="G323" s="16" t="s">
        <v>116</v>
      </c>
      <c r="H323" s="16" t="s">
        <v>26</v>
      </c>
      <c r="I323" s="16" t="s">
        <v>39</v>
      </c>
      <c r="J323" s="16" t="s">
        <v>189</v>
      </c>
      <c r="K323" s="16" t="s">
        <v>67</v>
      </c>
      <c r="L323" s="16" t="s">
        <v>189</v>
      </c>
      <c r="M323" s="17">
        <v>46043.437314814815</v>
      </c>
      <c r="N323" s="18">
        <v>46044.476921296293</v>
      </c>
      <c r="O323" s="19" t="s">
        <v>40</v>
      </c>
      <c r="P323" s="19" t="s">
        <v>41</v>
      </c>
    </row>
    <row r="324" spans="1:16" s="19" customFormat="1" ht="16.5" customHeight="1">
      <c r="A324" s="16" t="s">
        <v>547</v>
      </c>
      <c r="B324" s="16" t="s">
        <v>183</v>
      </c>
      <c r="C324" s="16" t="s">
        <v>229</v>
      </c>
      <c r="D324" s="16" t="s">
        <v>550</v>
      </c>
      <c r="E324" s="16" t="s">
        <v>551</v>
      </c>
      <c r="F324" s="16" t="s">
        <v>232</v>
      </c>
      <c r="G324" s="16" t="s">
        <v>116</v>
      </c>
      <c r="H324" s="16" t="s">
        <v>26</v>
      </c>
      <c r="I324" s="16" t="s">
        <v>39</v>
      </c>
      <c r="J324" s="16" t="s">
        <v>189</v>
      </c>
      <c r="K324" s="16" t="s">
        <v>67</v>
      </c>
      <c r="L324" s="16" t="s">
        <v>189</v>
      </c>
      <c r="M324" s="17">
        <v>46043.439375000002</v>
      </c>
      <c r="N324" s="18">
        <v>46044.547685185185</v>
      </c>
      <c r="O324" s="19" t="s">
        <v>95</v>
      </c>
      <c r="P324" s="19" t="s">
        <v>56</v>
      </c>
    </row>
    <row r="325" spans="1:16" s="19" customFormat="1" ht="16.5" customHeight="1">
      <c r="A325" s="16" t="s">
        <v>552</v>
      </c>
      <c r="B325" s="16" t="s">
        <v>183</v>
      </c>
      <c r="C325" s="16" t="s">
        <v>229</v>
      </c>
      <c r="D325" s="16" t="s">
        <v>553</v>
      </c>
      <c r="E325" s="16" t="s">
        <v>554</v>
      </c>
      <c r="F325" s="16" t="s">
        <v>232</v>
      </c>
      <c r="G325" s="16" t="s">
        <v>116</v>
      </c>
      <c r="H325" s="16" t="s">
        <v>26</v>
      </c>
      <c r="I325" s="16" t="s">
        <v>39</v>
      </c>
      <c r="J325" s="16" t="s">
        <v>189</v>
      </c>
      <c r="K325" s="16" t="s">
        <v>67</v>
      </c>
      <c r="L325" s="16" t="s">
        <v>189</v>
      </c>
      <c r="M325" s="17">
        <v>46043.425358796296</v>
      </c>
      <c r="N325" s="18">
        <v>46044.414849537039</v>
      </c>
      <c r="O325" s="19" t="s">
        <v>122</v>
      </c>
      <c r="P325" s="19" t="s">
        <v>39</v>
      </c>
    </row>
    <row r="326" spans="1:16" s="19" customFormat="1" ht="16.5" customHeight="1">
      <c r="A326" s="16" t="s">
        <v>555</v>
      </c>
      <c r="B326" s="16" t="s">
        <v>183</v>
      </c>
      <c r="C326" s="16" t="s">
        <v>229</v>
      </c>
      <c r="D326" s="16" t="s">
        <v>556</v>
      </c>
      <c r="E326" s="16" t="s">
        <v>557</v>
      </c>
      <c r="F326" s="16" t="s">
        <v>232</v>
      </c>
      <c r="G326" s="16" t="s">
        <v>116</v>
      </c>
      <c r="H326" s="16" t="s">
        <v>38</v>
      </c>
      <c r="I326" s="16" t="s">
        <v>39</v>
      </c>
      <c r="J326" s="16" t="s">
        <v>189</v>
      </c>
      <c r="K326" s="16" t="s">
        <v>67</v>
      </c>
      <c r="L326" s="16" t="s">
        <v>189</v>
      </c>
      <c r="M326" s="17">
        <v>46042.692731481482</v>
      </c>
      <c r="N326" s="18">
        <v>46043.416087962964</v>
      </c>
      <c r="O326" s="19" t="s">
        <v>40</v>
      </c>
      <c r="P326" s="19" t="s">
        <v>41</v>
      </c>
    </row>
    <row r="327" spans="1:16" s="19" customFormat="1" ht="16.5" customHeight="1">
      <c r="A327" s="16" t="s">
        <v>558</v>
      </c>
      <c r="B327" s="16" t="s">
        <v>183</v>
      </c>
      <c r="C327" s="16" t="s">
        <v>229</v>
      </c>
      <c r="D327" s="16" t="s">
        <v>559</v>
      </c>
      <c r="E327" s="16" t="s">
        <v>560</v>
      </c>
      <c r="F327" s="16" t="s">
        <v>232</v>
      </c>
      <c r="G327" s="16" t="s">
        <v>116</v>
      </c>
      <c r="H327" s="16" t="s">
        <v>38</v>
      </c>
      <c r="I327" s="16" t="s">
        <v>39</v>
      </c>
      <c r="J327" s="16" t="s">
        <v>189</v>
      </c>
      <c r="K327" s="16" t="s">
        <v>67</v>
      </c>
      <c r="L327" s="16" t="s">
        <v>189</v>
      </c>
      <c r="M327" s="17">
        <v>46043.556238425925</v>
      </c>
      <c r="N327" s="18">
        <v>46043.746631944443</v>
      </c>
      <c r="O327" s="19" t="s">
        <v>122</v>
      </c>
      <c r="P327" s="19" t="s">
        <v>39</v>
      </c>
    </row>
    <row r="328" spans="1:16" s="19" customFormat="1" ht="16.5" customHeight="1">
      <c r="A328" s="16" t="s">
        <v>561</v>
      </c>
      <c r="B328" s="16" t="s">
        <v>183</v>
      </c>
      <c r="C328" s="16" t="s">
        <v>229</v>
      </c>
      <c r="D328" s="16" t="s">
        <v>562</v>
      </c>
      <c r="E328" s="16" t="s">
        <v>563</v>
      </c>
      <c r="F328" s="16" t="s">
        <v>232</v>
      </c>
      <c r="G328" s="16" t="s">
        <v>116</v>
      </c>
      <c r="H328" s="16" t="s">
        <v>38</v>
      </c>
      <c r="I328" s="16" t="s">
        <v>39</v>
      </c>
      <c r="J328" s="16" t="s">
        <v>189</v>
      </c>
      <c r="K328" s="16" t="s">
        <v>67</v>
      </c>
      <c r="L328" s="16" t="s">
        <v>189</v>
      </c>
      <c r="M328" s="17">
        <v>46042.688946759263</v>
      </c>
      <c r="N328" s="18">
        <v>46043.730266203704</v>
      </c>
      <c r="O328" s="19" t="s">
        <v>95</v>
      </c>
      <c r="P328" s="19" t="s">
        <v>56</v>
      </c>
    </row>
    <row r="329" spans="1:16" s="19" customFormat="1" ht="16.5" customHeight="1">
      <c r="A329" s="16" t="s">
        <v>564</v>
      </c>
      <c r="B329" s="16" t="s">
        <v>183</v>
      </c>
      <c r="C329" s="16" t="s">
        <v>229</v>
      </c>
      <c r="D329" s="16" t="s">
        <v>565</v>
      </c>
      <c r="E329" s="16" t="s">
        <v>566</v>
      </c>
      <c r="F329" s="16" t="s">
        <v>232</v>
      </c>
      <c r="G329" s="16" t="s">
        <v>116</v>
      </c>
      <c r="H329" s="16" t="s">
        <v>38</v>
      </c>
      <c r="I329" s="16" t="s">
        <v>82</v>
      </c>
      <c r="J329" s="16" t="s">
        <v>189</v>
      </c>
      <c r="K329" s="16" t="s">
        <v>29</v>
      </c>
      <c r="L329" s="16" t="s">
        <v>189</v>
      </c>
      <c r="M329" s="17">
        <v>46043.566111111111</v>
      </c>
      <c r="N329" s="18">
        <v>46043.817384259259</v>
      </c>
      <c r="O329" s="19" t="s">
        <v>95</v>
      </c>
      <c r="P329" s="19" t="s">
        <v>56</v>
      </c>
    </row>
    <row r="330" spans="1:16" s="19" customFormat="1" ht="16.5" customHeight="1">
      <c r="A330" s="16" t="s">
        <v>593</v>
      </c>
      <c r="B330" s="16" t="s">
        <v>183</v>
      </c>
      <c r="C330" s="16" t="s">
        <v>229</v>
      </c>
      <c r="D330" s="16" t="s">
        <v>594</v>
      </c>
      <c r="E330" s="16" t="s">
        <v>595</v>
      </c>
      <c r="F330" s="16" t="s">
        <v>232</v>
      </c>
      <c r="G330" s="16" t="s">
        <v>25</v>
      </c>
      <c r="H330" s="16" t="s">
        <v>148</v>
      </c>
      <c r="I330" s="16" t="s">
        <v>99</v>
      </c>
      <c r="J330" s="16" t="s">
        <v>189</v>
      </c>
      <c r="K330" s="16" t="s">
        <v>67</v>
      </c>
      <c r="L330" s="16" t="s">
        <v>189</v>
      </c>
      <c r="M330" s="17">
        <v>46044.749328703707</v>
      </c>
      <c r="N330" s="18">
        <v>46048.390972222223</v>
      </c>
      <c r="O330" s="19" t="s">
        <v>40</v>
      </c>
      <c r="P330" s="19" t="s">
        <v>41</v>
      </c>
    </row>
    <row r="331" spans="1:16" s="19" customFormat="1" ht="16.5" customHeight="1">
      <c r="A331" s="16" t="s">
        <v>596</v>
      </c>
      <c r="B331" s="16" t="s">
        <v>183</v>
      </c>
      <c r="C331" s="16" t="s">
        <v>229</v>
      </c>
      <c r="D331" s="16" t="s">
        <v>597</v>
      </c>
      <c r="E331" s="16" t="s">
        <v>598</v>
      </c>
      <c r="F331" s="16" t="s">
        <v>232</v>
      </c>
      <c r="G331" s="16" t="s">
        <v>25</v>
      </c>
      <c r="H331" s="16" t="s">
        <v>26</v>
      </c>
      <c r="I331" s="16" t="s">
        <v>27</v>
      </c>
      <c r="J331" s="16" t="s">
        <v>189</v>
      </c>
      <c r="K331" s="16" t="s">
        <v>67</v>
      </c>
      <c r="L331" s="16" t="s">
        <v>189</v>
      </c>
      <c r="M331" s="17">
        <v>46041.644004629627</v>
      </c>
      <c r="N331" s="18">
        <v>46043.785937499997</v>
      </c>
      <c r="O331" s="19" t="s">
        <v>95</v>
      </c>
      <c r="P331" s="19" t="s">
        <v>56</v>
      </c>
    </row>
    <row r="332" spans="1:16" s="19" customFormat="1" ht="16.5" customHeight="1">
      <c r="A332" s="16" t="s">
        <v>599</v>
      </c>
      <c r="B332" s="16" t="s">
        <v>183</v>
      </c>
      <c r="C332" s="16" t="s">
        <v>229</v>
      </c>
      <c r="D332" s="16" t="s">
        <v>600</v>
      </c>
      <c r="E332" s="16" t="s">
        <v>601</v>
      </c>
      <c r="F332" s="16" t="s">
        <v>232</v>
      </c>
      <c r="G332" s="16" t="s">
        <v>25</v>
      </c>
      <c r="H332" s="16" t="s">
        <v>26</v>
      </c>
      <c r="I332" s="16" t="s">
        <v>39</v>
      </c>
      <c r="J332" s="16" t="s">
        <v>189</v>
      </c>
      <c r="K332" s="16" t="s">
        <v>106</v>
      </c>
      <c r="L332" s="16" t="s">
        <v>189</v>
      </c>
      <c r="M332" s="17">
        <v>46041.65284722222</v>
      </c>
      <c r="N332" s="18">
        <v>46043.783587962964</v>
      </c>
      <c r="O332" s="19" t="s">
        <v>95</v>
      </c>
      <c r="P332" s="19" t="s">
        <v>56</v>
      </c>
    </row>
    <row r="333" spans="1:16" s="19" customFormat="1" ht="16.5" customHeight="1">
      <c r="A333" s="16" t="s">
        <v>599</v>
      </c>
      <c r="B333" s="16" t="s">
        <v>183</v>
      </c>
      <c r="C333" s="16" t="s">
        <v>229</v>
      </c>
      <c r="D333" s="16" t="s">
        <v>602</v>
      </c>
      <c r="E333" s="16" t="s">
        <v>603</v>
      </c>
      <c r="F333" s="16" t="s">
        <v>232</v>
      </c>
      <c r="G333" s="16" t="s">
        <v>25</v>
      </c>
      <c r="H333" s="16" t="s">
        <v>26</v>
      </c>
      <c r="I333" s="16" t="s">
        <v>27</v>
      </c>
      <c r="J333" s="16" t="s">
        <v>189</v>
      </c>
      <c r="K333" s="16" t="s">
        <v>29</v>
      </c>
      <c r="L333" s="16" t="s">
        <v>189</v>
      </c>
      <c r="M333" s="17">
        <v>46041.649687500001</v>
      </c>
      <c r="N333" s="18">
        <v>46043.780393518522</v>
      </c>
      <c r="O333" s="19" t="s">
        <v>122</v>
      </c>
      <c r="P333" s="19" t="s">
        <v>39</v>
      </c>
    </row>
    <row r="334" spans="1:16" s="19" customFormat="1" ht="16.5" customHeight="1">
      <c r="A334" s="16" t="s">
        <v>607</v>
      </c>
      <c r="B334" s="16" t="s">
        <v>183</v>
      </c>
      <c r="C334" s="16" t="s">
        <v>580</v>
      </c>
      <c r="D334" s="16" t="s">
        <v>608</v>
      </c>
      <c r="E334" s="16" t="s">
        <v>609</v>
      </c>
      <c r="F334" s="16" t="s">
        <v>582</v>
      </c>
      <c r="G334" s="16" t="s">
        <v>116</v>
      </c>
      <c r="H334" s="16" t="s">
        <v>38</v>
      </c>
      <c r="I334" s="16" t="s">
        <v>99</v>
      </c>
      <c r="J334" s="16" t="s">
        <v>189</v>
      </c>
      <c r="K334" s="16" t="s">
        <v>29</v>
      </c>
      <c r="L334" s="16" t="s">
        <v>189</v>
      </c>
      <c r="M334" s="17">
        <v>45918.416493055556</v>
      </c>
      <c r="N334" s="18">
        <v>45918.442395833335</v>
      </c>
      <c r="O334" s="19" t="s">
        <v>122</v>
      </c>
      <c r="P334" s="19" t="s">
        <v>39</v>
      </c>
    </row>
    <row r="335" spans="1:16" s="19" customFormat="1" ht="16.5" customHeight="1">
      <c r="A335" s="16" t="s">
        <v>610</v>
      </c>
      <c r="B335" s="16" t="s">
        <v>183</v>
      </c>
      <c r="C335" s="16" t="s">
        <v>229</v>
      </c>
      <c r="D335" s="16" t="s">
        <v>611</v>
      </c>
      <c r="E335" s="16" t="s">
        <v>612</v>
      </c>
      <c r="F335" s="16" t="s">
        <v>232</v>
      </c>
      <c r="G335" s="16" t="s">
        <v>25</v>
      </c>
      <c r="H335" s="16" t="s">
        <v>26</v>
      </c>
      <c r="I335" s="16" t="s">
        <v>39</v>
      </c>
      <c r="J335" s="16" t="s">
        <v>189</v>
      </c>
      <c r="K335" s="16" t="s">
        <v>106</v>
      </c>
      <c r="L335" s="16" t="s">
        <v>189</v>
      </c>
      <c r="M335" s="17">
        <v>46041.651875000003</v>
      </c>
      <c r="N335" s="18">
        <v>46043.785115740742</v>
      </c>
      <c r="O335" s="19" t="s">
        <v>122</v>
      </c>
      <c r="P335" s="19" t="s">
        <v>39</v>
      </c>
    </row>
    <row r="336" spans="1:16" s="19" customFormat="1" ht="16.5" customHeight="1">
      <c r="A336" s="16" t="s">
        <v>613</v>
      </c>
      <c r="B336" s="16" t="s">
        <v>183</v>
      </c>
      <c r="C336" s="16" t="s">
        <v>229</v>
      </c>
      <c r="D336" s="16" t="s">
        <v>614</v>
      </c>
      <c r="E336" s="16" t="s">
        <v>615</v>
      </c>
      <c r="F336" s="16" t="s">
        <v>232</v>
      </c>
      <c r="G336" s="16" t="s">
        <v>25</v>
      </c>
      <c r="H336" s="16" t="s">
        <v>38</v>
      </c>
      <c r="I336" s="16" t="s">
        <v>27</v>
      </c>
      <c r="J336" s="16" t="s">
        <v>189</v>
      </c>
      <c r="K336" s="16" t="s">
        <v>29</v>
      </c>
      <c r="L336" s="16" t="s">
        <v>189</v>
      </c>
      <c r="M336" s="17">
        <v>46041.448287037034</v>
      </c>
      <c r="N336" s="18">
        <v>46043.77815972222</v>
      </c>
      <c r="O336" s="19" t="s">
        <v>68</v>
      </c>
      <c r="P336" s="19" t="s">
        <v>69</v>
      </c>
    </row>
    <row r="337" spans="1:16" s="19" customFormat="1" ht="16.5" customHeight="1">
      <c r="A337" s="16" t="s">
        <v>619</v>
      </c>
      <c r="B337" s="16" t="s">
        <v>183</v>
      </c>
      <c r="C337" s="16" t="s">
        <v>275</v>
      </c>
      <c r="D337" s="16" t="s">
        <v>620</v>
      </c>
      <c r="E337" s="16" t="s">
        <v>621</v>
      </c>
      <c r="F337" s="16" t="s">
        <v>278</v>
      </c>
      <c r="G337" s="16" t="s">
        <v>25</v>
      </c>
      <c r="H337" s="16" t="s">
        <v>38</v>
      </c>
      <c r="I337" s="16" t="s">
        <v>99</v>
      </c>
      <c r="J337" s="16" t="s">
        <v>189</v>
      </c>
      <c r="K337" s="16" t="s">
        <v>29</v>
      </c>
      <c r="L337" s="16" t="s">
        <v>189</v>
      </c>
      <c r="M337" s="17">
        <v>45841.386018518519</v>
      </c>
      <c r="N337" s="18">
        <v>45845.379259259258</v>
      </c>
      <c r="O337" s="19" t="s">
        <v>40</v>
      </c>
      <c r="P337" s="19" t="s">
        <v>41</v>
      </c>
    </row>
    <row r="338" spans="1:16" s="19" customFormat="1" ht="16.5" customHeight="1">
      <c r="A338" s="16" t="s">
        <v>619</v>
      </c>
      <c r="B338" s="16" t="s">
        <v>183</v>
      </c>
      <c r="C338" s="16" t="s">
        <v>275</v>
      </c>
      <c r="D338" s="16" t="s">
        <v>622</v>
      </c>
      <c r="E338" s="16" t="s">
        <v>623</v>
      </c>
      <c r="F338" s="16" t="s">
        <v>278</v>
      </c>
      <c r="G338" s="16" t="s">
        <v>25</v>
      </c>
      <c r="H338" s="16" t="s">
        <v>26</v>
      </c>
      <c r="I338" s="16" t="s">
        <v>66</v>
      </c>
      <c r="J338" s="16" t="s">
        <v>189</v>
      </c>
      <c r="K338" s="16" t="s">
        <v>67</v>
      </c>
      <c r="L338" s="16" t="s">
        <v>189</v>
      </c>
      <c r="M338" s="17">
        <v>45862.738333333335</v>
      </c>
      <c r="N338" s="18">
        <v>45866.443923611114</v>
      </c>
      <c r="O338" s="19" t="s">
        <v>72</v>
      </c>
      <c r="P338" s="19" t="s">
        <v>73</v>
      </c>
    </row>
    <row r="339" spans="1:16" s="19" customFormat="1" ht="16.5" customHeight="1">
      <c r="A339" s="16" t="s">
        <v>619</v>
      </c>
      <c r="B339" s="16" t="s">
        <v>183</v>
      </c>
      <c r="C339" s="16" t="s">
        <v>275</v>
      </c>
      <c r="D339" s="16" t="s">
        <v>624</v>
      </c>
      <c r="E339" s="16" t="s">
        <v>625</v>
      </c>
      <c r="F339" s="16" t="s">
        <v>278</v>
      </c>
      <c r="G339" s="16" t="s">
        <v>25</v>
      </c>
      <c r="H339" s="16" t="s">
        <v>26</v>
      </c>
      <c r="I339" s="16" t="s">
        <v>99</v>
      </c>
      <c r="J339" s="16" t="s">
        <v>189</v>
      </c>
      <c r="K339" s="16" t="s">
        <v>29</v>
      </c>
      <c r="L339" s="16" t="s">
        <v>189</v>
      </c>
      <c r="M339" s="17">
        <v>46043.716909722221</v>
      </c>
      <c r="N339" s="18">
        <v>46062.361932870372</v>
      </c>
      <c r="O339" s="19" t="s">
        <v>122</v>
      </c>
      <c r="P339" s="19" t="s">
        <v>39</v>
      </c>
    </row>
    <row r="340" spans="1:16" s="19" customFormat="1" ht="16.5" customHeight="1">
      <c r="A340" s="16" t="s">
        <v>626</v>
      </c>
      <c r="B340" s="16" t="s">
        <v>183</v>
      </c>
      <c r="C340" s="16" t="s">
        <v>229</v>
      </c>
      <c r="D340" s="16" t="s">
        <v>627</v>
      </c>
      <c r="E340" s="16" t="s">
        <v>628</v>
      </c>
      <c r="F340" s="16" t="s">
        <v>232</v>
      </c>
      <c r="G340" s="16" t="s">
        <v>25</v>
      </c>
      <c r="H340" s="16" t="s">
        <v>38</v>
      </c>
      <c r="I340" s="16" t="s">
        <v>27</v>
      </c>
      <c r="J340" s="16" t="s">
        <v>189</v>
      </c>
      <c r="K340" s="16" t="s">
        <v>29</v>
      </c>
      <c r="L340" s="16" t="s">
        <v>189</v>
      </c>
      <c r="M340" s="17">
        <v>46042.420428240737</v>
      </c>
      <c r="N340" s="18">
        <v>46043.411469907405</v>
      </c>
      <c r="O340" s="19" t="s">
        <v>40</v>
      </c>
      <c r="P340" s="19" t="s">
        <v>41</v>
      </c>
    </row>
    <row r="341" spans="1:16" s="19" customFormat="1" ht="16.5" customHeight="1">
      <c r="A341" s="16" t="s">
        <v>632</v>
      </c>
      <c r="B341" s="16" t="s">
        <v>183</v>
      </c>
      <c r="C341" s="16" t="s">
        <v>229</v>
      </c>
      <c r="D341" s="16" t="s">
        <v>633</v>
      </c>
      <c r="E341" s="16" t="s">
        <v>634</v>
      </c>
      <c r="F341" s="16" t="s">
        <v>232</v>
      </c>
      <c r="G341" s="16" t="s">
        <v>25</v>
      </c>
      <c r="H341" s="16" t="s">
        <v>26</v>
      </c>
      <c r="I341" s="16" t="s">
        <v>27</v>
      </c>
      <c r="J341" s="16" t="s">
        <v>189</v>
      </c>
      <c r="K341" s="16" t="s">
        <v>29</v>
      </c>
      <c r="L341" s="16" t="s">
        <v>189</v>
      </c>
      <c r="M341" s="17">
        <v>46042.464675925927</v>
      </c>
      <c r="N341" s="18">
        <v>46043.403680555559</v>
      </c>
      <c r="O341" s="19" t="s">
        <v>68</v>
      </c>
      <c r="P341" s="19" t="s">
        <v>69</v>
      </c>
    </row>
    <row r="342" spans="1:16" s="19" customFormat="1" ht="16.5" customHeight="1">
      <c r="A342" s="16" t="s">
        <v>635</v>
      </c>
      <c r="B342" s="16" t="s">
        <v>183</v>
      </c>
      <c r="C342" s="16" t="s">
        <v>111</v>
      </c>
      <c r="D342" s="16" t="s">
        <v>636</v>
      </c>
      <c r="E342" s="16" t="s">
        <v>637</v>
      </c>
      <c r="F342" s="16" t="s">
        <v>114</v>
      </c>
      <c r="G342" s="16" t="s">
        <v>25</v>
      </c>
      <c r="H342" s="16" t="s">
        <v>38</v>
      </c>
      <c r="I342" s="16" t="s">
        <v>203</v>
      </c>
      <c r="J342" s="16" t="s">
        <v>189</v>
      </c>
      <c r="K342" s="16" t="s">
        <v>29</v>
      </c>
      <c r="L342" s="16" t="s">
        <v>189</v>
      </c>
      <c r="M342" s="17">
        <v>46042.618541666663</v>
      </c>
      <c r="N342" s="18">
        <v>46042.632569444446</v>
      </c>
      <c r="O342" s="19" t="s">
        <v>72</v>
      </c>
      <c r="P342" s="19" t="s">
        <v>73</v>
      </c>
    </row>
    <row r="343" spans="1:16" s="19" customFormat="1" ht="16.5" customHeight="1">
      <c r="A343" s="16" t="s">
        <v>635</v>
      </c>
      <c r="B343" s="16" t="s">
        <v>183</v>
      </c>
      <c r="C343" s="16" t="s">
        <v>111</v>
      </c>
      <c r="D343" s="16" t="s">
        <v>638</v>
      </c>
      <c r="E343" s="16" t="s">
        <v>639</v>
      </c>
      <c r="F343" s="16" t="s">
        <v>114</v>
      </c>
      <c r="G343" s="16" t="s">
        <v>25</v>
      </c>
      <c r="H343" s="16" t="s">
        <v>26</v>
      </c>
      <c r="I343" s="16" t="s">
        <v>203</v>
      </c>
      <c r="J343" s="16" t="s">
        <v>189</v>
      </c>
      <c r="K343" s="16" t="s">
        <v>29</v>
      </c>
      <c r="L343" s="16" t="s">
        <v>189</v>
      </c>
      <c r="M343" s="17">
        <v>46042.630601851852</v>
      </c>
      <c r="N343" s="18">
        <v>46043.654629629629</v>
      </c>
      <c r="O343" s="19" t="s">
        <v>76</v>
      </c>
      <c r="P343" s="19" t="s">
        <v>77</v>
      </c>
    </row>
    <row r="344" spans="1:16" s="19" customFormat="1" ht="16.5" customHeight="1">
      <c r="A344" s="16" t="s">
        <v>640</v>
      </c>
      <c r="B344" s="16" t="s">
        <v>183</v>
      </c>
      <c r="C344" s="16" t="s">
        <v>111</v>
      </c>
      <c r="D344" s="16" t="s">
        <v>641</v>
      </c>
      <c r="E344" s="16" t="s">
        <v>372</v>
      </c>
      <c r="F344" s="16" t="s">
        <v>114</v>
      </c>
      <c r="G344" s="16" t="s">
        <v>25</v>
      </c>
      <c r="H344" s="16" t="s">
        <v>38</v>
      </c>
      <c r="I344" s="16" t="s">
        <v>203</v>
      </c>
      <c r="J344" s="16" t="s">
        <v>189</v>
      </c>
      <c r="K344" s="16" t="s">
        <v>29</v>
      </c>
      <c r="L344" s="16" t="s">
        <v>189</v>
      </c>
      <c r="M344" s="17">
        <v>46042.622291666667</v>
      </c>
      <c r="N344" s="18">
        <v>46042.63175925926</v>
      </c>
      <c r="O344" s="19" t="s">
        <v>76</v>
      </c>
      <c r="P344" s="19" t="s">
        <v>77</v>
      </c>
    </row>
    <row r="345" spans="1:16" s="19" customFormat="1" ht="16.5" customHeight="1">
      <c r="A345" s="16" t="s">
        <v>658</v>
      </c>
      <c r="B345" s="16" t="s">
        <v>183</v>
      </c>
      <c r="C345" s="16" t="s">
        <v>266</v>
      </c>
      <c r="D345" s="16" t="s">
        <v>659</v>
      </c>
      <c r="E345" s="16" t="s">
        <v>660</v>
      </c>
      <c r="F345" s="16" t="s">
        <v>269</v>
      </c>
      <c r="G345" s="16" t="s">
        <v>25</v>
      </c>
      <c r="H345" s="16" t="s">
        <v>26</v>
      </c>
      <c r="I345" s="16" t="s">
        <v>99</v>
      </c>
      <c r="J345" s="16" t="s">
        <v>189</v>
      </c>
      <c r="K345" s="16" t="s">
        <v>29</v>
      </c>
      <c r="L345" s="16" t="s">
        <v>189</v>
      </c>
      <c r="M345" s="17">
        <v>46044.624907407408</v>
      </c>
      <c r="N345" s="18">
        <v>46048.410451388889</v>
      </c>
      <c r="O345" s="19" t="s">
        <v>30</v>
      </c>
      <c r="P345" s="19" t="s">
        <v>31</v>
      </c>
    </row>
    <row r="346" spans="1:16" s="19" customFormat="1" ht="16.5" customHeight="1">
      <c r="A346" s="16" t="s">
        <v>661</v>
      </c>
      <c r="B346" s="16" t="s">
        <v>183</v>
      </c>
      <c r="C346" s="16" t="s">
        <v>266</v>
      </c>
      <c r="D346" s="16" t="s">
        <v>662</v>
      </c>
      <c r="E346" s="16" t="s">
        <v>663</v>
      </c>
      <c r="F346" s="16" t="s">
        <v>269</v>
      </c>
      <c r="G346" s="16" t="s">
        <v>25</v>
      </c>
      <c r="H346" s="16" t="s">
        <v>26</v>
      </c>
      <c r="I346" s="16" t="s">
        <v>99</v>
      </c>
      <c r="J346" s="16" t="s">
        <v>189</v>
      </c>
      <c r="K346" s="16" t="s">
        <v>29</v>
      </c>
      <c r="L346" s="16" t="s">
        <v>189</v>
      </c>
      <c r="M346" s="17">
        <v>46044.626493055555</v>
      </c>
      <c r="N346" s="18">
        <v>46048.410775462966</v>
      </c>
      <c r="O346" s="19" t="s">
        <v>122</v>
      </c>
      <c r="P346" s="19" t="s">
        <v>39</v>
      </c>
    </row>
    <row r="347" spans="1:16" s="19" customFormat="1" ht="16.5" customHeight="1">
      <c r="A347" s="16" t="s">
        <v>664</v>
      </c>
      <c r="B347" s="16" t="s">
        <v>183</v>
      </c>
      <c r="C347" s="16" t="s">
        <v>266</v>
      </c>
      <c r="D347" s="16" t="s">
        <v>665</v>
      </c>
      <c r="E347" s="16" t="s">
        <v>666</v>
      </c>
      <c r="F347" s="16" t="s">
        <v>269</v>
      </c>
      <c r="G347" s="16" t="s">
        <v>25</v>
      </c>
      <c r="H347" s="16" t="s">
        <v>26</v>
      </c>
      <c r="I347" s="16" t="s">
        <v>39</v>
      </c>
      <c r="J347" s="16" t="s">
        <v>189</v>
      </c>
      <c r="K347" s="16" t="s">
        <v>29</v>
      </c>
      <c r="L347" s="16" t="s">
        <v>189</v>
      </c>
      <c r="M347" s="17">
        <v>46042.610995370371</v>
      </c>
      <c r="N347" s="18">
        <v>46042.740405092591</v>
      </c>
      <c r="O347" s="19" t="s">
        <v>122</v>
      </c>
      <c r="P347" s="19" t="s">
        <v>39</v>
      </c>
    </row>
    <row r="348" spans="1:16" s="19" customFormat="1" ht="16.5" customHeight="1">
      <c r="A348" s="16" t="s">
        <v>667</v>
      </c>
      <c r="B348" s="16" t="s">
        <v>183</v>
      </c>
      <c r="C348" s="16" t="s">
        <v>266</v>
      </c>
      <c r="D348" s="16" t="s">
        <v>668</v>
      </c>
      <c r="E348" s="16" t="s">
        <v>669</v>
      </c>
      <c r="F348" s="16" t="s">
        <v>269</v>
      </c>
      <c r="G348" s="16" t="s">
        <v>25</v>
      </c>
      <c r="H348" s="16" t="s">
        <v>26</v>
      </c>
      <c r="I348" s="16" t="s">
        <v>39</v>
      </c>
      <c r="J348" s="16" t="s">
        <v>189</v>
      </c>
      <c r="K348" s="16" t="s">
        <v>29</v>
      </c>
      <c r="L348" s="16" t="s">
        <v>189</v>
      </c>
      <c r="M348" s="17">
        <v>46042.619884259257</v>
      </c>
      <c r="N348" s="18">
        <v>46042.737233796295</v>
      </c>
      <c r="O348" s="19" t="s">
        <v>72</v>
      </c>
      <c r="P348" s="19" t="s">
        <v>73</v>
      </c>
    </row>
    <row r="349" spans="1:16" s="19" customFormat="1" ht="16.5" customHeight="1">
      <c r="A349" s="16" t="s">
        <v>670</v>
      </c>
      <c r="B349" s="16" t="s">
        <v>183</v>
      </c>
      <c r="C349" s="16" t="s">
        <v>266</v>
      </c>
      <c r="D349" s="16" t="s">
        <v>671</v>
      </c>
      <c r="E349" s="16" t="s">
        <v>672</v>
      </c>
      <c r="F349" s="16" t="s">
        <v>269</v>
      </c>
      <c r="G349" s="16" t="s">
        <v>25</v>
      </c>
      <c r="H349" s="16" t="s">
        <v>26</v>
      </c>
      <c r="I349" s="16" t="s">
        <v>39</v>
      </c>
      <c r="J349" s="16" t="s">
        <v>189</v>
      </c>
      <c r="K349" s="16" t="s">
        <v>29</v>
      </c>
      <c r="L349" s="16" t="s">
        <v>189</v>
      </c>
      <c r="M349" s="17">
        <v>46043.5622337963</v>
      </c>
      <c r="N349" s="18">
        <v>46048.55945601852</v>
      </c>
      <c r="O349" s="19" t="s">
        <v>122</v>
      </c>
      <c r="P349" s="19" t="s">
        <v>39</v>
      </c>
    </row>
    <row r="350" spans="1:16" s="19" customFormat="1" ht="16.5" customHeight="1">
      <c r="A350" s="16" t="s">
        <v>673</v>
      </c>
      <c r="B350" s="16" t="s">
        <v>183</v>
      </c>
      <c r="C350" s="16" t="s">
        <v>266</v>
      </c>
      <c r="D350" s="16" t="s">
        <v>674</v>
      </c>
      <c r="E350" s="16" t="s">
        <v>675</v>
      </c>
      <c r="F350" s="16" t="s">
        <v>269</v>
      </c>
      <c r="G350" s="16" t="s">
        <v>116</v>
      </c>
      <c r="H350" s="16" t="s">
        <v>26</v>
      </c>
      <c r="I350" s="16" t="s">
        <v>39</v>
      </c>
      <c r="J350" s="16" t="s">
        <v>189</v>
      </c>
      <c r="K350" s="16" t="s">
        <v>29</v>
      </c>
      <c r="L350" s="16" t="s">
        <v>189</v>
      </c>
      <c r="M350" s="17">
        <v>46044.408541666664</v>
      </c>
      <c r="N350" s="18">
        <v>46048.609293981484</v>
      </c>
      <c r="O350" s="19" t="s">
        <v>40</v>
      </c>
      <c r="P350" s="19" t="s">
        <v>41</v>
      </c>
    </row>
    <row r="351" spans="1:16" s="19" customFormat="1" ht="16.5" customHeight="1">
      <c r="A351" s="16" t="s">
        <v>679</v>
      </c>
      <c r="B351" s="16" t="s">
        <v>183</v>
      </c>
      <c r="C351" s="16" t="s">
        <v>266</v>
      </c>
      <c r="D351" s="16" t="s">
        <v>680</v>
      </c>
      <c r="E351" s="16" t="s">
        <v>681</v>
      </c>
      <c r="F351" s="16" t="s">
        <v>269</v>
      </c>
      <c r="G351" s="16" t="s">
        <v>116</v>
      </c>
      <c r="H351" s="16" t="s">
        <v>26</v>
      </c>
      <c r="I351" s="16" t="s">
        <v>99</v>
      </c>
      <c r="J351" s="16" t="s">
        <v>189</v>
      </c>
      <c r="K351" s="16" t="s">
        <v>29</v>
      </c>
      <c r="L351" s="16" t="s">
        <v>189</v>
      </c>
      <c r="M351" s="17">
        <v>46044.570219907408</v>
      </c>
      <c r="N351" s="18">
        <v>46048.411099537036</v>
      </c>
      <c r="O351" s="19" t="s">
        <v>76</v>
      </c>
      <c r="P351" s="19" t="s">
        <v>77</v>
      </c>
    </row>
    <row r="352" spans="1:16" s="19" customFormat="1" ht="16.5" customHeight="1">
      <c r="A352" s="16" t="s">
        <v>685</v>
      </c>
      <c r="B352" s="16" t="s">
        <v>183</v>
      </c>
      <c r="C352" s="16" t="s">
        <v>111</v>
      </c>
      <c r="D352" s="16" t="s">
        <v>686</v>
      </c>
      <c r="E352" s="16" t="s">
        <v>372</v>
      </c>
      <c r="F352" s="16" t="s">
        <v>114</v>
      </c>
      <c r="G352" s="16" t="s">
        <v>25</v>
      </c>
      <c r="H352" s="16" t="s">
        <v>26</v>
      </c>
      <c r="I352" s="16" t="s">
        <v>203</v>
      </c>
      <c r="J352" s="16" t="s">
        <v>189</v>
      </c>
      <c r="K352" s="16" t="s">
        <v>29</v>
      </c>
      <c r="L352" s="16" t="s">
        <v>189</v>
      </c>
      <c r="M352" s="17">
        <v>46042.455717592595</v>
      </c>
      <c r="N352" s="18">
        <v>46042.631157407406</v>
      </c>
      <c r="O352" s="19" t="s">
        <v>30</v>
      </c>
      <c r="P352" s="19" t="s">
        <v>31</v>
      </c>
    </row>
    <row r="353" spans="1:16" s="19" customFormat="1" ht="16.5" customHeight="1">
      <c r="A353" s="16" t="s">
        <v>687</v>
      </c>
      <c r="B353" s="16" t="s">
        <v>183</v>
      </c>
      <c r="C353" s="16" t="s">
        <v>111</v>
      </c>
      <c r="D353" s="16" t="s">
        <v>688</v>
      </c>
      <c r="E353" s="16" t="s">
        <v>689</v>
      </c>
      <c r="F353" s="16" t="s">
        <v>114</v>
      </c>
      <c r="G353" s="16" t="s">
        <v>25</v>
      </c>
      <c r="H353" s="16" t="s">
        <v>38</v>
      </c>
      <c r="I353" s="16" t="s">
        <v>27</v>
      </c>
      <c r="J353" s="16" t="s">
        <v>189</v>
      </c>
      <c r="K353" s="16" t="s">
        <v>29</v>
      </c>
      <c r="L353" s="16" t="s">
        <v>189</v>
      </c>
      <c r="M353" s="17">
        <v>46043.377372685187</v>
      </c>
      <c r="N353" s="18">
        <v>46048.727280092593</v>
      </c>
      <c r="O353" s="19" t="s">
        <v>40</v>
      </c>
      <c r="P353" s="19" t="s">
        <v>41</v>
      </c>
    </row>
    <row r="354" spans="1:16" s="19" customFormat="1" ht="16.5" customHeight="1">
      <c r="A354" s="16" t="s">
        <v>366</v>
      </c>
      <c r="B354" s="16" t="s">
        <v>183</v>
      </c>
      <c r="C354" s="16" t="s">
        <v>111</v>
      </c>
      <c r="D354" s="16" t="s">
        <v>690</v>
      </c>
      <c r="E354" s="16" t="s">
        <v>691</v>
      </c>
      <c r="F354" s="16" t="s">
        <v>114</v>
      </c>
      <c r="G354" s="16" t="s">
        <v>25</v>
      </c>
      <c r="H354" s="16" t="s">
        <v>26</v>
      </c>
      <c r="I354" s="16" t="s">
        <v>203</v>
      </c>
      <c r="J354" s="16" t="s">
        <v>189</v>
      </c>
      <c r="K354" s="16" t="s">
        <v>29</v>
      </c>
      <c r="L354" s="16" t="s">
        <v>189</v>
      </c>
      <c r="M354" s="17">
        <v>46042.445034722223</v>
      </c>
      <c r="N354" s="18">
        <v>46042.63140046296</v>
      </c>
      <c r="O354" s="19" t="s">
        <v>122</v>
      </c>
      <c r="P354" s="19" t="s">
        <v>39</v>
      </c>
    </row>
    <row r="355" spans="1:16" s="19" customFormat="1" ht="16.5" customHeight="1">
      <c r="A355" s="16" t="s">
        <v>725</v>
      </c>
      <c r="B355" s="16" t="s">
        <v>183</v>
      </c>
      <c r="C355" s="16" t="s">
        <v>275</v>
      </c>
      <c r="D355" s="16" t="s">
        <v>726</v>
      </c>
      <c r="E355" s="16" t="s">
        <v>727</v>
      </c>
      <c r="F355" s="16" t="s">
        <v>278</v>
      </c>
      <c r="G355" s="16" t="s">
        <v>25</v>
      </c>
      <c r="H355" s="16" t="s">
        <v>26</v>
      </c>
      <c r="I355" s="16" t="s">
        <v>520</v>
      </c>
      <c r="J355" s="16" t="s">
        <v>724</v>
      </c>
      <c r="K355" s="16" t="s">
        <v>29</v>
      </c>
      <c r="L355" s="16" t="s">
        <v>724</v>
      </c>
      <c r="M355" s="17">
        <v>46041.644988425927</v>
      </c>
      <c r="N355" s="18">
        <v>46043.669733796298</v>
      </c>
      <c r="O355" s="19" t="s">
        <v>30</v>
      </c>
      <c r="P355" s="19" t="s">
        <v>31</v>
      </c>
    </row>
    <row r="356" spans="1:16" s="19" customFormat="1" ht="16.5" customHeight="1">
      <c r="A356" s="16" t="s">
        <v>728</v>
      </c>
      <c r="B356" s="16" t="s">
        <v>183</v>
      </c>
      <c r="C356" s="16" t="s">
        <v>275</v>
      </c>
      <c r="D356" s="16" t="s">
        <v>729</v>
      </c>
      <c r="E356" s="16" t="s">
        <v>730</v>
      </c>
      <c r="F356" s="16" t="s">
        <v>278</v>
      </c>
      <c r="G356" s="16" t="s">
        <v>25</v>
      </c>
      <c r="H356" s="16" t="s">
        <v>26</v>
      </c>
      <c r="I356" s="16" t="s">
        <v>39</v>
      </c>
      <c r="J356" s="16" t="s">
        <v>724</v>
      </c>
      <c r="K356" s="16" t="s">
        <v>67</v>
      </c>
      <c r="L356" s="16" t="s">
        <v>724</v>
      </c>
      <c r="M356" s="17">
        <v>46041.71434027778</v>
      </c>
      <c r="N356" s="18">
        <v>46078.656851851854</v>
      </c>
      <c r="O356" s="19" t="s">
        <v>40</v>
      </c>
      <c r="P356" s="19" t="s">
        <v>41</v>
      </c>
    </row>
    <row r="357" spans="1:16" s="19" customFormat="1" ht="16.5" customHeight="1">
      <c r="A357" s="16" t="s">
        <v>744</v>
      </c>
      <c r="B357" s="16" t="s">
        <v>183</v>
      </c>
      <c r="C357" s="16" t="s">
        <v>229</v>
      </c>
      <c r="D357" s="16" t="s">
        <v>745</v>
      </c>
      <c r="E357" s="16" t="s">
        <v>746</v>
      </c>
      <c r="F357" s="16" t="s">
        <v>232</v>
      </c>
      <c r="G357" s="16" t="s">
        <v>116</v>
      </c>
      <c r="H357" s="16" t="s">
        <v>38</v>
      </c>
      <c r="I357" s="16" t="s">
        <v>39</v>
      </c>
      <c r="J357" s="16" t="s">
        <v>724</v>
      </c>
      <c r="K357" s="16" t="s">
        <v>29</v>
      </c>
      <c r="L357" s="16" t="s">
        <v>724</v>
      </c>
      <c r="M357" s="17">
        <v>46043.474791666667</v>
      </c>
      <c r="N357" s="18">
        <v>46044.65662037037</v>
      </c>
      <c r="O357" s="19" t="s">
        <v>95</v>
      </c>
      <c r="P357" s="19" t="s">
        <v>56</v>
      </c>
    </row>
    <row r="358" spans="1:16" s="19" customFormat="1" ht="16.5" customHeight="1">
      <c r="A358" s="16" t="s">
        <v>747</v>
      </c>
      <c r="B358" s="16" t="s">
        <v>183</v>
      </c>
      <c r="C358" s="16" t="s">
        <v>229</v>
      </c>
      <c r="D358" s="16" t="s">
        <v>748</v>
      </c>
      <c r="E358" s="16" t="s">
        <v>749</v>
      </c>
      <c r="F358" s="16" t="s">
        <v>232</v>
      </c>
      <c r="G358" s="16" t="s">
        <v>116</v>
      </c>
      <c r="H358" s="16" t="s">
        <v>38</v>
      </c>
      <c r="I358" s="16" t="s">
        <v>39</v>
      </c>
      <c r="J358" s="16" t="s">
        <v>724</v>
      </c>
      <c r="K358" s="16" t="s">
        <v>29</v>
      </c>
      <c r="L358" s="16" t="s">
        <v>724</v>
      </c>
      <c r="M358" s="17">
        <v>46043.469675925924</v>
      </c>
      <c r="N358" s="18">
        <v>46044.656354166669</v>
      </c>
      <c r="O358" s="19" t="s">
        <v>95</v>
      </c>
      <c r="P358" s="19" t="s">
        <v>56</v>
      </c>
    </row>
    <row r="359" spans="1:16" s="19" customFormat="1" ht="16.5" customHeight="1">
      <c r="A359" s="16" t="s">
        <v>753</v>
      </c>
      <c r="B359" s="16" t="s">
        <v>183</v>
      </c>
      <c r="C359" s="16" t="s">
        <v>580</v>
      </c>
      <c r="D359" s="16" t="s">
        <v>754</v>
      </c>
      <c r="E359" s="16" t="s">
        <v>755</v>
      </c>
      <c r="F359" s="16" t="s">
        <v>582</v>
      </c>
      <c r="G359" s="16" t="s">
        <v>25</v>
      </c>
      <c r="H359" s="16" t="s">
        <v>26</v>
      </c>
      <c r="I359" s="16" t="s">
        <v>39</v>
      </c>
      <c r="J359" s="16" t="s">
        <v>724</v>
      </c>
      <c r="K359" s="16" t="s">
        <v>67</v>
      </c>
      <c r="L359" s="16" t="s">
        <v>724</v>
      </c>
      <c r="M359" s="17">
        <v>46041.69290509259</v>
      </c>
      <c r="N359" s="18">
        <v>46044.685254629629</v>
      </c>
      <c r="O359" s="19" t="s">
        <v>30</v>
      </c>
      <c r="P359" s="19" t="s">
        <v>31</v>
      </c>
    </row>
    <row r="360" spans="1:16" s="19" customFormat="1" ht="16.5" customHeight="1">
      <c r="A360" s="16" t="s">
        <v>756</v>
      </c>
      <c r="B360" s="16" t="s">
        <v>183</v>
      </c>
      <c r="C360" s="16" t="s">
        <v>580</v>
      </c>
      <c r="D360" s="16" t="s">
        <v>757</v>
      </c>
      <c r="E360" s="16" t="s">
        <v>758</v>
      </c>
      <c r="F360" s="16" t="s">
        <v>582</v>
      </c>
      <c r="G360" s="16" t="s">
        <v>25</v>
      </c>
      <c r="H360" s="16" t="s">
        <v>38</v>
      </c>
      <c r="I360" s="16" t="s">
        <v>56</v>
      </c>
      <c r="J360" s="16" t="s">
        <v>724</v>
      </c>
      <c r="K360" s="16" t="s">
        <v>29</v>
      </c>
      <c r="L360" s="16" t="s">
        <v>724</v>
      </c>
      <c r="M360" s="17">
        <v>46042.411423611113</v>
      </c>
      <c r="N360" s="18">
        <v>46044.672627314816</v>
      </c>
      <c r="O360" s="19" t="s">
        <v>30</v>
      </c>
      <c r="P360" s="19" t="s">
        <v>31</v>
      </c>
    </row>
    <row r="361" spans="1:16" s="19" customFormat="1" ht="16.5" customHeight="1">
      <c r="A361" s="16" t="s">
        <v>756</v>
      </c>
      <c r="B361" s="16" t="s">
        <v>183</v>
      </c>
      <c r="C361" s="16" t="s">
        <v>580</v>
      </c>
      <c r="D361" s="16" t="s">
        <v>759</v>
      </c>
      <c r="E361" s="16" t="s">
        <v>760</v>
      </c>
      <c r="F361" s="16" t="s">
        <v>582</v>
      </c>
      <c r="G361" s="16" t="s">
        <v>25</v>
      </c>
      <c r="H361" s="16" t="s">
        <v>26</v>
      </c>
      <c r="I361" s="16" t="s">
        <v>39</v>
      </c>
      <c r="J361" s="16" t="s">
        <v>724</v>
      </c>
      <c r="K361" s="16" t="s">
        <v>29</v>
      </c>
      <c r="L361" s="16" t="s">
        <v>724</v>
      </c>
      <c r="M361" s="17">
        <v>46042.391516203701</v>
      </c>
      <c r="N361" s="18">
        <v>46044.671817129631</v>
      </c>
      <c r="O361" s="19" t="s">
        <v>122</v>
      </c>
      <c r="P361" s="19" t="s">
        <v>39</v>
      </c>
    </row>
    <row r="362" spans="1:16" s="19" customFormat="1" ht="16.5" customHeight="1">
      <c r="A362" s="16" t="s">
        <v>756</v>
      </c>
      <c r="B362" s="16" t="s">
        <v>183</v>
      </c>
      <c r="C362" s="16" t="s">
        <v>580</v>
      </c>
      <c r="D362" s="16" t="s">
        <v>761</v>
      </c>
      <c r="E362" s="16" t="s">
        <v>762</v>
      </c>
      <c r="F362" s="16" t="s">
        <v>582</v>
      </c>
      <c r="G362" s="16" t="s">
        <v>25</v>
      </c>
      <c r="H362" s="16" t="s">
        <v>38</v>
      </c>
      <c r="I362" s="16" t="s">
        <v>56</v>
      </c>
      <c r="J362" s="16" t="s">
        <v>724</v>
      </c>
      <c r="K362" s="16" t="s">
        <v>29</v>
      </c>
      <c r="L362" s="16" t="s">
        <v>724</v>
      </c>
      <c r="M362" s="17">
        <v>46042.542731481481</v>
      </c>
      <c r="N362" s="18">
        <v>46044.670740740738</v>
      </c>
      <c r="O362" s="19" t="s">
        <v>40</v>
      </c>
      <c r="P362" s="19" t="s">
        <v>41</v>
      </c>
    </row>
    <row r="363" spans="1:16" s="19" customFormat="1" ht="16.5" customHeight="1">
      <c r="A363" s="16" t="s">
        <v>763</v>
      </c>
      <c r="B363" s="16" t="s">
        <v>183</v>
      </c>
      <c r="C363" s="16" t="s">
        <v>580</v>
      </c>
      <c r="D363" s="16" t="s">
        <v>764</v>
      </c>
      <c r="E363" s="16" t="s">
        <v>765</v>
      </c>
      <c r="F363" s="16" t="s">
        <v>582</v>
      </c>
      <c r="G363" s="16" t="s">
        <v>25</v>
      </c>
      <c r="H363" s="16" t="s">
        <v>38</v>
      </c>
      <c r="I363" s="16" t="s">
        <v>39</v>
      </c>
      <c r="J363" s="16" t="s">
        <v>724</v>
      </c>
      <c r="K363" s="16" t="s">
        <v>29</v>
      </c>
      <c r="L363" s="16" t="s">
        <v>724</v>
      </c>
      <c r="M363" s="17">
        <v>46042.456238425926</v>
      </c>
      <c r="N363" s="18">
        <v>46044.688217592593</v>
      </c>
      <c r="O363" s="19" t="s">
        <v>76</v>
      </c>
      <c r="P363" s="19" t="s">
        <v>77</v>
      </c>
    </row>
    <row r="364" spans="1:16" s="19" customFormat="1" ht="16.5" customHeight="1">
      <c r="A364" s="16" t="s">
        <v>766</v>
      </c>
      <c r="B364" s="16" t="s">
        <v>183</v>
      </c>
      <c r="C364" s="16" t="s">
        <v>580</v>
      </c>
      <c r="D364" s="16" t="s">
        <v>767</v>
      </c>
      <c r="E364" s="16" t="s">
        <v>768</v>
      </c>
      <c r="F364" s="16" t="s">
        <v>582</v>
      </c>
      <c r="G364" s="16" t="s">
        <v>25</v>
      </c>
      <c r="H364" s="16" t="s">
        <v>26</v>
      </c>
      <c r="I364" s="16" t="s">
        <v>39</v>
      </c>
      <c r="J364" s="16" t="s">
        <v>724</v>
      </c>
      <c r="K364" s="16" t="s">
        <v>29</v>
      </c>
      <c r="L364" s="16" t="s">
        <v>724</v>
      </c>
      <c r="M364" s="17">
        <v>46042.563877314817</v>
      </c>
      <c r="N364" s="18">
        <v>46044.688726851855</v>
      </c>
      <c r="O364" s="19" t="s">
        <v>40</v>
      </c>
      <c r="P364" s="19" t="s">
        <v>41</v>
      </c>
    </row>
    <row r="365" spans="1:16" s="19" customFormat="1" ht="16.5" customHeight="1">
      <c r="A365" s="16" t="s">
        <v>769</v>
      </c>
      <c r="B365" s="16" t="s">
        <v>183</v>
      </c>
      <c r="C365" s="16" t="s">
        <v>580</v>
      </c>
      <c r="D365" s="16" t="s">
        <v>770</v>
      </c>
      <c r="E365" s="16" t="s">
        <v>771</v>
      </c>
      <c r="F365" s="16" t="s">
        <v>582</v>
      </c>
      <c r="G365" s="16" t="s">
        <v>25</v>
      </c>
      <c r="H365" s="16" t="s">
        <v>38</v>
      </c>
      <c r="I365" s="16" t="s">
        <v>56</v>
      </c>
      <c r="J365" s="16" t="s">
        <v>724</v>
      </c>
      <c r="K365" s="16" t="s">
        <v>29</v>
      </c>
      <c r="L365" s="16" t="s">
        <v>724</v>
      </c>
      <c r="M365" s="17">
        <v>46042.622152777774</v>
      </c>
      <c r="N365" s="18">
        <v>46044.683738425927</v>
      </c>
      <c r="O365" s="19" t="s">
        <v>122</v>
      </c>
      <c r="P365" s="19" t="s">
        <v>39</v>
      </c>
    </row>
    <row r="366" spans="1:16" s="19" customFormat="1" ht="16.5" customHeight="1">
      <c r="A366" s="16" t="s">
        <v>772</v>
      </c>
      <c r="B366" s="16" t="s">
        <v>183</v>
      </c>
      <c r="C366" s="16" t="s">
        <v>580</v>
      </c>
      <c r="D366" s="16" t="s">
        <v>773</v>
      </c>
      <c r="E366" s="16" t="s">
        <v>774</v>
      </c>
      <c r="F366" s="16" t="s">
        <v>582</v>
      </c>
      <c r="G366" s="16" t="s">
        <v>25</v>
      </c>
      <c r="H366" s="16" t="s">
        <v>26</v>
      </c>
      <c r="I366" s="16" t="s">
        <v>39</v>
      </c>
      <c r="J366" s="16" t="s">
        <v>724</v>
      </c>
      <c r="K366" s="16" t="s">
        <v>29</v>
      </c>
      <c r="L366" s="16" t="s">
        <v>724</v>
      </c>
      <c r="M366" s="17">
        <v>46041.66574074074</v>
      </c>
      <c r="N366" s="18">
        <v>46045.585405092592</v>
      </c>
      <c r="O366" s="19" t="s">
        <v>68</v>
      </c>
      <c r="P366" s="19" t="s">
        <v>69</v>
      </c>
    </row>
    <row r="367" spans="1:16" s="19" customFormat="1" ht="16.5" customHeight="1">
      <c r="A367" s="16" t="s">
        <v>775</v>
      </c>
      <c r="B367" s="16" t="s">
        <v>183</v>
      </c>
      <c r="C367" s="16" t="s">
        <v>580</v>
      </c>
      <c r="D367" s="16" t="s">
        <v>776</v>
      </c>
      <c r="E367" s="16" t="s">
        <v>777</v>
      </c>
      <c r="F367" s="16" t="s">
        <v>582</v>
      </c>
      <c r="G367" s="16" t="s">
        <v>25</v>
      </c>
      <c r="H367" s="16" t="s">
        <v>26</v>
      </c>
      <c r="I367" s="16" t="s">
        <v>39</v>
      </c>
      <c r="J367" s="16" t="s">
        <v>724</v>
      </c>
      <c r="K367" s="16" t="s">
        <v>29</v>
      </c>
      <c r="L367" s="16" t="s">
        <v>724</v>
      </c>
      <c r="M367" s="17">
        <v>46041.56354166667</v>
      </c>
      <c r="N367" s="18">
        <v>46044.678263888891</v>
      </c>
      <c r="O367" s="19" t="s">
        <v>40</v>
      </c>
      <c r="P367" s="19" t="s">
        <v>41</v>
      </c>
    </row>
    <row r="368" spans="1:16" s="19" customFormat="1" ht="16.5" customHeight="1">
      <c r="A368" s="16" t="s">
        <v>775</v>
      </c>
      <c r="B368" s="16" t="s">
        <v>183</v>
      </c>
      <c r="C368" s="16" t="s">
        <v>580</v>
      </c>
      <c r="D368" s="16" t="s">
        <v>778</v>
      </c>
      <c r="E368" s="16" t="s">
        <v>779</v>
      </c>
      <c r="F368" s="16" t="s">
        <v>582</v>
      </c>
      <c r="G368" s="16" t="s">
        <v>25</v>
      </c>
      <c r="H368" s="16" t="s">
        <v>26</v>
      </c>
      <c r="I368" s="16" t="s">
        <v>39</v>
      </c>
      <c r="J368" s="16" t="s">
        <v>724</v>
      </c>
      <c r="K368" s="16" t="s">
        <v>29</v>
      </c>
      <c r="L368" s="16" t="s">
        <v>724</v>
      </c>
      <c r="M368" s="17">
        <v>46041.575196759259</v>
      </c>
      <c r="N368" s="18">
        <v>46044.680358796293</v>
      </c>
      <c r="O368" s="19" t="s">
        <v>95</v>
      </c>
      <c r="P368" s="19" t="s">
        <v>56</v>
      </c>
    </row>
    <row r="369" spans="1:16" s="19" customFormat="1" ht="16.5" customHeight="1">
      <c r="A369" s="16" t="s">
        <v>780</v>
      </c>
      <c r="B369" s="16" t="s">
        <v>183</v>
      </c>
      <c r="C369" s="16" t="s">
        <v>580</v>
      </c>
      <c r="D369" s="16" t="s">
        <v>781</v>
      </c>
      <c r="E369" s="16" t="s">
        <v>782</v>
      </c>
      <c r="F369" s="16" t="s">
        <v>582</v>
      </c>
      <c r="G369" s="16" t="s">
        <v>25</v>
      </c>
      <c r="H369" s="16" t="s">
        <v>26</v>
      </c>
      <c r="I369" s="16" t="s">
        <v>39</v>
      </c>
      <c r="J369" s="16" t="s">
        <v>724</v>
      </c>
      <c r="K369" s="16" t="s">
        <v>29</v>
      </c>
      <c r="L369" s="16" t="s">
        <v>724</v>
      </c>
      <c r="M369" s="17">
        <v>46041.592673611114</v>
      </c>
      <c r="N369" s="18">
        <v>46064.393194444441</v>
      </c>
      <c r="O369" s="19" t="s">
        <v>40</v>
      </c>
      <c r="P369" s="19" t="s">
        <v>41</v>
      </c>
    </row>
    <row r="370" spans="1:16" s="19" customFormat="1" ht="16.5" customHeight="1">
      <c r="A370" s="16" t="s">
        <v>596</v>
      </c>
      <c r="B370" s="16" t="s">
        <v>183</v>
      </c>
      <c r="C370" s="16" t="s">
        <v>229</v>
      </c>
      <c r="D370" s="16" t="s">
        <v>813</v>
      </c>
      <c r="E370" s="16" t="s">
        <v>814</v>
      </c>
      <c r="F370" s="16" t="s">
        <v>232</v>
      </c>
      <c r="G370" s="16" t="s">
        <v>25</v>
      </c>
      <c r="H370" s="16" t="s">
        <v>26</v>
      </c>
      <c r="I370" s="16" t="s">
        <v>39</v>
      </c>
      <c r="J370" s="16" t="s">
        <v>724</v>
      </c>
      <c r="K370" s="16" t="s">
        <v>67</v>
      </c>
      <c r="L370" s="16" t="s">
        <v>724</v>
      </c>
      <c r="M370" s="17">
        <v>46041.549259259256</v>
      </c>
      <c r="N370" s="18">
        <v>46076.715115740742</v>
      </c>
      <c r="O370" s="19" t="s">
        <v>95</v>
      </c>
      <c r="P370" s="19" t="s">
        <v>56</v>
      </c>
    </row>
    <row r="371" spans="1:16" s="19" customFormat="1" ht="16.5" customHeight="1">
      <c r="A371" s="16" t="s">
        <v>827</v>
      </c>
      <c r="B371" s="16" t="s">
        <v>183</v>
      </c>
      <c r="C371" s="16" t="s">
        <v>229</v>
      </c>
      <c r="D371" s="16" t="s">
        <v>828</v>
      </c>
      <c r="E371" s="16" t="s">
        <v>829</v>
      </c>
      <c r="F371" s="16" t="s">
        <v>232</v>
      </c>
      <c r="G371" s="16" t="s">
        <v>25</v>
      </c>
      <c r="H371" s="16" t="s">
        <v>26</v>
      </c>
      <c r="I371" s="16" t="s">
        <v>82</v>
      </c>
      <c r="J371" s="16" t="s">
        <v>724</v>
      </c>
      <c r="K371" s="16" t="s">
        <v>106</v>
      </c>
      <c r="L371" s="16" t="s">
        <v>724</v>
      </c>
      <c r="M371" s="17">
        <v>46042.619988425926</v>
      </c>
      <c r="N371" s="18">
        <v>46044.663622685184</v>
      </c>
      <c r="O371" s="19" t="s">
        <v>57</v>
      </c>
      <c r="P371" s="19" t="s">
        <v>58</v>
      </c>
    </row>
    <row r="372" spans="1:16" s="19" customFormat="1" ht="16.5" customHeight="1">
      <c r="A372" s="16" t="s">
        <v>613</v>
      </c>
      <c r="B372" s="16" t="s">
        <v>183</v>
      </c>
      <c r="C372" s="16" t="s">
        <v>229</v>
      </c>
      <c r="D372" s="16" t="s">
        <v>830</v>
      </c>
      <c r="E372" s="16" t="s">
        <v>831</v>
      </c>
      <c r="F372" s="16" t="s">
        <v>232</v>
      </c>
      <c r="G372" s="16" t="s">
        <v>25</v>
      </c>
      <c r="H372" s="16" t="s">
        <v>38</v>
      </c>
      <c r="I372" s="16" t="s">
        <v>82</v>
      </c>
      <c r="J372" s="16" t="s">
        <v>724</v>
      </c>
      <c r="K372" s="16" t="s">
        <v>67</v>
      </c>
      <c r="L372" s="16" t="s">
        <v>724</v>
      </c>
      <c r="M372" s="17">
        <v>46041.457638888889</v>
      </c>
      <c r="N372" s="18">
        <v>46058.444247685184</v>
      </c>
      <c r="O372" s="19" t="s">
        <v>122</v>
      </c>
      <c r="P372" s="19" t="s">
        <v>39</v>
      </c>
    </row>
    <row r="373" spans="1:16" s="19" customFormat="1" ht="16.5" customHeight="1">
      <c r="A373" s="16" t="s">
        <v>613</v>
      </c>
      <c r="B373" s="16" t="s">
        <v>183</v>
      </c>
      <c r="C373" s="16" t="s">
        <v>229</v>
      </c>
      <c r="D373" s="16" t="s">
        <v>832</v>
      </c>
      <c r="E373" s="16" t="s">
        <v>833</v>
      </c>
      <c r="F373" s="16" t="s">
        <v>232</v>
      </c>
      <c r="G373" s="16" t="s">
        <v>25</v>
      </c>
      <c r="H373" s="16" t="s">
        <v>26</v>
      </c>
      <c r="I373" s="16" t="s">
        <v>82</v>
      </c>
      <c r="J373" s="16" t="s">
        <v>724</v>
      </c>
      <c r="K373" s="16" t="s">
        <v>106</v>
      </c>
      <c r="L373" s="16" t="s">
        <v>724</v>
      </c>
      <c r="M373" s="17">
        <v>46044.440810185188</v>
      </c>
      <c r="N373" s="18">
        <v>46058.449282407404</v>
      </c>
      <c r="O373" s="19" t="s">
        <v>76</v>
      </c>
      <c r="P373" s="19" t="s">
        <v>77</v>
      </c>
    </row>
    <row r="374" spans="1:16" s="19" customFormat="1" ht="16.5" customHeight="1">
      <c r="A374" s="16" t="s">
        <v>834</v>
      </c>
      <c r="B374" s="16" t="s">
        <v>183</v>
      </c>
      <c r="C374" s="16" t="s">
        <v>580</v>
      </c>
      <c r="D374" s="16" t="s">
        <v>835</v>
      </c>
      <c r="E374" s="16" t="s">
        <v>836</v>
      </c>
      <c r="F374" s="16" t="s">
        <v>582</v>
      </c>
      <c r="G374" s="16" t="s">
        <v>25</v>
      </c>
      <c r="H374" s="16" t="s">
        <v>26</v>
      </c>
      <c r="I374" s="16" t="s">
        <v>39</v>
      </c>
      <c r="J374" s="16" t="s">
        <v>724</v>
      </c>
      <c r="K374" s="16" t="s">
        <v>29</v>
      </c>
      <c r="L374" s="16" t="s">
        <v>724</v>
      </c>
      <c r="M374" s="17">
        <v>46041.687245370369</v>
      </c>
      <c r="N374" s="18">
        <v>46044.687152777777</v>
      </c>
      <c r="O374" s="19" t="s">
        <v>40</v>
      </c>
      <c r="P374" s="19" t="s">
        <v>41</v>
      </c>
    </row>
    <row r="375" spans="1:16" s="19" customFormat="1" ht="16.5" customHeight="1">
      <c r="A375" s="16" t="s">
        <v>837</v>
      </c>
      <c r="B375" s="16" t="s">
        <v>183</v>
      </c>
      <c r="C375" s="16" t="s">
        <v>580</v>
      </c>
      <c r="D375" s="16" t="s">
        <v>838</v>
      </c>
      <c r="E375" s="16" t="s">
        <v>839</v>
      </c>
      <c r="F375" s="16" t="s">
        <v>582</v>
      </c>
      <c r="G375" s="16" t="s">
        <v>116</v>
      </c>
      <c r="H375" s="16" t="s">
        <v>26</v>
      </c>
      <c r="I375" s="16" t="s">
        <v>39</v>
      </c>
      <c r="J375" s="16" t="s">
        <v>724</v>
      </c>
      <c r="K375" s="16" t="s">
        <v>29</v>
      </c>
      <c r="L375" s="16" t="s">
        <v>724</v>
      </c>
      <c r="M375" s="17">
        <v>46044.589444444442</v>
      </c>
      <c r="N375" s="18">
        <v>46078.658854166664</v>
      </c>
      <c r="O375" s="19" t="s">
        <v>419</v>
      </c>
      <c r="P375" s="19" t="s">
        <v>66</v>
      </c>
    </row>
    <row r="376" spans="1:16" s="19" customFormat="1" ht="16.5" customHeight="1">
      <c r="A376" s="16" t="s">
        <v>626</v>
      </c>
      <c r="B376" s="16" t="s">
        <v>183</v>
      </c>
      <c r="C376" s="16" t="s">
        <v>229</v>
      </c>
      <c r="D376" s="16" t="s">
        <v>840</v>
      </c>
      <c r="E376" s="16" t="s">
        <v>841</v>
      </c>
      <c r="F376" s="16" t="s">
        <v>232</v>
      </c>
      <c r="G376" s="16" t="s">
        <v>25</v>
      </c>
      <c r="H376" s="16" t="s">
        <v>38</v>
      </c>
      <c r="I376" s="16" t="s">
        <v>39</v>
      </c>
      <c r="J376" s="16" t="s">
        <v>724</v>
      </c>
      <c r="K376" s="16" t="s">
        <v>67</v>
      </c>
      <c r="L376" s="16" t="s">
        <v>724</v>
      </c>
      <c r="M376" s="17">
        <v>46042.435289351852</v>
      </c>
      <c r="N376" s="18">
        <v>46044.660694444443</v>
      </c>
      <c r="O376" s="19" t="s">
        <v>126</v>
      </c>
      <c r="P376" s="19" t="s">
        <v>127</v>
      </c>
    </row>
    <row r="377" spans="1:16" s="19" customFormat="1" ht="16.5" customHeight="1">
      <c r="A377" s="16" t="s">
        <v>842</v>
      </c>
      <c r="B377" s="16" t="s">
        <v>183</v>
      </c>
      <c r="C377" s="16" t="s">
        <v>229</v>
      </c>
      <c r="D377" s="16" t="s">
        <v>843</v>
      </c>
      <c r="E377" s="16" t="s">
        <v>841</v>
      </c>
      <c r="F377" s="16" t="s">
        <v>232</v>
      </c>
      <c r="G377" s="16" t="s">
        <v>25</v>
      </c>
      <c r="H377" s="16" t="s">
        <v>38</v>
      </c>
      <c r="I377" s="16" t="s">
        <v>39</v>
      </c>
      <c r="J377" s="16" t="s">
        <v>724</v>
      </c>
      <c r="K377" s="16" t="s">
        <v>67</v>
      </c>
      <c r="L377" s="16" t="s">
        <v>724</v>
      </c>
      <c r="M377" s="17">
        <v>46042.441238425927</v>
      </c>
      <c r="N377" s="18">
        <v>46044.661030092589</v>
      </c>
      <c r="O377" s="19" t="s">
        <v>95</v>
      </c>
      <c r="P377" s="19" t="s">
        <v>56</v>
      </c>
    </row>
    <row r="378" spans="1:16" s="19" customFormat="1" ht="16.5" customHeight="1">
      <c r="A378" s="16" t="s">
        <v>632</v>
      </c>
      <c r="B378" s="16" t="s">
        <v>183</v>
      </c>
      <c r="C378" s="16" t="s">
        <v>229</v>
      </c>
      <c r="D378" s="16" t="s">
        <v>844</v>
      </c>
      <c r="E378" s="16" t="s">
        <v>845</v>
      </c>
      <c r="F378" s="16" t="s">
        <v>232</v>
      </c>
      <c r="G378" s="16" t="s">
        <v>25</v>
      </c>
      <c r="H378" s="16" t="s">
        <v>38</v>
      </c>
      <c r="I378" s="16" t="s">
        <v>39</v>
      </c>
      <c r="J378" s="16" t="s">
        <v>724</v>
      </c>
      <c r="K378" s="16" t="s">
        <v>106</v>
      </c>
      <c r="L378" s="16" t="s">
        <v>724</v>
      </c>
      <c r="M378" s="17">
        <v>46042.475370370368</v>
      </c>
      <c r="N378" s="18">
        <v>46076.740798611114</v>
      </c>
      <c r="O378" s="19" t="s">
        <v>40</v>
      </c>
      <c r="P378" s="19" t="s">
        <v>41</v>
      </c>
    </row>
    <row r="379" spans="1:16" s="19" customFormat="1" ht="16.5" customHeight="1">
      <c r="A379" s="16" t="s">
        <v>846</v>
      </c>
      <c r="B379" s="16" t="s">
        <v>183</v>
      </c>
      <c r="C379" s="16" t="s">
        <v>229</v>
      </c>
      <c r="D379" s="16" t="s">
        <v>847</v>
      </c>
      <c r="E379" s="16" t="s">
        <v>848</v>
      </c>
      <c r="F379" s="16" t="s">
        <v>232</v>
      </c>
      <c r="G379" s="16" t="s">
        <v>25</v>
      </c>
      <c r="H379" s="16" t="s">
        <v>26</v>
      </c>
      <c r="I379" s="16" t="s">
        <v>82</v>
      </c>
      <c r="J379" s="16" t="s">
        <v>724</v>
      </c>
      <c r="K379" s="16" t="s">
        <v>106</v>
      </c>
      <c r="L379" s="16" t="s">
        <v>724</v>
      </c>
      <c r="M379" s="17">
        <v>46042.634768518517</v>
      </c>
      <c r="N379" s="18">
        <v>46044.664085648146</v>
      </c>
      <c r="O379" s="19" t="s">
        <v>126</v>
      </c>
      <c r="P379" s="19" t="s">
        <v>127</v>
      </c>
    </row>
    <row r="380" spans="1:16" s="19" customFormat="1" ht="16.5" customHeight="1">
      <c r="A380" s="16" t="s">
        <v>849</v>
      </c>
      <c r="B380" s="16" t="s">
        <v>183</v>
      </c>
      <c r="C380" s="16" t="s">
        <v>229</v>
      </c>
      <c r="D380" s="16" t="s">
        <v>850</v>
      </c>
      <c r="E380" s="16" t="s">
        <v>851</v>
      </c>
      <c r="F380" s="16" t="s">
        <v>232</v>
      </c>
      <c r="G380" s="16" t="s">
        <v>25</v>
      </c>
      <c r="H380" s="16" t="s">
        <v>26</v>
      </c>
      <c r="I380" s="16" t="s">
        <v>39</v>
      </c>
      <c r="J380" s="16" t="s">
        <v>724</v>
      </c>
      <c r="K380" s="16" t="s">
        <v>106</v>
      </c>
      <c r="L380" s="16" t="s">
        <v>724</v>
      </c>
      <c r="M380" s="17">
        <v>46043.627372685187</v>
      </c>
      <c r="N380" s="18">
        <v>46044.678240740737</v>
      </c>
      <c r="O380" s="19" t="s">
        <v>72</v>
      </c>
      <c r="P380" s="19" t="s">
        <v>73</v>
      </c>
    </row>
    <row r="381" spans="1:16" s="19" customFormat="1" ht="16.5" customHeight="1">
      <c r="A381" s="16" t="s">
        <v>852</v>
      </c>
      <c r="B381" s="16" t="s">
        <v>183</v>
      </c>
      <c r="C381" s="16" t="s">
        <v>229</v>
      </c>
      <c r="D381" s="16" t="s">
        <v>853</v>
      </c>
      <c r="E381" s="16" t="s">
        <v>854</v>
      </c>
      <c r="F381" s="16" t="s">
        <v>232</v>
      </c>
      <c r="G381" s="16" t="s">
        <v>25</v>
      </c>
      <c r="H381" s="16" t="s">
        <v>38</v>
      </c>
      <c r="I381" s="16" t="s">
        <v>39</v>
      </c>
      <c r="J381" s="16" t="s">
        <v>724</v>
      </c>
      <c r="K381" s="16" t="s">
        <v>67</v>
      </c>
      <c r="L381" s="16" t="s">
        <v>724</v>
      </c>
      <c r="M381" s="17">
        <v>46041.586956018517</v>
      </c>
      <c r="N381" s="18">
        <v>46058.56790509259</v>
      </c>
      <c r="O381" s="19" t="s">
        <v>122</v>
      </c>
      <c r="P381" s="19" t="s">
        <v>39</v>
      </c>
    </row>
    <row r="382" spans="1:16" s="19" customFormat="1" ht="16.5" customHeight="1">
      <c r="A382" s="16" t="s">
        <v>855</v>
      </c>
      <c r="B382" s="16" t="s">
        <v>183</v>
      </c>
      <c r="C382" s="16" t="s">
        <v>111</v>
      </c>
      <c r="D382" s="16" t="s">
        <v>856</v>
      </c>
      <c r="E382" s="16" t="s">
        <v>857</v>
      </c>
      <c r="F382" s="16" t="s">
        <v>114</v>
      </c>
      <c r="G382" s="16" t="s">
        <v>25</v>
      </c>
      <c r="H382" s="16" t="s">
        <v>26</v>
      </c>
      <c r="I382" s="16" t="s">
        <v>39</v>
      </c>
      <c r="J382" s="16" t="s">
        <v>724</v>
      </c>
      <c r="K382" s="16" t="s">
        <v>67</v>
      </c>
      <c r="L382" s="16" t="s">
        <v>724</v>
      </c>
      <c r="M382" s="17">
        <v>46045.550717592596</v>
      </c>
      <c r="N382" s="18">
        <v>46078.40761574074</v>
      </c>
      <c r="O382" s="19" t="s">
        <v>72</v>
      </c>
      <c r="P382" s="19" t="s">
        <v>73</v>
      </c>
    </row>
    <row r="383" spans="1:16" s="19" customFormat="1" ht="16.5" customHeight="1">
      <c r="A383" s="16" t="s">
        <v>861</v>
      </c>
      <c r="B383" s="16" t="s">
        <v>183</v>
      </c>
      <c r="C383" s="16" t="s">
        <v>111</v>
      </c>
      <c r="D383" s="16" t="s">
        <v>862</v>
      </c>
      <c r="E383" s="16" t="s">
        <v>863</v>
      </c>
      <c r="F383" s="16" t="s">
        <v>114</v>
      </c>
      <c r="G383" s="16" t="s">
        <v>116</v>
      </c>
      <c r="H383" s="16" t="s">
        <v>26</v>
      </c>
      <c r="I383" s="16" t="s">
        <v>99</v>
      </c>
      <c r="J383" s="16" t="s">
        <v>724</v>
      </c>
      <c r="K383" s="16" t="s">
        <v>67</v>
      </c>
      <c r="L383" s="16" t="s">
        <v>724</v>
      </c>
      <c r="M383" s="17">
        <v>46045.598287037035</v>
      </c>
      <c r="N383" s="18">
        <v>46078.578668981485</v>
      </c>
      <c r="O383" s="19" t="s">
        <v>57</v>
      </c>
      <c r="P383" s="19" t="s">
        <v>58</v>
      </c>
    </row>
    <row r="384" spans="1:16" s="19" customFormat="1" ht="16.5" customHeight="1">
      <c r="A384" s="16" t="s">
        <v>867</v>
      </c>
      <c r="B384" s="16" t="s">
        <v>183</v>
      </c>
      <c r="C384" s="16" t="s">
        <v>46</v>
      </c>
      <c r="D384" s="16" t="s">
        <v>868</v>
      </c>
      <c r="E384" s="16" t="s">
        <v>869</v>
      </c>
      <c r="F384" s="16" t="s">
        <v>49</v>
      </c>
      <c r="G384" s="16" t="s">
        <v>25</v>
      </c>
      <c r="H384" s="16" t="s">
        <v>26</v>
      </c>
      <c r="I384" s="16" t="s">
        <v>39</v>
      </c>
      <c r="J384" s="16" t="s">
        <v>724</v>
      </c>
      <c r="K384" s="16" t="s">
        <v>29</v>
      </c>
      <c r="L384" s="16" t="s">
        <v>724</v>
      </c>
      <c r="M384" s="17">
        <v>45972.660740740743</v>
      </c>
      <c r="N384" s="18">
        <v>46041.560567129629</v>
      </c>
      <c r="O384" s="19" t="s">
        <v>122</v>
      </c>
      <c r="P384" s="19" t="s">
        <v>39</v>
      </c>
    </row>
    <row r="385" spans="1:16" s="19" customFormat="1" ht="16.5" customHeight="1">
      <c r="A385" s="16" t="s">
        <v>873</v>
      </c>
      <c r="B385" s="16" t="s">
        <v>183</v>
      </c>
      <c r="C385" s="16" t="s">
        <v>46</v>
      </c>
      <c r="D385" s="16" t="s">
        <v>874</v>
      </c>
      <c r="E385" s="16" t="s">
        <v>875</v>
      </c>
      <c r="F385" s="16" t="s">
        <v>49</v>
      </c>
      <c r="G385" s="16" t="s">
        <v>116</v>
      </c>
      <c r="H385" s="16" t="s">
        <v>26</v>
      </c>
      <c r="I385" s="16" t="s">
        <v>82</v>
      </c>
      <c r="J385" s="16" t="s">
        <v>724</v>
      </c>
      <c r="K385" s="16" t="s">
        <v>29</v>
      </c>
      <c r="L385" s="16" t="s">
        <v>724</v>
      </c>
      <c r="M385" s="17">
        <v>46042.454050925924</v>
      </c>
      <c r="N385" s="18">
        <v>46063.696747685186</v>
      </c>
      <c r="O385" s="19" t="s">
        <v>122</v>
      </c>
      <c r="P385" s="19" t="s">
        <v>39</v>
      </c>
    </row>
    <row r="386" spans="1:16" s="19" customFormat="1" ht="16.5" customHeight="1">
      <c r="A386" s="16" t="s">
        <v>876</v>
      </c>
      <c r="B386" s="16" t="s">
        <v>183</v>
      </c>
      <c r="C386" s="16" t="s">
        <v>46</v>
      </c>
      <c r="D386" s="16" t="s">
        <v>877</v>
      </c>
      <c r="E386" s="16" t="s">
        <v>875</v>
      </c>
      <c r="F386" s="16" t="s">
        <v>49</v>
      </c>
      <c r="G386" s="16" t="s">
        <v>116</v>
      </c>
      <c r="H386" s="16" t="s">
        <v>26</v>
      </c>
      <c r="I386" s="16" t="s">
        <v>82</v>
      </c>
      <c r="J386" s="16" t="s">
        <v>724</v>
      </c>
      <c r="K386" s="16" t="s">
        <v>29</v>
      </c>
      <c r="L386" s="16" t="s">
        <v>724</v>
      </c>
      <c r="M386" s="17">
        <v>46042.452662037038</v>
      </c>
      <c r="N386" s="18">
        <v>46063.700740740744</v>
      </c>
      <c r="O386" s="19" t="s">
        <v>76</v>
      </c>
      <c r="P386" s="19" t="s">
        <v>77</v>
      </c>
    </row>
    <row r="387" spans="1:16" s="19" customFormat="1" ht="16.5" customHeight="1">
      <c r="A387" s="16" t="s">
        <v>891</v>
      </c>
      <c r="B387" s="16" t="s">
        <v>183</v>
      </c>
      <c r="C387" s="16" t="s">
        <v>266</v>
      </c>
      <c r="D387" s="16" t="s">
        <v>892</v>
      </c>
      <c r="E387" s="16" t="s">
        <v>893</v>
      </c>
      <c r="F387" s="16" t="s">
        <v>269</v>
      </c>
      <c r="G387" s="16" t="s">
        <v>25</v>
      </c>
      <c r="H387" s="16" t="s">
        <v>26</v>
      </c>
      <c r="I387" s="16" t="s">
        <v>39</v>
      </c>
      <c r="J387" s="16" t="s">
        <v>724</v>
      </c>
      <c r="K387" s="16" t="s">
        <v>29</v>
      </c>
      <c r="L387" s="16" t="s">
        <v>724</v>
      </c>
      <c r="M387" s="17">
        <v>46042.61886574074</v>
      </c>
      <c r="N387" s="18">
        <v>46057.60769675926</v>
      </c>
      <c r="O387" s="19" t="s">
        <v>76</v>
      </c>
      <c r="P387" s="19" t="s">
        <v>77</v>
      </c>
    </row>
    <row r="388" spans="1:16" s="19" customFormat="1" ht="16.5" customHeight="1">
      <c r="A388" s="16" t="s">
        <v>894</v>
      </c>
      <c r="B388" s="16" t="s">
        <v>183</v>
      </c>
      <c r="C388" s="16" t="s">
        <v>266</v>
      </c>
      <c r="D388" s="16" t="s">
        <v>895</v>
      </c>
      <c r="E388" s="16" t="s">
        <v>896</v>
      </c>
      <c r="F388" s="16" t="s">
        <v>269</v>
      </c>
      <c r="G388" s="16" t="s">
        <v>25</v>
      </c>
      <c r="H388" s="16" t="s">
        <v>26</v>
      </c>
      <c r="I388" s="16" t="s">
        <v>39</v>
      </c>
      <c r="J388" s="16" t="s">
        <v>724</v>
      </c>
      <c r="K388" s="16" t="s">
        <v>29</v>
      </c>
      <c r="L388" s="16" t="s">
        <v>724</v>
      </c>
      <c r="M388" s="17">
        <v>46042.62939814815</v>
      </c>
      <c r="N388" s="18">
        <v>46057.61</v>
      </c>
      <c r="O388" s="19" t="s">
        <v>30</v>
      </c>
      <c r="P388" s="19" t="s">
        <v>31</v>
      </c>
    </row>
    <row r="389" spans="1:16" s="19" customFormat="1" ht="16.5" customHeight="1">
      <c r="A389" s="16" t="s">
        <v>897</v>
      </c>
      <c r="B389" s="16" t="s">
        <v>183</v>
      </c>
      <c r="C389" s="16" t="s">
        <v>266</v>
      </c>
      <c r="D389" s="16" t="s">
        <v>898</v>
      </c>
      <c r="E389" s="16" t="s">
        <v>899</v>
      </c>
      <c r="F389" s="16" t="s">
        <v>269</v>
      </c>
      <c r="G389" s="16" t="s">
        <v>25</v>
      </c>
      <c r="H389" s="16" t="s">
        <v>26</v>
      </c>
      <c r="I389" s="16" t="s">
        <v>39</v>
      </c>
      <c r="J389" s="16" t="s">
        <v>724</v>
      </c>
      <c r="K389" s="16" t="s">
        <v>29</v>
      </c>
      <c r="L389" s="16" t="s">
        <v>724</v>
      </c>
      <c r="M389" s="17">
        <v>46042.635034722225</v>
      </c>
      <c r="N389" s="18">
        <v>46044.677708333336</v>
      </c>
      <c r="O389" s="19" t="s">
        <v>122</v>
      </c>
      <c r="P389" s="19" t="s">
        <v>39</v>
      </c>
    </row>
    <row r="390" spans="1:16" s="19" customFormat="1" ht="16.5" customHeight="1">
      <c r="A390" s="16" t="s">
        <v>900</v>
      </c>
      <c r="B390" s="16" t="s">
        <v>183</v>
      </c>
      <c r="C390" s="16" t="s">
        <v>266</v>
      </c>
      <c r="D390" s="16" t="s">
        <v>901</v>
      </c>
      <c r="E390" s="16" t="s">
        <v>902</v>
      </c>
      <c r="F390" s="16" t="s">
        <v>269</v>
      </c>
      <c r="G390" s="16" t="s">
        <v>25</v>
      </c>
      <c r="H390" s="16" t="s">
        <v>38</v>
      </c>
      <c r="I390" s="16" t="s">
        <v>39</v>
      </c>
      <c r="J390" s="16" t="s">
        <v>724</v>
      </c>
      <c r="K390" s="16" t="s">
        <v>29</v>
      </c>
      <c r="L390" s="16" t="s">
        <v>724</v>
      </c>
      <c r="M390" s="17">
        <v>46043.379259259258</v>
      </c>
      <c r="N390" s="18">
        <v>46057.612905092596</v>
      </c>
      <c r="O390" s="19" t="s">
        <v>122</v>
      </c>
      <c r="P390" s="19" t="s">
        <v>39</v>
      </c>
    </row>
    <row r="391" spans="1:16" s="19" customFormat="1" ht="16.5" customHeight="1">
      <c r="A391" s="16" t="s">
        <v>903</v>
      </c>
      <c r="B391" s="16" t="s">
        <v>183</v>
      </c>
      <c r="C391" s="16" t="s">
        <v>266</v>
      </c>
      <c r="D391" s="16" t="s">
        <v>904</v>
      </c>
      <c r="E391" s="16" t="s">
        <v>905</v>
      </c>
      <c r="F391" s="16" t="s">
        <v>269</v>
      </c>
      <c r="G391" s="16" t="s">
        <v>25</v>
      </c>
      <c r="H391" s="16" t="s">
        <v>26</v>
      </c>
      <c r="I391" s="16" t="s">
        <v>39</v>
      </c>
      <c r="J391" s="16" t="s">
        <v>724</v>
      </c>
      <c r="K391" s="16" t="s">
        <v>29</v>
      </c>
      <c r="L391" s="16" t="s">
        <v>724</v>
      </c>
      <c r="M391" s="17">
        <v>46042.687175925923</v>
      </c>
      <c r="N391" s="18">
        <v>46044.676018518519</v>
      </c>
      <c r="O391" s="19" t="s">
        <v>122</v>
      </c>
      <c r="P391" s="19" t="s">
        <v>39</v>
      </c>
    </row>
    <row r="392" spans="1:16" s="19" customFormat="1" ht="16.5" customHeight="1">
      <c r="A392" s="16" t="s">
        <v>903</v>
      </c>
      <c r="B392" s="16" t="s">
        <v>183</v>
      </c>
      <c r="C392" s="16" t="s">
        <v>266</v>
      </c>
      <c r="D392" s="16" t="s">
        <v>906</v>
      </c>
      <c r="E392" s="16" t="s">
        <v>907</v>
      </c>
      <c r="F392" s="16" t="s">
        <v>269</v>
      </c>
      <c r="G392" s="16" t="s">
        <v>25</v>
      </c>
      <c r="H392" s="16" t="s">
        <v>26</v>
      </c>
      <c r="I392" s="16" t="s">
        <v>39</v>
      </c>
      <c r="J392" s="16" t="s">
        <v>724</v>
      </c>
      <c r="K392" s="16" t="s">
        <v>29</v>
      </c>
      <c r="L392" s="16" t="s">
        <v>724</v>
      </c>
      <c r="M392" s="17">
        <v>46043.392500000002</v>
      </c>
      <c r="N392" s="18">
        <v>46057.605069444442</v>
      </c>
      <c r="O392" s="19" t="s">
        <v>95</v>
      </c>
      <c r="P392" s="19" t="s">
        <v>56</v>
      </c>
    </row>
    <row r="393" spans="1:16" s="19" customFormat="1" ht="16.5" customHeight="1">
      <c r="A393" s="16" t="s">
        <v>908</v>
      </c>
      <c r="B393" s="16" t="s">
        <v>183</v>
      </c>
      <c r="C393" s="16" t="s">
        <v>266</v>
      </c>
      <c r="D393" s="16" t="s">
        <v>909</v>
      </c>
      <c r="E393" s="16" t="s">
        <v>910</v>
      </c>
      <c r="F393" s="16" t="s">
        <v>269</v>
      </c>
      <c r="G393" s="16" t="s">
        <v>25</v>
      </c>
      <c r="H393" s="16" t="s">
        <v>26</v>
      </c>
      <c r="I393" s="16" t="s">
        <v>39</v>
      </c>
      <c r="J393" s="16" t="s">
        <v>724</v>
      </c>
      <c r="K393" s="16" t="s">
        <v>29</v>
      </c>
      <c r="L393" s="16" t="s">
        <v>724</v>
      </c>
      <c r="M393" s="17">
        <v>46042.690648148149</v>
      </c>
      <c r="N393" s="18">
        <v>46057.620613425926</v>
      </c>
      <c r="O393" s="19" t="s">
        <v>95</v>
      </c>
      <c r="P393" s="19" t="s">
        <v>56</v>
      </c>
    </row>
    <row r="394" spans="1:16" s="19" customFormat="1" ht="16.5" customHeight="1">
      <c r="A394" s="16" t="s">
        <v>911</v>
      </c>
      <c r="B394" s="16" t="s">
        <v>183</v>
      </c>
      <c r="C394" s="16" t="s">
        <v>266</v>
      </c>
      <c r="D394" s="16" t="s">
        <v>912</v>
      </c>
      <c r="E394" s="16" t="s">
        <v>913</v>
      </c>
      <c r="F394" s="16" t="s">
        <v>269</v>
      </c>
      <c r="G394" s="16" t="s">
        <v>25</v>
      </c>
      <c r="H394" s="16" t="s">
        <v>26</v>
      </c>
      <c r="I394" s="16" t="s">
        <v>39</v>
      </c>
      <c r="J394" s="16" t="s">
        <v>724</v>
      </c>
      <c r="K394" s="16" t="s">
        <v>67</v>
      </c>
      <c r="L394" s="16" t="s">
        <v>724</v>
      </c>
      <c r="M394" s="17">
        <v>46043.420949074076</v>
      </c>
      <c r="N394" s="18">
        <v>46057.622407407405</v>
      </c>
      <c r="O394" s="19" t="s">
        <v>122</v>
      </c>
      <c r="P394" s="19" t="s">
        <v>39</v>
      </c>
    </row>
    <row r="395" spans="1:16" s="19" customFormat="1" ht="16.5" customHeight="1">
      <c r="A395" s="16" t="s">
        <v>914</v>
      </c>
      <c r="B395" s="16" t="s">
        <v>183</v>
      </c>
      <c r="C395" s="16" t="s">
        <v>266</v>
      </c>
      <c r="D395" s="16" t="s">
        <v>915</v>
      </c>
      <c r="E395" s="16" t="s">
        <v>916</v>
      </c>
      <c r="F395" s="16" t="s">
        <v>269</v>
      </c>
      <c r="G395" s="16" t="s">
        <v>25</v>
      </c>
      <c r="H395" s="16" t="s">
        <v>26</v>
      </c>
      <c r="I395" s="16" t="s">
        <v>39</v>
      </c>
      <c r="J395" s="16" t="s">
        <v>724</v>
      </c>
      <c r="K395" s="16" t="s">
        <v>29</v>
      </c>
      <c r="L395" s="16" t="s">
        <v>724</v>
      </c>
      <c r="M395" s="17">
        <v>46043.465497685182</v>
      </c>
      <c r="N395" s="18">
        <v>46057.62427083333</v>
      </c>
      <c r="O395" s="19" t="s">
        <v>122</v>
      </c>
      <c r="P395" s="19" t="s">
        <v>39</v>
      </c>
    </row>
    <row r="396" spans="1:16" s="19" customFormat="1" ht="16.5" customHeight="1">
      <c r="A396" s="16" t="s">
        <v>917</v>
      </c>
      <c r="B396" s="16" t="s">
        <v>183</v>
      </c>
      <c r="C396" s="16" t="s">
        <v>266</v>
      </c>
      <c r="D396" s="16" t="s">
        <v>918</v>
      </c>
      <c r="E396" s="16" t="s">
        <v>919</v>
      </c>
      <c r="F396" s="16" t="s">
        <v>269</v>
      </c>
      <c r="G396" s="16" t="s">
        <v>25</v>
      </c>
      <c r="H396" s="16" t="s">
        <v>26</v>
      </c>
      <c r="I396" s="16" t="s">
        <v>39</v>
      </c>
      <c r="J396" s="16" t="s">
        <v>724</v>
      </c>
      <c r="K396" s="16" t="s">
        <v>29</v>
      </c>
      <c r="L396" s="16" t="s">
        <v>724</v>
      </c>
      <c r="M396" s="17">
        <v>46043.530405092592</v>
      </c>
      <c r="N396" s="18">
        <v>46057.625173611108</v>
      </c>
      <c r="O396" s="19" t="s">
        <v>122</v>
      </c>
      <c r="P396" s="19" t="s">
        <v>39</v>
      </c>
    </row>
    <row r="397" spans="1:16" s="19" customFormat="1" ht="16.5" customHeight="1">
      <c r="A397" s="16" t="s">
        <v>920</v>
      </c>
      <c r="B397" s="16" t="s">
        <v>183</v>
      </c>
      <c r="C397" s="16" t="s">
        <v>266</v>
      </c>
      <c r="D397" s="16" t="s">
        <v>921</v>
      </c>
      <c r="E397" s="16" t="s">
        <v>922</v>
      </c>
      <c r="F397" s="16" t="s">
        <v>269</v>
      </c>
      <c r="G397" s="16" t="s">
        <v>25</v>
      </c>
      <c r="H397" s="16" t="s">
        <v>26</v>
      </c>
      <c r="I397" s="16" t="s">
        <v>39</v>
      </c>
      <c r="J397" s="16" t="s">
        <v>724</v>
      </c>
      <c r="K397" s="16" t="s">
        <v>29</v>
      </c>
      <c r="L397" s="16" t="s">
        <v>724</v>
      </c>
      <c r="M397" s="17">
        <v>46043.544791666667</v>
      </c>
      <c r="N397" s="18">
        <v>46057.62604166667</v>
      </c>
      <c r="O397" s="19" t="s">
        <v>122</v>
      </c>
      <c r="P397" s="19" t="s">
        <v>39</v>
      </c>
    </row>
    <row r="398" spans="1:16" s="19" customFormat="1" ht="16.5" customHeight="1">
      <c r="A398" s="16" t="s">
        <v>923</v>
      </c>
      <c r="B398" s="16" t="s">
        <v>183</v>
      </c>
      <c r="C398" s="16" t="s">
        <v>266</v>
      </c>
      <c r="D398" s="16" t="s">
        <v>924</v>
      </c>
      <c r="E398" s="16" t="s">
        <v>925</v>
      </c>
      <c r="F398" s="16" t="s">
        <v>269</v>
      </c>
      <c r="G398" s="16" t="s">
        <v>25</v>
      </c>
      <c r="H398" s="16" t="s">
        <v>26</v>
      </c>
      <c r="I398" s="16" t="s">
        <v>39</v>
      </c>
      <c r="J398" s="16" t="s">
        <v>724</v>
      </c>
      <c r="K398" s="16" t="s">
        <v>29</v>
      </c>
      <c r="L398" s="16" t="s">
        <v>724</v>
      </c>
      <c r="M398" s="17">
        <v>46043.578182870369</v>
      </c>
      <c r="N398" s="18">
        <v>46057.627604166664</v>
      </c>
      <c r="O398" s="19" t="s">
        <v>122</v>
      </c>
      <c r="P398" s="19" t="s">
        <v>39</v>
      </c>
    </row>
    <row r="399" spans="1:16" s="19" customFormat="1" ht="16.5" customHeight="1">
      <c r="A399" s="16" t="s">
        <v>935</v>
      </c>
      <c r="B399" s="16" t="s">
        <v>183</v>
      </c>
      <c r="C399" s="16" t="s">
        <v>266</v>
      </c>
      <c r="D399" s="16" t="s">
        <v>936</v>
      </c>
      <c r="E399" s="16" t="s">
        <v>937</v>
      </c>
      <c r="F399" s="16" t="s">
        <v>269</v>
      </c>
      <c r="G399" s="16" t="s">
        <v>116</v>
      </c>
      <c r="H399" s="16" t="s">
        <v>26</v>
      </c>
      <c r="I399" s="16" t="s">
        <v>39</v>
      </c>
      <c r="J399" s="16" t="s">
        <v>724</v>
      </c>
      <c r="K399" s="16" t="s">
        <v>29</v>
      </c>
      <c r="L399" s="16" t="s">
        <v>724</v>
      </c>
      <c r="M399" s="17">
        <v>46044.556400462963</v>
      </c>
      <c r="N399" s="18">
        <v>46106.631574074076</v>
      </c>
      <c r="O399" s="19" t="s">
        <v>52</v>
      </c>
      <c r="P399" s="19" t="s">
        <v>53</v>
      </c>
    </row>
    <row r="400" spans="1:16" s="19" customFormat="1" ht="16.5" customHeight="1">
      <c r="A400" s="16" t="s">
        <v>938</v>
      </c>
      <c r="B400" s="16" t="s">
        <v>183</v>
      </c>
      <c r="C400" s="16" t="s">
        <v>266</v>
      </c>
      <c r="D400" s="16" t="s">
        <v>939</v>
      </c>
      <c r="E400" s="16" t="s">
        <v>940</v>
      </c>
      <c r="F400" s="16" t="s">
        <v>269</v>
      </c>
      <c r="G400" s="16" t="s">
        <v>116</v>
      </c>
      <c r="H400" s="16" t="s">
        <v>26</v>
      </c>
      <c r="I400" s="16" t="s">
        <v>39</v>
      </c>
      <c r="J400" s="16" t="s">
        <v>724</v>
      </c>
      <c r="K400" s="16" t="s">
        <v>29</v>
      </c>
      <c r="L400" s="16" t="s">
        <v>724</v>
      </c>
      <c r="M400" s="17">
        <v>46044.567939814813</v>
      </c>
      <c r="N400" s="18">
        <v>46106.632094907407</v>
      </c>
      <c r="O400" s="19" t="s">
        <v>122</v>
      </c>
      <c r="P400" s="19" t="s">
        <v>39</v>
      </c>
    </row>
    <row r="401" spans="1:16" s="19" customFormat="1" ht="16.5" customHeight="1">
      <c r="A401" s="16" t="s">
        <v>941</v>
      </c>
      <c r="B401" s="16" t="s">
        <v>183</v>
      </c>
      <c r="C401" s="16" t="s">
        <v>266</v>
      </c>
      <c r="D401" s="16" t="s">
        <v>942</v>
      </c>
      <c r="E401" s="16" t="s">
        <v>943</v>
      </c>
      <c r="F401" s="16" t="s">
        <v>269</v>
      </c>
      <c r="G401" s="16" t="s">
        <v>116</v>
      </c>
      <c r="H401" s="16" t="s">
        <v>26</v>
      </c>
      <c r="I401" s="16" t="s">
        <v>39</v>
      </c>
      <c r="J401" s="16" t="s">
        <v>724</v>
      </c>
      <c r="K401" s="16" t="s">
        <v>29</v>
      </c>
      <c r="L401" s="16" t="s">
        <v>724</v>
      </c>
      <c r="M401" s="17">
        <v>46044.614583333336</v>
      </c>
      <c r="N401" s="18">
        <v>46106.632916666669</v>
      </c>
      <c r="O401" s="19" t="s">
        <v>52</v>
      </c>
      <c r="P401" s="19" t="s">
        <v>53</v>
      </c>
    </row>
    <row r="402" spans="1:16" s="19" customFormat="1" ht="16.5" customHeight="1">
      <c r="A402" s="16" t="s">
        <v>944</v>
      </c>
      <c r="B402" s="16" t="s">
        <v>183</v>
      </c>
      <c r="C402" s="16" t="s">
        <v>266</v>
      </c>
      <c r="D402" s="16" t="s">
        <v>945</v>
      </c>
      <c r="E402" s="16" t="s">
        <v>946</v>
      </c>
      <c r="F402" s="16" t="s">
        <v>269</v>
      </c>
      <c r="G402" s="16" t="s">
        <v>116</v>
      </c>
      <c r="H402" s="16" t="s">
        <v>26</v>
      </c>
      <c r="I402" s="16" t="s">
        <v>39</v>
      </c>
      <c r="J402" s="16" t="s">
        <v>724</v>
      </c>
      <c r="K402" s="16" t="s">
        <v>29</v>
      </c>
      <c r="L402" s="16" t="s">
        <v>724</v>
      </c>
      <c r="M402" s="17">
        <v>46044.620567129627</v>
      </c>
      <c r="N402" s="18">
        <v>46106.634583333333</v>
      </c>
      <c r="O402" s="19" t="s">
        <v>122</v>
      </c>
      <c r="P402" s="19" t="s">
        <v>39</v>
      </c>
    </row>
    <row r="403" spans="1:16" s="19" customFormat="1" ht="16.5" customHeight="1">
      <c r="A403" s="16" t="s">
        <v>956</v>
      </c>
      <c r="B403" s="16" t="s">
        <v>183</v>
      </c>
      <c r="C403" s="16" t="s">
        <v>111</v>
      </c>
      <c r="D403" s="16" t="s">
        <v>957</v>
      </c>
      <c r="E403" s="16" t="s">
        <v>958</v>
      </c>
      <c r="F403" s="16" t="s">
        <v>114</v>
      </c>
      <c r="G403" s="16" t="s">
        <v>25</v>
      </c>
      <c r="H403" s="16" t="s">
        <v>26</v>
      </c>
      <c r="I403" s="16" t="s">
        <v>39</v>
      </c>
      <c r="J403" s="16" t="s">
        <v>724</v>
      </c>
      <c r="K403" s="16" t="s">
        <v>67</v>
      </c>
      <c r="L403" s="16" t="s">
        <v>724</v>
      </c>
      <c r="M403" s="17">
        <v>46045.627326388887</v>
      </c>
      <c r="N403" s="18">
        <v>46078.422812500001</v>
      </c>
      <c r="O403" s="19" t="s">
        <v>95</v>
      </c>
      <c r="P403" s="19" t="s">
        <v>56</v>
      </c>
    </row>
    <row r="404" spans="1:16" s="19" customFormat="1" ht="16.5" customHeight="1">
      <c r="A404" s="16" t="s">
        <v>956</v>
      </c>
      <c r="B404" s="16" t="s">
        <v>183</v>
      </c>
      <c r="C404" s="16" t="s">
        <v>111</v>
      </c>
      <c r="D404" s="16" t="s">
        <v>959</v>
      </c>
      <c r="E404" s="16" t="s">
        <v>960</v>
      </c>
      <c r="F404" s="16" t="s">
        <v>114</v>
      </c>
      <c r="G404" s="16" t="s">
        <v>25</v>
      </c>
      <c r="H404" s="16" t="s">
        <v>38</v>
      </c>
      <c r="I404" s="16" t="s">
        <v>27</v>
      </c>
      <c r="J404" s="16" t="s">
        <v>724</v>
      </c>
      <c r="K404" s="16" t="s">
        <v>29</v>
      </c>
      <c r="L404" s="16" t="s">
        <v>724</v>
      </c>
      <c r="M404" s="17">
        <v>46045.62804398148</v>
      </c>
      <c r="N404" s="18">
        <v>46078.461331018516</v>
      </c>
      <c r="O404" s="19" t="s">
        <v>40</v>
      </c>
      <c r="P404" s="19" t="s">
        <v>41</v>
      </c>
    </row>
    <row r="405" spans="1:16" s="19" customFormat="1" ht="16.5" customHeight="1">
      <c r="A405" s="16" t="s">
        <v>380</v>
      </c>
      <c r="B405" s="16" t="s">
        <v>183</v>
      </c>
      <c r="C405" s="16" t="s">
        <v>111</v>
      </c>
      <c r="D405" s="16" t="s">
        <v>961</v>
      </c>
      <c r="E405" s="16" t="s">
        <v>962</v>
      </c>
      <c r="F405" s="16" t="s">
        <v>114</v>
      </c>
      <c r="G405" s="16" t="s">
        <v>25</v>
      </c>
      <c r="H405" s="16" t="s">
        <v>38</v>
      </c>
      <c r="I405" s="16" t="s">
        <v>82</v>
      </c>
      <c r="J405" s="16" t="s">
        <v>724</v>
      </c>
      <c r="K405" s="16" t="s">
        <v>67</v>
      </c>
      <c r="L405" s="16" t="s">
        <v>724</v>
      </c>
      <c r="M405" s="17">
        <v>46043.720995370371</v>
      </c>
      <c r="N405" s="18">
        <v>46078.407997685186</v>
      </c>
      <c r="O405" s="19" t="s">
        <v>76</v>
      </c>
      <c r="P405" s="19" t="s">
        <v>77</v>
      </c>
    </row>
    <row r="406" spans="1:16" s="19" customFormat="1" ht="16.5" customHeight="1">
      <c r="A406" s="16" t="s">
        <v>383</v>
      </c>
      <c r="B406" s="16" t="s">
        <v>183</v>
      </c>
      <c r="C406" s="16" t="s">
        <v>111</v>
      </c>
      <c r="D406" s="16" t="s">
        <v>963</v>
      </c>
      <c r="E406" s="16" t="s">
        <v>964</v>
      </c>
      <c r="F406" s="16" t="s">
        <v>114</v>
      </c>
      <c r="G406" s="16" t="s">
        <v>25</v>
      </c>
      <c r="H406" s="16" t="s">
        <v>26</v>
      </c>
      <c r="I406" s="16" t="s">
        <v>39</v>
      </c>
      <c r="J406" s="16" t="s">
        <v>724</v>
      </c>
      <c r="K406" s="16" t="s">
        <v>67</v>
      </c>
      <c r="L406" s="16" t="s">
        <v>724</v>
      </c>
      <c r="M406" s="17">
        <v>46042.586793981478</v>
      </c>
      <c r="N406" s="18">
        <v>46045.456377314818</v>
      </c>
      <c r="O406" s="19" t="s">
        <v>68</v>
      </c>
      <c r="P406" s="19" t="s">
        <v>69</v>
      </c>
    </row>
    <row r="407" spans="1:16" s="19" customFormat="1" ht="16.5" customHeight="1">
      <c r="A407" s="16" t="s">
        <v>383</v>
      </c>
      <c r="B407" s="16" t="s">
        <v>183</v>
      </c>
      <c r="C407" s="16" t="s">
        <v>111</v>
      </c>
      <c r="D407" s="16" t="s">
        <v>965</v>
      </c>
      <c r="E407" s="16" t="s">
        <v>966</v>
      </c>
      <c r="F407" s="16" t="s">
        <v>114</v>
      </c>
      <c r="G407" s="16" t="s">
        <v>25</v>
      </c>
      <c r="H407" s="16" t="s">
        <v>38</v>
      </c>
      <c r="I407" s="16" t="s">
        <v>27</v>
      </c>
      <c r="J407" s="16" t="s">
        <v>724</v>
      </c>
      <c r="K407" s="16" t="s">
        <v>29</v>
      </c>
      <c r="L407" s="16" t="s">
        <v>724</v>
      </c>
      <c r="M407" s="17">
        <v>46042.615833333337</v>
      </c>
      <c r="N407" s="18">
        <v>46078.613553240742</v>
      </c>
      <c r="O407" s="19" t="s">
        <v>40</v>
      </c>
      <c r="P407" s="19" t="s">
        <v>41</v>
      </c>
    </row>
    <row r="408" spans="1:16" s="19" customFormat="1" ht="16.5" customHeight="1">
      <c r="A408" s="16" t="s">
        <v>383</v>
      </c>
      <c r="B408" s="16" t="s">
        <v>183</v>
      </c>
      <c r="C408" s="16" t="s">
        <v>111</v>
      </c>
      <c r="D408" s="16" t="s">
        <v>967</v>
      </c>
      <c r="E408" s="16" t="s">
        <v>968</v>
      </c>
      <c r="F408" s="16" t="s">
        <v>114</v>
      </c>
      <c r="G408" s="16" t="s">
        <v>25</v>
      </c>
      <c r="H408" s="16" t="s">
        <v>38</v>
      </c>
      <c r="I408" s="16" t="s">
        <v>203</v>
      </c>
      <c r="J408" s="16" t="s">
        <v>724</v>
      </c>
      <c r="K408" s="16" t="s">
        <v>67</v>
      </c>
      <c r="L408" s="16" t="s">
        <v>724</v>
      </c>
      <c r="M408" s="17">
        <v>46045.4690162037</v>
      </c>
      <c r="N408" s="18">
        <v>46078.614120370374</v>
      </c>
      <c r="O408" s="19" t="s">
        <v>40</v>
      </c>
      <c r="P408" s="19" t="s">
        <v>41</v>
      </c>
    </row>
    <row r="409" spans="1:16" s="19" customFormat="1" ht="16.5" customHeight="1">
      <c r="A409" s="16" t="s">
        <v>383</v>
      </c>
      <c r="B409" s="16" t="s">
        <v>183</v>
      </c>
      <c r="C409" s="16" t="s">
        <v>111</v>
      </c>
      <c r="D409" s="16" t="s">
        <v>969</v>
      </c>
      <c r="E409" s="16" t="s">
        <v>970</v>
      </c>
      <c r="F409" s="16" t="s">
        <v>114</v>
      </c>
      <c r="G409" s="16" t="s">
        <v>25</v>
      </c>
      <c r="H409" s="16" t="s">
        <v>26</v>
      </c>
      <c r="I409" s="16" t="s">
        <v>39</v>
      </c>
      <c r="J409" s="16" t="s">
        <v>724</v>
      </c>
      <c r="K409" s="16" t="s">
        <v>67</v>
      </c>
      <c r="L409" s="16" t="s">
        <v>724</v>
      </c>
      <c r="M409" s="17">
        <v>46042.595011574071</v>
      </c>
      <c r="N409" s="18">
        <v>46078.602627314816</v>
      </c>
      <c r="O409" s="19" t="s">
        <v>40</v>
      </c>
      <c r="P409" s="19" t="s">
        <v>41</v>
      </c>
    </row>
    <row r="410" spans="1:16" s="19" customFormat="1" ht="16.5" customHeight="1">
      <c r="A410" s="16" t="s">
        <v>383</v>
      </c>
      <c r="B410" s="16" t="s">
        <v>183</v>
      </c>
      <c r="C410" s="16" t="s">
        <v>111</v>
      </c>
      <c r="D410" s="16" t="s">
        <v>971</v>
      </c>
      <c r="E410" s="16" t="s">
        <v>972</v>
      </c>
      <c r="F410" s="16" t="s">
        <v>114</v>
      </c>
      <c r="G410" s="16" t="s">
        <v>25</v>
      </c>
      <c r="H410" s="16" t="s">
        <v>38</v>
      </c>
      <c r="I410" s="16" t="s">
        <v>203</v>
      </c>
      <c r="J410" s="16" t="s">
        <v>724</v>
      </c>
      <c r="K410" s="16" t="s">
        <v>29</v>
      </c>
      <c r="L410" s="16" t="s">
        <v>724</v>
      </c>
      <c r="M410" s="17">
        <v>46042.575023148151</v>
      </c>
      <c r="N410" s="18">
        <v>46078.597361111111</v>
      </c>
      <c r="O410" s="19" t="s">
        <v>40</v>
      </c>
      <c r="P410" s="19" t="s">
        <v>41</v>
      </c>
    </row>
    <row r="411" spans="1:16" s="19" customFormat="1" ht="16.5" customHeight="1">
      <c r="A411" s="16" t="s">
        <v>1013</v>
      </c>
      <c r="B411" s="16" t="s">
        <v>183</v>
      </c>
      <c r="C411" s="16" t="s">
        <v>266</v>
      </c>
      <c r="D411" s="16" t="s">
        <v>1014</v>
      </c>
      <c r="E411" s="16" t="s">
        <v>1015</v>
      </c>
      <c r="F411" s="16" t="s">
        <v>269</v>
      </c>
      <c r="G411" s="16" t="s">
        <v>25</v>
      </c>
      <c r="H411" s="16" t="s">
        <v>26</v>
      </c>
      <c r="I411" s="16" t="s">
        <v>39</v>
      </c>
      <c r="J411" s="16" t="s">
        <v>724</v>
      </c>
      <c r="K411" s="16" t="s">
        <v>29</v>
      </c>
      <c r="L411" s="16" t="s">
        <v>724</v>
      </c>
      <c r="M411" s="17">
        <v>46043.584780092591</v>
      </c>
      <c r="N411" s="18">
        <v>46057.628599537034</v>
      </c>
      <c r="O411" s="19" t="s">
        <v>68</v>
      </c>
      <c r="P411" s="19" t="s">
        <v>69</v>
      </c>
    </row>
    <row r="412" spans="1:16" s="19" customFormat="1" ht="16.5" customHeight="1">
      <c r="A412" s="16" t="s">
        <v>1016</v>
      </c>
      <c r="B412" s="16" t="s">
        <v>183</v>
      </c>
      <c r="C412" s="16" t="s">
        <v>46</v>
      </c>
      <c r="D412" s="16" t="s">
        <v>1017</v>
      </c>
      <c r="E412" s="16" t="s">
        <v>1018</v>
      </c>
      <c r="F412" s="16" t="s">
        <v>49</v>
      </c>
      <c r="G412" s="16" t="s">
        <v>25</v>
      </c>
      <c r="H412" s="16" t="s">
        <v>26</v>
      </c>
      <c r="I412" s="16" t="s">
        <v>39</v>
      </c>
      <c r="J412" s="16" t="s">
        <v>724</v>
      </c>
      <c r="K412" s="16" t="s">
        <v>29</v>
      </c>
      <c r="L412" s="16" t="s">
        <v>724</v>
      </c>
      <c r="M412" s="17">
        <v>46041.464780092596</v>
      </c>
      <c r="N412" s="18">
        <v>46063.673831018517</v>
      </c>
      <c r="O412" s="19" t="s">
        <v>76</v>
      </c>
      <c r="P412" s="19" t="s">
        <v>77</v>
      </c>
    </row>
    <row r="413" spans="1:16" s="19" customFormat="1" ht="16.5" customHeight="1">
      <c r="A413" s="16" t="s">
        <v>1019</v>
      </c>
      <c r="B413" s="16" t="s">
        <v>183</v>
      </c>
      <c r="C413" s="16" t="s">
        <v>266</v>
      </c>
      <c r="D413" s="16" t="s">
        <v>1020</v>
      </c>
      <c r="E413" s="16" t="s">
        <v>1021</v>
      </c>
      <c r="F413" s="16" t="s">
        <v>269</v>
      </c>
      <c r="G413" s="16" t="s">
        <v>25</v>
      </c>
      <c r="H413" s="16" t="s">
        <v>26</v>
      </c>
      <c r="I413" s="16" t="s">
        <v>39</v>
      </c>
      <c r="J413" s="16" t="s">
        <v>724</v>
      </c>
      <c r="K413" s="16" t="s">
        <v>29</v>
      </c>
      <c r="L413" s="16" t="s">
        <v>724</v>
      </c>
      <c r="M413" s="17">
        <v>46042.624675925923</v>
      </c>
      <c r="N413" s="18">
        <v>46044.680925925924</v>
      </c>
      <c r="O413" s="19" t="s">
        <v>95</v>
      </c>
      <c r="P413" s="19" t="s">
        <v>56</v>
      </c>
    </row>
    <row r="414" spans="1:16" s="19" customFormat="1" ht="16.5" customHeight="1">
      <c r="A414" s="16" t="s">
        <v>1022</v>
      </c>
      <c r="B414" s="16" t="s">
        <v>183</v>
      </c>
      <c r="C414" s="16" t="s">
        <v>301</v>
      </c>
      <c r="D414" s="16" t="s">
        <v>1023</v>
      </c>
      <c r="E414" s="16" t="s">
        <v>1024</v>
      </c>
      <c r="F414" s="16" t="s">
        <v>269</v>
      </c>
      <c r="G414" s="16" t="s">
        <v>25</v>
      </c>
      <c r="H414" s="16" t="s">
        <v>26</v>
      </c>
      <c r="I414" s="16" t="s">
        <v>39</v>
      </c>
      <c r="J414" s="16" t="s">
        <v>724</v>
      </c>
      <c r="K414" s="16" t="s">
        <v>29</v>
      </c>
      <c r="L414" s="16" t="s">
        <v>724</v>
      </c>
      <c r="M414" s="17">
        <v>46041.529305555552</v>
      </c>
      <c r="N414" s="18">
        <v>46057.646145833336</v>
      </c>
      <c r="O414" s="19" t="s">
        <v>68</v>
      </c>
      <c r="P414" s="19" t="s">
        <v>69</v>
      </c>
    </row>
    <row r="415" spans="1:16" s="19" customFormat="1" ht="16.5" customHeight="1">
      <c r="A415" s="16" t="s">
        <v>1025</v>
      </c>
      <c r="B415" s="16" t="s">
        <v>183</v>
      </c>
      <c r="C415" s="16" t="s">
        <v>580</v>
      </c>
      <c r="D415" s="16" t="s">
        <v>1026</v>
      </c>
      <c r="E415" s="16" t="s">
        <v>1027</v>
      </c>
      <c r="F415" s="16" t="s">
        <v>582</v>
      </c>
      <c r="G415" s="16" t="s">
        <v>25</v>
      </c>
      <c r="H415" s="16" t="s">
        <v>38</v>
      </c>
      <c r="I415" s="16" t="s">
        <v>56</v>
      </c>
      <c r="J415" s="16" t="s">
        <v>724</v>
      </c>
      <c r="K415" s="16" t="s">
        <v>29</v>
      </c>
      <c r="L415" s="16" t="s">
        <v>724</v>
      </c>
      <c r="M415" s="17">
        <v>46041.528807870367</v>
      </c>
      <c r="N415" s="18">
        <v>46045.544687499998</v>
      </c>
      <c r="O415" s="19" t="s">
        <v>68</v>
      </c>
      <c r="P415" s="19" t="s">
        <v>69</v>
      </c>
    </row>
    <row r="416" spans="1:16" s="19" customFormat="1" ht="16.5" customHeight="1">
      <c r="A416" s="16" t="s">
        <v>1025</v>
      </c>
      <c r="B416" s="16" t="s">
        <v>183</v>
      </c>
      <c r="C416" s="16" t="s">
        <v>580</v>
      </c>
      <c r="D416" s="16" t="s">
        <v>1028</v>
      </c>
      <c r="E416" s="16" t="s">
        <v>1029</v>
      </c>
      <c r="F416" s="16" t="s">
        <v>582</v>
      </c>
      <c r="G416" s="16" t="s">
        <v>25</v>
      </c>
      <c r="H416" s="16" t="s">
        <v>26</v>
      </c>
      <c r="I416" s="16" t="s">
        <v>56</v>
      </c>
      <c r="J416" s="16" t="s">
        <v>724</v>
      </c>
      <c r="K416" s="16" t="s">
        <v>29</v>
      </c>
      <c r="L416" s="16" t="s">
        <v>724</v>
      </c>
      <c r="M416" s="17">
        <v>46045.567442129628</v>
      </c>
      <c r="N416" s="18">
        <v>46064.383449074077</v>
      </c>
      <c r="O416" s="19" t="s">
        <v>95</v>
      </c>
      <c r="P416" s="19" t="s">
        <v>56</v>
      </c>
    </row>
    <row r="417" spans="1:16" s="19" customFormat="1" ht="16.5" customHeight="1">
      <c r="A417" s="16" t="s">
        <v>1030</v>
      </c>
      <c r="B417" s="16" t="s">
        <v>183</v>
      </c>
      <c r="C417" s="16" t="s">
        <v>266</v>
      </c>
      <c r="D417" s="16" t="s">
        <v>1031</v>
      </c>
      <c r="E417" s="16" t="s">
        <v>1032</v>
      </c>
      <c r="F417" s="16" t="s">
        <v>269</v>
      </c>
      <c r="G417" s="16" t="s">
        <v>25</v>
      </c>
      <c r="H417" s="16" t="s">
        <v>26</v>
      </c>
      <c r="I417" s="16" t="s">
        <v>39</v>
      </c>
      <c r="J417" s="16" t="s">
        <v>724</v>
      </c>
      <c r="K417" s="16" t="s">
        <v>29</v>
      </c>
      <c r="L417" s="16" t="s">
        <v>724</v>
      </c>
      <c r="M417" s="17">
        <v>46043.621030092596</v>
      </c>
      <c r="N417" s="18">
        <v>46106.63490740741</v>
      </c>
      <c r="O417" s="19" t="s">
        <v>68</v>
      </c>
      <c r="P417" s="19" t="s">
        <v>69</v>
      </c>
    </row>
    <row r="418" spans="1:16" s="19" customFormat="1" ht="16.5" customHeight="1">
      <c r="A418" s="16" t="s">
        <v>1033</v>
      </c>
      <c r="B418" s="16" t="s">
        <v>183</v>
      </c>
      <c r="C418" s="16" t="s">
        <v>216</v>
      </c>
      <c r="D418" s="16" t="s">
        <v>1034</v>
      </c>
      <c r="E418" s="16" t="s">
        <v>1035</v>
      </c>
      <c r="F418" s="16" t="s">
        <v>219</v>
      </c>
      <c r="G418" s="16" t="s">
        <v>25</v>
      </c>
      <c r="H418" s="16" t="s">
        <v>38</v>
      </c>
      <c r="I418" s="16" t="s">
        <v>82</v>
      </c>
      <c r="J418" s="16" t="s">
        <v>724</v>
      </c>
      <c r="K418" s="16" t="s">
        <v>29</v>
      </c>
      <c r="L418" s="16" t="s">
        <v>724</v>
      </c>
      <c r="M418" s="17">
        <v>46042.62877314815</v>
      </c>
      <c r="N418" s="18">
        <v>46057.727569444447</v>
      </c>
      <c r="O418" s="19" t="s">
        <v>40</v>
      </c>
      <c r="P418" s="19" t="s">
        <v>41</v>
      </c>
    </row>
    <row r="419" spans="1:16" s="19" customFormat="1" ht="16.5" customHeight="1">
      <c r="A419" s="16" t="s">
        <v>1036</v>
      </c>
      <c r="B419" s="16" t="s">
        <v>183</v>
      </c>
      <c r="C419" s="16" t="s">
        <v>266</v>
      </c>
      <c r="D419" s="16" t="s">
        <v>1037</v>
      </c>
      <c r="E419" s="16" t="s">
        <v>1038</v>
      </c>
      <c r="F419" s="16" t="s">
        <v>269</v>
      </c>
      <c r="G419" s="16" t="s">
        <v>25</v>
      </c>
      <c r="H419" s="16" t="s">
        <v>26</v>
      </c>
      <c r="I419" s="16" t="s">
        <v>39</v>
      </c>
      <c r="J419" s="16" t="s">
        <v>724</v>
      </c>
      <c r="K419" s="16" t="s">
        <v>29</v>
      </c>
      <c r="L419" s="16" t="s">
        <v>724</v>
      </c>
      <c r="M419" s="17">
        <v>46043.552037037036</v>
      </c>
      <c r="N419" s="18">
        <v>46057.626944444448</v>
      </c>
      <c r="O419" s="19" t="s">
        <v>40</v>
      </c>
      <c r="P419" s="19" t="s">
        <v>41</v>
      </c>
    </row>
    <row r="420" spans="1:16" s="19" customFormat="1" ht="16.5" customHeight="1">
      <c r="A420" s="16" t="s">
        <v>1039</v>
      </c>
      <c r="B420" s="16" t="s">
        <v>183</v>
      </c>
      <c r="C420" s="16" t="s">
        <v>266</v>
      </c>
      <c r="D420" s="16" t="s">
        <v>1040</v>
      </c>
      <c r="E420" s="16" t="s">
        <v>1041</v>
      </c>
      <c r="F420" s="16" t="s">
        <v>269</v>
      </c>
      <c r="G420" s="16" t="s">
        <v>25</v>
      </c>
      <c r="H420" s="16" t="s">
        <v>26</v>
      </c>
      <c r="I420" s="16" t="s">
        <v>39</v>
      </c>
      <c r="J420" s="16" t="s">
        <v>724</v>
      </c>
      <c r="K420" s="16" t="s">
        <v>29</v>
      </c>
      <c r="L420" s="16" t="s">
        <v>724</v>
      </c>
      <c r="M420" s="17">
        <v>46042.667048611111</v>
      </c>
      <c r="N420" s="18">
        <v>46057.618877314817</v>
      </c>
      <c r="O420" s="19" t="s">
        <v>40</v>
      </c>
      <c r="P420" s="19" t="s">
        <v>41</v>
      </c>
    </row>
    <row r="421" spans="1:16" s="19" customFormat="1" ht="16.5" customHeight="1">
      <c r="A421" s="16" t="s">
        <v>1042</v>
      </c>
      <c r="B421" s="16" t="s">
        <v>183</v>
      </c>
      <c r="C421" s="16" t="s">
        <v>46</v>
      </c>
      <c r="D421" s="16" t="s">
        <v>1043</v>
      </c>
      <c r="E421" s="16" t="s">
        <v>1044</v>
      </c>
      <c r="F421" s="16" t="s">
        <v>49</v>
      </c>
      <c r="G421" s="16" t="s">
        <v>25</v>
      </c>
      <c r="H421" s="16" t="s">
        <v>26</v>
      </c>
      <c r="I421" s="16" t="s">
        <v>39</v>
      </c>
      <c r="J421" s="16" t="s">
        <v>724</v>
      </c>
      <c r="K421" s="16" t="s">
        <v>29</v>
      </c>
      <c r="L421" s="16" t="s">
        <v>724</v>
      </c>
      <c r="M421" s="17">
        <v>46041.442210648151</v>
      </c>
      <c r="N421" s="18">
        <v>46064.437071759261</v>
      </c>
      <c r="O421" s="19" t="s">
        <v>40</v>
      </c>
      <c r="P421" s="19" t="s">
        <v>41</v>
      </c>
    </row>
    <row r="422" spans="1:16" s="19" customFormat="1" ht="16.5" customHeight="1">
      <c r="A422" s="16" t="s">
        <v>1050</v>
      </c>
      <c r="B422" s="16" t="s">
        <v>183</v>
      </c>
      <c r="C422" s="16" t="s">
        <v>46</v>
      </c>
      <c r="D422" s="16" t="s">
        <v>1051</v>
      </c>
      <c r="E422" s="16" t="s">
        <v>1052</v>
      </c>
      <c r="F422" s="16" t="s">
        <v>49</v>
      </c>
      <c r="G422" s="16" t="s">
        <v>25</v>
      </c>
      <c r="H422" s="16" t="s">
        <v>26</v>
      </c>
      <c r="I422" s="16" t="s">
        <v>39</v>
      </c>
      <c r="J422" s="16" t="s">
        <v>724</v>
      </c>
      <c r="K422" s="16" t="s">
        <v>29</v>
      </c>
      <c r="L422" s="16" t="s">
        <v>724</v>
      </c>
      <c r="M422" s="17">
        <v>46041.52553240741</v>
      </c>
      <c r="N422" s="18">
        <v>46064.43891203704</v>
      </c>
      <c r="O422" s="19" t="s">
        <v>122</v>
      </c>
      <c r="P422" s="19" t="s">
        <v>39</v>
      </c>
    </row>
    <row r="423" spans="1:16" s="19" customFormat="1" ht="16.5" customHeight="1">
      <c r="A423" s="16" t="s">
        <v>1056</v>
      </c>
      <c r="B423" s="16" t="s">
        <v>183</v>
      </c>
      <c r="C423" s="16" t="s">
        <v>46</v>
      </c>
      <c r="D423" s="16" t="s">
        <v>1057</v>
      </c>
      <c r="E423" s="16" t="s">
        <v>1058</v>
      </c>
      <c r="F423" s="16" t="s">
        <v>49</v>
      </c>
      <c r="G423" s="16" t="s">
        <v>25</v>
      </c>
      <c r="H423" s="16" t="s">
        <v>26</v>
      </c>
      <c r="I423" s="16" t="s">
        <v>39</v>
      </c>
      <c r="J423" s="16" t="s">
        <v>724</v>
      </c>
      <c r="K423" s="16" t="s">
        <v>29</v>
      </c>
      <c r="L423" s="16" t="s">
        <v>724</v>
      </c>
      <c r="M423" s="17">
        <v>46041.531018518515</v>
      </c>
      <c r="N423" s="18">
        <v>46063.669479166667</v>
      </c>
      <c r="O423" s="19" t="s">
        <v>76</v>
      </c>
      <c r="P423" s="19" t="s">
        <v>77</v>
      </c>
    </row>
    <row r="424" spans="1:16" s="19" customFormat="1" ht="16.5" customHeight="1">
      <c r="A424" s="16" t="s">
        <v>1124</v>
      </c>
      <c r="B424" s="16" t="s">
        <v>183</v>
      </c>
      <c r="C424" s="16" t="s">
        <v>402</v>
      </c>
      <c r="D424" s="16" t="s">
        <v>1125</v>
      </c>
      <c r="E424" s="16" t="s">
        <v>1126</v>
      </c>
      <c r="F424" s="16" t="s">
        <v>405</v>
      </c>
      <c r="G424" s="16" t="s">
        <v>25</v>
      </c>
      <c r="H424" s="16" t="s">
        <v>26</v>
      </c>
      <c r="I424" s="16" t="s">
        <v>99</v>
      </c>
      <c r="J424" s="16" t="s">
        <v>724</v>
      </c>
      <c r="K424" s="16" t="s">
        <v>67</v>
      </c>
      <c r="L424" s="16" t="s">
        <v>724</v>
      </c>
      <c r="M424" s="17">
        <v>46044.707835648151</v>
      </c>
      <c r="N424" s="18">
        <v>46064.476388888892</v>
      </c>
      <c r="O424" s="19" t="s">
        <v>95</v>
      </c>
      <c r="P424" s="19" t="s">
        <v>56</v>
      </c>
    </row>
    <row r="425" spans="1:16" s="19" customFormat="1" ht="16.5" customHeight="1">
      <c r="A425" s="16" t="s">
        <v>1140</v>
      </c>
      <c r="B425" s="16" t="s">
        <v>183</v>
      </c>
      <c r="C425" s="16" t="s">
        <v>301</v>
      </c>
      <c r="D425" s="16" t="s">
        <v>1141</v>
      </c>
      <c r="E425" s="16" t="s">
        <v>1142</v>
      </c>
      <c r="F425" s="16" t="s">
        <v>269</v>
      </c>
      <c r="G425" s="16" t="s">
        <v>116</v>
      </c>
      <c r="H425" s="16" t="s">
        <v>26</v>
      </c>
      <c r="I425" s="16" t="s">
        <v>39</v>
      </c>
      <c r="J425" s="16" t="s">
        <v>724</v>
      </c>
      <c r="K425" s="16" t="s">
        <v>29</v>
      </c>
      <c r="L425" s="16" t="s">
        <v>724</v>
      </c>
      <c r="M425" s="17">
        <v>46044.411712962959</v>
      </c>
      <c r="N425" s="18">
        <v>46063.715138888889</v>
      </c>
      <c r="O425" s="19" t="s">
        <v>122</v>
      </c>
      <c r="P425" s="19" t="s">
        <v>39</v>
      </c>
    </row>
    <row r="426" spans="1:16" s="19" customFormat="1" ht="16.5" customHeight="1">
      <c r="A426" s="16" t="s">
        <v>1143</v>
      </c>
      <c r="B426" s="16" t="s">
        <v>183</v>
      </c>
      <c r="C426" s="16" t="s">
        <v>301</v>
      </c>
      <c r="D426" s="16" t="s">
        <v>1144</v>
      </c>
      <c r="E426" s="16" t="s">
        <v>1145</v>
      </c>
      <c r="F426" s="16" t="s">
        <v>269</v>
      </c>
      <c r="G426" s="16" t="s">
        <v>116</v>
      </c>
      <c r="H426" s="16" t="s">
        <v>26</v>
      </c>
      <c r="I426" s="16" t="s">
        <v>39</v>
      </c>
      <c r="J426" s="16" t="s">
        <v>724</v>
      </c>
      <c r="K426" s="16" t="s">
        <v>29</v>
      </c>
      <c r="L426" s="16" t="s">
        <v>724</v>
      </c>
      <c r="M426" s="17">
        <v>46044.450185185182</v>
      </c>
      <c r="N426" s="18">
        <v>46106.634016203701</v>
      </c>
      <c r="O426" s="19" t="s">
        <v>122</v>
      </c>
      <c r="P426" s="19" t="s">
        <v>39</v>
      </c>
    </row>
    <row r="427" spans="1:16" s="19" customFormat="1" ht="16.5" customHeight="1">
      <c r="A427" s="16" t="s">
        <v>1146</v>
      </c>
      <c r="B427" s="16" t="s">
        <v>183</v>
      </c>
      <c r="C427" s="16" t="s">
        <v>301</v>
      </c>
      <c r="D427" s="16" t="s">
        <v>1147</v>
      </c>
      <c r="E427" s="16" t="s">
        <v>1148</v>
      </c>
      <c r="F427" s="16" t="s">
        <v>269</v>
      </c>
      <c r="G427" s="16" t="s">
        <v>116</v>
      </c>
      <c r="H427" s="16" t="s">
        <v>38</v>
      </c>
      <c r="I427" s="16" t="s">
        <v>39</v>
      </c>
      <c r="J427" s="16" t="s">
        <v>724</v>
      </c>
      <c r="K427" s="16" t="s">
        <v>29</v>
      </c>
      <c r="L427" s="16" t="s">
        <v>724</v>
      </c>
      <c r="M427" s="17">
        <v>46045.591122685182</v>
      </c>
      <c r="N427" s="18">
        <v>46063.723703703705</v>
      </c>
      <c r="O427" s="19" t="s">
        <v>40</v>
      </c>
      <c r="P427" s="19" t="s">
        <v>41</v>
      </c>
    </row>
    <row r="428" spans="1:16" s="19" customFormat="1" ht="16.5" customHeight="1">
      <c r="A428" s="16" t="s">
        <v>1149</v>
      </c>
      <c r="B428" s="16" t="s">
        <v>183</v>
      </c>
      <c r="C428" s="16" t="s">
        <v>301</v>
      </c>
      <c r="D428" s="16" t="s">
        <v>1150</v>
      </c>
      <c r="E428" s="16" t="s">
        <v>1151</v>
      </c>
      <c r="F428" s="16" t="s">
        <v>269</v>
      </c>
      <c r="G428" s="16" t="s">
        <v>116</v>
      </c>
      <c r="H428" s="16" t="s">
        <v>26</v>
      </c>
      <c r="I428" s="16" t="s">
        <v>39</v>
      </c>
      <c r="J428" s="16" t="s">
        <v>724</v>
      </c>
      <c r="K428" s="16" t="s">
        <v>29</v>
      </c>
      <c r="L428" s="16" t="s">
        <v>724</v>
      </c>
      <c r="M428" s="17">
        <v>46044.609085648146</v>
      </c>
      <c r="N428" s="18">
        <v>46106.634421296294</v>
      </c>
      <c r="O428" s="19" t="s">
        <v>76</v>
      </c>
      <c r="P428" s="19" t="s">
        <v>77</v>
      </c>
    </row>
    <row r="429" spans="1:16" s="19" customFormat="1" ht="16.5" customHeight="1">
      <c r="A429" s="16" t="s">
        <v>1152</v>
      </c>
      <c r="B429" s="16" t="s">
        <v>183</v>
      </c>
      <c r="C429" s="16" t="s">
        <v>301</v>
      </c>
      <c r="D429" s="16" t="s">
        <v>1153</v>
      </c>
      <c r="E429" s="16" t="s">
        <v>1154</v>
      </c>
      <c r="F429" s="16" t="s">
        <v>269</v>
      </c>
      <c r="G429" s="16" t="s">
        <v>25</v>
      </c>
      <c r="H429" s="16" t="s">
        <v>26</v>
      </c>
      <c r="I429" s="16" t="s">
        <v>39</v>
      </c>
      <c r="J429" s="16" t="s">
        <v>724</v>
      </c>
      <c r="K429" s="16" t="s">
        <v>29</v>
      </c>
      <c r="L429" s="16" t="s">
        <v>724</v>
      </c>
      <c r="M429" s="17">
        <v>46041.534328703703</v>
      </c>
      <c r="N429" s="18">
        <v>46057.646597222221</v>
      </c>
      <c r="O429" s="19" t="s">
        <v>76</v>
      </c>
      <c r="P429" s="19" t="s">
        <v>77</v>
      </c>
    </row>
    <row r="430" spans="1:16" s="19" customFormat="1" ht="16.5" customHeight="1">
      <c r="A430" s="16" t="s">
        <v>1155</v>
      </c>
      <c r="B430" s="16" t="s">
        <v>183</v>
      </c>
      <c r="C430" s="16" t="s">
        <v>301</v>
      </c>
      <c r="D430" s="16" t="s">
        <v>1156</v>
      </c>
      <c r="E430" s="16" t="s">
        <v>1157</v>
      </c>
      <c r="F430" s="16" t="s">
        <v>269</v>
      </c>
      <c r="G430" s="16" t="s">
        <v>25</v>
      </c>
      <c r="H430" s="16" t="s">
        <v>26</v>
      </c>
      <c r="I430" s="16" t="s">
        <v>39</v>
      </c>
      <c r="J430" s="16" t="s">
        <v>724</v>
      </c>
      <c r="K430" s="16" t="s">
        <v>29</v>
      </c>
      <c r="L430" s="16" t="s">
        <v>724</v>
      </c>
      <c r="M430" s="17">
        <v>46041.540798611109</v>
      </c>
      <c r="N430" s="18">
        <v>46057.647118055553</v>
      </c>
      <c r="O430" s="19" t="s">
        <v>40</v>
      </c>
      <c r="P430" s="19" t="s">
        <v>41</v>
      </c>
    </row>
    <row r="431" spans="1:16" s="19" customFormat="1" ht="16.5" customHeight="1">
      <c r="A431" s="16" t="s">
        <v>1158</v>
      </c>
      <c r="B431" s="16" t="s">
        <v>183</v>
      </c>
      <c r="C431" s="16" t="s">
        <v>301</v>
      </c>
      <c r="D431" s="16" t="s">
        <v>1159</v>
      </c>
      <c r="E431" s="16" t="s">
        <v>1160</v>
      </c>
      <c r="F431" s="16" t="s">
        <v>269</v>
      </c>
      <c r="G431" s="16" t="s">
        <v>25</v>
      </c>
      <c r="H431" s="16" t="s">
        <v>26</v>
      </c>
      <c r="I431" s="16" t="s">
        <v>39</v>
      </c>
      <c r="J431" s="16" t="s">
        <v>724</v>
      </c>
      <c r="K431" s="16" t="s">
        <v>29</v>
      </c>
      <c r="L431" s="16" t="s">
        <v>724</v>
      </c>
      <c r="M431" s="17">
        <v>46041.558692129627</v>
      </c>
      <c r="N431" s="18">
        <v>46045.613495370373</v>
      </c>
      <c r="O431" s="19" t="s">
        <v>40</v>
      </c>
      <c r="P431" s="19" t="s">
        <v>41</v>
      </c>
    </row>
    <row r="432" spans="1:16" s="19" customFormat="1" ht="16.5" customHeight="1">
      <c r="A432" s="16" t="s">
        <v>1161</v>
      </c>
      <c r="B432" s="16" t="s">
        <v>183</v>
      </c>
      <c r="C432" s="16" t="s">
        <v>301</v>
      </c>
      <c r="D432" s="16" t="s">
        <v>1162</v>
      </c>
      <c r="E432" s="16" t="s">
        <v>1163</v>
      </c>
      <c r="F432" s="16" t="s">
        <v>269</v>
      </c>
      <c r="G432" s="16" t="s">
        <v>25</v>
      </c>
      <c r="H432" s="16" t="s">
        <v>26</v>
      </c>
      <c r="I432" s="16" t="s">
        <v>39</v>
      </c>
      <c r="J432" s="16" t="s">
        <v>724</v>
      </c>
      <c r="K432" s="16" t="s">
        <v>29</v>
      </c>
      <c r="L432" s="16" t="s">
        <v>724</v>
      </c>
      <c r="M432" s="17">
        <v>46041.565567129626</v>
      </c>
      <c r="N432" s="18">
        <v>46057.648796296293</v>
      </c>
      <c r="O432" s="19" t="s">
        <v>40</v>
      </c>
      <c r="P432" s="19" t="s">
        <v>41</v>
      </c>
    </row>
    <row r="433" spans="1:16" s="19" customFormat="1" ht="16.5" customHeight="1">
      <c r="A433" s="16" t="s">
        <v>1164</v>
      </c>
      <c r="B433" s="16" t="s">
        <v>183</v>
      </c>
      <c r="C433" s="16" t="s">
        <v>301</v>
      </c>
      <c r="D433" s="16" t="s">
        <v>1165</v>
      </c>
      <c r="E433" s="16" t="s">
        <v>1166</v>
      </c>
      <c r="F433" s="16" t="s">
        <v>269</v>
      </c>
      <c r="G433" s="16" t="s">
        <v>25</v>
      </c>
      <c r="H433" s="16" t="s">
        <v>26</v>
      </c>
      <c r="I433" s="16" t="s">
        <v>39</v>
      </c>
      <c r="J433" s="16" t="s">
        <v>724</v>
      </c>
      <c r="K433" s="16" t="s">
        <v>29</v>
      </c>
      <c r="L433" s="16" t="s">
        <v>724</v>
      </c>
      <c r="M433" s="17">
        <v>46042.550196759257</v>
      </c>
      <c r="N433" s="18">
        <v>46057.654768518521</v>
      </c>
      <c r="O433" s="19" t="s">
        <v>122</v>
      </c>
      <c r="P433" s="19" t="s">
        <v>39</v>
      </c>
    </row>
    <row r="434" spans="1:16" s="19" customFormat="1" ht="16.5" customHeight="1">
      <c r="A434" s="16" t="s">
        <v>426</v>
      </c>
      <c r="B434" s="16" t="s">
        <v>183</v>
      </c>
      <c r="C434" s="16" t="s">
        <v>301</v>
      </c>
      <c r="D434" s="16" t="s">
        <v>1167</v>
      </c>
      <c r="E434" s="16" t="s">
        <v>1168</v>
      </c>
      <c r="F434" s="16" t="s">
        <v>269</v>
      </c>
      <c r="G434" s="16" t="s">
        <v>25</v>
      </c>
      <c r="H434" s="16" t="s">
        <v>26</v>
      </c>
      <c r="I434" s="16" t="s">
        <v>39</v>
      </c>
      <c r="J434" s="16" t="s">
        <v>724</v>
      </c>
      <c r="K434" s="16" t="s">
        <v>29</v>
      </c>
      <c r="L434" s="16" t="s">
        <v>724</v>
      </c>
      <c r="M434" s="17">
        <v>46042.567349537036</v>
      </c>
      <c r="N434" s="18">
        <v>46057.656238425923</v>
      </c>
      <c r="O434" s="19" t="s">
        <v>122</v>
      </c>
      <c r="P434" s="19" t="s">
        <v>39</v>
      </c>
    </row>
    <row r="435" spans="1:16" s="19" customFormat="1" ht="16.5" customHeight="1">
      <c r="A435" s="16" t="s">
        <v>1169</v>
      </c>
      <c r="B435" s="16" t="s">
        <v>183</v>
      </c>
      <c r="C435" s="16" t="s">
        <v>301</v>
      </c>
      <c r="D435" s="16" t="s">
        <v>1170</v>
      </c>
      <c r="E435" s="16" t="s">
        <v>1171</v>
      </c>
      <c r="F435" s="16" t="s">
        <v>269</v>
      </c>
      <c r="G435" s="16" t="s">
        <v>25</v>
      </c>
      <c r="H435" s="16" t="s">
        <v>26</v>
      </c>
      <c r="I435" s="16" t="s">
        <v>39</v>
      </c>
      <c r="J435" s="16" t="s">
        <v>724</v>
      </c>
      <c r="K435" s="16" t="s">
        <v>29</v>
      </c>
      <c r="L435" s="16" t="s">
        <v>724</v>
      </c>
      <c r="M435" s="17">
        <v>46041.637245370373</v>
      </c>
      <c r="N435" s="18">
        <v>46045.574178240742</v>
      </c>
      <c r="O435" s="19" t="s">
        <v>479</v>
      </c>
      <c r="P435" s="19" t="s">
        <v>480</v>
      </c>
    </row>
    <row r="436" spans="1:16" s="19" customFormat="1" ht="16.5" customHeight="1">
      <c r="A436" s="16" t="s">
        <v>1172</v>
      </c>
      <c r="B436" s="16" t="s">
        <v>183</v>
      </c>
      <c r="C436" s="16" t="s">
        <v>301</v>
      </c>
      <c r="D436" s="16" t="s">
        <v>1173</v>
      </c>
      <c r="E436" s="16" t="s">
        <v>1174</v>
      </c>
      <c r="F436" s="16" t="s">
        <v>269</v>
      </c>
      <c r="G436" s="16" t="s">
        <v>25</v>
      </c>
      <c r="H436" s="16" t="s">
        <v>26</v>
      </c>
      <c r="I436" s="16" t="s">
        <v>39</v>
      </c>
      <c r="J436" s="16" t="s">
        <v>724</v>
      </c>
      <c r="K436" s="16" t="s">
        <v>29</v>
      </c>
      <c r="L436" s="16" t="s">
        <v>724</v>
      </c>
      <c r="M436" s="17">
        <v>46041.64267361111</v>
      </c>
      <c r="N436" s="18">
        <v>46045.56753472222</v>
      </c>
      <c r="O436" s="19" t="s">
        <v>40</v>
      </c>
      <c r="P436" s="19" t="s">
        <v>41</v>
      </c>
    </row>
    <row r="437" spans="1:16" s="19" customFormat="1" ht="16.5" customHeight="1">
      <c r="A437" s="16" t="s">
        <v>1175</v>
      </c>
      <c r="B437" s="16" t="s">
        <v>183</v>
      </c>
      <c r="C437" s="16" t="s">
        <v>301</v>
      </c>
      <c r="D437" s="16" t="s">
        <v>1176</v>
      </c>
      <c r="E437" s="16" t="s">
        <v>1177</v>
      </c>
      <c r="F437" s="16" t="s">
        <v>269</v>
      </c>
      <c r="G437" s="16" t="s">
        <v>25</v>
      </c>
      <c r="H437" s="16" t="s">
        <v>26</v>
      </c>
      <c r="I437" s="16" t="s">
        <v>39</v>
      </c>
      <c r="J437" s="16" t="s">
        <v>724</v>
      </c>
      <c r="K437" s="16" t="s">
        <v>29</v>
      </c>
      <c r="L437" s="16" t="s">
        <v>724</v>
      </c>
      <c r="M437" s="17">
        <v>46042.3828125</v>
      </c>
      <c r="N437" s="18">
        <v>46057.651770833334</v>
      </c>
      <c r="O437" s="19" t="s">
        <v>76</v>
      </c>
      <c r="P437" s="19" t="s">
        <v>77</v>
      </c>
    </row>
    <row r="438" spans="1:16" s="19" customFormat="1" ht="16.5" customHeight="1">
      <c r="A438" s="16" t="s">
        <v>1178</v>
      </c>
      <c r="B438" s="16" t="s">
        <v>183</v>
      </c>
      <c r="C438" s="16" t="s">
        <v>301</v>
      </c>
      <c r="D438" s="16" t="s">
        <v>1179</v>
      </c>
      <c r="E438" s="16" t="s">
        <v>1180</v>
      </c>
      <c r="F438" s="16" t="s">
        <v>269</v>
      </c>
      <c r="G438" s="16" t="s">
        <v>25</v>
      </c>
      <c r="H438" s="16" t="s">
        <v>26</v>
      </c>
      <c r="I438" s="16" t="s">
        <v>39</v>
      </c>
      <c r="J438" s="16" t="s">
        <v>724</v>
      </c>
      <c r="K438" s="16" t="s">
        <v>29</v>
      </c>
      <c r="L438" s="16" t="s">
        <v>724</v>
      </c>
      <c r="M438" s="17">
        <v>46042.402685185189</v>
      </c>
      <c r="N438" s="18">
        <v>46057.64261574074</v>
      </c>
      <c r="O438" s="19" t="s">
        <v>419</v>
      </c>
      <c r="P438" s="19" t="s">
        <v>66</v>
      </c>
    </row>
    <row r="439" spans="1:16" s="19" customFormat="1" ht="16.5" customHeight="1">
      <c r="A439" s="16" t="s">
        <v>1181</v>
      </c>
      <c r="B439" s="16" t="s">
        <v>183</v>
      </c>
      <c r="C439" s="16" t="s">
        <v>301</v>
      </c>
      <c r="D439" s="16" t="s">
        <v>1182</v>
      </c>
      <c r="E439" s="16" t="s">
        <v>1183</v>
      </c>
      <c r="F439" s="16" t="s">
        <v>269</v>
      </c>
      <c r="G439" s="16" t="s">
        <v>25</v>
      </c>
      <c r="H439" s="16" t="s">
        <v>26</v>
      </c>
      <c r="I439" s="16" t="s">
        <v>39</v>
      </c>
      <c r="J439" s="16" t="s">
        <v>724</v>
      </c>
      <c r="K439" s="16" t="s">
        <v>29</v>
      </c>
      <c r="L439" s="16" t="s">
        <v>724</v>
      </c>
      <c r="M439" s="17">
        <v>46042.462847222225</v>
      </c>
      <c r="N439" s="18">
        <v>46057.653171296297</v>
      </c>
      <c r="O439" s="19" t="s">
        <v>126</v>
      </c>
      <c r="P439" s="19" t="s">
        <v>127</v>
      </c>
    </row>
    <row r="440" spans="1:16" s="19" customFormat="1" ht="16.5" customHeight="1">
      <c r="A440" s="16" t="s">
        <v>1184</v>
      </c>
      <c r="B440" s="16" t="s">
        <v>183</v>
      </c>
      <c r="C440" s="16" t="s">
        <v>301</v>
      </c>
      <c r="D440" s="16" t="s">
        <v>1185</v>
      </c>
      <c r="E440" s="16" t="s">
        <v>1186</v>
      </c>
      <c r="F440" s="16" t="s">
        <v>269</v>
      </c>
      <c r="G440" s="16" t="s">
        <v>25</v>
      </c>
      <c r="H440" s="16" t="s">
        <v>26</v>
      </c>
      <c r="I440" s="16" t="s">
        <v>39</v>
      </c>
      <c r="J440" s="16" t="s">
        <v>724</v>
      </c>
      <c r="K440" s="16" t="s">
        <v>29</v>
      </c>
      <c r="L440" s="16" t="s">
        <v>724</v>
      </c>
      <c r="M440" s="17">
        <v>46042.471134259256</v>
      </c>
      <c r="N440" s="18">
        <v>46044.674155092594</v>
      </c>
      <c r="O440" s="19" t="s">
        <v>122</v>
      </c>
      <c r="P440" s="19" t="s">
        <v>39</v>
      </c>
    </row>
    <row r="441" spans="1:16" s="19" customFormat="1" ht="16.5" customHeight="1">
      <c r="A441" s="16" t="s">
        <v>1214</v>
      </c>
      <c r="B441" s="16" t="s">
        <v>183</v>
      </c>
      <c r="C441" s="16" t="s">
        <v>33</v>
      </c>
      <c r="D441" s="16" t="s">
        <v>1215</v>
      </c>
      <c r="E441" s="16" t="s">
        <v>1216</v>
      </c>
      <c r="F441" s="16" t="s">
        <v>36</v>
      </c>
      <c r="G441" s="16" t="s">
        <v>25</v>
      </c>
      <c r="H441" s="16" t="s">
        <v>26</v>
      </c>
      <c r="I441" s="16" t="s">
        <v>39</v>
      </c>
      <c r="J441" s="16" t="s">
        <v>724</v>
      </c>
      <c r="K441" s="16" t="s">
        <v>29</v>
      </c>
      <c r="L441" s="16" t="s">
        <v>724</v>
      </c>
      <c r="M441" s="17">
        <v>46042.613379629627</v>
      </c>
      <c r="N441" s="18">
        <v>46063.661678240744</v>
      </c>
      <c r="O441" s="19" t="s">
        <v>40</v>
      </c>
      <c r="P441" s="19" t="s">
        <v>41</v>
      </c>
    </row>
    <row r="442" spans="1:16" s="19" customFormat="1" ht="16.5" customHeight="1">
      <c r="A442" s="16" t="s">
        <v>1217</v>
      </c>
      <c r="B442" s="16" t="s">
        <v>183</v>
      </c>
      <c r="C442" s="16" t="s">
        <v>33</v>
      </c>
      <c r="D442" s="16" t="s">
        <v>1218</v>
      </c>
      <c r="E442" s="16" t="s">
        <v>1219</v>
      </c>
      <c r="F442" s="16" t="s">
        <v>36</v>
      </c>
      <c r="G442" s="16" t="s">
        <v>25</v>
      </c>
      <c r="H442" s="16" t="s">
        <v>26</v>
      </c>
      <c r="I442" s="16" t="s">
        <v>39</v>
      </c>
      <c r="J442" s="16" t="s">
        <v>724</v>
      </c>
      <c r="K442" s="16" t="s">
        <v>29</v>
      </c>
      <c r="L442" s="16" t="s">
        <v>724</v>
      </c>
      <c r="M442" s="17">
        <v>46042.616620370369</v>
      </c>
      <c r="N442" s="18">
        <v>46063.663124999999</v>
      </c>
      <c r="O442" s="19" t="s">
        <v>95</v>
      </c>
      <c r="P442" s="19" t="s">
        <v>56</v>
      </c>
    </row>
    <row r="443" spans="1:16" s="19" customFormat="1" ht="16.5" customHeight="1">
      <c r="A443" s="16" t="s">
        <v>1259</v>
      </c>
      <c r="B443" s="16" t="s">
        <v>183</v>
      </c>
      <c r="C443" s="16" t="s">
        <v>261</v>
      </c>
      <c r="D443" s="16" t="s">
        <v>1260</v>
      </c>
      <c r="E443" s="16" t="s">
        <v>1261</v>
      </c>
      <c r="F443" s="16" t="s">
        <v>219</v>
      </c>
      <c r="G443" s="16" t="s">
        <v>25</v>
      </c>
      <c r="H443" s="16" t="s">
        <v>38</v>
      </c>
      <c r="I443" s="16" t="s">
        <v>39</v>
      </c>
      <c r="J443" s="16" t="s">
        <v>724</v>
      </c>
      <c r="K443" s="16" t="s">
        <v>67</v>
      </c>
      <c r="L443" s="16" t="s">
        <v>724</v>
      </c>
      <c r="M443" s="17">
        <v>46041.473599537036</v>
      </c>
      <c r="N443" s="18">
        <v>46057.610833333332</v>
      </c>
      <c r="O443" s="19" t="s">
        <v>122</v>
      </c>
      <c r="P443" s="19" t="s">
        <v>39</v>
      </c>
    </row>
    <row r="444" spans="1:16" s="19" customFormat="1" ht="16.5" customHeight="1">
      <c r="A444" s="16" t="s">
        <v>1265</v>
      </c>
      <c r="B444" s="16" t="s">
        <v>183</v>
      </c>
      <c r="C444" s="16" t="s">
        <v>261</v>
      </c>
      <c r="D444" s="16" t="s">
        <v>1266</v>
      </c>
      <c r="E444" s="16" t="s">
        <v>1267</v>
      </c>
      <c r="F444" s="16" t="s">
        <v>219</v>
      </c>
      <c r="G444" s="16" t="s">
        <v>25</v>
      </c>
      <c r="H444" s="16" t="s">
        <v>38</v>
      </c>
      <c r="I444" s="16" t="s">
        <v>39</v>
      </c>
      <c r="J444" s="16" t="s">
        <v>724</v>
      </c>
      <c r="K444" s="16" t="s">
        <v>29</v>
      </c>
      <c r="L444" s="16" t="s">
        <v>724</v>
      </c>
      <c r="M444" s="17">
        <v>46042.429351851853</v>
      </c>
      <c r="N444" s="18">
        <v>46057.612766203703</v>
      </c>
      <c r="O444" s="19" t="s">
        <v>122</v>
      </c>
      <c r="P444" s="19" t="s">
        <v>39</v>
      </c>
    </row>
    <row r="445" spans="1:16" s="19" customFormat="1" ht="16.5" customHeight="1">
      <c r="A445" s="16" t="s">
        <v>1268</v>
      </c>
      <c r="B445" s="16" t="s">
        <v>183</v>
      </c>
      <c r="C445" s="16" t="s">
        <v>261</v>
      </c>
      <c r="D445" s="16" t="s">
        <v>1269</v>
      </c>
      <c r="E445" s="16" t="s">
        <v>1270</v>
      </c>
      <c r="F445" s="16" t="s">
        <v>219</v>
      </c>
      <c r="G445" s="16" t="s">
        <v>25</v>
      </c>
      <c r="H445" s="16" t="s">
        <v>38</v>
      </c>
      <c r="I445" s="16" t="s">
        <v>27</v>
      </c>
      <c r="J445" s="16" t="s">
        <v>724</v>
      </c>
      <c r="K445" s="16" t="s">
        <v>29</v>
      </c>
      <c r="L445" s="16" t="s">
        <v>724</v>
      </c>
      <c r="M445" s="17">
        <v>46042.552256944444</v>
      </c>
      <c r="N445" s="18">
        <v>46057.614710648151</v>
      </c>
      <c r="O445" s="19" t="s">
        <v>122</v>
      </c>
      <c r="P445" s="19" t="s">
        <v>39</v>
      </c>
    </row>
    <row r="446" spans="1:16" s="19" customFormat="1" ht="16.5" customHeight="1">
      <c r="A446" s="16" t="s">
        <v>1271</v>
      </c>
      <c r="B446" s="16" t="s">
        <v>183</v>
      </c>
      <c r="C446" s="16" t="s">
        <v>261</v>
      </c>
      <c r="D446" s="16" t="s">
        <v>1272</v>
      </c>
      <c r="E446" s="16" t="s">
        <v>1273</v>
      </c>
      <c r="F446" s="16" t="s">
        <v>219</v>
      </c>
      <c r="G446" s="16" t="s">
        <v>25</v>
      </c>
      <c r="H446" s="16" t="s">
        <v>26</v>
      </c>
      <c r="I446" s="16" t="s">
        <v>39</v>
      </c>
      <c r="J446" s="16" t="s">
        <v>724</v>
      </c>
      <c r="K446" s="16" t="s">
        <v>67</v>
      </c>
      <c r="L446" s="16" t="s">
        <v>724</v>
      </c>
      <c r="M446" s="17">
        <v>46042.441030092596</v>
      </c>
      <c r="N446" s="18">
        <v>46057.613981481481</v>
      </c>
      <c r="O446" s="19" t="s">
        <v>122</v>
      </c>
      <c r="P446" s="19" t="s">
        <v>39</v>
      </c>
    </row>
    <row r="447" spans="1:16" s="19" customFormat="1" ht="16.5" customHeight="1">
      <c r="A447" s="16" t="s">
        <v>1288</v>
      </c>
      <c r="B447" s="16" t="s">
        <v>183</v>
      </c>
      <c r="C447" s="16" t="s">
        <v>184</v>
      </c>
      <c r="D447" s="16" t="s">
        <v>1289</v>
      </c>
      <c r="E447" s="16" t="s">
        <v>1290</v>
      </c>
      <c r="F447" s="16" t="s">
        <v>187</v>
      </c>
      <c r="G447" s="16" t="s">
        <v>25</v>
      </c>
      <c r="H447" s="16" t="s">
        <v>26</v>
      </c>
      <c r="I447" s="16" t="s">
        <v>203</v>
      </c>
      <c r="J447" s="16" t="s">
        <v>724</v>
      </c>
      <c r="K447" s="16" t="s">
        <v>29</v>
      </c>
      <c r="L447" s="16" t="s">
        <v>724</v>
      </c>
      <c r="M447" s="17">
        <v>46042.394120370373</v>
      </c>
      <c r="N447" s="18">
        <v>46080.636377314811</v>
      </c>
      <c r="O447" s="19" t="s">
        <v>95</v>
      </c>
      <c r="P447" s="19" t="s">
        <v>56</v>
      </c>
    </row>
    <row r="448" spans="1:16" s="19" customFormat="1" ht="16.5" customHeight="1">
      <c r="A448" s="16" t="s">
        <v>1288</v>
      </c>
      <c r="B448" s="16" t="s">
        <v>183</v>
      </c>
      <c r="C448" s="16" t="s">
        <v>184</v>
      </c>
      <c r="D448" s="16" t="s">
        <v>1292</v>
      </c>
      <c r="E448" s="16" t="s">
        <v>1293</v>
      </c>
      <c r="F448" s="16" t="s">
        <v>187</v>
      </c>
      <c r="G448" s="16" t="s">
        <v>25</v>
      </c>
      <c r="H448" s="16" t="s">
        <v>26</v>
      </c>
      <c r="I448" s="16" t="s">
        <v>39</v>
      </c>
      <c r="J448" s="16" t="s">
        <v>724</v>
      </c>
      <c r="K448" s="16" t="s">
        <v>67</v>
      </c>
      <c r="L448" s="16" t="s">
        <v>724</v>
      </c>
      <c r="M448" s="17">
        <v>46042.398530092592</v>
      </c>
      <c r="N448" s="18">
        <v>46080.640277777777</v>
      </c>
      <c r="O448" s="19" t="s">
        <v>95</v>
      </c>
      <c r="P448" s="19" t="s">
        <v>56</v>
      </c>
    </row>
    <row r="449" spans="1:16" s="19" customFormat="1" ht="16.5" customHeight="1">
      <c r="A449" s="16" t="s">
        <v>1309</v>
      </c>
      <c r="B449" s="16" t="s">
        <v>183</v>
      </c>
      <c r="C449" s="16" t="s">
        <v>301</v>
      </c>
      <c r="D449" s="16" t="s">
        <v>1310</v>
      </c>
      <c r="E449" s="16" t="s">
        <v>1311</v>
      </c>
      <c r="F449" s="16" t="s">
        <v>269</v>
      </c>
      <c r="G449" s="16" t="s">
        <v>25</v>
      </c>
      <c r="H449" s="16" t="s">
        <v>26</v>
      </c>
      <c r="I449" s="16" t="s">
        <v>39</v>
      </c>
      <c r="J449" s="16" t="s">
        <v>724</v>
      </c>
      <c r="K449" s="16" t="s">
        <v>67</v>
      </c>
      <c r="L449" s="16" t="s">
        <v>724</v>
      </c>
      <c r="M449" s="17">
        <v>46045.548645833333</v>
      </c>
      <c r="N449" s="18">
        <v>46057.644583333335</v>
      </c>
      <c r="O449" s="19" t="s">
        <v>40</v>
      </c>
      <c r="P449" s="19" t="s">
        <v>41</v>
      </c>
    </row>
    <row r="450" spans="1:16" s="19" customFormat="1" ht="16.5" customHeight="1">
      <c r="A450" s="16" t="s">
        <v>1309</v>
      </c>
      <c r="B450" s="16" t="s">
        <v>183</v>
      </c>
      <c r="C450" s="16" t="s">
        <v>301</v>
      </c>
      <c r="D450" s="16" t="s">
        <v>1312</v>
      </c>
      <c r="E450" s="16" t="s">
        <v>1313</v>
      </c>
      <c r="F450" s="16" t="s">
        <v>269</v>
      </c>
      <c r="G450" s="16" t="s">
        <v>25</v>
      </c>
      <c r="H450" s="16" t="s">
        <v>38</v>
      </c>
      <c r="I450" s="16" t="s">
        <v>56</v>
      </c>
      <c r="J450" s="16" t="s">
        <v>724</v>
      </c>
      <c r="K450" s="16" t="s">
        <v>29</v>
      </c>
      <c r="L450" s="16" t="s">
        <v>724</v>
      </c>
      <c r="M450" s="17">
        <v>46041.445034722223</v>
      </c>
      <c r="N450" s="18">
        <v>46057.644097222219</v>
      </c>
      <c r="O450" s="19" t="s">
        <v>122</v>
      </c>
      <c r="P450" s="19" t="s">
        <v>39</v>
      </c>
    </row>
    <row r="451" spans="1:16" s="19" customFormat="1" ht="16.5" customHeight="1">
      <c r="A451" s="16" t="s">
        <v>1334</v>
      </c>
      <c r="B451" s="16" t="s">
        <v>183</v>
      </c>
      <c r="C451" s="16" t="s">
        <v>46</v>
      </c>
      <c r="D451" s="16" t="s">
        <v>1335</v>
      </c>
      <c r="E451" s="16" t="s">
        <v>1336</v>
      </c>
      <c r="F451" s="16" t="s">
        <v>49</v>
      </c>
      <c r="G451" s="16" t="s">
        <v>116</v>
      </c>
      <c r="H451" s="16" t="s">
        <v>26</v>
      </c>
      <c r="I451" s="16" t="s">
        <v>82</v>
      </c>
      <c r="J451" s="16" t="s">
        <v>724</v>
      </c>
      <c r="K451" s="16" t="s">
        <v>29</v>
      </c>
      <c r="L451" s="16" t="s">
        <v>724</v>
      </c>
      <c r="M451" s="17">
        <v>46042.429664351854</v>
      </c>
      <c r="N451" s="18">
        <v>46063.679976851854</v>
      </c>
      <c r="O451" s="19" t="s">
        <v>72</v>
      </c>
      <c r="P451" s="19" t="s">
        <v>73</v>
      </c>
    </row>
    <row r="452" spans="1:16" s="19" customFormat="1" ht="16.5" customHeight="1">
      <c r="A452" s="16" t="s">
        <v>1340</v>
      </c>
      <c r="B452" s="16" t="s">
        <v>183</v>
      </c>
      <c r="C452" s="16" t="s">
        <v>229</v>
      </c>
      <c r="D452" s="16" t="s">
        <v>1341</v>
      </c>
      <c r="E452" s="16" t="s">
        <v>1342</v>
      </c>
      <c r="F452" s="16" t="s">
        <v>232</v>
      </c>
      <c r="G452" s="16" t="s">
        <v>25</v>
      </c>
      <c r="H452" s="16" t="s">
        <v>26</v>
      </c>
      <c r="I452" s="16" t="s">
        <v>82</v>
      </c>
      <c r="J452" s="16" t="s">
        <v>724</v>
      </c>
      <c r="K452" s="16" t="s">
        <v>106</v>
      </c>
      <c r="L452" s="16" t="s">
        <v>724</v>
      </c>
      <c r="M452" s="17">
        <v>46042.642442129632</v>
      </c>
      <c r="N452" s="18">
        <v>46044.671469907407</v>
      </c>
      <c r="O452" s="19" t="s">
        <v>40</v>
      </c>
      <c r="P452" s="19" t="s">
        <v>41</v>
      </c>
    </row>
    <row r="453" spans="1:16" s="19" customFormat="1" ht="16.5" customHeight="1">
      <c r="A453" s="16" t="s">
        <v>1352</v>
      </c>
      <c r="B453" s="16" t="s">
        <v>183</v>
      </c>
      <c r="C453" s="16" t="s">
        <v>266</v>
      </c>
      <c r="D453" s="16" t="s">
        <v>1353</v>
      </c>
      <c r="E453" s="16" t="s">
        <v>1354</v>
      </c>
      <c r="F453" s="16" t="s">
        <v>269</v>
      </c>
      <c r="G453" s="16" t="s">
        <v>25</v>
      </c>
      <c r="H453" s="16" t="s">
        <v>26</v>
      </c>
      <c r="I453" s="16" t="s">
        <v>39</v>
      </c>
      <c r="J453" s="16" t="s">
        <v>724</v>
      </c>
      <c r="K453" s="16" t="s">
        <v>29</v>
      </c>
      <c r="L453" s="16" t="s">
        <v>724</v>
      </c>
      <c r="M453" s="17">
        <v>46042.65797453704</v>
      </c>
      <c r="N453" s="18">
        <v>46057.61215277778</v>
      </c>
      <c r="O453" s="19" t="s">
        <v>122</v>
      </c>
      <c r="P453" s="19" t="s">
        <v>39</v>
      </c>
    </row>
    <row r="454" spans="1:16" s="19" customFormat="1" ht="16.5" customHeight="1">
      <c r="A454" s="16" t="s">
        <v>1355</v>
      </c>
      <c r="B454" s="16" t="s">
        <v>183</v>
      </c>
      <c r="C454" s="16" t="s">
        <v>580</v>
      </c>
      <c r="D454" s="16" t="s">
        <v>1356</v>
      </c>
      <c r="E454" s="16" t="s">
        <v>1357</v>
      </c>
      <c r="F454" s="16" t="s">
        <v>582</v>
      </c>
      <c r="G454" s="16" t="s">
        <v>25</v>
      </c>
      <c r="H454" s="16" t="s">
        <v>38</v>
      </c>
      <c r="I454" s="16" t="s">
        <v>39</v>
      </c>
      <c r="J454" s="16" t="s">
        <v>724</v>
      </c>
      <c r="K454" s="16" t="s">
        <v>29</v>
      </c>
      <c r="L454" s="16" t="s">
        <v>724</v>
      </c>
      <c r="M454" s="17">
        <v>46045.581990740742</v>
      </c>
      <c r="N454" s="18">
        <v>46064.392361111109</v>
      </c>
      <c r="O454" s="19" t="s">
        <v>40</v>
      </c>
      <c r="P454" s="19" t="s">
        <v>41</v>
      </c>
    </row>
    <row r="455" spans="1:16" s="19" customFormat="1" ht="16.5" customHeight="1">
      <c r="A455" s="16" t="s">
        <v>1355</v>
      </c>
      <c r="B455" s="16" t="s">
        <v>183</v>
      </c>
      <c r="C455" s="16" t="s">
        <v>580</v>
      </c>
      <c r="D455" s="16" t="s">
        <v>1358</v>
      </c>
      <c r="E455" s="16" t="s">
        <v>1359</v>
      </c>
      <c r="F455" s="16" t="s">
        <v>582</v>
      </c>
      <c r="G455" s="16" t="s">
        <v>25</v>
      </c>
      <c r="H455" s="16" t="s">
        <v>26</v>
      </c>
      <c r="I455" s="16" t="s">
        <v>82</v>
      </c>
      <c r="J455" s="16" t="s">
        <v>724</v>
      </c>
      <c r="K455" s="16" t="s">
        <v>29</v>
      </c>
      <c r="L455" s="16" t="s">
        <v>724</v>
      </c>
      <c r="M455" s="17">
        <v>46041.58421296296</v>
      </c>
      <c r="N455" s="18">
        <v>46064.390069444446</v>
      </c>
      <c r="O455" s="19" t="s">
        <v>40</v>
      </c>
      <c r="P455" s="19" t="s">
        <v>41</v>
      </c>
    </row>
    <row r="456" spans="1:16" s="19" customFormat="1" ht="16.5" customHeight="1">
      <c r="A456" s="16" t="s">
        <v>1363</v>
      </c>
      <c r="B456" s="16" t="s">
        <v>183</v>
      </c>
      <c r="C456" s="16" t="s">
        <v>402</v>
      </c>
      <c r="D456" s="16" t="s">
        <v>1364</v>
      </c>
      <c r="E456" s="16" t="s">
        <v>1365</v>
      </c>
      <c r="F456" s="16" t="s">
        <v>405</v>
      </c>
      <c r="G456" s="16" t="s">
        <v>25</v>
      </c>
      <c r="H456" s="16" t="s">
        <v>38</v>
      </c>
      <c r="I456" s="16" t="s">
        <v>27</v>
      </c>
      <c r="J456" s="16" t="s">
        <v>724</v>
      </c>
      <c r="K456" s="16" t="s">
        <v>29</v>
      </c>
      <c r="L456" s="16" t="s">
        <v>724</v>
      </c>
      <c r="M456" s="17">
        <v>46043.665706018517</v>
      </c>
      <c r="N456" s="18">
        <v>46064.46471064815</v>
      </c>
      <c r="O456" s="19" t="s">
        <v>122</v>
      </c>
      <c r="P456" s="19" t="s">
        <v>39</v>
      </c>
    </row>
    <row r="457" spans="1:16" s="19" customFormat="1" ht="16.5" customHeight="1">
      <c r="A457" s="16" t="s">
        <v>1363</v>
      </c>
      <c r="B457" s="16" t="s">
        <v>183</v>
      </c>
      <c r="C457" s="16" t="s">
        <v>402</v>
      </c>
      <c r="D457" s="16" t="s">
        <v>1366</v>
      </c>
      <c r="E457" s="16" t="s">
        <v>1367</v>
      </c>
      <c r="F457" s="16" t="s">
        <v>405</v>
      </c>
      <c r="G457" s="16" t="s">
        <v>25</v>
      </c>
      <c r="H457" s="16" t="s">
        <v>26</v>
      </c>
      <c r="I457" s="16" t="s">
        <v>27</v>
      </c>
      <c r="J457" s="16" t="s">
        <v>724</v>
      </c>
      <c r="K457" s="16" t="s">
        <v>106</v>
      </c>
      <c r="L457" s="16" t="s">
        <v>724</v>
      </c>
      <c r="M457" s="17">
        <v>46043.662349537037</v>
      </c>
      <c r="N457" s="18">
        <v>46044.640127314815</v>
      </c>
      <c r="O457" s="19" t="s">
        <v>40</v>
      </c>
      <c r="P457" s="19" t="s">
        <v>41</v>
      </c>
    </row>
    <row r="458" spans="1:16" s="19" customFormat="1" ht="16.5" customHeight="1">
      <c r="A458" s="16" t="s">
        <v>1368</v>
      </c>
      <c r="B458" s="16" t="s">
        <v>183</v>
      </c>
      <c r="C458" s="16" t="s">
        <v>1128</v>
      </c>
      <c r="D458" s="16" t="s">
        <v>1369</v>
      </c>
      <c r="E458" s="16" t="s">
        <v>1370</v>
      </c>
      <c r="F458" s="16" t="s">
        <v>1131</v>
      </c>
      <c r="G458" s="16" t="s">
        <v>25</v>
      </c>
      <c r="H458" s="16" t="s">
        <v>38</v>
      </c>
      <c r="I458" s="16" t="s">
        <v>27</v>
      </c>
      <c r="J458" s="16" t="s">
        <v>724</v>
      </c>
      <c r="K458" s="16" t="s">
        <v>29</v>
      </c>
      <c r="L458" s="16" t="s">
        <v>724</v>
      </c>
      <c r="M458" s="17">
        <v>46044.718310185184</v>
      </c>
      <c r="N458" s="18">
        <v>46058.600636574076</v>
      </c>
      <c r="O458" s="19" t="s">
        <v>76</v>
      </c>
      <c r="P458" s="19" t="s">
        <v>77</v>
      </c>
    </row>
    <row r="459" spans="1:16" s="19" customFormat="1" ht="16.5" customHeight="1">
      <c r="A459" s="16" t="s">
        <v>1368</v>
      </c>
      <c r="B459" s="16" t="s">
        <v>183</v>
      </c>
      <c r="C459" s="16" t="s">
        <v>1128</v>
      </c>
      <c r="D459" s="16" t="s">
        <v>1371</v>
      </c>
      <c r="E459" s="16" t="s">
        <v>1372</v>
      </c>
      <c r="F459" s="16" t="s">
        <v>1131</v>
      </c>
      <c r="G459" s="16" t="s">
        <v>25</v>
      </c>
      <c r="H459" s="16" t="s">
        <v>26</v>
      </c>
      <c r="I459" s="16" t="s">
        <v>27</v>
      </c>
      <c r="J459" s="16" t="s">
        <v>724</v>
      </c>
      <c r="K459" s="16" t="s">
        <v>106</v>
      </c>
      <c r="L459" s="16" t="s">
        <v>724</v>
      </c>
      <c r="M459" s="17">
        <v>46044.71665509259</v>
      </c>
      <c r="N459" s="18">
        <v>46058.599421296298</v>
      </c>
      <c r="O459" s="19" t="s">
        <v>76</v>
      </c>
      <c r="P459" s="19" t="s">
        <v>77</v>
      </c>
    </row>
    <row r="460" spans="1:16" s="19" customFormat="1" ht="16.5" customHeight="1">
      <c r="A460" s="16" t="s">
        <v>1378</v>
      </c>
      <c r="B460" s="16" t="s">
        <v>183</v>
      </c>
      <c r="C460" s="16" t="s">
        <v>974</v>
      </c>
      <c r="D460" s="16" t="s">
        <v>1379</v>
      </c>
      <c r="E460" s="16" t="s">
        <v>1380</v>
      </c>
      <c r="F460" s="16" t="s">
        <v>23</v>
      </c>
      <c r="G460" s="16" t="s">
        <v>25</v>
      </c>
      <c r="H460" s="16" t="s">
        <v>26</v>
      </c>
      <c r="I460" s="16" t="s">
        <v>39</v>
      </c>
      <c r="J460" s="16" t="s">
        <v>724</v>
      </c>
      <c r="K460" s="16" t="s">
        <v>29</v>
      </c>
      <c r="L460" s="16" t="s">
        <v>724</v>
      </c>
      <c r="M460" s="17">
        <v>46041.635115740741</v>
      </c>
      <c r="N460" s="18">
        <v>46064.449861111112</v>
      </c>
      <c r="O460" s="19" t="s">
        <v>40</v>
      </c>
      <c r="P460" s="19" t="s">
        <v>41</v>
      </c>
    </row>
    <row r="461" spans="1:16" s="19" customFormat="1" ht="16.5" customHeight="1">
      <c r="A461" s="16" t="s">
        <v>1381</v>
      </c>
      <c r="B461" s="16" t="s">
        <v>183</v>
      </c>
      <c r="C461" s="16" t="s">
        <v>974</v>
      </c>
      <c r="D461" s="16" t="s">
        <v>1382</v>
      </c>
      <c r="E461" s="16" t="s">
        <v>1383</v>
      </c>
      <c r="F461" s="16" t="s">
        <v>23</v>
      </c>
      <c r="G461" s="16" t="s">
        <v>25</v>
      </c>
      <c r="H461" s="16" t="s">
        <v>26</v>
      </c>
      <c r="I461" s="16" t="s">
        <v>39</v>
      </c>
      <c r="J461" s="16" t="s">
        <v>724</v>
      </c>
      <c r="K461" s="16" t="s">
        <v>29</v>
      </c>
      <c r="L461" s="16" t="s">
        <v>724</v>
      </c>
      <c r="M461" s="17">
        <v>46041.630370370367</v>
      </c>
      <c r="N461" s="18">
        <v>46064.448229166665</v>
      </c>
      <c r="O461" s="19" t="s">
        <v>122</v>
      </c>
      <c r="P461" s="19" t="s">
        <v>39</v>
      </c>
    </row>
    <row r="462" spans="1:16" s="19" customFormat="1" ht="16.5" customHeight="1">
      <c r="A462" s="16" t="s">
        <v>1387</v>
      </c>
      <c r="B462" s="16" t="s">
        <v>183</v>
      </c>
      <c r="C462" s="16" t="s">
        <v>19</v>
      </c>
      <c r="D462" s="16" t="s">
        <v>1388</v>
      </c>
      <c r="E462" s="16" t="s">
        <v>1389</v>
      </c>
      <c r="F462" s="16" t="s">
        <v>22</v>
      </c>
      <c r="G462" s="16" t="s">
        <v>25</v>
      </c>
      <c r="H462" s="16" t="s">
        <v>26</v>
      </c>
      <c r="I462" s="16" t="s">
        <v>56</v>
      </c>
      <c r="J462" s="16" t="s">
        <v>724</v>
      </c>
      <c r="K462" s="16" t="s">
        <v>29</v>
      </c>
      <c r="L462" s="16" t="s">
        <v>724</v>
      </c>
      <c r="M462" s="17">
        <v>46043.604386574072</v>
      </c>
      <c r="N462" s="18">
        <v>46078.575162037036</v>
      </c>
      <c r="O462" s="19" t="s">
        <v>122</v>
      </c>
      <c r="P462" s="19" t="s">
        <v>39</v>
      </c>
    </row>
    <row r="463" spans="1:16" s="19" customFormat="1" ht="16.5" customHeight="1">
      <c r="A463" s="16" t="s">
        <v>1429</v>
      </c>
      <c r="B463" s="16" t="s">
        <v>183</v>
      </c>
      <c r="C463" s="16" t="s">
        <v>275</v>
      </c>
      <c r="D463" s="16" t="s">
        <v>1430</v>
      </c>
      <c r="E463" s="16" t="s">
        <v>1431</v>
      </c>
      <c r="F463" s="16" t="s">
        <v>278</v>
      </c>
      <c r="G463" s="16" t="s">
        <v>25</v>
      </c>
      <c r="H463" s="16" t="s">
        <v>26</v>
      </c>
      <c r="I463" s="16" t="s">
        <v>39</v>
      </c>
      <c r="J463" s="16" t="s">
        <v>724</v>
      </c>
      <c r="K463" s="16" t="s">
        <v>29</v>
      </c>
      <c r="L463" s="16" t="s">
        <v>724</v>
      </c>
      <c r="M463" s="17">
        <v>46042.628182870372</v>
      </c>
      <c r="N463" s="18">
        <v>46044.379143518519</v>
      </c>
      <c r="O463" s="19" t="s">
        <v>57</v>
      </c>
      <c r="P463" s="19" t="s">
        <v>58</v>
      </c>
    </row>
    <row r="464" spans="1:16" s="19" customFormat="1" ht="16.5" customHeight="1">
      <c r="A464" s="16" t="s">
        <v>1438</v>
      </c>
      <c r="B464" s="16" t="s">
        <v>183</v>
      </c>
      <c r="C464" s="16" t="s">
        <v>306</v>
      </c>
      <c r="D464" s="16" t="s">
        <v>1439</v>
      </c>
      <c r="E464" s="16" t="s">
        <v>1440</v>
      </c>
      <c r="F464" s="16" t="s">
        <v>232</v>
      </c>
      <c r="G464" s="16" t="s">
        <v>116</v>
      </c>
      <c r="H464" s="16" t="s">
        <v>26</v>
      </c>
      <c r="I464" s="16" t="s">
        <v>39</v>
      </c>
      <c r="J464" s="16" t="s">
        <v>724</v>
      </c>
      <c r="K464" s="16" t="s">
        <v>67</v>
      </c>
      <c r="L464" s="16" t="s">
        <v>724</v>
      </c>
      <c r="M464" s="17">
        <v>46043.722685185188</v>
      </c>
      <c r="N464" s="18">
        <v>46078.384710648148</v>
      </c>
      <c r="O464" s="19" t="s">
        <v>122</v>
      </c>
      <c r="P464" s="19" t="s">
        <v>39</v>
      </c>
    </row>
    <row r="465" spans="1:16" s="19" customFormat="1" ht="16.5" customHeight="1">
      <c r="A465" s="16" t="s">
        <v>1444</v>
      </c>
      <c r="B465" s="16" t="s">
        <v>183</v>
      </c>
      <c r="C465" s="16" t="s">
        <v>301</v>
      </c>
      <c r="D465" s="16" t="s">
        <v>1445</v>
      </c>
      <c r="E465" s="16" t="s">
        <v>1446</v>
      </c>
      <c r="F465" s="16" t="s">
        <v>269</v>
      </c>
      <c r="G465" s="16" t="s">
        <v>25</v>
      </c>
      <c r="H465" s="16" t="s">
        <v>26</v>
      </c>
      <c r="I465" s="16" t="s">
        <v>39</v>
      </c>
      <c r="J465" s="16" t="s">
        <v>724</v>
      </c>
      <c r="K465" s="16" t="s">
        <v>29</v>
      </c>
      <c r="L465" s="16" t="s">
        <v>724</v>
      </c>
      <c r="M465" s="17">
        <v>46042.577650462961</v>
      </c>
      <c r="N465" s="18">
        <v>46057.656747685185</v>
      </c>
      <c r="O465" s="19" t="s">
        <v>30</v>
      </c>
      <c r="P465" s="19" t="s">
        <v>31</v>
      </c>
    </row>
    <row r="466" spans="1:16" s="19" customFormat="1" ht="16.5" customHeight="1">
      <c r="A466" s="16" t="s">
        <v>1447</v>
      </c>
      <c r="B466" s="16" t="s">
        <v>183</v>
      </c>
      <c r="C466" s="16" t="s">
        <v>184</v>
      </c>
      <c r="D466" s="16" t="s">
        <v>1448</v>
      </c>
      <c r="E466" s="16" t="s">
        <v>1449</v>
      </c>
      <c r="F466" s="16" t="s">
        <v>187</v>
      </c>
      <c r="G466" s="16" t="s">
        <v>25</v>
      </c>
      <c r="H466" s="16" t="s">
        <v>26</v>
      </c>
      <c r="I466" s="16" t="s">
        <v>203</v>
      </c>
      <c r="J466" s="16" t="s">
        <v>724</v>
      </c>
      <c r="K466" s="16" t="s">
        <v>29</v>
      </c>
      <c r="L466" s="16" t="s">
        <v>724</v>
      </c>
      <c r="M466" s="17">
        <v>46044.598645833335</v>
      </c>
      <c r="N466" s="18">
        <v>46080.641493055555</v>
      </c>
      <c r="O466" s="19" t="s">
        <v>40</v>
      </c>
      <c r="P466" s="19" t="s">
        <v>41</v>
      </c>
    </row>
    <row r="467" spans="1:16" s="19" customFormat="1" ht="16.5" customHeight="1">
      <c r="A467" s="16" t="s">
        <v>1447</v>
      </c>
      <c r="B467" s="16" t="s">
        <v>183</v>
      </c>
      <c r="C467" s="16" t="s">
        <v>184</v>
      </c>
      <c r="D467" s="16" t="s">
        <v>1450</v>
      </c>
      <c r="E467" s="16" t="s">
        <v>1451</v>
      </c>
      <c r="F467" s="16" t="s">
        <v>187</v>
      </c>
      <c r="G467" s="16" t="s">
        <v>25</v>
      </c>
      <c r="H467" s="16" t="s">
        <v>38</v>
      </c>
      <c r="I467" s="16" t="s">
        <v>27</v>
      </c>
      <c r="J467" s="16" t="s">
        <v>724</v>
      </c>
      <c r="K467" s="16" t="s">
        <v>29</v>
      </c>
      <c r="L467" s="16" t="s">
        <v>724</v>
      </c>
      <c r="M467" s="17">
        <v>46044.613067129627</v>
      </c>
      <c r="N467" s="18">
        <v>46080.646851851852</v>
      </c>
      <c r="O467" s="19" t="s">
        <v>57</v>
      </c>
      <c r="P467" s="19" t="s">
        <v>58</v>
      </c>
    </row>
    <row r="468" spans="1:16" s="19" customFormat="1" ht="16.5" customHeight="1">
      <c r="A468" s="16" t="s">
        <v>1447</v>
      </c>
      <c r="B468" s="16" t="s">
        <v>183</v>
      </c>
      <c r="C468" s="16" t="s">
        <v>184</v>
      </c>
      <c r="D468" s="16" t="s">
        <v>1452</v>
      </c>
      <c r="E468" s="16" t="s">
        <v>1453</v>
      </c>
      <c r="F468" s="16" t="s">
        <v>187</v>
      </c>
      <c r="G468" s="16" t="s">
        <v>25</v>
      </c>
      <c r="H468" s="16" t="s">
        <v>26</v>
      </c>
      <c r="I468" s="16" t="s">
        <v>39</v>
      </c>
      <c r="J468" s="16" t="s">
        <v>724</v>
      </c>
      <c r="K468" s="16" t="s">
        <v>67</v>
      </c>
      <c r="L468" s="16" t="s">
        <v>724</v>
      </c>
      <c r="M468" s="17">
        <v>46044.603009259263</v>
      </c>
      <c r="N468" s="18">
        <v>46080.64371527778</v>
      </c>
      <c r="O468" s="19" t="s">
        <v>40</v>
      </c>
      <c r="P468" s="19" t="s">
        <v>41</v>
      </c>
    </row>
    <row r="469" spans="1:16" s="19" customFormat="1" ht="16.5" customHeight="1">
      <c r="A469" s="16" t="s">
        <v>1454</v>
      </c>
      <c r="B469" s="16" t="s">
        <v>183</v>
      </c>
      <c r="C469" s="16" t="s">
        <v>301</v>
      </c>
      <c r="D469" s="16" t="s">
        <v>1455</v>
      </c>
      <c r="E469" s="16" t="s">
        <v>1041</v>
      </c>
      <c r="F469" s="16" t="s">
        <v>269</v>
      </c>
      <c r="G469" s="16" t="s">
        <v>25</v>
      </c>
      <c r="H469" s="16" t="s">
        <v>26</v>
      </c>
      <c r="I469" s="16" t="s">
        <v>39</v>
      </c>
      <c r="J469" s="16" t="s">
        <v>724</v>
      </c>
      <c r="K469" s="16" t="s">
        <v>29</v>
      </c>
      <c r="L469" s="16" t="s">
        <v>724</v>
      </c>
      <c r="M469" s="17">
        <v>46041.550844907404</v>
      </c>
      <c r="N469" s="18">
        <v>46057.647453703707</v>
      </c>
      <c r="O469" s="19" t="s">
        <v>40</v>
      </c>
      <c r="P469" s="19" t="s">
        <v>41</v>
      </c>
    </row>
    <row r="470" spans="1:16" s="19" customFormat="1" ht="16.5" customHeight="1">
      <c r="A470" s="16" t="s">
        <v>1456</v>
      </c>
      <c r="B470" s="16" t="s">
        <v>183</v>
      </c>
      <c r="C470" s="16" t="s">
        <v>111</v>
      </c>
      <c r="D470" s="16" t="s">
        <v>1457</v>
      </c>
      <c r="E470" s="16" t="s">
        <v>1458</v>
      </c>
      <c r="F470" s="16" t="s">
        <v>114</v>
      </c>
      <c r="G470" s="16" t="s">
        <v>116</v>
      </c>
      <c r="H470" s="16" t="s">
        <v>26</v>
      </c>
      <c r="I470" s="16" t="s">
        <v>82</v>
      </c>
      <c r="J470" s="16" t="s">
        <v>724</v>
      </c>
      <c r="K470" s="16" t="s">
        <v>67</v>
      </c>
      <c r="L470" s="16" t="s">
        <v>724</v>
      </c>
      <c r="M470" s="17">
        <v>46043.605740740742</v>
      </c>
      <c r="N470" s="18">
        <v>46078.591168981482</v>
      </c>
      <c r="O470" s="19" t="s">
        <v>57</v>
      </c>
      <c r="P470" s="19" t="s">
        <v>58</v>
      </c>
    </row>
    <row r="471" spans="1:16" s="19" customFormat="1" ht="16.5" customHeight="1">
      <c r="A471" s="16" t="s">
        <v>1462</v>
      </c>
      <c r="B471" s="16" t="s">
        <v>183</v>
      </c>
      <c r="C471" s="16" t="s">
        <v>111</v>
      </c>
      <c r="D471" s="16" t="s">
        <v>1463</v>
      </c>
      <c r="E471" s="16" t="s">
        <v>1464</v>
      </c>
      <c r="F471" s="16" t="s">
        <v>114</v>
      </c>
      <c r="G471" s="16" t="s">
        <v>116</v>
      </c>
      <c r="H471" s="16" t="s">
        <v>26</v>
      </c>
      <c r="I471" s="16" t="s">
        <v>39</v>
      </c>
      <c r="J471" s="16" t="s">
        <v>724</v>
      </c>
      <c r="K471" s="16" t="s">
        <v>67</v>
      </c>
      <c r="L471" s="16" t="s">
        <v>724</v>
      </c>
      <c r="M471" s="17">
        <v>46044.64943287037</v>
      </c>
      <c r="N471" s="18">
        <v>46078.580509259256</v>
      </c>
      <c r="O471" s="19" t="s">
        <v>95</v>
      </c>
      <c r="P471" s="19" t="s">
        <v>56</v>
      </c>
    </row>
    <row r="472" spans="1:16" s="19" customFormat="1" ht="16.5" customHeight="1">
      <c r="A472" s="16" t="s">
        <v>1465</v>
      </c>
      <c r="B472" s="16" t="s">
        <v>183</v>
      </c>
      <c r="C472" s="16" t="s">
        <v>111</v>
      </c>
      <c r="D472" s="16" t="s">
        <v>1466</v>
      </c>
      <c r="E472" s="16" t="s">
        <v>1467</v>
      </c>
      <c r="F472" s="16" t="s">
        <v>114</v>
      </c>
      <c r="G472" s="16" t="s">
        <v>116</v>
      </c>
      <c r="H472" s="16" t="s">
        <v>26</v>
      </c>
      <c r="I472" s="16" t="s">
        <v>39</v>
      </c>
      <c r="J472" s="16" t="s">
        <v>724</v>
      </c>
      <c r="K472" s="16" t="s">
        <v>67</v>
      </c>
      <c r="L472" s="16" t="s">
        <v>724</v>
      </c>
      <c r="M472" s="17">
        <v>46044.702673611115</v>
      </c>
      <c r="N472" s="18">
        <v>46078.588229166664</v>
      </c>
      <c r="O472" s="19" t="s">
        <v>122</v>
      </c>
      <c r="P472" s="19" t="s">
        <v>39</v>
      </c>
    </row>
    <row r="473" spans="1:16" s="19" customFormat="1" ht="16.5" customHeight="1">
      <c r="A473" s="16" t="s">
        <v>1468</v>
      </c>
      <c r="B473" s="16" t="s">
        <v>183</v>
      </c>
      <c r="C473" s="16" t="s">
        <v>111</v>
      </c>
      <c r="D473" s="16" t="s">
        <v>1469</v>
      </c>
      <c r="E473" s="16" t="s">
        <v>1470</v>
      </c>
      <c r="F473" s="16" t="s">
        <v>114</v>
      </c>
      <c r="G473" s="16" t="s">
        <v>116</v>
      </c>
      <c r="H473" s="16" t="s">
        <v>26</v>
      </c>
      <c r="I473" s="16" t="s">
        <v>39</v>
      </c>
      <c r="J473" s="16" t="s">
        <v>724</v>
      </c>
      <c r="K473" s="16" t="s">
        <v>67</v>
      </c>
      <c r="L473" s="16" t="s">
        <v>724</v>
      </c>
      <c r="M473" s="17">
        <v>46045.425555555557</v>
      </c>
      <c r="N473" s="18">
        <v>46078.583252314813</v>
      </c>
      <c r="O473" s="19" t="s">
        <v>40</v>
      </c>
      <c r="P473" s="19" t="s">
        <v>41</v>
      </c>
    </row>
    <row r="474" spans="1:16" s="19" customFormat="1" ht="16.5" customHeight="1">
      <c r="A474" s="16" t="s">
        <v>1471</v>
      </c>
      <c r="B474" s="16" t="s">
        <v>183</v>
      </c>
      <c r="C474" s="16" t="s">
        <v>111</v>
      </c>
      <c r="D474" s="16" t="s">
        <v>1472</v>
      </c>
      <c r="E474" s="16" t="s">
        <v>1473</v>
      </c>
      <c r="F474" s="16" t="s">
        <v>114</v>
      </c>
      <c r="G474" s="16" t="s">
        <v>116</v>
      </c>
      <c r="H474" s="16" t="s">
        <v>26</v>
      </c>
      <c r="I474" s="16" t="s">
        <v>39</v>
      </c>
      <c r="J474" s="16" t="s">
        <v>724</v>
      </c>
      <c r="K474" s="16" t="s">
        <v>67</v>
      </c>
      <c r="L474" s="16" t="s">
        <v>724</v>
      </c>
      <c r="M474" s="17">
        <v>46045.595543981479</v>
      </c>
      <c r="N474" s="18">
        <v>46078.581261574072</v>
      </c>
      <c r="O474" s="19" t="s">
        <v>40</v>
      </c>
      <c r="P474" s="19" t="s">
        <v>41</v>
      </c>
    </row>
    <row r="475" spans="1:16" s="19" customFormat="1" ht="16.5" customHeight="1">
      <c r="A475" s="16" t="s">
        <v>1474</v>
      </c>
      <c r="B475" s="16" t="s">
        <v>183</v>
      </c>
      <c r="C475" s="16" t="s">
        <v>111</v>
      </c>
      <c r="D475" s="16" t="s">
        <v>1475</v>
      </c>
      <c r="E475" s="16" t="s">
        <v>1476</v>
      </c>
      <c r="F475" s="16" t="s">
        <v>114</v>
      </c>
      <c r="G475" s="16" t="s">
        <v>116</v>
      </c>
      <c r="H475" s="16" t="s">
        <v>26</v>
      </c>
      <c r="I475" s="16" t="s">
        <v>39</v>
      </c>
      <c r="J475" s="16" t="s">
        <v>724</v>
      </c>
      <c r="K475" s="16" t="s">
        <v>67</v>
      </c>
      <c r="L475" s="16" t="s">
        <v>724</v>
      </c>
      <c r="M475" s="17">
        <v>46045.448379629626</v>
      </c>
      <c r="N475" s="18">
        <v>46078.582789351851</v>
      </c>
      <c r="O475" s="19" t="s">
        <v>40</v>
      </c>
      <c r="P475" s="19" t="s">
        <v>41</v>
      </c>
    </row>
    <row r="476" spans="1:16" s="19" customFormat="1" ht="16.5" customHeight="1">
      <c r="A476" s="16" t="s">
        <v>1477</v>
      </c>
      <c r="B476" s="16" t="s">
        <v>183</v>
      </c>
      <c r="C476" s="16" t="s">
        <v>111</v>
      </c>
      <c r="D476" s="16" t="s">
        <v>1478</v>
      </c>
      <c r="E476" s="16" t="s">
        <v>1479</v>
      </c>
      <c r="F476" s="16" t="s">
        <v>114</v>
      </c>
      <c r="G476" s="16" t="s">
        <v>116</v>
      </c>
      <c r="H476" s="16" t="s">
        <v>26</v>
      </c>
      <c r="I476" s="16" t="s">
        <v>82</v>
      </c>
      <c r="J476" s="16" t="s">
        <v>724</v>
      </c>
      <c r="K476" s="16" t="s">
        <v>67</v>
      </c>
      <c r="L476" s="16" t="s">
        <v>724</v>
      </c>
      <c r="M476" s="17">
        <v>46043.638935185183</v>
      </c>
      <c r="N476" s="18">
        <v>46078.58184027778</v>
      </c>
      <c r="O476" s="19" t="s">
        <v>122</v>
      </c>
      <c r="P476" s="19" t="s">
        <v>39</v>
      </c>
    </row>
    <row r="477" spans="1:16" s="19" customFormat="1" ht="16.5" customHeight="1">
      <c r="A477" s="16" t="s">
        <v>1508</v>
      </c>
      <c r="B477" s="16" t="s">
        <v>183</v>
      </c>
      <c r="C477" s="16" t="s">
        <v>184</v>
      </c>
      <c r="D477" s="16" t="s">
        <v>1509</v>
      </c>
      <c r="E477" s="16" t="s">
        <v>1510</v>
      </c>
      <c r="F477" s="16" t="s">
        <v>187</v>
      </c>
      <c r="G477" s="16" t="s">
        <v>25</v>
      </c>
      <c r="H477" s="16" t="s">
        <v>26</v>
      </c>
      <c r="I477" s="16" t="s">
        <v>27</v>
      </c>
      <c r="J477" s="16" t="s">
        <v>724</v>
      </c>
      <c r="K477" s="16" t="s">
        <v>67</v>
      </c>
      <c r="L477" s="16" t="s">
        <v>724</v>
      </c>
      <c r="M477" s="17">
        <v>46041.435995370368</v>
      </c>
      <c r="N477" s="18">
        <v>46080.623530092591</v>
      </c>
      <c r="O477" s="19" t="s">
        <v>72</v>
      </c>
      <c r="P477" s="19" t="s">
        <v>73</v>
      </c>
    </row>
    <row r="478" spans="1:16" s="19" customFormat="1" ht="16.5" customHeight="1">
      <c r="A478" s="16" t="s">
        <v>1508</v>
      </c>
      <c r="B478" s="16" t="s">
        <v>183</v>
      </c>
      <c r="C478" s="16" t="s">
        <v>184</v>
      </c>
      <c r="D478" s="16" t="s">
        <v>1511</v>
      </c>
      <c r="E478" s="16" t="s">
        <v>197</v>
      </c>
      <c r="F478" s="16" t="s">
        <v>187</v>
      </c>
      <c r="G478" s="16" t="s">
        <v>25</v>
      </c>
      <c r="H478" s="16" t="s">
        <v>26</v>
      </c>
      <c r="I478" s="16" t="s">
        <v>27</v>
      </c>
      <c r="J478" s="16" t="s">
        <v>724</v>
      </c>
      <c r="K478" s="16" t="s">
        <v>29</v>
      </c>
      <c r="L478" s="16" t="s">
        <v>724</v>
      </c>
      <c r="M478" s="17">
        <v>46041.559965277775</v>
      </c>
      <c r="N478" s="18">
        <v>46080.624201388891</v>
      </c>
      <c r="O478" s="19" t="s">
        <v>40</v>
      </c>
      <c r="P478" s="19" t="s">
        <v>41</v>
      </c>
    </row>
    <row r="479" spans="1:16" s="19" customFormat="1" ht="16.5" customHeight="1">
      <c r="A479" s="16" t="s">
        <v>1508</v>
      </c>
      <c r="B479" s="16" t="s">
        <v>183</v>
      </c>
      <c r="C479" s="16" t="s">
        <v>184</v>
      </c>
      <c r="D479" s="16" t="s">
        <v>1512</v>
      </c>
      <c r="E479" s="16" t="s">
        <v>202</v>
      </c>
      <c r="F479" s="16" t="s">
        <v>187</v>
      </c>
      <c r="G479" s="16" t="s">
        <v>25</v>
      </c>
      <c r="H479" s="16" t="s">
        <v>26</v>
      </c>
      <c r="I479" s="16" t="s">
        <v>203</v>
      </c>
      <c r="J479" s="16" t="s">
        <v>724</v>
      </c>
      <c r="K479" s="16" t="s">
        <v>29</v>
      </c>
      <c r="L479" s="16" t="s">
        <v>724</v>
      </c>
      <c r="M479" s="17">
        <v>46041.45071759259</v>
      </c>
      <c r="N479" s="18">
        <v>46080.623726851853</v>
      </c>
      <c r="O479" s="19" t="s">
        <v>122</v>
      </c>
      <c r="P479" s="19" t="s">
        <v>39</v>
      </c>
    </row>
    <row r="480" spans="1:16" s="19" customFormat="1" ht="16.5" customHeight="1">
      <c r="A480" s="16" t="s">
        <v>1508</v>
      </c>
      <c r="B480" s="16" t="s">
        <v>183</v>
      </c>
      <c r="C480" s="16" t="s">
        <v>184</v>
      </c>
      <c r="D480" s="16" t="s">
        <v>1513</v>
      </c>
      <c r="E480" s="16" t="s">
        <v>195</v>
      </c>
      <c r="F480" s="16" t="s">
        <v>187</v>
      </c>
      <c r="G480" s="16" t="s">
        <v>25</v>
      </c>
      <c r="H480" s="16" t="s">
        <v>26</v>
      </c>
      <c r="I480" s="16" t="s">
        <v>39</v>
      </c>
      <c r="J480" s="16" t="s">
        <v>724</v>
      </c>
      <c r="K480" s="16" t="s">
        <v>67</v>
      </c>
      <c r="L480" s="16" t="s">
        <v>724</v>
      </c>
      <c r="M480" s="17">
        <v>46041.441620370373</v>
      </c>
      <c r="N480" s="18">
        <v>46080.624363425923</v>
      </c>
      <c r="O480" s="19" t="s">
        <v>95</v>
      </c>
      <c r="P480" s="19" t="s">
        <v>56</v>
      </c>
    </row>
    <row r="481" spans="1:16" s="19" customFormat="1" ht="16.5" customHeight="1">
      <c r="A481" s="16" t="s">
        <v>193</v>
      </c>
      <c r="B481" s="16" t="s">
        <v>183</v>
      </c>
      <c r="C481" s="16" t="s">
        <v>184</v>
      </c>
      <c r="D481" s="16" t="s">
        <v>1514</v>
      </c>
      <c r="E481" s="16" t="s">
        <v>192</v>
      </c>
      <c r="F481" s="16" t="s">
        <v>187</v>
      </c>
      <c r="G481" s="16" t="s">
        <v>25</v>
      </c>
      <c r="H481" s="16" t="s">
        <v>26</v>
      </c>
      <c r="I481" s="16" t="s">
        <v>39</v>
      </c>
      <c r="J481" s="16" t="s">
        <v>724</v>
      </c>
      <c r="K481" s="16" t="s">
        <v>67</v>
      </c>
      <c r="L481" s="16" t="s">
        <v>724</v>
      </c>
      <c r="M481" s="17">
        <v>46041.599351851852</v>
      </c>
      <c r="N481" s="18">
        <v>46080.629421296297</v>
      </c>
      <c r="O481" s="19" t="s">
        <v>95</v>
      </c>
      <c r="P481" s="19" t="s">
        <v>56</v>
      </c>
    </row>
    <row r="482" spans="1:16" s="19" customFormat="1" ht="16.5" customHeight="1">
      <c r="A482" s="16" t="s">
        <v>193</v>
      </c>
      <c r="B482" s="16" t="s">
        <v>183</v>
      </c>
      <c r="C482" s="16" t="s">
        <v>184</v>
      </c>
      <c r="D482" s="16" t="s">
        <v>1515</v>
      </c>
      <c r="E482" s="16" t="s">
        <v>202</v>
      </c>
      <c r="F482" s="16" t="s">
        <v>187</v>
      </c>
      <c r="G482" s="16" t="s">
        <v>25</v>
      </c>
      <c r="H482" s="16" t="s">
        <v>26</v>
      </c>
      <c r="I482" s="16" t="s">
        <v>203</v>
      </c>
      <c r="J482" s="16" t="s">
        <v>724</v>
      </c>
      <c r="K482" s="16" t="s">
        <v>29</v>
      </c>
      <c r="L482" s="16" t="s">
        <v>724</v>
      </c>
      <c r="M482" s="17">
        <v>46041.600069444445</v>
      </c>
      <c r="N482" s="18">
        <v>46080.628217592595</v>
      </c>
      <c r="O482" s="19" t="s">
        <v>40</v>
      </c>
      <c r="P482" s="19" t="s">
        <v>41</v>
      </c>
    </row>
    <row r="483" spans="1:16" s="19" customFormat="1" ht="16.5" customHeight="1">
      <c r="A483" s="16" t="s">
        <v>209</v>
      </c>
      <c r="B483" s="16" t="s">
        <v>183</v>
      </c>
      <c r="C483" s="16" t="s">
        <v>184</v>
      </c>
      <c r="D483" s="16" t="s">
        <v>1516</v>
      </c>
      <c r="E483" s="16" t="s">
        <v>1517</v>
      </c>
      <c r="F483" s="16" t="s">
        <v>187</v>
      </c>
      <c r="G483" s="16" t="s">
        <v>25</v>
      </c>
      <c r="H483" s="16" t="s">
        <v>26</v>
      </c>
      <c r="I483" s="16" t="s">
        <v>39</v>
      </c>
      <c r="J483" s="16" t="s">
        <v>724</v>
      </c>
      <c r="K483" s="16" t="s">
        <v>67</v>
      </c>
      <c r="L483" s="16" t="s">
        <v>724</v>
      </c>
      <c r="M483" s="17">
        <v>46041.618796296294</v>
      </c>
      <c r="N483" s="18">
        <v>46080.634745370371</v>
      </c>
      <c r="O483" s="19" t="s">
        <v>126</v>
      </c>
      <c r="P483" s="19" t="s">
        <v>127</v>
      </c>
    </row>
    <row r="484" spans="1:16" s="19" customFormat="1" ht="16.5" customHeight="1">
      <c r="A484" s="16" t="s">
        <v>1684</v>
      </c>
      <c r="B484" s="16" t="s">
        <v>183</v>
      </c>
      <c r="C484" s="16" t="s">
        <v>216</v>
      </c>
      <c r="D484" s="16" t="s">
        <v>1685</v>
      </c>
      <c r="E484" s="16" t="s">
        <v>1686</v>
      </c>
      <c r="F484" s="16" t="s">
        <v>219</v>
      </c>
      <c r="G484" s="16" t="s">
        <v>116</v>
      </c>
      <c r="H484" s="16" t="s">
        <v>26</v>
      </c>
      <c r="I484" s="16" t="s">
        <v>39</v>
      </c>
      <c r="J484" s="16" t="s">
        <v>724</v>
      </c>
      <c r="K484" s="16" t="s">
        <v>67</v>
      </c>
      <c r="L484" s="16" t="s">
        <v>724</v>
      </c>
      <c r="M484" s="17">
        <v>46043.410532407404</v>
      </c>
      <c r="N484" s="18">
        <v>46063.638807870368</v>
      </c>
      <c r="O484" s="19" t="s">
        <v>76</v>
      </c>
      <c r="P484" s="19" t="s">
        <v>77</v>
      </c>
    </row>
    <row r="485" spans="1:16" s="19" customFormat="1" ht="16.5" customHeight="1">
      <c r="A485" s="16" t="s">
        <v>1687</v>
      </c>
      <c r="B485" s="16" t="s">
        <v>183</v>
      </c>
      <c r="C485" s="16" t="s">
        <v>216</v>
      </c>
      <c r="D485" s="16" t="s">
        <v>1688</v>
      </c>
      <c r="E485" s="16" t="s">
        <v>1686</v>
      </c>
      <c r="F485" s="16" t="s">
        <v>219</v>
      </c>
      <c r="G485" s="16" t="s">
        <v>116</v>
      </c>
      <c r="H485" s="16" t="s">
        <v>26</v>
      </c>
      <c r="I485" s="16" t="s">
        <v>39</v>
      </c>
      <c r="J485" s="16" t="s">
        <v>724</v>
      </c>
      <c r="K485" s="16" t="s">
        <v>67</v>
      </c>
      <c r="L485" s="16" t="s">
        <v>724</v>
      </c>
      <c r="M485" s="17">
        <v>46043.415335648147</v>
      </c>
      <c r="N485" s="18">
        <v>46063.639374999999</v>
      </c>
      <c r="O485" s="19" t="s">
        <v>122</v>
      </c>
      <c r="P485" s="19" t="s">
        <v>39</v>
      </c>
    </row>
    <row r="486" spans="1:16" s="19" customFormat="1" ht="16.5" customHeight="1">
      <c r="A486" s="16" t="s">
        <v>1703</v>
      </c>
      <c r="B486" s="16" t="s">
        <v>183</v>
      </c>
      <c r="C486" s="16" t="s">
        <v>229</v>
      </c>
      <c r="D486" s="16" t="s">
        <v>1704</v>
      </c>
      <c r="E486" s="16" t="s">
        <v>1705</v>
      </c>
      <c r="F486" s="16" t="s">
        <v>232</v>
      </c>
      <c r="G486" s="16" t="s">
        <v>25</v>
      </c>
      <c r="H486" s="16" t="s">
        <v>38</v>
      </c>
      <c r="I486" s="16" t="s">
        <v>27</v>
      </c>
      <c r="J486" s="16" t="s">
        <v>724</v>
      </c>
      <c r="K486" s="16" t="s">
        <v>29</v>
      </c>
      <c r="L486" s="16" t="s">
        <v>724</v>
      </c>
      <c r="M486" s="17">
        <v>46041.470347222225</v>
      </c>
      <c r="N486" s="18">
        <v>46077.385613425926</v>
      </c>
      <c r="O486" s="19" t="s">
        <v>95</v>
      </c>
      <c r="P486" s="19" t="s">
        <v>56</v>
      </c>
    </row>
    <row r="487" spans="1:16" s="19" customFormat="1" ht="16.5" customHeight="1">
      <c r="A487" s="16" t="s">
        <v>1706</v>
      </c>
      <c r="B487" s="16" t="s">
        <v>183</v>
      </c>
      <c r="C487" s="16" t="s">
        <v>301</v>
      </c>
      <c r="D487" s="16" t="s">
        <v>1707</v>
      </c>
      <c r="E487" s="16" t="s">
        <v>1708</v>
      </c>
      <c r="F487" s="16" t="s">
        <v>269</v>
      </c>
      <c r="G487" s="16" t="s">
        <v>25</v>
      </c>
      <c r="H487" s="16" t="s">
        <v>26</v>
      </c>
      <c r="I487" s="16" t="s">
        <v>39</v>
      </c>
      <c r="J487" s="16" t="s">
        <v>724</v>
      </c>
      <c r="K487" s="16" t="s">
        <v>29</v>
      </c>
      <c r="L487" s="16" t="s">
        <v>724</v>
      </c>
      <c r="M487" s="17">
        <v>46041.623611111114</v>
      </c>
      <c r="N487" s="18">
        <v>46045.612175925926</v>
      </c>
      <c r="O487" s="19" t="s">
        <v>40</v>
      </c>
      <c r="P487" s="19" t="s">
        <v>41</v>
      </c>
    </row>
    <row r="488" spans="1:16" s="19" customFormat="1" ht="16.5" customHeight="1">
      <c r="A488" s="16" t="s">
        <v>1709</v>
      </c>
      <c r="B488" s="16" t="s">
        <v>183</v>
      </c>
      <c r="C488" s="16" t="s">
        <v>301</v>
      </c>
      <c r="D488" s="16" t="s">
        <v>1710</v>
      </c>
      <c r="E488" s="16" t="s">
        <v>1711</v>
      </c>
      <c r="F488" s="16" t="s">
        <v>269</v>
      </c>
      <c r="G488" s="16" t="s">
        <v>25</v>
      </c>
      <c r="H488" s="16" t="s">
        <v>26</v>
      </c>
      <c r="I488" s="16" t="s">
        <v>39</v>
      </c>
      <c r="J488" s="16" t="s">
        <v>724</v>
      </c>
      <c r="K488" s="16" t="s">
        <v>29</v>
      </c>
      <c r="L488" s="16" t="s">
        <v>724</v>
      </c>
      <c r="M488" s="17">
        <v>46041.652106481481</v>
      </c>
      <c r="N488" s="18">
        <v>46045.571238425924</v>
      </c>
      <c r="O488" s="19" t="s">
        <v>122</v>
      </c>
      <c r="P488" s="19" t="s">
        <v>39</v>
      </c>
    </row>
    <row r="489" spans="1:16" s="19" customFormat="1" ht="16.5" customHeight="1">
      <c r="A489" s="16" t="s">
        <v>1717</v>
      </c>
      <c r="B489" s="16" t="s">
        <v>183</v>
      </c>
      <c r="C489" s="16" t="s">
        <v>19</v>
      </c>
      <c r="D489" s="16" t="s">
        <v>1718</v>
      </c>
      <c r="E489" s="16" t="s">
        <v>1719</v>
      </c>
      <c r="F489" s="16" t="s">
        <v>22</v>
      </c>
      <c r="G489" s="16" t="s">
        <v>25</v>
      </c>
      <c r="H489" s="16" t="s">
        <v>26</v>
      </c>
      <c r="I489" s="16" t="s">
        <v>39</v>
      </c>
      <c r="J489" s="16" t="s">
        <v>1715</v>
      </c>
      <c r="K489" s="16" t="s">
        <v>29</v>
      </c>
      <c r="L489" s="16" t="s">
        <v>1716</v>
      </c>
      <c r="M489" s="17">
        <v>46043.652997685182</v>
      </c>
      <c r="N489" s="18">
        <v>46055.63559027778</v>
      </c>
      <c r="O489" s="19" t="s">
        <v>72</v>
      </c>
      <c r="P489" s="19" t="s">
        <v>73</v>
      </c>
    </row>
    <row r="490" spans="1:16" s="19" customFormat="1" ht="16.5" customHeight="1">
      <c r="A490" s="16" t="s">
        <v>182</v>
      </c>
      <c r="B490" s="16" t="s">
        <v>183</v>
      </c>
      <c r="C490" s="16" t="s">
        <v>184</v>
      </c>
      <c r="D490" s="16" t="s">
        <v>1720</v>
      </c>
      <c r="E490" s="16" t="s">
        <v>202</v>
      </c>
      <c r="F490" s="16" t="s">
        <v>187</v>
      </c>
      <c r="G490" s="16" t="s">
        <v>25</v>
      </c>
      <c r="H490" s="16" t="s">
        <v>26</v>
      </c>
      <c r="I490" s="16" t="s">
        <v>203</v>
      </c>
      <c r="J490" s="16" t="s">
        <v>1715</v>
      </c>
      <c r="K490" s="16" t="s">
        <v>67</v>
      </c>
      <c r="L490" s="16" t="s">
        <v>1716</v>
      </c>
      <c r="M490" s="17">
        <v>46041.470173611109</v>
      </c>
      <c r="N490" s="18">
        <v>46084.614861111113</v>
      </c>
      <c r="O490" s="19" t="s">
        <v>126</v>
      </c>
      <c r="P490" s="19" t="s">
        <v>127</v>
      </c>
    </row>
    <row r="491" spans="1:16" s="19" customFormat="1" ht="16.5" customHeight="1">
      <c r="A491" s="16" t="s">
        <v>1724</v>
      </c>
      <c r="B491" s="16" t="s">
        <v>183</v>
      </c>
      <c r="C491" s="16" t="s">
        <v>19</v>
      </c>
      <c r="D491" s="16" t="s">
        <v>1725</v>
      </c>
      <c r="E491" s="16" t="s">
        <v>1726</v>
      </c>
      <c r="F491" s="16" t="s">
        <v>22</v>
      </c>
      <c r="G491" s="16" t="s">
        <v>25</v>
      </c>
      <c r="H491" s="16" t="s">
        <v>38</v>
      </c>
      <c r="I491" s="16" t="s">
        <v>39</v>
      </c>
      <c r="J491" s="16" t="s">
        <v>1715</v>
      </c>
      <c r="K491" s="16" t="s">
        <v>29</v>
      </c>
      <c r="L491" s="16" t="s">
        <v>1716</v>
      </c>
      <c r="M491" s="17">
        <v>46044.69740740741</v>
      </c>
      <c r="N491" s="18">
        <v>46052.377986111111</v>
      </c>
      <c r="O491" s="19" t="s">
        <v>95</v>
      </c>
      <c r="P491" s="19" t="s">
        <v>56</v>
      </c>
    </row>
    <row r="492" spans="1:16" s="19" customFormat="1" ht="16.5" customHeight="1">
      <c r="A492" s="16" t="s">
        <v>1727</v>
      </c>
      <c r="B492" s="16" t="s">
        <v>183</v>
      </c>
      <c r="C492" s="16" t="s">
        <v>19</v>
      </c>
      <c r="D492" s="16" t="s">
        <v>1728</v>
      </c>
      <c r="E492" s="16" t="s">
        <v>1729</v>
      </c>
      <c r="F492" s="16" t="s">
        <v>22</v>
      </c>
      <c r="G492" s="16" t="s">
        <v>25</v>
      </c>
      <c r="H492" s="16" t="s">
        <v>26</v>
      </c>
      <c r="I492" s="16" t="s">
        <v>39</v>
      </c>
      <c r="J492" s="16" t="s">
        <v>1715</v>
      </c>
      <c r="K492" s="16" t="s">
        <v>29</v>
      </c>
      <c r="L492" s="16" t="s">
        <v>1716</v>
      </c>
      <c r="M492" s="17">
        <v>46044.452604166669</v>
      </c>
      <c r="N492" s="18">
        <v>46052.375949074078</v>
      </c>
      <c r="O492" s="19" t="s">
        <v>122</v>
      </c>
      <c r="P492" s="19" t="s">
        <v>39</v>
      </c>
    </row>
    <row r="493" spans="1:16" s="19" customFormat="1" ht="16.5" customHeight="1">
      <c r="A493" s="16" t="s">
        <v>1730</v>
      </c>
      <c r="B493" s="16" t="s">
        <v>183</v>
      </c>
      <c r="C493" s="16" t="s">
        <v>19</v>
      </c>
      <c r="D493" s="16" t="s">
        <v>1731</v>
      </c>
      <c r="E493" s="16" t="s">
        <v>1732</v>
      </c>
      <c r="F493" s="16" t="s">
        <v>22</v>
      </c>
      <c r="G493" s="16" t="s">
        <v>25</v>
      </c>
      <c r="H493" s="16" t="s">
        <v>26</v>
      </c>
      <c r="I493" s="16" t="s">
        <v>39</v>
      </c>
      <c r="J493" s="16" t="s">
        <v>1715</v>
      </c>
      <c r="K493" s="16" t="s">
        <v>29</v>
      </c>
      <c r="L493" s="16" t="s">
        <v>1716</v>
      </c>
      <c r="M493" s="17">
        <v>46043.605821759258</v>
      </c>
      <c r="N493" s="18">
        <v>46051.422326388885</v>
      </c>
      <c r="O493" s="19" t="s">
        <v>419</v>
      </c>
      <c r="P493" s="19" t="s">
        <v>66</v>
      </c>
    </row>
    <row r="494" spans="1:16" s="19" customFormat="1" ht="16.5" customHeight="1">
      <c r="A494" s="16" t="s">
        <v>632</v>
      </c>
      <c r="B494" s="16" t="s">
        <v>183</v>
      </c>
      <c r="C494" s="16" t="s">
        <v>229</v>
      </c>
      <c r="D494" s="16" t="s">
        <v>1742</v>
      </c>
      <c r="E494" s="16" t="s">
        <v>1743</v>
      </c>
      <c r="F494" s="16" t="s">
        <v>232</v>
      </c>
      <c r="G494" s="16" t="s">
        <v>25</v>
      </c>
      <c r="H494" s="16" t="s">
        <v>38</v>
      </c>
      <c r="I494" s="16" t="s">
        <v>39</v>
      </c>
      <c r="J494" s="16" t="s">
        <v>1715</v>
      </c>
      <c r="K494" s="16" t="s">
        <v>106</v>
      </c>
      <c r="L494" s="16" t="s">
        <v>1716</v>
      </c>
      <c r="M494" s="17">
        <v>46042.472905092596</v>
      </c>
      <c r="N494" s="18">
        <v>46044.555162037039</v>
      </c>
      <c r="O494" s="19" t="s">
        <v>419</v>
      </c>
      <c r="P494" s="19" t="s">
        <v>66</v>
      </c>
    </row>
    <row r="495" spans="1:16" s="19" customFormat="1" ht="16.5" customHeight="1">
      <c r="A495" s="16" t="s">
        <v>632</v>
      </c>
      <c r="B495" s="16" t="s">
        <v>183</v>
      </c>
      <c r="C495" s="16" t="s">
        <v>229</v>
      </c>
      <c r="D495" s="16" t="s">
        <v>1744</v>
      </c>
      <c r="E495" s="16" t="s">
        <v>1745</v>
      </c>
      <c r="F495" s="16" t="s">
        <v>232</v>
      </c>
      <c r="G495" s="16" t="s">
        <v>25</v>
      </c>
      <c r="H495" s="16" t="s">
        <v>38</v>
      </c>
      <c r="I495" s="16" t="s">
        <v>39</v>
      </c>
      <c r="J495" s="16" t="s">
        <v>1715</v>
      </c>
      <c r="K495" s="16" t="s">
        <v>29</v>
      </c>
      <c r="L495" s="16" t="s">
        <v>1716</v>
      </c>
      <c r="M495" s="17">
        <v>46042.469513888886</v>
      </c>
      <c r="N495" s="18">
        <v>46044.566030092596</v>
      </c>
      <c r="O495" s="19" t="s">
        <v>419</v>
      </c>
      <c r="P495" s="19" t="s">
        <v>66</v>
      </c>
    </row>
    <row r="496" spans="1:16" s="19" customFormat="1" ht="16.5" customHeight="1">
      <c r="A496" s="16" t="s">
        <v>1755</v>
      </c>
      <c r="B496" s="16" t="s">
        <v>183</v>
      </c>
      <c r="C496" s="16" t="s">
        <v>266</v>
      </c>
      <c r="D496" s="16" t="s">
        <v>1756</v>
      </c>
      <c r="E496" s="16" t="s">
        <v>1757</v>
      </c>
      <c r="F496" s="16" t="s">
        <v>269</v>
      </c>
      <c r="G496" s="16" t="s">
        <v>25</v>
      </c>
      <c r="H496" s="16" t="s">
        <v>26</v>
      </c>
      <c r="I496" s="16" t="s">
        <v>27</v>
      </c>
      <c r="J496" s="16" t="s">
        <v>1715</v>
      </c>
      <c r="K496" s="16" t="s">
        <v>29</v>
      </c>
      <c r="L496" s="16" t="s">
        <v>1716</v>
      </c>
      <c r="M496" s="17">
        <v>46042.634733796294</v>
      </c>
      <c r="N496" s="18">
        <v>46043.687835648147</v>
      </c>
      <c r="O496" s="19" t="s">
        <v>419</v>
      </c>
      <c r="P496" s="19" t="s">
        <v>66</v>
      </c>
    </row>
    <row r="497" spans="1:16" s="19" customFormat="1" ht="16.5" customHeight="1">
      <c r="A497" s="16" t="s">
        <v>1758</v>
      </c>
      <c r="B497" s="16" t="s">
        <v>183</v>
      </c>
      <c r="C497" s="16" t="s">
        <v>1128</v>
      </c>
      <c r="D497" s="16" t="s">
        <v>1759</v>
      </c>
      <c r="E497" s="16" t="s">
        <v>1760</v>
      </c>
      <c r="F497" s="16" t="s">
        <v>1131</v>
      </c>
      <c r="G497" s="16" t="s">
        <v>25</v>
      </c>
      <c r="H497" s="16" t="s">
        <v>26</v>
      </c>
      <c r="I497" s="16" t="s">
        <v>39</v>
      </c>
      <c r="J497" s="16" t="s">
        <v>1761</v>
      </c>
      <c r="K497" s="16" t="s">
        <v>29</v>
      </c>
      <c r="L497" s="16" t="s">
        <v>1716</v>
      </c>
      <c r="M497" s="17">
        <v>46045.450104166666</v>
      </c>
      <c r="N497" s="18">
        <v>46064.561215277776</v>
      </c>
      <c r="O497" s="19" t="s">
        <v>57</v>
      </c>
      <c r="P497" s="19" t="s">
        <v>58</v>
      </c>
    </row>
    <row r="498" spans="1:16" s="19" customFormat="1" ht="16.5" customHeight="1">
      <c r="A498" s="16" t="s">
        <v>1770</v>
      </c>
      <c r="B498" s="16" t="s">
        <v>183</v>
      </c>
      <c r="C498" s="16" t="s">
        <v>1128</v>
      </c>
      <c r="D498" s="16" t="s">
        <v>1771</v>
      </c>
      <c r="E498" s="16" t="s">
        <v>1772</v>
      </c>
      <c r="F498" s="16" t="s">
        <v>1131</v>
      </c>
      <c r="G498" s="16" t="s">
        <v>25</v>
      </c>
      <c r="H498" s="16" t="s">
        <v>26</v>
      </c>
      <c r="I498" s="16" t="s">
        <v>39</v>
      </c>
      <c r="J498" s="16" t="s">
        <v>1715</v>
      </c>
      <c r="K498" s="16" t="s">
        <v>29</v>
      </c>
      <c r="L498" s="16" t="s">
        <v>1716</v>
      </c>
      <c r="M498" s="17">
        <v>46045.457314814812</v>
      </c>
      <c r="N498" s="18">
        <v>46049.421805555554</v>
      </c>
      <c r="O498" s="19" t="s">
        <v>419</v>
      </c>
      <c r="P498" s="19" t="s">
        <v>66</v>
      </c>
    </row>
    <row r="499" spans="1:16" s="19" customFormat="1" ht="16.5" customHeight="1">
      <c r="A499" s="16" t="s">
        <v>1773</v>
      </c>
      <c r="B499" s="16" t="s">
        <v>183</v>
      </c>
      <c r="C499" s="16" t="s">
        <v>301</v>
      </c>
      <c r="D499" s="16" t="s">
        <v>1774</v>
      </c>
      <c r="E499" s="16" t="s">
        <v>1775</v>
      </c>
      <c r="F499" s="16" t="s">
        <v>269</v>
      </c>
      <c r="G499" s="16" t="s">
        <v>116</v>
      </c>
      <c r="H499" s="16" t="s">
        <v>26</v>
      </c>
      <c r="I499" s="16" t="s">
        <v>39</v>
      </c>
      <c r="J499" s="16" t="s">
        <v>1715</v>
      </c>
      <c r="K499" s="16" t="s">
        <v>29</v>
      </c>
      <c r="L499" s="16" t="s">
        <v>1716</v>
      </c>
      <c r="M499" s="17">
        <v>46045.606759259259</v>
      </c>
      <c r="N499" s="18">
        <v>46063.747094907405</v>
      </c>
      <c r="O499" s="19" t="s">
        <v>40</v>
      </c>
      <c r="P499" s="19" t="s">
        <v>41</v>
      </c>
    </row>
    <row r="500" spans="1:16" s="19" customFormat="1" ht="16.5" customHeight="1">
      <c r="A500" s="16" t="s">
        <v>1791</v>
      </c>
      <c r="B500" s="16" t="s">
        <v>183</v>
      </c>
      <c r="C500" s="16" t="s">
        <v>33</v>
      </c>
      <c r="D500" s="16" t="s">
        <v>1792</v>
      </c>
      <c r="E500" s="16" t="s">
        <v>1793</v>
      </c>
      <c r="F500" s="16" t="s">
        <v>36</v>
      </c>
      <c r="G500" s="16" t="s">
        <v>1795</v>
      </c>
      <c r="H500" s="16" t="s">
        <v>26</v>
      </c>
      <c r="I500" s="16" t="s">
        <v>39</v>
      </c>
      <c r="J500" s="16" t="s">
        <v>1715</v>
      </c>
      <c r="K500" s="16" t="s">
        <v>29</v>
      </c>
      <c r="L500" s="16" t="s">
        <v>1716</v>
      </c>
      <c r="M500" s="17">
        <v>46063.601666666669</v>
      </c>
      <c r="N500" s="18">
        <v>46073.410543981481</v>
      </c>
      <c r="O500" s="19" t="s">
        <v>419</v>
      </c>
      <c r="P500" s="19" t="s">
        <v>66</v>
      </c>
    </row>
    <row r="501" spans="1:16" s="19" customFormat="1" ht="16.5" customHeight="1">
      <c r="A501" s="16" t="s">
        <v>1813</v>
      </c>
      <c r="B501" s="16" t="s">
        <v>183</v>
      </c>
      <c r="C501" s="16" t="s">
        <v>19</v>
      </c>
      <c r="D501" s="16" t="s">
        <v>1814</v>
      </c>
      <c r="E501" s="16" t="s">
        <v>1815</v>
      </c>
      <c r="F501" s="16" t="s">
        <v>22</v>
      </c>
      <c r="G501" s="16" t="s">
        <v>25</v>
      </c>
      <c r="H501" s="16" t="s">
        <v>26</v>
      </c>
      <c r="I501" s="16" t="s">
        <v>39</v>
      </c>
      <c r="J501" s="16" t="s">
        <v>1715</v>
      </c>
      <c r="K501" s="16" t="s">
        <v>29</v>
      </c>
      <c r="L501" s="16" t="s">
        <v>1716</v>
      </c>
      <c r="M501" s="17">
        <v>46043.607083333336</v>
      </c>
      <c r="N501" s="18">
        <v>46048.419317129628</v>
      </c>
      <c r="O501" s="19" t="s">
        <v>68</v>
      </c>
      <c r="P501" s="19" t="s">
        <v>69</v>
      </c>
    </row>
    <row r="502" spans="1:16" s="19" customFormat="1" ht="16.5" customHeight="1">
      <c r="A502" s="16" t="s">
        <v>1819</v>
      </c>
      <c r="B502" s="16" t="s">
        <v>183</v>
      </c>
      <c r="C502" s="16" t="s">
        <v>19</v>
      </c>
      <c r="D502" s="16" t="s">
        <v>1820</v>
      </c>
      <c r="E502" s="16" t="s">
        <v>1821</v>
      </c>
      <c r="F502" s="16" t="s">
        <v>22</v>
      </c>
      <c r="G502" s="16" t="s">
        <v>25</v>
      </c>
      <c r="H502" s="16" t="s">
        <v>26</v>
      </c>
      <c r="I502" s="16" t="s">
        <v>39</v>
      </c>
      <c r="J502" s="16" t="s">
        <v>1715</v>
      </c>
      <c r="K502" s="16" t="s">
        <v>29</v>
      </c>
      <c r="L502" s="16" t="s">
        <v>1716</v>
      </c>
      <c r="M502" s="17">
        <v>46044.548946759256</v>
      </c>
      <c r="N502" s="18">
        <v>46055.686689814815</v>
      </c>
      <c r="O502" s="19" t="s">
        <v>68</v>
      </c>
      <c r="P502" s="19" t="s">
        <v>69</v>
      </c>
    </row>
    <row r="503" spans="1:16" s="19" customFormat="1" ht="16.5" customHeight="1">
      <c r="A503" s="16" t="s">
        <v>1822</v>
      </c>
      <c r="B503" s="16" t="s">
        <v>183</v>
      </c>
      <c r="C503" s="16" t="s">
        <v>19</v>
      </c>
      <c r="D503" s="16" t="s">
        <v>1823</v>
      </c>
      <c r="E503" s="16" t="s">
        <v>1824</v>
      </c>
      <c r="F503" s="16" t="s">
        <v>22</v>
      </c>
      <c r="G503" s="16" t="s">
        <v>25</v>
      </c>
      <c r="H503" s="16" t="s">
        <v>26</v>
      </c>
      <c r="I503" s="16" t="s">
        <v>27</v>
      </c>
      <c r="J503" s="16" t="s">
        <v>1715</v>
      </c>
      <c r="K503" s="16" t="s">
        <v>29</v>
      </c>
      <c r="L503" s="16" t="s">
        <v>1716</v>
      </c>
      <c r="M503" s="17">
        <v>46045.475300925929</v>
      </c>
      <c r="N503" s="18">
        <v>46051.41207175926</v>
      </c>
      <c r="O503" s="19" t="s">
        <v>40</v>
      </c>
      <c r="P503" s="19" t="s">
        <v>41</v>
      </c>
    </row>
    <row r="504" spans="1:16" s="19" customFormat="1" ht="16.5" customHeight="1">
      <c r="A504" s="16" t="s">
        <v>1825</v>
      </c>
      <c r="B504" s="16" t="s">
        <v>183</v>
      </c>
      <c r="C504" s="16" t="s">
        <v>19</v>
      </c>
      <c r="D504" s="16" t="s">
        <v>1826</v>
      </c>
      <c r="E504" s="16" t="s">
        <v>1827</v>
      </c>
      <c r="F504" s="16" t="s">
        <v>22</v>
      </c>
      <c r="G504" s="16" t="s">
        <v>25</v>
      </c>
      <c r="H504" s="16" t="s">
        <v>26</v>
      </c>
      <c r="I504" s="16" t="s">
        <v>27</v>
      </c>
      <c r="J504" s="16" t="s">
        <v>1715</v>
      </c>
      <c r="K504" s="16" t="s">
        <v>29</v>
      </c>
      <c r="L504" s="16" t="s">
        <v>1716</v>
      </c>
      <c r="M504" s="17">
        <v>46045.533101851855</v>
      </c>
      <c r="N504" s="18">
        <v>46051.412314814814</v>
      </c>
      <c r="O504" s="19" t="s">
        <v>419</v>
      </c>
      <c r="P504" s="19" t="s">
        <v>66</v>
      </c>
    </row>
    <row r="505" spans="1:16" s="19" customFormat="1" ht="16.5" customHeight="1">
      <c r="A505" s="16" t="s">
        <v>1828</v>
      </c>
      <c r="B505" s="16" t="s">
        <v>183</v>
      </c>
      <c r="C505" s="16" t="s">
        <v>19</v>
      </c>
      <c r="D505" s="16" t="s">
        <v>1829</v>
      </c>
      <c r="E505" s="16" t="s">
        <v>1830</v>
      </c>
      <c r="F505" s="16" t="s">
        <v>22</v>
      </c>
      <c r="G505" s="16" t="s">
        <v>25</v>
      </c>
      <c r="H505" s="16" t="s">
        <v>26</v>
      </c>
      <c r="I505" s="16" t="s">
        <v>39</v>
      </c>
      <c r="J505" s="16" t="s">
        <v>1715</v>
      </c>
      <c r="K505" s="16" t="s">
        <v>29</v>
      </c>
      <c r="L505" s="16" t="s">
        <v>1716</v>
      </c>
      <c r="M505" s="17">
        <v>46045.438750000001</v>
      </c>
      <c r="N505" s="18">
        <v>46051.413495370369</v>
      </c>
      <c r="O505" s="19" t="s">
        <v>419</v>
      </c>
      <c r="P505" s="19" t="s">
        <v>66</v>
      </c>
    </row>
    <row r="506" spans="1:16" s="19" customFormat="1" ht="16.5" customHeight="1">
      <c r="A506" s="16" t="s">
        <v>1831</v>
      </c>
      <c r="B506" s="16" t="s">
        <v>183</v>
      </c>
      <c r="C506" s="16" t="s">
        <v>19</v>
      </c>
      <c r="D506" s="16" t="s">
        <v>1832</v>
      </c>
      <c r="E506" s="16" t="s">
        <v>1824</v>
      </c>
      <c r="F506" s="16" t="s">
        <v>22</v>
      </c>
      <c r="G506" s="16" t="s">
        <v>25</v>
      </c>
      <c r="H506" s="16" t="s">
        <v>26</v>
      </c>
      <c r="I506" s="16" t="s">
        <v>27</v>
      </c>
      <c r="J506" s="16" t="s">
        <v>1715</v>
      </c>
      <c r="K506" s="16" t="s">
        <v>29</v>
      </c>
      <c r="L506" s="16" t="s">
        <v>1716</v>
      </c>
      <c r="M506" s="17">
        <v>46045.46607638889</v>
      </c>
      <c r="N506" s="18">
        <v>46055.684502314813</v>
      </c>
      <c r="O506" s="19" t="s">
        <v>40</v>
      </c>
      <c r="P506" s="19" t="s">
        <v>41</v>
      </c>
    </row>
    <row r="507" spans="1:16" s="19" customFormat="1" ht="16.5" customHeight="1">
      <c r="A507" s="16" t="s">
        <v>1833</v>
      </c>
      <c r="B507" s="16" t="s">
        <v>183</v>
      </c>
      <c r="C507" s="16" t="s">
        <v>19</v>
      </c>
      <c r="D507" s="16" t="s">
        <v>1834</v>
      </c>
      <c r="E507" s="16" t="s">
        <v>1824</v>
      </c>
      <c r="F507" s="16" t="s">
        <v>22</v>
      </c>
      <c r="G507" s="16" t="s">
        <v>25</v>
      </c>
      <c r="H507" s="16" t="s">
        <v>26</v>
      </c>
      <c r="I507" s="16" t="s">
        <v>27</v>
      </c>
      <c r="J507" s="16" t="s">
        <v>1715</v>
      </c>
      <c r="K507" s="16" t="s">
        <v>29</v>
      </c>
      <c r="L507" s="16" t="s">
        <v>1716</v>
      </c>
      <c r="M507" s="17">
        <v>46045.466261574074</v>
      </c>
      <c r="N507" s="18">
        <v>46055.684664351851</v>
      </c>
      <c r="O507" s="19" t="s">
        <v>40</v>
      </c>
      <c r="P507" s="19" t="s">
        <v>41</v>
      </c>
    </row>
    <row r="508" spans="1:16" s="19" customFormat="1" ht="16.5" customHeight="1">
      <c r="A508" s="16" t="s">
        <v>1835</v>
      </c>
      <c r="B508" s="16" t="s">
        <v>183</v>
      </c>
      <c r="C508" s="16" t="s">
        <v>19</v>
      </c>
      <c r="D508" s="16" t="s">
        <v>1836</v>
      </c>
      <c r="E508" s="16" t="s">
        <v>1824</v>
      </c>
      <c r="F508" s="16" t="s">
        <v>22</v>
      </c>
      <c r="G508" s="16" t="s">
        <v>25</v>
      </c>
      <c r="H508" s="16" t="s">
        <v>26</v>
      </c>
      <c r="I508" s="16" t="s">
        <v>27</v>
      </c>
      <c r="J508" s="16" t="s">
        <v>1715</v>
      </c>
      <c r="K508" s="16" t="s">
        <v>29</v>
      </c>
      <c r="L508" s="16" t="s">
        <v>1716</v>
      </c>
      <c r="M508" s="17">
        <v>46045.466504629629</v>
      </c>
      <c r="N508" s="18">
        <v>46051.412662037037</v>
      </c>
      <c r="O508" s="19" t="s">
        <v>76</v>
      </c>
      <c r="P508" s="19" t="s">
        <v>77</v>
      </c>
    </row>
    <row r="509" spans="1:16" s="19" customFormat="1" ht="16.5" customHeight="1">
      <c r="A509" s="16" t="s">
        <v>1839</v>
      </c>
      <c r="B509" s="16" t="s">
        <v>183</v>
      </c>
      <c r="C509" s="16" t="s">
        <v>184</v>
      </c>
      <c r="D509" s="16" t="s">
        <v>1840</v>
      </c>
      <c r="E509" s="16" t="s">
        <v>1841</v>
      </c>
      <c r="F509" s="16" t="s">
        <v>187</v>
      </c>
      <c r="G509" s="16" t="s">
        <v>25</v>
      </c>
      <c r="H509" s="16" t="s">
        <v>26</v>
      </c>
      <c r="I509" s="16" t="s">
        <v>203</v>
      </c>
      <c r="J509" s="16" t="s">
        <v>1715</v>
      </c>
      <c r="K509" s="16" t="s">
        <v>29</v>
      </c>
      <c r="L509" s="16" t="s">
        <v>1715</v>
      </c>
      <c r="M509" s="17">
        <v>46042.38962962963</v>
      </c>
      <c r="N509" s="18">
        <v>46048.311203703706</v>
      </c>
      <c r="O509" s="19" t="s">
        <v>95</v>
      </c>
      <c r="P509" s="19" t="s">
        <v>56</v>
      </c>
    </row>
    <row r="510" spans="1:16" s="19" customFormat="1" ht="16.5" customHeight="1">
      <c r="A510" s="16" t="s">
        <v>1842</v>
      </c>
      <c r="B510" s="16" t="s">
        <v>183</v>
      </c>
      <c r="C510" s="16" t="s">
        <v>184</v>
      </c>
      <c r="D510" s="16" t="s">
        <v>1843</v>
      </c>
      <c r="E510" s="16" t="s">
        <v>1841</v>
      </c>
      <c r="F510" s="16" t="s">
        <v>187</v>
      </c>
      <c r="G510" s="16" t="s">
        <v>25</v>
      </c>
      <c r="H510" s="16" t="s">
        <v>26</v>
      </c>
      <c r="I510" s="16" t="s">
        <v>203</v>
      </c>
      <c r="J510" s="16" t="s">
        <v>1715</v>
      </c>
      <c r="K510" s="16" t="s">
        <v>29</v>
      </c>
      <c r="L510" s="16" t="s">
        <v>1715</v>
      </c>
      <c r="M510" s="17">
        <v>46042.390462962961</v>
      </c>
      <c r="N510" s="18">
        <v>46048.310995370368</v>
      </c>
      <c r="O510" s="19" t="s">
        <v>122</v>
      </c>
      <c r="P510" s="19" t="s">
        <v>39</v>
      </c>
    </row>
    <row r="511" spans="1:16" s="15" customFormat="1" ht="16.5" customHeight="1">
      <c r="A511" s="12" t="s">
        <v>17</v>
      </c>
      <c r="B511" s="12" t="s">
        <v>18</v>
      </c>
      <c r="C511" s="12" t="s">
        <v>19</v>
      </c>
      <c r="D511" s="12" t="s">
        <v>20</v>
      </c>
      <c r="E511" s="12" t="s">
        <v>21</v>
      </c>
      <c r="F511" s="12" t="s">
        <v>22</v>
      </c>
      <c r="G511" s="12" t="s">
        <v>25</v>
      </c>
      <c r="H511" s="12" t="s">
        <v>26</v>
      </c>
      <c r="I511" s="12" t="s">
        <v>27</v>
      </c>
      <c r="J511" s="12" t="s">
        <v>28</v>
      </c>
      <c r="K511" s="12" t="s">
        <v>29</v>
      </c>
      <c r="L511" s="12" t="s">
        <v>28</v>
      </c>
      <c r="M511" s="13">
        <v>46106.591817129629</v>
      </c>
      <c r="N511" s="14">
        <v>46106.591817129629</v>
      </c>
      <c r="O511" s="38" t="s">
        <v>3413</v>
      </c>
      <c r="P511" s="38" t="s">
        <v>3409</v>
      </c>
    </row>
    <row r="512" spans="1:16" s="15" customFormat="1" ht="16.5" customHeight="1">
      <c r="A512" s="12" t="s">
        <v>32</v>
      </c>
      <c r="B512" s="12" t="s">
        <v>18</v>
      </c>
      <c r="C512" s="12" t="s">
        <v>33</v>
      </c>
      <c r="D512" s="12" t="s">
        <v>34</v>
      </c>
      <c r="E512" s="12" t="s">
        <v>35</v>
      </c>
      <c r="F512" s="12" t="s">
        <v>36</v>
      </c>
      <c r="G512" s="12" t="s">
        <v>25</v>
      </c>
      <c r="H512" s="12" t="s">
        <v>38</v>
      </c>
      <c r="I512" s="12" t="s">
        <v>39</v>
      </c>
      <c r="J512" s="12" t="s">
        <v>28</v>
      </c>
      <c r="K512" s="12" t="s">
        <v>29</v>
      </c>
      <c r="L512" s="12" t="s">
        <v>28</v>
      </c>
      <c r="M512" s="13">
        <v>46104.654768518521</v>
      </c>
      <c r="N512" s="14">
        <v>46104.654768518521</v>
      </c>
      <c r="O512" s="15" t="s">
        <v>122</v>
      </c>
      <c r="P512" s="15" t="s">
        <v>39</v>
      </c>
    </row>
    <row r="513" spans="1:16" s="15" customFormat="1" ht="16.5" customHeight="1">
      <c r="A513" s="12" t="s">
        <v>42</v>
      </c>
      <c r="B513" s="12" t="s">
        <v>18</v>
      </c>
      <c r="C513" s="12" t="s">
        <v>19</v>
      </c>
      <c r="D513" s="12" t="s">
        <v>43</v>
      </c>
      <c r="E513" s="12" t="s">
        <v>44</v>
      </c>
      <c r="F513" s="12" t="s">
        <v>22</v>
      </c>
      <c r="G513" s="12" t="s">
        <v>25</v>
      </c>
      <c r="H513" s="12" t="s">
        <v>38</v>
      </c>
      <c r="I513" s="12" t="s">
        <v>39</v>
      </c>
      <c r="J513" s="12" t="s">
        <v>28</v>
      </c>
      <c r="K513" s="12" t="s">
        <v>29</v>
      </c>
      <c r="L513" s="12" t="s">
        <v>28</v>
      </c>
      <c r="M513" s="13">
        <v>46106.687604166669</v>
      </c>
      <c r="N513" s="14">
        <v>46106.687615740739</v>
      </c>
      <c r="O513" s="38" t="s">
        <v>3413</v>
      </c>
      <c r="P513" s="38" t="s">
        <v>3409</v>
      </c>
    </row>
    <row r="514" spans="1:16" s="15" customFormat="1" ht="16.5" customHeight="1">
      <c r="A514" s="12" t="s">
        <v>45</v>
      </c>
      <c r="B514" s="12" t="s">
        <v>18</v>
      </c>
      <c r="C514" s="12" t="s">
        <v>46</v>
      </c>
      <c r="D514" s="12" t="s">
        <v>47</v>
      </c>
      <c r="E514" s="12" t="s">
        <v>48</v>
      </c>
      <c r="F514" s="12" t="s">
        <v>49</v>
      </c>
      <c r="G514" s="12" t="s">
        <v>25</v>
      </c>
      <c r="H514" s="12" t="s">
        <v>26</v>
      </c>
      <c r="I514" s="12" t="s">
        <v>51</v>
      </c>
      <c r="J514" s="12" t="s">
        <v>28</v>
      </c>
      <c r="K514" s="12" t="s">
        <v>29</v>
      </c>
      <c r="L514" s="12" t="s">
        <v>28</v>
      </c>
      <c r="M514" s="13">
        <v>46104.716145833336</v>
      </c>
      <c r="N514" s="14">
        <v>46104.716145833336</v>
      </c>
      <c r="O514" s="15" t="s">
        <v>95</v>
      </c>
      <c r="P514" s="15" t="s">
        <v>56</v>
      </c>
    </row>
    <row r="515" spans="1:16" s="15" customFormat="1" ht="16.5" customHeight="1">
      <c r="A515" s="12" t="s">
        <v>45</v>
      </c>
      <c r="B515" s="12" t="s">
        <v>18</v>
      </c>
      <c r="C515" s="12" t="s">
        <v>46</v>
      </c>
      <c r="D515" s="12" t="s">
        <v>54</v>
      </c>
      <c r="E515" s="12" t="s">
        <v>55</v>
      </c>
      <c r="F515" s="12" t="s">
        <v>49</v>
      </c>
      <c r="G515" s="12" t="s">
        <v>25</v>
      </c>
      <c r="H515" s="12" t="s">
        <v>26</v>
      </c>
      <c r="I515" s="12" t="s">
        <v>56</v>
      </c>
      <c r="J515" s="12" t="s">
        <v>28</v>
      </c>
      <c r="K515" s="12" t="s">
        <v>29</v>
      </c>
      <c r="L515" s="12" t="s">
        <v>28</v>
      </c>
      <c r="M515" s="13">
        <v>46105.424421296295</v>
      </c>
      <c r="N515" s="14">
        <v>46105.424421296295</v>
      </c>
      <c r="O515" s="38" t="s">
        <v>3415</v>
      </c>
      <c r="P515" s="38" t="s">
        <v>3414</v>
      </c>
    </row>
    <row r="516" spans="1:16" s="15" customFormat="1" ht="16.5" customHeight="1">
      <c r="A516" s="12" t="s">
        <v>59</v>
      </c>
      <c r="B516" s="12" t="s">
        <v>18</v>
      </c>
      <c r="C516" s="12" t="s">
        <v>46</v>
      </c>
      <c r="D516" s="12" t="s">
        <v>60</v>
      </c>
      <c r="E516" s="12" t="s">
        <v>61</v>
      </c>
      <c r="F516" s="12" t="s">
        <v>49</v>
      </c>
      <c r="G516" s="12" t="s">
        <v>62</v>
      </c>
      <c r="H516" s="12" t="s">
        <v>26</v>
      </c>
      <c r="I516" s="12" t="s">
        <v>56</v>
      </c>
      <c r="J516" s="12" t="s">
        <v>28</v>
      </c>
      <c r="K516" s="12" t="s">
        <v>29</v>
      </c>
      <c r="L516" s="12" t="s">
        <v>28</v>
      </c>
      <c r="M516" s="13">
        <v>46105.419456018521</v>
      </c>
      <c r="N516" s="14">
        <v>46105.419456018521</v>
      </c>
      <c r="O516" s="38" t="s">
        <v>3415</v>
      </c>
      <c r="P516" s="38" t="s">
        <v>3414</v>
      </c>
    </row>
    <row r="517" spans="1:16" s="15" customFormat="1" ht="16.5" customHeight="1">
      <c r="A517" s="12" t="s">
        <v>63</v>
      </c>
      <c r="B517" s="12" t="s">
        <v>18</v>
      </c>
      <c r="C517" s="12" t="s">
        <v>19</v>
      </c>
      <c r="D517" s="12" t="s">
        <v>64</v>
      </c>
      <c r="E517" s="12" t="s">
        <v>65</v>
      </c>
      <c r="F517" s="12" t="s">
        <v>22</v>
      </c>
      <c r="G517" s="12" t="s">
        <v>25</v>
      </c>
      <c r="H517" s="12" t="s">
        <v>26</v>
      </c>
      <c r="I517" s="12" t="s">
        <v>66</v>
      </c>
      <c r="J517" s="12" t="s">
        <v>28</v>
      </c>
      <c r="K517" s="12" t="s">
        <v>67</v>
      </c>
      <c r="L517" s="12" t="s">
        <v>28</v>
      </c>
      <c r="M517" s="13">
        <v>46106.441203703704</v>
      </c>
      <c r="N517" s="14">
        <v>46106.610613425924</v>
      </c>
      <c r="O517" s="38" t="s">
        <v>3410</v>
      </c>
      <c r="P517" s="38" t="s">
        <v>3411</v>
      </c>
    </row>
    <row r="518" spans="1:16" s="15" customFormat="1" ht="16.5" customHeight="1">
      <c r="A518" s="12" t="s">
        <v>63</v>
      </c>
      <c r="B518" s="12" t="s">
        <v>18</v>
      </c>
      <c r="C518" s="12" t="s">
        <v>19</v>
      </c>
      <c r="D518" s="12" t="s">
        <v>70</v>
      </c>
      <c r="E518" s="12" t="s">
        <v>71</v>
      </c>
      <c r="F518" s="12" t="s">
        <v>22</v>
      </c>
      <c r="G518" s="12" t="s">
        <v>25</v>
      </c>
      <c r="H518" s="12" t="s">
        <v>26</v>
      </c>
      <c r="I518" s="12" t="s">
        <v>39</v>
      </c>
      <c r="J518" s="12" t="s">
        <v>28</v>
      </c>
      <c r="K518" s="12" t="s">
        <v>67</v>
      </c>
      <c r="L518" s="12" t="s">
        <v>28</v>
      </c>
      <c r="M518" s="13">
        <v>46106.43377314815</v>
      </c>
      <c r="N518" s="14">
        <v>46106.614432870374</v>
      </c>
      <c r="O518" s="38" t="s">
        <v>3410</v>
      </c>
      <c r="P518" s="38" t="s">
        <v>3411</v>
      </c>
    </row>
    <row r="519" spans="1:16" s="15" customFormat="1" ht="16.5" customHeight="1">
      <c r="A519" s="12" t="s">
        <v>63</v>
      </c>
      <c r="B519" s="12" t="s">
        <v>18</v>
      </c>
      <c r="C519" s="12" t="s">
        <v>19</v>
      </c>
      <c r="D519" s="12" t="s">
        <v>74</v>
      </c>
      <c r="E519" s="12" t="s">
        <v>75</v>
      </c>
      <c r="F519" s="12" t="s">
        <v>22</v>
      </c>
      <c r="G519" s="12" t="s">
        <v>25</v>
      </c>
      <c r="H519" s="12" t="s">
        <v>26</v>
      </c>
      <c r="I519" s="12" t="s">
        <v>27</v>
      </c>
      <c r="J519" s="12" t="s">
        <v>28</v>
      </c>
      <c r="K519" s="12" t="s">
        <v>29</v>
      </c>
      <c r="L519" s="12" t="s">
        <v>28</v>
      </c>
      <c r="M519" s="13">
        <v>46106.560717592591</v>
      </c>
      <c r="N519" s="14">
        <v>46106.611770833333</v>
      </c>
      <c r="O519" s="38" t="s">
        <v>3410</v>
      </c>
      <c r="P519" s="38" t="s">
        <v>3411</v>
      </c>
    </row>
    <row r="520" spans="1:16" s="15" customFormat="1" ht="16.5" customHeight="1">
      <c r="A520" s="12" t="s">
        <v>63</v>
      </c>
      <c r="B520" s="12" t="s">
        <v>18</v>
      </c>
      <c r="C520" s="12" t="s">
        <v>19</v>
      </c>
      <c r="D520" s="12" t="s">
        <v>78</v>
      </c>
      <c r="E520" s="12" t="s">
        <v>79</v>
      </c>
      <c r="F520" s="12" t="s">
        <v>22</v>
      </c>
      <c r="G520" s="12" t="s">
        <v>25</v>
      </c>
      <c r="H520" s="12" t="s">
        <v>26</v>
      </c>
      <c r="I520" s="12" t="s">
        <v>27</v>
      </c>
      <c r="J520" s="12" t="s">
        <v>28</v>
      </c>
      <c r="K520" s="12" t="s">
        <v>29</v>
      </c>
      <c r="L520" s="12" t="s">
        <v>28</v>
      </c>
      <c r="M520" s="13">
        <v>46106.610081018516</v>
      </c>
      <c r="N520" s="14">
        <v>46106.610081018516</v>
      </c>
      <c r="O520" s="38" t="s">
        <v>3410</v>
      </c>
      <c r="P520" s="38" t="s">
        <v>3411</v>
      </c>
    </row>
    <row r="521" spans="1:16" s="15" customFormat="1" ht="16.5" customHeight="1">
      <c r="A521" s="12" t="s">
        <v>63</v>
      </c>
      <c r="B521" s="12" t="s">
        <v>18</v>
      </c>
      <c r="C521" s="12" t="s">
        <v>19</v>
      </c>
      <c r="D521" s="12" t="s">
        <v>80</v>
      </c>
      <c r="E521" s="12" t="s">
        <v>81</v>
      </c>
      <c r="F521" s="12" t="s">
        <v>22</v>
      </c>
      <c r="G521" s="12" t="s">
        <v>25</v>
      </c>
      <c r="H521" s="12" t="s">
        <v>38</v>
      </c>
      <c r="I521" s="12" t="s">
        <v>82</v>
      </c>
      <c r="J521" s="12" t="s">
        <v>28</v>
      </c>
      <c r="K521" s="12" t="s">
        <v>29</v>
      </c>
      <c r="L521" s="12" t="s">
        <v>28</v>
      </c>
      <c r="M521" s="13">
        <v>46106.611712962964</v>
      </c>
      <c r="N521" s="14">
        <v>46106.611712962964</v>
      </c>
      <c r="O521" s="38" t="s">
        <v>3410</v>
      </c>
      <c r="P521" s="38" t="s">
        <v>3411</v>
      </c>
    </row>
    <row r="522" spans="1:16" s="15" customFormat="1" ht="16.5" customHeight="1">
      <c r="A522" s="12" t="s">
        <v>83</v>
      </c>
      <c r="B522" s="12" t="s">
        <v>18</v>
      </c>
      <c r="C522" s="12" t="s">
        <v>19</v>
      </c>
      <c r="D522" s="12" t="s">
        <v>84</v>
      </c>
      <c r="E522" s="12" t="s">
        <v>85</v>
      </c>
      <c r="F522" s="12" t="s">
        <v>22</v>
      </c>
      <c r="G522" s="12" t="s">
        <v>25</v>
      </c>
      <c r="H522" s="12" t="s">
        <v>26</v>
      </c>
      <c r="I522" s="12" t="s">
        <v>27</v>
      </c>
      <c r="J522" s="12" t="s">
        <v>28</v>
      </c>
      <c r="K522" s="12" t="s">
        <v>29</v>
      </c>
      <c r="L522" s="12" t="s">
        <v>28</v>
      </c>
      <c r="M522" s="13">
        <v>46106.452638888892</v>
      </c>
      <c r="N522" s="14">
        <v>46106.452638888892</v>
      </c>
      <c r="O522" s="38" t="s">
        <v>3410</v>
      </c>
      <c r="P522" s="38" t="s">
        <v>3411</v>
      </c>
    </row>
    <row r="523" spans="1:16" s="15" customFormat="1" ht="16.5" customHeight="1">
      <c r="A523" s="12" t="s">
        <v>86</v>
      </c>
      <c r="B523" s="12" t="s">
        <v>18</v>
      </c>
      <c r="C523" s="12" t="s">
        <v>19</v>
      </c>
      <c r="D523" s="12" t="s">
        <v>87</v>
      </c>
      <c r="E523" s="12" t="s">
        <v>88</v>
      </c>
      <c r="F523" s="12" t="s">
        <v>22</v>
      </c>
      <c r="G523" s="12" t="s">
        <v>25</v>
      </c>
      <c r="H523" s="12" t="s">
        <v>26</v>
      </c>
      <c r="I523" s="12" t="s">
        <v>27</v>
      </c>
      <c r="J523" s="12" t="s">
        <v>28</v>
      </c>
      <c r="K523" s="12" t="s">
        <v>29</v>
      </c>
      <c r="L523" s="12" t="s">
        <v>28</v>
      </c>
      <c r="M523" s="13">
        <v>46106.576006944444</v>
      </c>
      <c r="N523" s="14">
        <v>46106.576006944444</v>
      </c>
      <c r="O523" s="38" t="s">
        <v>3410</v>
      </c>
      <c r="P523" s="38" t="s">
        <v>3411</v>
      </c>
    </row>
    <row r="524" spans="1:16" s="15" customFormat="1" ht="16.5" customHeight="1">
      <c r="A524" s="12" t="s">
        <v>89</v>
      </c>
      <c r="B524" s="12" t="s">
        <v>18</v>
      </c>
      <c r="C524" s="12" t="s">
        <v>19</v>
      </c>
      <c r="D524" s="12" t="s">
        <v>90</v>
      </c>
      <c r="E524" s="12" t="s">
        <v>91</v>
      </c>
      <c r="F524" s="12" t="s">
        <v>22</v>
      </c>
      <c r="G524" s="12" t="s">
        <v>25</v>
      </c>
      <c r="H524" s="12" t="s">
        <v>26</v>
      </c>
      <c r="I524" s="12" t="s">
        <v>27</v>
      </c>
      <c r="J524" s="12" t="s">
        <v>28</v>
      </c>
      <c r="K524" s="12" t="s">
        <v>29</v>
      </c>
      <c r="L524" s="12" t="s">
        <v>28</v>
      </c>
      <c r="M524" s="13">
        <v>46106.598599537036</v>
      </c>
      <c r="N524" s="14">
        <v>46106.617858796293</v>
      </c>
      <c r="O524" s="38" t="s">
        <v>3410</v>
      </c>
      <c r="P524" s="38" t="s">
        <v>3411</v>
      </c>
    </row>
    <row r="525" spans="1:16" s="15" customFormat="1" ht="16.5" customHeight="1">
      <c r="A525" s="12" t="s">
        <v>92</v>
      </c>
      <c r="B525" s="12" t="s">
        <v>18</v>
      </c>
      <c r="C525" s="12" t="s">
        <v>19</v>
      </c>
      <c r="D525" s="12" t="s">
        <v>93</v>
      </c>
      <c r="E525" s="12" t="s">
        <v>94</v>
      </c>
      <c r="F525" s="12" t="s">
        <v>22</v>
      </c>
      <c r="G525" s="12" t="s">
        <v>25</v>
      </c>
      <c r="H525" s="12" t="s">
        <v>26</v>
      </c>
      <c r="I525" s="12" t="s">
        <v>82</v>
      </c>
      <c r="J525" s="12" t="s">
        <v>28</v>
      </c>
      <c r="K525" s="12" t="s">
        <v>29</v>
      </c>
      <c r="L525" s="12" t="s">
        <v>28</v>
      </c>
      <c r="M525" s="13">
        <v>46106.64702546296</v>
      </c>
      <c r="N525" s="14">
        <v>46106.650138888886</v>
      </c>
      <c r="O525" s="38" t="s">
        <v>3418</v>
      </c>
      <c r="P525" s="38" t="s">
        <v>3417</v>
      </c>
    </row>
    <row r="526" spans="1:16" s="15" customFormat="1" ht="16.5" customHeight="1">
      <c r="A526" s="12" t="s">
        <v>96</v>
      </c>
      <c r="B526" s="12" t="s">
        <v>18</v>
      </c>
      <c r="C526" s="12" t="s">
        <v>19</v>
      </c>
      <c r="D526" s="12" t="s">
        <v>97</v>
      </c>
      <c r="E526" s="12" t="s">
        <v>98</v>
      </c>
      <c r="F526" s="12" t="s">
        <v>22</v>
      </c>
      <c r="G526" s="12" t="s">
        <v>25</v>
      </c>
      <c r="H526" s="12" t="s">
        <v>26</v>
      </c>
      <c r="I526" s="12" t="s">
        <v>99</v>
      </c>
      <c r="J526" s="12" t="s">
        <v>28</v>
      </c>
      <c r="K526" s="12" t="s">
        <v>29</v>
      </c>
      <c r="L526" s="12" t="s">
        <v>28</v>
      </c>
      <c r="M526" s="13">
        <v>46106.720729166664</v>
      </c>
      <c r="N526" s="14">
        <v>46106.720729166664</v>
      </c>
      <c r="O526" s="38" t="s">
        <v>3415</v>
      </c>
      <c r="P526" s="38" t="s">
        <v>3414</v>
      </c>
    </row>
    <row r="527" spans="1:16" s="15" customFormat="1" ht="16.5" customHeight="1">
      <c r="A527" s="12" t="s">
        <v>100</v>
      </c>
      <c r="B527" s="12" t="s">
        <v>18</v>
      </c>
      <c r="C527" s="12" t="s">
        <v>19</v>
      </c>
      <c r="D527" s="12" t="s">
        <v>101</v>
      </c>
      <c r="E527" s="12" t="s">
        <v>102</v>
      </c>
      <c r="F527" s="12" t="s">
        <v>22</v>
      </c>
      <c r="G527" s="12" t="s">
        <v>25</v>
      </c>
      <c r="H527" s="12" t="s">
        <v>26</v>
      </c>
      <c r="I527" s="12" t="s">
        <v>27</v>
      </c>
      <c r="J527" s="12" t="s">
        <v>28</v>
      </c>
      <c r="K527" s="12" t="s">
        <v>29</v>
      </c>
      <c r="L527" s="12" t="s">
        <v>28</v>
      </c>
      <c r="M527" s="13">
        <v>46106.692893518521</v>
      </c>
      <c r="N527" s="14">
        <v>46106.692893518521</v>
      </c>
      <c r="O527" s="15" t="s">
        <v>122</v>
      </c>
      <c r="P527" s="15" t="s">
        <v>39</v>
      </c>
    </row>
    <row r="528" spans="1:16" s="15" customFormat="1" ht="16.5" customHeight="1">
      <c r="A528" s="12" t="s">
        <v>103</v>
      </c>
      <c r="B528" s="12" t="s">
        <v>18</v>
      </c>
      <c r="C528" s="12" t="s">
        <v>19</v>
      </c>
      <c r="D528" s="12" t="s">
        <v>104</v>
      </c>
      <c r="E528" s="12" t="s">
        <v>105</v>
      </c>
      <c r="F528" s="12" t="s">
        <v>22</v>
      </c>
      <c r="G528" s="12" t="s">
        <v>25</v>
      </c>
      <c r="H528" s="12" t="s">
        <v>26</v>
      </c>
      <c r="I528" s="12" t="s">
        <v>39</v>
      </c>
      <c r="J528" s="12" t="s">
        <v>28</v>
      </c>
      <c r="K528" s="12" t="s">
        <v>106</v>
      </c>
      <c r="L528" s="12" t="s">
        <v>28</v>
      </c>
      <c r="M528" s="13">
        <v>46106.709699074076</v>
      </c>
      <c r="N528" s="14">
        <v>46106.709699074076</v>
      </c>
      <c r="O528" s="38" t="s">
        <v>3418</v>
      </c>
      <c r="P528" s="38" t="s">
        <v>3417</v>
      </c>
    </row>
    <row r="529" spans="1:16" s="15" customFormat="1" ht="16.5" customHeight="1">
      <c r="A529" s="12" t="s">
        <v>107</v>
      </c>
      <c r="B529" s="12" t="s">
        <v>18</v>
      </c>
      <c r="C529" s="12" t="s">
        <v>19</v>
      </c>
      <c r="D529" s="12" t="s">
        <v>108</v>
      </c>
      <c r="E529" s="12" t="s">
        <v>109</v>
      </c>
      <c r="F529" s="12" t="s">
        <v>22</v>
      </c>
      <c r="G529" s="12" t="s">
        <v>25</v>
      </c>
      <c r="H529" s="12" t="s">
        <v>38</v>
      </c>
      <c r="I529" s="12" t="s">
        <v>82</v>
      </c>
      <c r="J529" s="12" t="s">
        <v>28</v>
      </c>
      <c r="K529" s="12" t="s">
        <v>29</v>
      </c>
      <c r="L529" s="12" t="s">
        <v>28</v>
      </c>
      <c r="M529" s="13">
        <v>46106.730150462965</v>
      </c>
      <c r="N529" s="14">
        <v>46106.730150462965</v>
      </c>
      <c r="O529" s="38" t="s">
        <v>3418</v>
      </c>
      <c r="P529" s="38" t="s">
        <v>3417</v>
      </c>
    </row>
    <row r="530" spans="1:16" s="15" customFormat="1" ht="16.5" customHeight="1">
      <c r="A530" s="12" t="s">
        <v>110</v>
      </c>
      <c r="B530" s="12" t="s">
        <v>18</v>
      </c>
      <c r="C530" s="12" t="s">
        <v>111</v>
      </c>
      <c r="D530" s="12" t="s">
        <v>112</v>
      </c>
      <c r="E530" s="12" t="s">
        <v>113</v>
      </c>
      <c r="F530" s="12" t="s">
        <v>114</v>
      </c>
      <c r="G530" s="12" t="s">
        <v>116</v>
      </c>
      <c r="H530" s="12" t="s">
        <v>26</v>
      </c>
      <c r="I530" s="12" t="s">
        <v>82</v>
      </c>
      <c r="J530" s="12" t="s">
        <v>28</v>
      </c>
      <c r="K530" s="12" t="s">
        <v>29</v>
      </c>
      <c r="L530" s="12" t="s">
        <v>28</v>
      </c>
      <c r="M530" s="13">
        <v>46104.573796296296</v>
      </c>
      <c r="N530" s="14">
        <v>46104.573796296296</v>
      </c>
      <c r="O530" s="15" t="s">
        <v>419</v>
      </c>
      <c r="P530" s="38" t="s">
        <v>3422</v>
      </c>
    </row>
    <row r="531" spans="1:16" s="15" customFormat="1" ht="16.5" customHeight="1">
      <c r="A531" s="12" t="s">
        <v>117</v>
      </c>
      <c r="B531" s="12" t="s">
        <v>18</v>
      </c>
      <c r="C531" s="12" t="s">
        <v>111</v>
      </c>
      <c r="D531" s="12" t="s">
        <v>118</v>
      </c>
      <c r="E531" s="12" t="s">
        <v>113</v>
      </c>
      <c r="F531" s="12" t="s">
        <v>114</v>
      </c>
      <c r="G531" s="12" t="s">
        <v>116</v>
      </c>
      <c r="H531" s="12" t="s">
        <v>26</v>
      </c>
      <c r="I531" s="12" t="s">
        <v>82</v>
      </c>
      <c r="J531" s="12" t="s">
        <v>28</v>
      </c>
      <c r="K531" s="12" t="s">
        <v>29</v>
      </c>
      <c r="L531" s="12" t="s">
        <v>28</v>
      </c>
      <c r="M531" s="13">
        <v>46104.575486111113</v>
      </c>
      <c r="N531" s="14">
        <v>46104.575486111113</v>
      </c>
      <c r="O531" s="15" t="s">
        <v>419</v>
      </c>
      <c r="P531" s="38" t="s">
        <v>3422</v>
      </c>
    </row>
    <row r="532" spans="1:16" s="15" customFormat="1" ht="16.5" customHeight="1">
      <c r="A532" s="12" t="s">
        <v>119</v>
      </c>
      <c r="B532" s="12" t="s">
        <v>18</v>
      </c>
      <c r="C532" s="12" t="s">
        <v>111</v>
      </c>
      <c r="D532" s="12" t="s">
        <v>120</v>
      </c>
      <c r="E532" s="12" t="s">
        <v>121</v>
      </c>
      <c r="F532" s="12" t="s">
        <v>114</v>
      </c>
      <c r="G532" s="12" t="s">
        <v>116</v>
      </c>
      <c r="H532" s="12" t="s">
        <v>26</v>
      </c>
      <c r="I532" s="12" t="s">
        <v>82</v>
      </c>
      <c r="J532" s="12" t="s">
        <v>28</v>
      </c>
      <c r="K532" s="12" t="s">
        <v>67</v>
      </c>
      <c r="L532" s="12" t="s">
        <v>28</v>
      </c>
      <c r="M532" s="13">
        <v>46104.585069444445</v>
      </c>
      <c r="N532" s="14">
        <v>46104.585069444445</v>
      </c>
      <c r="O532" s="15" t="s">
        <v>419</v>
      </c>
      <c r="P532" s="38" t="s">
        <v>3422</v>
      </c>
    </row>
    <row r="533" spans="1:16" s="15" customFormat="1" ht="16.5" customHeight="1">
      <c r="A533" s="12" t="s">
        <v>123</v>
      </c>
      <c r="B533" s="12" t="s">
        <v>18</v>
      </c>
      <c r="C533" s="12" t="s">
        <v>111</v>
      </c>
      <c r="D533" s="12" t="s">
        <v>124</v>
      </c>
      <c r="E533" s="12" t="s">
        <v>125</v>
      </c>
      <c r="F533" s="12" t="s">
        <v>114</v>
      </c>
      <c r="G533" s="12" t="s">
        <v>116</v>
      </c>
      <c r="H533" s="12" t="s">
        <v>26</v>
      </c>
      <c r="I533" s="12" t="s">
        <v>82</v>
      </c>
      <c r="J533" s="12" t="s">
        <v>28</v>
      </c>
      <c r="K533" s="12" t="s">
        <v>67</v>
      </c>
      <c r="L533" s="12" t="s">
        <v>28</v>
      </c>
      <c r="M533" s="13">
        <v>46104.586759259262</v>
      </c>
      <c r="N533" s="14">
        <v>46104.586759259262</v>
      </c>
      <c r="O533" s="15" t="s">
        <v>419</v>
      </c>
      <c r="P533" s="38" t="s">
        <v>3422</v>
      </c>
    </row>
    <row r="534" spans="1:16" s="15" customFormat="1" ht="16.5" customHeight="1">
      <c r="A534" s="12" t="s">
        <v>128</v>
      </c>
      <c r="B534" s="12" t="s">
        <v>18</v>
      </c>
      <c r="C534" s="12" t="s">
        <v>111</v>
      </c>
      <c r="D534" s="12" t="s">
        <v>129</v>
      </c>
      <c r="E534" s="12" t="s">
        <v>130</v>
      </c>
      <c r="F534" s="12" t="s">
        <v>114</v>
      </c>
      <c r="G534" s="12" t="s">
        <v>116</v>
      </c>
      <c r="H534" s="12" t="s">
        <v>26</v>
      </c>
      <c r="I534" s="12" t="s">
        <v>82</v>
      </c>
      <c r="J534" s="12" t="s">
        <v>28</v>
      </c>
      <c r="K534" s="12" t="s">
        <v>67</v>
      </c>
      <c r="L534" s="12" t="s">
        <v>28</v>
      </c>
      <c r="M534" s="13">
        <v>46104.593495370369</v>
      </c>
      <c r="N534" s="14">
        <v>46104.593495370369</v>
      </c>
      <c r="O534" s="15" t="s">
        <v>419</v>
      </c>
      <c r="P534" s="38" t="s">
        <v>3422</v>
      </c>
    </row>
    <row r="535" spans="1:16" s="15" customFormat="1" ht="16.5" customHeight="1">
      <c r="A535" s="12" t="s">
        <v>131</v>
      </c>
      <c r="B535" s="12" t="s">
        <v>18</v>
      </c>
      <c r="C535" s="12" t="s">
        <v>111</v>
      </c>
      <c r="D535" s="12" t="s">
        <v>132</v>
      </c>
      <c r="E535" s="12" t="s">
        <v>133</v>
      </c>
      <c r="F535" s="12" t="s">
        <v>114</v>
      </c>
      <c r="G535" s="12" t="s">
        <v>116</v>
      </c>
      <c r="H535" s="12" t="s">
        <v>26</v>
      </c>
      <c r="I535" s="12" t="s">
        <v>99</v>
      </c>
      <c r="J535" s="12" t="s">
        <v>28</v>
      </c>
      <c r="K535" s="12" t="s">
        <v>29</v>
      </c>
      <c r="L535" s="12" t="s">
        <v>28</v>
      </c>
      <c r="M535" s="13">
        <v>46104.601631944446</v>
      </c>
      <c r="N535" s="14">
        <v>46104.601643518516</v>
      </c>
      <c r="O535" s="38" t="s">
        <v>3410</v>
      </c>
      <c r="P535" s="38" t="s">
        <v>3411</v>
      </c>
    </row>
    <row r="536" spans="1:16" s="15" customFormat="1" ht="16.5" customHeight="1">
      <c r="A536" s="12" t="s">
        <v>134</v>
      </c>
      <c r="B536" s="12" t="s">
        <v>18</v>
      </c>
      <c r="C536" s="12" t="s">
        <v>19</v>
      </c>
      <c r="D536" s="12" t="s">
        <v>135</v>
      </c>
      <c r="E536" s="12" t="s">
        <v>136</v>
      </c>
      <c r="F536" s="12" t="s">
        <v>22</v>
      </c>
      <c r="G536" s="12" t="s">
        <v>116</v>
      </c>
      <c r="H536" s="12" t="s">
        <v>26</v>
      </c>
      <c r="I536" s="12" t="s">
        <v>39</v>
      </c>
      <c r="J536" s="12" t="s">
        <v>28</v>
      </c>
      <c r="K536" s="12" t="s">
        <v>29</v>
      </c>
      <c r="L536" s="12" t="s">
        <v>28</v>
      </c>
      <c r="M536" s="13">
        <v>46108.399259259262</v>
      </c>
      <c r="N536" s="14">
        <v>46108.399259259262</v>
      </c>
      <c r="O536" s="15" t="s">
        <v>419</v>
      </c>
      <c r="P536" s="38" t="s">
        <v>3422</v>
      </c>
    </row>
    <row r="537" spans="1:16" s="15" customFormat="1" ht="16.5" customHeight="1">
      <c r="A537" s="12" t="s">
        <v>137</v>
      </c>
      <c r="B537" s="12" t="s">
        <v>18</v>
      </c>
      <c r="C537" s="12" t="s">
        <v>19</v>
      </c>
      <c r="D537" s="12" t="s">
        <v>138</v>
      </c>
      <c r="E537" s="12" t="s">
        <v>139</v>
      </c>
      <c r="F537" s="12" t="s">
        <v>22</v>
      </c>
      <c r="G537" s="12" t="s">
        <v>116</v>
      </c>
      <c r="H537" s="12" t="s">
        <v>26</v>
      </c>
      <c r="I537" s="12" t="s">
        <v>39</v>
      </c>
      <c r="J537" s="12" t="s">
        <v>28</v>
      </c>
      <c r="K537" s="12" t="s">
        <v>29</v>
      </c>
      <c r="L537" s="12" t="s">
        <v>28</v>
      </c>
      <c r="M537" s="13">
        <v>46108.405243055553</v>
      </c>
      <c r="N537" s="14">
        <v>46108.405243055553</v>
      </c>
      <c r="O537" s="15" t="s">
        <v>419</v>
      </c>
      <c r="P537" s="38" t="s">
        <v>3422</v>
      </c>
    </row>
    <row r="538" spans="1:16" s="15" customFormat="1" ht="16.5" customHeight="1">
      <c r="A538" s="12" t="s">
        <v>140</v>
      </c>
      <c r="B538" s="12" t="s">
        <v>18</v>
      </c>
      <c r="C538" s="12" t="s">
        <v>46</v>
      </c>
      <c r="D538" s="12" t="s">
        <v>141</v>
      </c>
      <c r="E538" s="12" t="s">
        <v>142</v>
      </c>
      <c r="F538" s="12" t="s">
        <v>49</v>
      </c>
      <c r="G538" s="12" t="s">
        <v>25</v>
      </c>
      <c r="H538" s="12" t="s">
        <v>26</v>
      </c>
      <c r="I538" s="12" t="s">
        <v>39</v>
      </c>
      <c r="J538" s="12" t="s">
        <v>28</v>
      </c>
      <c r="K538" s="12" t="s">
        <v>67</v>
      </c>
      <c r="L538" s="12" t="s">
        <v>28</v>
      </c>
      <c r="M538" s="13">
        <v>46105.448993055557</v>
      </c>
      <c r="N538" s="14">
        <v>46105.448993055557</v>
      </c>
      <c r="O538" s="38" t="s">
        <v>3410</v>
      </c>
      <c r="P538" s="38" t="s">
        <v>3411</v>
      </c>
    </row>
    <row r="539" spans="1:16" s="15" customFormat="1" ht="16.5" customHeight="1">
      <c r="A539" s="12" t="s">
        <v>140</v>
      </c>
      <c r="B539" s="12" t="s">
        <v>18</v>
      </c>
      <c r="C539" s="12" t="s">
        <v>46</v>
      </c>
      <c r="D539" s="12" t="s">
        <v>143</v>
      </c>
      <c r="E539" s="12" t="s">
        <v>144</v>
      </c>
      <c r="F539" s="12" t="s">
        <v>49</v>
      </c>
      <c r="G539" s="12" t="s">
        <v>25</v>
      </c>
      <c r="H539" s="12" t="s">
        <v>26</v>
      </c>
      <c r="I539" s="12" t="s">
        <v>39</v>
      </c>
      <c r="J539" s="12" t="s">
        <v>28</v>
      </c>
      <c r="K539" s="12" t="s">
        <v>67</v>
      </c>
      <c r="L539" s="12" t="s">
        <v>28</v>
      </c>
      <c r="M539" s="13">
        <v>46105.452800925923</v>
      </c>
      <c r="N539" s="14">
        <v>46105.452800925923</v>
      </c>
      <c r="O539" s="38" t="s">
        <v>3410</v>
      </c>
      <c r="P539" s="38" t="s">
        <v>3411</v>
      </c>
    </row>
    <row r="540" spans="1:16" s="15" customFormat="1" ht="16.5" customHeight="1">
      <c r="A540" s="12" t="s">
        <v>145</v>
      </c>
      <c r="B540" s="12" t="s">
        <v>18</v>
      </c>
      <c r="C540" s="12" t="s">
        <v>46</v>
      </c>
      <c r="D540" s="12" t="s">
        <v>146</v>
      </c>
      <c r="E540" s="12" t="s">
        <v>147</v>
      </c>
      <c r="F540" s="12" t="s">
        <v>49</v>
      </c>
      <c r="G540" s="12" t="s">
        <v>116</v>
      </c>
      <c r="H540" s="12" t="s">
        <v>148</v>
      </c>
      <c r="I540" s="12" t="s">
        <v>56</v>
      </c>
      <c r="J540" s="12" t="s">
        <v>28</v>
      </c>
      <c r="K540" s="12" t="s">
        <v>29</v>
      </c>
      <c r="L540" s="12" t="s">
        <v>28</v>
      </c>
      <c r="M540" s="13">
        <v>46108.398912037039</v>
      </c>
      <c r="N540" s="14">
        <v>46108.398912037039</v>
      </c>
      <c r="O540" s="38" t="s">
        <v>3415</v>
      </c>
      <c r="P540" s="38" t="s">
        <v>3414</v>
      </c>
    </row>
    <row r="541" spans="1:16" s="15" customFormat="1" ht="16.5" customHeight="1">
      <c r="A541" s="12" t="s">
        <v>149</v>
      </c>
      <c r="B541" s="12" t="s">
        <v>18</v>
      </c>
      <c r="C541" s="12" t="s">
        <v>46</v>
      </c>
      <c r="D541" s="12" t="s">
        <v>150</v>
      </c>
      <c r="E541" s="12" t="s">
        <v>147</v>
      </c>
      <c r="F541" s="12" t="s">
        <v>49</v>
      </c>
      <c r="G541" s="12" t="s">
        <v>116</v>
      </c>
      <c r="H541" s="12" t="s">
        <v>148</v>
      </c>
      <c r="I541" s="12" t="s">
        <v>56</v>
      </c>
      <c r="J541" s="12" t="s">
        <v>28</v>
      </c>
      <c r="K541" s="12" t="s">
        <v>29</v>
      </c>
      <c r="L541" s="12" t="s">
        <v>28</v>
      </c>
      <c r="M541" s="13">
        <v>46108.39880787037</v>
      </c>
      <c r="N541" s="14">
        <v>46108.39880787037</v>
      </c>
      <c r="O541" s="38" t="s">
        <v>3415</v>
      </c>
      <c r="P541" s="38" t="s">
        <v>3414</v>
      </c>
    </row>
    <row r="542" spans="1:16" s="15" customFormat="1" ht="16.5" customHeight="1">
      <c r="A542" s="12" t="s">
        <v>151</v>
      </c>
      <c r="B542" s="12" t="s">
        <v>18</v>
      </c>
      <c r="C542" s="12" t="s">
        <v>46</v>
      </c>
      <c r="D542" s="12" t="s">
        <v>152</v>
      </c>
      <c r="E542" s="12" t="s">
        <v>147</v>
      </c>
      <c r="F542" s="12" t="s">
        <v>49</v>
      </c>
      <c r="G542" s="12" t="s">
        <v>116</v>
      </c>
      <c r="H542" s="12" t="s">
        <v>26</v>
      </c>
      <c r="I542" s="12" t="s">
        <v>56</v>
      </c>
      <c r="J542" s="12" t="s">
        <v>28</v>
      </c>
      <c r="K542" s="12" t="s">
        <v>29</v>
      </c>
      <c r="L542" s="12" t="s">
        <v>28</v>
      </c>
      <c r="M542" s="13">
        <v>46108.3987037037</v>
      </c>
      <c r="N542" s="14">
        <v>46108.3987037037</v>
      </c>
      <c r="O542" s="38" t="s">
        <v>3415</v>
      </c>
      <c r="P542" s="38" t="s">
        <v>3414</v>
      </c>
    </row>
    <row r="543" spans="1:16" s="15" customFormat="1" ht="16.5" customHeight="1">
      <c r="A543" s="12" t="s">
        <v>153</v>
      </c>
      <c r="B543" s="12" t="s">
        <v>18</v>
      </c>
      <c r="C543" s="12" t="s">
        <v>46</v>
      </c>
      <c r="D543" s="12" t="s">
        <v>154</v>
      </c>
      <c r="E543" s="12" t="s">
        <v>147</v>
      </c>
      <c r="F543" s="12" t="s">
        <v>49</v>
      </c>
      <c r="G543" s="12" t="s">
        <v>116</v>
      </c>
      <c r="H543" s="12" t="s">
        <v>26</v>
      </c>
      <c r="I543" s="12" t="s">
        <v>56</v>
      </c>
      <c r="J543" s="12" t="s">
        <v>28</v>
      </c>
      <c r="K543" s="12" t="s">
        <v>29</v>
      </c>
      <c r="L543" s="12" t="s">
        <v>28</v>
      </c>
      <c r="M543" s="13">
        <v>46108.392650462964</v>
      </c>
      <c r="N543" s="14">
        <v>46108.392650462964</v>
      </c>
      <c r="O543" s="38" t="s">
        <v>3415</v>
      </c>
      <c r="P543" s="38" t="s">
        <v>3414</v>
      </c>
    </row>
    <row r="544" spans="1:16" s="15" customFormat="1" ht="16.5" customHeight="1">
      <c r="A544" s="12" t="s">
        <v>155</v>
      </c>
      <c r="B544" s="12" t="s">
        <v>18</v>
      </c>
      <c r="C544" s="12" t="s">
        <v>46</v>
      </c>
      <c r="D544" s="12" t="s">
        <v>156</v>
      </c>
      <c r="E544" s="12" t="s">
        <v>157</v>
      </c>
      <c r="F544" s="12" t="s">
        <v>49</v>
      </c>
      <c r="G544" s="12" t="s">
        <v>25</v>
      </c>
      <c r="H544" s="12" t="s">
        <v>26</v>
      </c>
      <c r="I544" s="12" t="s">
        <v>56</v>
      </c>
      <c r="J544" s="12" t="s">
        <v>28</v>
      </c>
      <c r="K544" s="12" t="s">
        <v>29</v>
      </c>
      <c r="L544" s="12" t="s">
        <v>28</v>
      </c>
      <c r="M544" s="13">
        <v>46105.414988425924</v>
      </c>
      <c r="N544" s="14">
        <v>46105.414988425924</v>
      </c>
      <c r="O544" s="38" t="s">
        <v>3410</v>
      </c>
      <c r="P544" s="38" t="s">
        <v>3411</v>
      </c>
    </row>
    <row r="545" spans="1:16" s="15" customFormat="1" ht="16.5" customHeight="1">
      <c r="A545" s="12" t="s">
        <v>158</v>
      </c>
      <c r="B545" s="12" t="s">
        <v>18</v>
      </c>
      <c r="C545" s="12" t="s">
        <v>46</v>
      </c>
      <c r="D545" s="12" t="s">
        <v>159</v>
      </c>
      <c r="E545" s="12" t="s">
        <v>142</v>
      </c>
      <c r="F545" s="12" t="s">
        <v>49</v>
      </c>
      <c r="G545" s="12" t="s">
        <v>25</v>
      </c>
      <c r="H545" s="12" t="s">
        <v>26</v>
      </c>
      <c r="I545" s="12" t="s">
        <v>39</v>
      </c>
      <c r="J545" s="12" t="s">
        <v>28</v>
      </c>
      <c r="K545" s="12" t="s">
        <v>67</v>
      </c>
      <c r="L545" s="12" t="s">
        <v>28</v>
      </c>
      <c r="M545" s="13">
        <v>46105.547175925924</v>
      </c>
      <c r="N545" s="14">
        <v>46105.547175925924</v>
      </c>
      <c r="O545" s="38" t="s">
        <v>3410</v>
      </c>
      <c r="P545" s="38" t="s">
        <v>3411</v>
      </c>
    </row>
    <row r="546" spans="1:16" s="15" customFormat="1" ht="16.5" customHeight="1">
      <c r="A546" s="12" t="s">
        <v>158</v>
      </c>
      <c r="B546" s="12" t="s">
        <v>18</v>
      </c>
      <c r="C546" s="12" t="s">
        <v>46</v>
      </c>
      <c r="D546" s="12" t="s">
        <v>160</v>
      </c>
      <c r="E546" s="12" t="s">
        <v>161</v>
      </c>
      <c r="F546" s="12" t="s">
        <v>49</v>
      </c>
      <c r="G546" s="12" t="s">
        <v>25</v>
      </c>
      <c r="H546" s="12" t="s">
        <v>26</v>
      </c>
      <c r="I546" s="12" t="s">
        <v>39</v>
      </c>
      <c r="J546" s="12" t="s">
        <v>28</v>
      </c>
      <c r="K546" s="12" t="s">
        <v>67</v>
      </c>
      <c r="L546" s="12" t="s">
        <v>28</v>
      </c>
      <c r="M546" s="13">
        <v>46105.549375000002</v>
      </c>
      <c r="N546" s="14">
        <v>46105.549375000002</v>
      </c>
      <c r="O546" s="38" t="s">
        <v>3410</v>
      </c>
      <c r="P546" s="38" t="s">
        <v>3411</v>
      </c>
    </row>
    <row r="547" spans="1:16" s="15" customFormat="1" ht="16.5" customHeight="1">
      <c r="A547" s="12" t="s">
        <v>162</v>
      </c>
      <c r="B547" s="12" t="s">
        <v>18</v>
      </c>
      <c r="C547" s="12" t="s">
        <v>46</v>
      </c>
      <c r="D547" s="12" t="s">
        <v>163</v>
      </c>
      <c r="E547" s="12" t="s">
        <v>142</v>
      </c>
      <c r="F547" s="12" t="s">
        <v>49</v>
      </c>
      <c r="G547" s="12" t="s">
        <v>25</v>
      </c>
      <c r="H547" s="12" t="s">
        <v>26</v>
      </c>
      <c r="I547" s="12" t="s">
        <v>39</v>
      </c>
      <c r="J547" s="12" t="s">
        <v>28</v>
      </c>
      <c r="K547" s="12" t="s">
        <v>67</v>
      </c>
      <c r="L547" s="12" t="s">
        <v>28</v>
      </c>
      <c r="M547" s="13">
        <v>46105.551990740743</v>
      </c>
      <c r="N547" s="14">
        <v>46105.551990740743</v>
      </c>
      <c r="O547" s="38" t="s">
        <v>3410</v>
      </c>
      <c r="P547" s="38" t="s">
        <v>3411</v>
      </c>
    </row>
    <row r="548" spans="1:16" s="15" customFormat="1" ht="16.5" customHeight="1">
      <c r="A548" s="12" t="s">
        <v>162</v>
      </c>
      <c r="B548" s="12" t="s">
        <v>18</v>
      </c>
      <c r="C548" s="12" t="s">
        <v>46</v>
      </c>
      <c r="D548" s="12" t="s">
        <v>164</v>
      </c>
      <c r="E548" s="12" t="s">
        <v>165</v>
      </c>
      <c r="F548" s="12" t="s">
        <v>49</v>
      </c>
      <c r="G548" s="12" t="s">
        <v>25</v>
      </c>
      <c r="H548" s="12" t="s">
        <v>26</v>
      </c>
      <c r="I548" s="12" t="s">
        <v>39</v>
      </c>
      <c r="J548" s="12" t="s">
        <v>28</v>
      </c>
      <c r="K548" s="12" t="s">
        <v>67</v>
      </c>
      <c r="L548" s="12" t="s">
        <v>28</v>
      </c>
      <c r="M548" s="13">
        <v>46105.552719907406</v>
      </c>
      <c r="N548" s="14">
        <v>46105.552719907406</v>
      </c>
      <c r="O548" s="38" t="s">
        <v>3410</v>
      </c>
      <c r="P548" s="38" t="s">
        <v>3411</v>
      </c>
    </row>
    <row r="549" spans="1:16" s="15" customFormat="1" ht="16.5" customHeight="1">
      <c r="A549" s="12" t="s">
        <v>166</v>
      </c>
      <c r="B549" s="12" t="s">
        <v>18</v>
      </c>
      <c r="C549" s="12" t="s">
        <v>46</v>
      </c>
      <c r="D549" s="12" t="s">
        <v>167</v>
      </c>
      <c r="E549" s="12" t="s">
        <v>142</v>
      </c>
      <c r="F549" s="12" t="s">
        <v>49</v>
      </c>
      <c r="G549" s="12" t="s">
        <v>25</v>
      </c>
      <c r="H549" s="12" t="s">
        <v>26</v>
      </c>
      <c r="I549" s="12" t="s">
        <v>39</v>
      </c>
      <c r="J549" s="12" t="s">
        <v>28</v>
      </c>
      <c r="K549" s="12" t="s">
        <v>67</v>
      </c>
      <c r="L549" s="12" t="s">
        <v>28</v>
      </c>
      <c r="M549" s="13">
        <v>46105.556493055556</v>
      </c>
      <c r="N549" s="14">
        <v>46105.556504629632</v>
      </c>
      <c r="O549" s="38" t="s">
        <v>3410</v>
      </c>
      <c r="P549" s="38" t="s">
        <v>3411</v>
      </c>
    </row>
    <row r="550" spans="1:16" s="15" customFormat="1" ht="16.5" customHeight="1">
      <c r="A550" s="12" t="s">
        <v>166</v>
      </c>
      <c r="B550" s="12" t="s">
        <v>18</v>
      </c>
      <c r="C550" s="12" t="s">
        <v>46</v>
      </c>
      <c r="D550" s="12" t="s">
        <v>168</v>
      </c>
      <c r="E550" s="12" t="s">
        <v>142</v>
      </c>
      <c r="F550" s="12" t="s">
        <v>49</v>
      </c>
      <c r="G550" s="12" t="s">
        <v>25</v>
      </c>
      <c r="H550" s="12" t="s">
        <v>26</v>
      </c>
      <c r="I550" s="12" t="s">
        <v>39</v>
      </c>
      <c r="J550" s="12" t="s">
        <v>28</v>
      </c>
      <c r="K550" s="12" t="s">
        <v>67</v>
      </c>
      <c r="L550" s="12" t="s">
        <v>28</v>
      </c>
      <c r="M550" s="13">
        <v>46105.559953703705</v>
      </c>
      <c r="N550" s="14">
        <v>46105.559953703705</v>
      </c>
      <c r="O550" s="38" t="s">
        <v>3410</v>
      </c>
      <c r="P550" s="38" t="s">
        <v>3411</v>
      </c>
    </row>
    <row r="551" spans="1:16" s="15" customFormat="1" ht="16.5" customHeight="1">
      <c r="A551" s="12" t="s">
        <v>166</v>
      </c>
      <c r="B551" s="12" t="s">
        <v>18</v>
      </c>
      <c r="C551" s="12" t="s">
        <v>46</v>
      </c>
      <c r="D551" s="12" t="s">
        <v>169</v>
      </c>
      <c r="E551" s="12" t="s">
        <v>170</v>
      </c>
      <c r="F551" s="12" t="s">
        <v>49</v>
      </c>
      <c r="G551" s="12" t="s">
        <v>25</v>
      </c>
      <c r="H551" s="12" t="s">
        <v>26</v>
      </c>
      <c r="I551" s="12" t="s">
        <v>39</v>
      </c>
      <c r="J551" s="12" t="s">
        <v>28</v>
      </c>
      <c r="K551" s="12" t="s">
        <v>67</v>
      </c>
      <c r="L551" s="12" t="s">
        <v>28</v>
      </c>
      <c r="M551" s="13">
        <v>46105.560972222222</v>
      </c>
      <c r="N551" s="14">
        <v>46105.560972222222</v>
      </c>
      <c r="O551" s="38" t="s">
        <v>3410</v>
      </c>
      <c r="P551" s="38" t="s">
        <v>3411</v>
      </c>
    </row>
    <row r="552" spans="1:16" s="15" customFormat="1" ht="16.5" customHeight="1">
      <c r="A552" s="12" t="s">
        <v>171</v>
      </c>
      <c r="B552" s="12" t="s">
        <v>18</v>
      </c>
      <c r="C552" s="12" t="s">
        <v>46</v>
      </c>
      <c r="D552" s="12" t="s">
        <v>172</v>
      </c>
      <c r="E552" s="12" t="s">
        <v>142</v>
      </c>
      <c r="F552" s="12" t="s">
        <v>49</v>
      </c>
      <c r="G552" s="12" t="s">
        <v>25</v>
      </c>
      <c r="H552" s="12" t="s">
        <v>26</v>
      </c>
      <c r="I552" s="12" t="s">
        <v>39</v>
      </c>
      <c r="J552" s="12" t="s">
        <v>28</v>
      </c>
      <c r="K552" s="12" t="s">
        <v>67</v>
      </c>
      <c r="L552" s="12" t="s">
        <v>28</v>
      </c>
      <c r="M552" s="13">
        <v>46105.460902777777</v>
      </c>
      <c r="N552" s="14">
        <v>46105.460914351854</v>
      </c>
      <c r="O552" s="38" t="s">
        <v>3410</v>
      </c>
      <c r="P552" s="38" t="s">
        <v>3411</v>
      </c>
    </row>
    <row r="553" spans="1:16" s="15" customFormat="1" ht="16.5" customHeight="1">
      <c r="A553" s="12" t="s">
        <v>171</v>
      </c>
      <c r="B553" s="12" t="s">
        <v>18</v>
      </c>
      <c r="C553" s="12" t="s">
        <v>46</v>
      </c>
      <c r="D553" s="12" t="s">
        <v>173</v>
      </c>
      <c r="E553" s="12" t="s">
        <v>174</v>
      </c>
      <c r="F553" s="12" t="s">
        <v>49</v>
      </c>
      <c r="G553" s="12" t="s">
        <v>25</v>
      </c>
      <c r="H553" s="12" t="s">
        <v>26</v>
      </c>
      <c r="I553" s="12" t="s">
        <v>39</v>
      </c>
      <c r="J553" s="12" t="s">
        <v>28</v>
      </c>
      <c r="K553" s="12" t="s">
        <v>67</v>
      </c>
      <c r="L553" s="12" t="s">
        <v>28</v>
      </c>
      <c r="M553" s="13">
        <v>46105.464502314811</v>
      </c>
      <c r="N553" s="14">
        <v>46105.464502314811</v>
      </c>
      <c r="O553" s="38" t="s">
        <v>3410</v>
      </c>
      <c r="P553" s="38" t="s">
        <v>3411</v>
      </c>
    </row>
    <row r="554" spans="1:16" s="15" customFormat="1" ht="16.5" customHeight="1">
      <c r="A554" s="12" t="s">
        <v>175</v>
      </c>
      <c r="B554" s="12" t="s">
        <v>18</v>
      </c>
      <c r="C554" s="12" t="s">
        <v>46</v>
      </c>
      <c r="D554" s="12" t="s">
        <v>176</v>
      </c>
      <c r="E554" s="12" t="s">
        <v>142</v>
      </c>
      <c r="F554" s="12" t="s">
        <v>49</v>
      </c>
      <c r="G554" s="12" t="s">
        <v>25</v>
      </c>
      <c r="H554" s="12" t="s">
        <v>26</v>
      </c>
      <c r="I554" s="12" t="s">
        <v>39</v>
      </c>
      <c r="J554" s="12" t="s">
        <v>28</v>
      </c>
      <c r="K554" s="12" t="s">
        <v>67</v>
      </c>
      <c r="L554" s="12" t="s">
        <v>28</v>
      </c>
      <c r="M554" s="13">
        <v>46105.564675925925</v>
      </c>
      <c r="N554" s="14">
        <v>46105.564675925925</v>
      </c>
      <c r="O554" s="38" t="s">
        <v>3410</v>
      </c>
      <c r="P554" s="38" t="s">
        <v>3411</v>
      </c>
    </row>
    <row r="555" spans="1:16" s="15" customFormat="1" ht="16.5" customHeight="1">
      <c r="A555" s="12" t="s">
        <v>177</v>
      </c>
      <c r="B555" s="12" t="s">
        <v>18</v>
      </c>
      <c r="C555" s="12" t="s">
        <v>46</v>
      </c>
      <c r="D555" s="12" t="s">
        <v>178</v>
      </c>
      <c r="E555" s="12" t="s">
        <v>179</v>
      </c>
      <c r="F555" s="12" t="s">
        <v>49</v>
      </c>
      <c r="G555" s="12" t="s">
        <v>25</v>
      </c>
      <c r="H555" s="12" t="s">
        <v>26</v>
      </c>
      <c r="I555" s="12" t="s">
        <v>56</v>
      </c>
      <c r="J555" s="12" t="s">
        <v>28</v>
      </c>
      <c r="K555" s="12" t="s">
        <v>106</v>
      </c>
      <c r="L555" s="12" t="s">
        <v>28</v>
      </c>
      <c r="M555" s="13">
        <v>46105.583680555559</v>
      </c>
      <c r="N555" s="14">
        <v>46105.583680555559</v>
      </c>
      <c r="O555" s="38" t="s">
        <v>3415</v>
      </c>
      <c r="P555" s="38" t="s">
        <v>3414</v>
      </c>
    </row>
    <row r="556" spans="1:16" s="15" customFormat="1" ht="16.5" customHeight="1">
      <c r="A556" s="12" t="s">
        <v>17</v>
      </c>
      <c r="B556" s="12" t="s">
        <v>18</v>
      </c>
      <c r="C556" s="12" t="s">
        <v>19</v>
      </c>
      <c r="D556" s="12" t="s">
        <v>180</v>
      </c>
      <c r="E556" s="12" t="s">
        <v>181</v>
      </c>
      <c r="F556" s="12" t="s">
        <v>22</v>
      </c>
      <c r="G556" s="12" t="s">
        <v>25</v>
      </c>
      <c r="H556" s="12" t="s">
        <v>26</v>
      </c>
      <c r="I556" s="12" t="s">
        <v>27</v>
      </c>
      <c r="J556" s="12" t="s">
        <v>28</v>
      </c>
      <c r="K556" s="12" t="s">
        <v>29</v>
      </c>
      <c r="L556" s="12" t="s">
        <v>28</v>
      </c>
      <c r="M556" s="13">
        <v>46106.585393518515</v>
      </c>
      <c r="N556" s="14">
        <v>46106.585393518515</v>
      </c>
      <c r="O556" s="38" t="s">
        <v>3410</v>
      </c>
      <c r="P556" s="38" t="s">
        <v>3411</v>
      </c>
    </row>
    <row r="557" spans="1:16" s="15" customFormat="1" ht="16.5" customHeight="1">
      <c r="A557" s="12" t="s">
        <v>222</v>
      </c>
      <c r="B557" s="12" t="s">
        <v>18</v>
      </c>
      <c r="C557" s="12" t="s">
        <v>216</v>
      </c>
      <c r="D557" s="12" t="s">
        <v>223</v>
      </c>
      <c r="E557" s="12" t="s">
        <v>224</v>
      </c>
      <c r="F557" s="12" t="s">
        <v>219</v>
      </c>
      <c r="G557" s="12" t="s">
        <v>25</v>
      </c>
      <c r="H557" s="12" t="s">
        <v>26</v>
      </c>
      <c r="I557" s="12" t="s">
        <v>27</v>
      </c>
      <c r="J557" s="12" t="s">
        <v>189</v>
      </c>
      <c r="K557" s="12" t="s">
        <v>29</v>
      </c>
      <c r="L557" s="12" t="s">
        <v>189</v>
      </c>
      <c r="M557" s="13">
        <v>46105.465277777781</v>
      </c>
      <c r="N557" s="14">
        <v>46111.341643518521</v>
      </c>
      <c r="O557" s="38" t="s">
        <v>3410</v>
      </c>
      <c r="P557" s="38" t="s">
        <v>3411</v>
      </c>
    </row>
    <row r="558" spans="1:16" s="15" customFormat="1" ht="16.5" customHeight="1">
      <c r="A558" s="12" t="s">
        <v>222</v>
      </c>
      <c r="B558" s="12" t="s">
        <v>18</v>
      </c>
      <c r="C558" s="12" t="s">
        <v>216</v>
      </c>
      <c r="D558" s="12" t="s">
        <v>226</v>
      </c>
      <c r="E558" s="12" t="s">
        <v>227</v>
      </c>
      <c r="F558" s="12" t="s">
        <v>219</v>
      </c>
      <c r="G558" s="12" t="s">
        <v>25</v>
      </c>
      <c r="H558" s="12" t="s">
        <v>38</v>
      </c>
      <c r="I558" s="12" t="s">
        <v>99</v>
      </c>
      <c r="J558" s="12" t="s">
        <v>189</v>
      </c>
      <c r="K558" s="12" t="s">
        <v>29</v>
      </c>
      <c r="L558" s="12" t="s">
        <v>189</v>
      </c>
      <c r="M558" s="13">
        <v>46105.469456018516</v>
      </c>
      <c r="N558" s="14">
        <v>46111.333773148152</v>
      </c>
      <c r="O558" s="38" t="s">
        <v>3415</v>
      </c>
      <c r="P558" s="38" t="s">
        <v>3414</v>
      </c>
    </row>
    <row r="559" spans="1:16" s="15" customFormat="1" ht="16.5" customHeight="1">
      <c r="A559" s="12" t="s">
        <v>228</v>
      </c>
      <c r="B559" s="12" t="s">
        <v>18</v>
      </c>
      <c r="C559" s="12" t="s">
        <v>229</v>
      </c>
      <c r="D559" s="12" t="s">
        <v>230</v>
      </c>
      <c r="E559" s="12" t="s">
        <v>231</v>
      </c>
      <c r="F559" s="12" t="s">
        <v>232</v>
      </c>
      <c r="G559" s="12" t="s">
        <v>25</v>
      </c>
      <c r="H559" s="12" t="s">
        <v>26</v>
      </c>
      <c r="I559" s="12" t="s">
        <v>27</v>
      </c>
      <c r="J559" s="12" t="s">
        <v>189</v>
      </c>
      <c r="K559" s="12" t="s">
        <v>67</v>
      </c>
      <c r="L559" s="12" t="s">
        <v>189</v>
      </c>
      <c r="M559" s="13">
        <v>46106.580752314818</v>
      </c>
      <c r="N559" s="14">
        <v>46106.684884259259</v>
      </c>
      <c r="O559" s="38" t="s">
        <v>3410</v>
      </c>
      <c r="P559" s="38" t="s">
        <v>3411</v>
      </c>
    </row>
    <row r="560" spans="1:16" s="15" customFormat="1" ht="16.5" customHeight="1">
      <c r="A560" s="12" t="s">
        <v>228</v>
      </c>
      <c r="B560" s="12" t="s">
        <v>18</v>
      </c>
      <c r="C560" s="12" t="s">
        <v>229</v>
      </c>
      <c r="D560" s="12" t="s">
        <v>234</v>
      </c>
      <c r="E560" s="12" t="s">
        <v>235</v>
      </c>
      <c r="F560" s="12" t="s">
        <v>232</v>
      </c>
      <c r="G560" s="12" t="s">
        <v>25</v>
      </c>
      <c r="H560" s="12" t="s">
        <v>38</v>
      </c>
      <c r="I560" s="12" t="s">
        <v>99</v>
      </c>
      <c r="J560" s="12" t="s">
        <v>189</v>
      </c>
      <c r="K560" s="12" t="s">
        <v>29</v>
      </c>
      <c r="L560" s="12" t="s">
        <v>189</v>
      </c>
      <c r="M560" s="13">
        <v>46105.476203703707</v>
      </c>
      <c r="N560" s="14">
        <v>46106.729178240741</v>
      </c>
      <c r="O560" s="38" t="s">
        <v>3415</v>
      </c>
      <c r="P560" s="38" t="s">
        <v>3414</v>
      </c>
    </row>
    <row r="561" spans="1:16" s="15" customFormat="1" ht="16.5" customHeight="1">
      <c r="A561" s="12" t="s">
        <v>237</v>
      </c>
      <c r="B561" s="12" t="s">
        <v>18</v>
      </c>
      <c r="C561" s="12" t="s">
        <v>216</v>
      </c>
      <c r="D561" s="12" t="s">
        <v>238</v>
      </c>
      <c r="E561" s="12" t="s">
        <v>239</v>
      </c>
      <c r="F561" s="12" t="s">
        <v>219</v>
      </c>
      <c r="G561" s="12" t="s">
        <v>25</v>
      </c>
      <c r="H561" s="12" t="s">
        <v>38</v>
      </c>
      <c r="I561" s="12" t="s">
        <v>39</v>
      </c>
      <c r="J561" s="12" t="s">
        <v>189</v>
      </c>
      <c r="K561" s="12" t="s">
        <v>67</v>
      </c>
      <c r="L561" s="12" t="s">
        <v>189</v>
      </c>
      <c r="M561" s="13">
        <v>46105.550578703704</v>
      </c>
      <c r="N561" s="14">
        <v>46105.57099537037</v>
      </c>
      <c r="O561" s="15" t="s">
        <v>122</v>
      </c>
      <c r="P561" s="15" t="s">
        <v>39</v>
      </c>
    </row>
    <row r="562" spans="1:16" s="15" customFormat="1" ht="16.5" customHeight="1">
      <c r="A562" s="12" t="s">
        <v>240</v>
      </c>
      <c r="B562" s="12" t="s">
        <v>18</v>
      </c>
      <c r="C562" s="12" t="s">
        <v>216</v>
      </c>
      <c r="D562" s="12" t="s">
        <v>241</v>
      </c>
      <c r="E562" s="12" t="s">
        <v>242</v>
      </c>
      <c r="F562" s="12" t="s">
        <v>219</v>
      </c>
      <c r="G562" s="12" t="s">
        <v>25</v>
      </c>
      <c r="H562" s="12" t="s">
        <v>26</v>
      </c>
      <c r="I562" s="12" t="s">
        <v>39</v>
      </c>
      <c r="J562" s="12" t="s">
        <v>189</v>
      </c>
      <c r="K562" s="12" t="s">
        <v>67</v>
      </c>
      <c r="L562" s="12" t="s">
        <v>189</v>
      </c>
      <c r="M562" s="13">
        <v>46105.553946759261</v>
      </c>
      <c r="N562" s="14">
        <v>46105.571608796294</v>
      </c>
      <c r="O562" s="15" t="s">
        <v>122</v>
      </c>
      <c r="P562" s="15" t="s">
        <v>39</v>
      </c>
    </row>
    <row r="563" spans="1:16" s="15" customFormat="1" ht="16.5" customHeight="1">
      <c r="A563" s="12" t="s">
        <v>240</v>
      </c>
      <c r="B563" s="12" t="s">
        <v>18</v>
      </c>
      <c r="C563" s="12" t="s">
        <v>216</v>
      </c>
      <c r="D563" s="12" t="s">
        <v>243</v>
      </c>
      <c r="E563" s="12" t="s">
        <v>244</v>
      </c>
      <c r="F563" s="12" t="s">
        <v>219</v>
      </c>
      <c r="G563" s="12" t="s">
        <v>25</v>
      </c>
      <c r="H563" s="12" t="s">
        <v>26</v>
      </c>
      <c r="I563" s="12" t="s">
        <v>99</v>
      </c>
      <c r="J563" s="12" t="s">
        <v>189</v>
      </c>
      <c r="K563" s="12" t="s">
        <v>29</v>
      </c>
      <c r="L563" s="12" t="s">
        <v>189</v>
      </c>
      <c r="M563" s="13">
        <v>46105.559687499997</v>
      </c>
      <c r="N563" s="14">
        <v>46105.571388888886</v>
      </c>
      <c r="O563" s="38" t="s">
        <v>3415</v>
      </c>
      <c r="P563" s="38" t="s">
        <v>3414</v>
      </c>
    </row>
    <row r="564" spans="1:16" s="15" customFormat="1" ht="16.5" customHeight="1">
      <c r="A564" s="12" t="s">
        <v>240</v>
      </c>
      <c r="B564" s="12" t="s">
        <v>18</v>
      </c>
      <c r="C564" s="12" t="s">
        <v>216</v>
      </c>
      <c r="D564" s="12" t="s">
        <v>245</v>
      </c>
      <c r="E564" s="12" t="s">
        <v>246</v>
      </c>
      <c r="F564" s="12" t="s">
        <v>219</v>
      </c>
      <c r="G564" s="12" t="s">
        <v>25</v>
      </c>
      <c r="H564" s="12" t="s">
        <v>26</v>
      </c>
      <c r="I564" s="12" t="s">
        <v>39</v>
      </c>
      <c r="J564" s="12" t="s">
        <v>189</v>
      </c>
      <c r="K564" s="12" t="s">
        <v>67</v>
      </c>
      <c r="L564" s="12" t="s">
        <v>189</v>
      </c>
      <c r="M564" s="13">
        <v>46105.561481481483</v>
      </c>
      <c r="N564" s="14">
        <v>46105.571527777778</v>
      </c>
      <c r="O564" s="38" t="s">
        <v>3413</v>
      </c>
      <c r="P564" s="38" t="s">
        <v>3409</v>
      </c>
    </row>
    <row r="565" spans="1:16" s="15" customFormat="1" ht="16.5" customHeight="1">
      <c r="A565" s="12" t="s">
        <v>265</v>
      </c>
      <c r="B565" s="12" t="s">
        <v>18</v>
      </c>
      <c r="C565" s="12" t="s">
        <v>266</v>
      </c>
      <c r="D565" s="12" t="s">
        <v>267</v>
      </c>
      <c r="E565" s="12" t="s">
        <v>268</v>
      </c>
      <c r="F565" s="12" t="s">
        <v>269</v>
      </c>
      <c r="G565" s="12" t="s">
        <v>25</v>
      </c>
      <c r="H565" s="12" t="s">
        <v>26</v>
      </c>
      <c r="I565" s="12" t="s">
        <v>39</v>
      </c>
      <c r="J565" s="12" t="s">
        <v>189</v>
      </c>
      <c r="K565" s="12" t="s">
        <v>67</v>
      </c>
      <c r="L565" s="12" t="s">
        <v>189</v>
      </c>
      <c r="M565" s="13">
        <v>46080.389837962961</v>
      </c>
      <c r="N565" s="14">
        <v>46080.396215277775</v>
      </c>
      <c r="O565" s="38" t="s">
        <v>3413</v>
      </c>
      <c r="P565" s="38" t="s">
        <v>3409</v>
      </c>
    </row>
    <row r="566" spans="1:16" s="15" customFormat="1" ht="16.5" customHeight="1">
      <c r="A566" s="12" t="s">
        <v>294</v>
      </c>
      <c r="B566" s="12" t="s">
        <v>18</v>
      </c>
      <c r="C566" s="12" t="s">
        <v>216</v>
      </c>
      <c r="D566" s="12" t="s">
        <v>295</v>
      </c>
      <c r="E566" s="12" t="s">
        <v>296</v>
      </c>
      <c r="F566" s="12" t="s">
        <v>219</v>
      </c>
      <c r="G566" s="12" t="s">
        <v>25</v>
      </c>
      <c r="H566" s="12" t="s">
        <v>38</v>
      </c>
      <c r="I566" s="12" t="s">
        <v>82</v>
      </c>
      <c r="J566" s="12" t="s">
        <v>189</v>
      </c>
      <c r="K566" s="12" t="s">
        <v>29</v>
      </c>
      <c r="L566" s="12" t="s">
        <v>189</v>
      </c>
      <c r="M566" s="13">
        <v>46105.428553240738</v>
      </c>
      <c r="N566" s="14">
        <v>46111.817511574074</v>
      </c>
      <c r="O566" s="38" t="s">
        <v>3413</v>
      </c>
      <c r="P566" s="38" t="s">
        <v>3409</v>
      </c>
    </row>
    <row r="567" spans="1:16" s="15" customFormat="1" ht="16.5" customHeight="1">
      <c r="A567" s="12" t="s">
        <v>300</v>
      </c>
      <c r="B567" s="12" t="s">
        <v>18</v>
      </c>
      <c r="C567" s="12" t="s">
        <v>301</v>
      </c>
      <c r="D567" s="12" t="s">
        <v>302</v>
      </c>
      <c r="E567" s="12" t="s">
        <v>303</v>
      </c>
      <c r="F567" s="12" t="s">
        <v>269</v>
      </c>
      <c r="G567" s="12" t="s">
        <v>25</v>
      </c>
      <c r="H567" s="12" t="s">
        <v>26</v>
      </c>
      <c r="I567" s="12" t="s">
        <v>39</v>
      </c>
      <c r="J567" s="12" t="s">
        <v>189</v>
      </c>
      <c r="K567" s="12" t="s">
        <v>67</v>
      </c>
      <c r="L567" s="12" t="s">
        <v>189</v>
      </c>
      <c r="M567" s="13">
        <v>46080.393564814818</v>
      </c>
      <c r="N567" s="14">
        <v>46080.397268518522</v>
      </c>
      <c r="O567" s="38" t="s">
        <v>3413</v>
      </c>
      <c r="P567" s="38" t="s">
        <v>3409</v>
      </c>
    </row>
    <row r="568" spans="1:16" s="15" customFormat="1" ht="16.5" customHeight="1">
      <c r="A568" s="12" t="s">
        <v>305</v>
      </c>
      <c r="B568" s="12" t="s">
        <v>18</v>
      </c>
      <c r="C568" s="12" t="s">
        <v>306</v>
      </c>
      <c r="D568" s="12" t="s">
        <v>307</v>
      </c>
      <c r="E568" s="12" t="s">
        <v>308</v>
      </c>
      <c r="F568" s="12" t="s">
        <v>232</v>
      </c>
      <c r="G568" s="12" t="s">
        <v>25</v>
      </c>
      <c r="H568" s="12" t="s">
        <v>38</v>
      </c>
      <c r="I568" s="12" t="s">
        <v>39</v>
      </c>
      <c r="J568" s="12" t="s">
        <v>189</v>
      </c>
      <c r="K568" s="12" t="s">
        <v>29</v>
      </c>
      <c r="L568" s="12" t="s">
        <v>189</v>
      </c>
      <c r="M568" s="13">
        <v>46105.581770833334</v>
      </c>
      <c r="N568" s="14">
        <v>46105.725405092591</v>
      </c>
      <c r="O568" s="38" t="s">
        <v>3421</v>
      </c>
      <c r="P568" s="38" t="s">
        <v>3419</v>
      </c>
    </row>
    <row r="569" spans="1:16" s="15" customFormat="1" ht="16.5" customHeight="1">
      <c r="A569" s="12" t="s">
        <v>398</v>
      </c>
      <c r="B569" s="12" t="s">
        <v>18</v>
      </c>
      <c r="C569" s="12" t="s">
        <v>111</v>
      </c>
      <c r="D569" s="12" t="s">
        <v>399</v>
      </c>
      <c r="E569" s="12" t="s">
        <v>400</v>
      </c>
      <c r="F569" s="12" t="s">
        <v>114</v>
      </c>
      <c r="G569" s="12" t="s">
        <v>25</v>
      </c>
      <c r="H569" s="12" t="s">
        <v>38</v>
      </c>
      <c r="I569" s="12" t="s">
        <v>203</v>
      </c>
      <c r="J569" s="12" t="s">
        <v>189</v>
      </c>
      <c r="K569" s="12" t="s">
        <v>29</v>
      </c>
      <c r="L569" s="12" t="s">
        <v>189</v>
      </c>
      <c r="M569" s="13">
        <v>46104.533958333333</v>
      </c>
      <c r="N569" s="14">
        <v>46111.591423611113</v>
      </c>
      <c r="O569" s="38" t="s">
        <v>3410</v>
      </c>
      <c r="P569" s="38" t="s">
        <v>3411</v>
      </c>
    </row>
    <row r="570" spans="1:16" s="15" customFormat="1" ht="16.5" customHeight="1">
      <c r="A570" s="12" t="s">
        <v>473</v>
      </c>
      <c r="B570" s="12" t="s">
        <v>18</v>
      </c>
      <c r="C570" s="12" t="s">
        <v>261</v>
      </c>
      <c r="D570" s="12" t="s">
        <v>474</v>
      </c>
      <c r="E570" s="12" t="s">
        <v>475</v>
      </c>
      <c r="F570" s="12" t="s">
        <v>219</v>
      </c>
      <c r="G570" s="12" t="s">
        <v>25</v>
      </c>
      <c r="H570" s="12" t="s">
        <v>26</v>
      </c>
      <c r="I570" s="12" t="s">
        <v>39</v>
      </c>
      <c r="J570" s="12" t="s">
        <v>189</v>
      </c>
      <c r="K570" s="12" t="s">
        <v>67</v>
      </c>
      <c r="L570" s="12" t="s">
        <v>189</v>
      </c>
      <c r="M570" s="13">
        <v>46104.653449074074</v>
      </c>
      <c r="N570" s="14">
        <v>46105.575254629628</v>
      </c>
      <c r="O570" s="15" t="s">
        <v>122</v>
      </c>
      <c r="P570" s="15" t="s">
        <v>39</v>
      </c>
    </row>
    <row r="571" spans="1:16" s="15" customFormat="1" ht="16.5" customHeight="1">
      <c r="A571" s="12" t="s">
        <v>476</v>
      </c>
      <c r="B571" s="12" t="s">
        <v>18</v>
      </c>
      <c r="C571" s="12" t="s">
        <v>261</v>
      </c>
      <c r="D571" s="12" t="s">
        <v>477</v>
      </c>
      <c r="E571" s="12" t="s">
        <v>478</v>
      </c>
      <c r="F571" s="12" t="s">
        <v>219</v>
      </c>
      <c r="G571" s="12" t="s">
        <v>25</v>
      </c>
      <c r="H571" s="12" t="s">
        <v>26</v>
      </c>
      <c r="I571" s="12" t="s">
        <v>39</v>
      </c>
      <c r="J571" s="12" t="s">
        <v>189</v>
      </c>
      <c r="K571" s="12" t="s">
        <v>106</v>
      </c>
      <c r="L571" s="12" t="s">
        <v>189</v>
      </c>
      <c r="M571" s="13">
        <v>46104.667395833334</v>
      </c>
      <c r="N571" s="14">
        <v>46105.57476851852</v>
      </c>
      <c r="O571" s="15" t="s">
        <v>122</v>
      </c>
      <c r="P571" s="15" t="s">
        <v>39</v>
      </c>
    </row>
    <row r="572" spans="1:16" s="15" customFormat="1" ht="16.5" customHeight="1">
      <c r="A572" s="12" t="s">
        <v>481</v>
      </c>
      <c r="B572" s="12" t="s">
        <v>18</v>
      </c>
      <c r="C572" s="12" t="s">
        <v>261</v>
      </c>
      <c r="D572" s="12" t="s">
        <v>482</v>
      </c>
      <c r="E572" s="12" t="s">
        <v>483</v>
      </c>
      <c r="F572" s="12" t="s">
        <v>219</v>
      </c>
      <c r="G572" s="12" t="s">
        <v>25</v>
      </c>
      <c r="H572" s="12" t="s">
        <v>26</v>
      </c>
      <c r="I572" s="12" t="s">
        <v>39</v>
      </c>
      <c r="J572" s="12" t="s">
        <v>189</v>
      </c>
      <c r="K572" s="12" t="s">
        <v>106</v>
      </c>
      <c r="L572" s="12" t="s">
        <v>189</v>
      </c>
      <c r="M572" s="13">
        <v>46104.671400462961</v>
      </c>
      <c r="N572" s="14">
        <v>46105.574178240742</v>
      </c>
      <c r="O572" s="15" t="s">
        <v>122</v>
      </c>
      <c r="P572" s="15" t="s">
        <v>39</v>
      </c>
    </row>
    <row r="573" spans="1:16" s="15" customFormat="1" ht="16.5" customHeight="1">
      <c r="A573" s="12" t="s">
        <v>484</v>
      </c>
      <c r="B573" s="12" t="s">
        <v>18</v>
      </c>
      <c r="C573" s="12" t="s">
        <v>261</v>
      </c>
      <c r="D573" s="12" t="s">
        <v>485</v>
      </c>
      <c r="E573" s="12" t="s">
        <v>486</v>
      </c>
      <c r="F573" s="12" t="s">
        <v>219</v>
      </c>
      <c r="G573" s="12" t="s">
        <v>25</v>
      </c>
      <c r="H573" s="12" t="s">
        <v>26</v>
      </c>
      <c r="I573" s="12" t="s">
        <v>99</v>
      </c>
      <c r="J573" s="12" t="s">
        <v>189</v>
      </c>
      <c r="K573" s="12" t="s">
        <v>29</v>
      </c>
      <c r="L573" s="12" t="s">
        <v>189</v>
      </c>
      <c r="M573" s="13">
        <v>46106.394155092596</v>
      </c>
      <c r="N573" s="14">
        <v>46107.59684027778</v>
      </c>
      <c r="O573" s="38" t="s">
        <v>3415</v>
      </c>
      <c r="P573" s="38" t="s">
        <v>3414</v>
      </c>
    </row>
    <row r="574" spans="1:16" s="15" customFormat="1" ht="16.5" customHeight="1">
      <c r="A574" s="12" t="s">
        <v>505</v>
      </c>
      <c r="B574" s="12" t="s">
        <v>18</v>
      </c>
      <c r="C574" s="12" t="s">
        <v>275</v>
      </c>
      <c r="D574" s="12" t="s">
        <v>506</v>
      </c>
      <c r="E574" s="12" t="s">
        <v>507</v>
      </c>
      <c r="F574" s="12" t="s">
        <v>278</v>
      </c>
      <c r="G574" s="12" t="s">
        <v>25</v>
      </c>
      <c r="H574" s="12" t="s">
        <v>26</v>
      </c>
      <c r="I574" s="12" t="s">
        <v>56</v>
      </c>
      <c r="J574" s="12" t="s">
        <v>189</v>
      </c>
      <c r="K574" s="12" t="s">
        <v>29</v>
      </c>
      <c r="L574" s="12" t="s">
        <v>189</v>
      </c>
      <c r="M574" s="13">
        <v>46107.441331018519</v>
      </c>
      <c r="N574" s="14">
        <v>46108.389189814814</v>
      </c>
      <c r="O574" s="38" t="s">
        <v>3410</v>
      </c>
      <c r="P574" s="38" t="s">
        <v>3411</v>
      </c>
    </row>
    <row r="575" spans="1:16" s="15" customFormat="1" ht="16.5" customHeight="1">
      <c r="A575" s="12" t="s">
        <v>509</v>
      </c>
      <c r="B575" s="12" t="s">
        <v>18</v>
      </c>
      <c r="C575" s="12" t="s">
        <v>275</v>
      </c>
      <c r="D575" s="12" t="s">
        <v>510</v>
      </c>
      <c r="E575" s="12" t="s">
        <v>511</v>
      </c>
      <c r="F575" s="12" t="s">
        <v>278</v>
      </c>
      <c r="G575" s="12" t="s">
        <v>25</v>
      </c>
      <c r="H575" s="12" t="s">
        <v>38</v>
      </c>
      <c r="I575" s="12" t="s">
        <v>39</v>
      </c>
      <c r="J575" s="12" t="s">
        <v>189</v>
      </c>
      <c r="K575" s="12" t="s">
        <v>29</v>
      </c>
      <c r="L575" s="12" t="s">
        <v>189</v>
      </c>
      <c r="M575" s="13">
        <v>46108.602870370371</v>
      </c>
      <c r="N575" s="14">
        <v>46111.379178240742</v>
      </c>
      <c r="O575" s="38" t="s">
        <v>3421</v>
      </c>
      <c r="P575" s="38" t="s">
        <v>3419</v>
      </c>
    </row>
    <row r="576" spans="1:16" s="15" customFormat="1" ht="16.5" customHeight="1">
      <c r="A576" s="12" t="s">
        <v>509</v>
      </c>
      <c r="B576" s="12" t="s">
        <v>18</v>
      </c>
      <c r="C576" s="12" t="s">
        <v>275</v>
      </c>
      <c r="D576" s="12" t="s">
        <v>513</v>
      </c>
      <c r="E576" s="12" t="s">
        <v>514</v>
      </c>
      <c r="F576" s="12" t="s">
        <v>278</v>
      </c>
      <c r="G576" s="12" t="s">
        <v>25</v>
      </c>
      <c r="H576" s="12" t="s">
        <v>38</v>
      </c>
      <c r="I576" s="12" t="s">
        <v>39</v>
      </c>
      <c r="J576" s="12" t="s">
        <v>189</v>
      </c>
      <c r="K576" s="12" t="s">
        <v>29</v>
      </c>
      <c r="L576" s="12" t="s">
        <v>189</v>
      </c>
      <c r="M576" s="13">
        <v>46108.611226851855</v>
      </c>
      <c r="N576" s="14">
        <v>46111.379027777781</v>
      </c>
      <c r="O576" s="38" t="s">
        <v>3421</v>
      </c>
      <c r="P576" s="38" t="s">
        <v>3419</v>
      </c>
    </row>
    <row r="577" spans="1:16" s="15" customFormat="1" ht="16.5" customHeight="1">
      <c r="A577" s="12" t="s">
        <v>515</v>
      </c>
      <c r="B577" s="12" t="s">
        <v>18</v>
      </c>
      <c r="C577" s="12" t="s">
        <v>275</v>
      </c>
      <c r="D577" s="12" t="s">
        <v>516</v>
      </c>
      <c r="E577" s="12" t="s">
        <v>517</v>
      </c>
      <c r="F577" s="12" t="s">
        <v>278</v>
      </c>
      <c r="G577" s="12" t="s">
        <v>25</v>
      </c>
      <c r="H577" s="12" t="s">
        <v>38</v>
      </c>
      <c r="I577" s="12" t="s">
        <v>39</v>
      </c>
      <c r="J577" s="12" t="s">
        <v>189</v>
      </c>
      <c r="K577" s="12" t="s">
        <v>29</v>
      </c>
      <c r="L577" s="12" t="s">
        <v>189</v>
      </c>
      <c r="M577" s="13">
        <v>46108.65824074074</v>
      </c>
      <c r="N577" s="14">
        <v>46111.378854166665</v>
      </c>
      <c r="O577" s="38" t="s">
        <v>3415</v>
      </c>
      <c r="P577" s="38" t="s">
        <v>3414</v>
      </c>
    </row>
    <row r="578" spans="1:16" s="15" customFormat="1" ht="16.5" customHeight="1">
      <c r="A578" s="12" t="s">
        <v>515</v>
      </c>
      <c r="B578" s="12" t="s">
        <v>18</v>
      </c>
      <c r="C578" s="12" t="s">
        <v>275</v>
      </c>
      <c r="D578" s="12" t="s">
        <v>518</v>
      </c>
      <c r="E578" s="12" t="s">
        <v>519</v>
      </c>
      <c r="F578" s="12" t="s">
        <v>278</v>
      </c>
      <c r="G578" s="12" t="s">
        <v>25</v>
      </c>
      <c r="H578" s="12" t="s">
        <v>38</v>
      </c>
      <c r="I578" s="12" t="s">
        <v>520</v>
      </c>
      <c r="J578" s="12" t="s">
        <v>189</v>
      </c>
      <c r="K578" s="12" t="s">
        <v>29</v>
      </c>
      <c r="L578" s="12" t="s">
        <v>189</v>
      </c>
      <c r="M578" s="13">
        <v>46108.652141203704</v>
      </c>
      <c r="N578" s="14">
        <v>46111.383356481485</v>
      </c>
      <c r="O578" s="15" t="s">
        <v>122</v>
      </c>
      <c r="P578" s="15" t="s">
        <v>39</v>
      </c>
    </row>
    <row r="579" spans="1:16" s="15" customFormat="1" ht="16.5" customHeight="1">
      <c r="A579" s="12" t="s">
        <v>527</v>
      </c>
      <c r="B579" s="12" t="s">
        <v>18</v>
      </c>
      <c r="C579" s="12" t="s">
        <v>275</v>
      </c>
      <c r="D579" s="12" t="s">
        <v>528</v>
      </c>
      <c r="E579" s="12" t="s">
        <v>529</v>
      </c>
      <c r="F579" s="12" t="s">
        <v>278</v>
      </c>
      <c r="G579" s="12" t="s">
        <v>25</v>
      </c>
      <c r="H579" s="12" t="s">
        <v>26</v>
      </c>
      <c r="I579" s="12" t="s">
        <v>27</v>
      </c>
      <c r="J579" s="12" t="s">
        <v>189</v>
      </c>
      <c r="K579" s="12" t="s">
        <v>29</v>
      </c>
      <c r="L579" s="12" t="s">
        <v>189</v>
      </c>
      <c r="M579" s="13">
        <v>46108.377187500002</v>
      </c>
      <c r="N579" s="14">
        <v>46111.379351851851</v>
      </c>
      <c r="O579" s="38" t="s">
        <v>3421</v>
      </c>
      <c r="P579" s="38" t="s">
        <v>3419</v>
      </c>
    </row>
    <row r="580" spans="1:16" s="15" customFormat="1" ht="16.5" customHeight="1">
      <c r="A580" s="12" t="s">
        <v>533</v>
      </c>
      <c r="B580" s="12" t="s">
        <v>18</v>
      </c>
      <c r="C580" s="12" t="s">
        <v>275</v>
      </c>
      <c r="D580" s="12" t="s">
        <v>534</v>
      </c>
      <c r="E580" s="12" t="s">
        <v>535</v>
      </c>
      <c r="F580" s="12" t="s">
        <v>278</v>
      </c>
      <c r="G580" s="12" t="s">
        <v>25</v>
      </c>
      <c r="H580" s="12" t="s">
        <v>26</v>
      </c>
      <c r="I580" s="12" t="s">
        <v>39</v>
      </c>
      <c r="J580" s="12" t="s">
        <v>189</v>
      </c>
      <c r="K580" s="12" t="s">
        <v>29</v>
      </c>
      <c r="L580" s="12" t="s">
        <v>189</v>
      </c>
      <c r="M580" s="13">
        <v>46107.518067129633</v>
      </c>
      <c r="N580" s="14">
        <v>46108.393738425926</v>
      </c>
      <c r="O580" s="38" t="s">
        <v>3413</v>
      </c>
      <c r="P580" s="38" t="s">
        <v>3409</v>
      </c>
    </row>
    <row r="581" spans="1:16" s="15" customFormat="1" ht="16.5" customHeight="1">
      <c r="A581" s="12" t="s">
        <v>567</v>
      </c>
      <c r="B581" s="12" t="s">
        <v>18</v>
      </c>
      <c r="C581" s="12" t="s">
        <v>229</v>
      </c>
      <c r="D581" s="12" t="s">
        <v>568</v>
      </c>
      <c r="E581" s="12" t="s">
        <v>569</v>
      </c>
      <c r="F581" s="12" t="s">
        <v>232</v>
      </c>
      <c r="G581" s="12" t="s">
        <v>116</v>
      </c>
      <c r="H581" s="12" t="s">
        <v>38</v>
      </c>
      <c r="I581" s="12" t="s">
        <v>99</v>
      </c>
      <c r="J581" s="12" t="s">
        <v>189</v>
      </c>
      <c r="K581" s="12" t="s">
        <v>29</v>
      </c>
      <c r="L581" s="12" t="s">
        <v>189</v>
      </c>
      <c r="M581" s="13">
        <v>46107.573472222219</v>
      </c>
      <c r="N581" s="14">
        <v>46108.682581018518</v>
      </c>
      <c r="O581" s="38" t="s">
        <v>3415</v>
      </c>
      <c r="P581" s="38" t="s">
        <v>3414</v>
      </c>
    </row>
    <row r="582" spans="1:16" s="15" customFormat="1" ht="16.5" customHeight="1">
      <c r="A582" s="12" t="s">
        <v>570</v>
      </c>
      <c r="B582" s="12" t="s">
        <v>18</v>
      </c>
      <c r="C582" s="12" t="s">
        <v>229</v>
      </c>
      <c r="D582" s="12" t="s">
        <v>571</v>
      </c>
      <c r="E582" s="12" t="s">
        <v>572</v>
      </c>
      <c r="F582" s="12" t="s">
        <v>232</v>
      </c>
      <c r="G582" s="12" t="s">
        <v>116</v>
      </c>
      <c r="H582" s="12" t="s">
        <v>38</v>
      </c>
      <c r="I582" s="12" t="s">
        <v>99</v>
      </c>
      <c r="J582" s="12" t="s">
        <v>189</v>
      </c>
      <c r="K582" s="12" t="s">
        <v>29</v>
      </c>
      <c r="L582" s="12" t="s">
        <v>189</v>
      </c>
      <c r="M582" s="13">
        <v>46107.574236111112</v>
      </c>
      <c r="N582" s="14">
        <v>46108.681921296295</v>
      </c>
      <c r="O582" s="38" t="s">
        <v>3415</v>
      </c>
      <c r="P582" s="38" t="s">
        <v>3414</v>
      </c>
    </row>
    <row r="583" spans="1:16" s="15" customFormat="1" ht="16.5" customHeight="1">
      <c r="A583" s="12" t="s">
        <v>573</v>
      </c>
      <c r="B583" s="12" t="s">
        <v>18</v>
      </c>
      <c r="C583" s="12" t="s">
        <v>229</v>
      </c>
      <c r="D583" s="12" t="s">
        <v>574</v>
      </c>
      <c r="E583" s="12" t="s">
        <v>575</v>
      </c>
      <c r="F583" s="12" t="s">
        <v>232</v>
      </c>
      <c r="G583" s="12" t="s">
        <v>116</v>
      </c>
      <c r="H583" s="12" t="s">
        <v>38</v>
      </c>
      <c r="I583" s="12" t="s">
        <v>39</v>
      </c>
      <c r="J583" s="12" t="s">
        <v>189</v>
      </c>
      <c r="K583" s="12" t="s">
        <v>29</v>
      </c>
      <c r="L583" s="12" t="s">
        <v>189</v>
      </c>
      <c r="M583" s="13">
        <v>46106.407002314816</v>
      </c>
      <c r="N583" s="14">
        <v>46106.690925925926</v>
      </c>
      <c r="O583" s="15" t="s">
        <v>122</v>
      </c>
      <c r="P583" s="15" t="s">
        <v>39</v>
      </c>
    </row>
    <row r="584" spans="1:16" s="15" customFormat="1" ht="16.5" customHeight="1">
      <c r="A584" s="12" t="s">
        <v>576</v>
      </c>
      <c r="B584" s="12" t="s">
        <v>18</v>
      </c>
      <c r="C584" s="12" t="s">
        <v>229</v>
      </c>
      <c r="D584" s="12" t="s">
        <v>577</v>
      </c>
      <c r="E584" s="12" t="s">
        <v>578</v>
      </c>
      <c r="F584" s="12" t="s">
        <v>232</v>
      </c>
      <c r="G584" s="12" t="s">
        <v>116</v>
      </c>
      <c r="H584" s="12" t="s">
        <v>38</v>
      </c>
      <c r="I584" s="12" t="s">
        <v>39</v>
      </c>
      <c r="J584" s="12" t="s">
        <v>189</v>
      </c>
      <c r="K584" s="12" t="s">
        <v>29</v>
      </c>
      <c r="L584" s="12" t="s">
        <v>189</v>
      </c>
      <c r="M584" s="13">
        <v>46106.418009259258</v>
      </c>
      <c r="N584" s="14">
        <v>46106.689745370371</v>
      </c>
      <c r="O584" s="15" t="s">
        <v>122</v>
      </c>
      <c r="P584" s="15" t="s">
        <v>39</v>
      </c>
    </row>
    <row r="585" spans="1:16" s="15" customFormat="1" ht="16.5" customHeight="1">
      <c r="A585" s="12" t="s">
        <v>585</v>
      </c>
      <c r="B585" s="12" t="s">
        <v>18</v>
      </c>
      <c r="C585" s="12" t="s">
        <v>229</v>
      </c>
      <c r="D585" s="12" t="s">
        <v>586</v>
      </c>
      <c r="E585" s="12" t="s">
        <v>587</v>
      </c>
      <c r="F585" s="12" t="s">
        <v>232</v>
      </c>
      <c r="G585" s="12" t="s">
        <v>25</v>
      </c>
      <c r="H585" s="12" t="s">
        <v>26</v>
      </c>
      <c r="I585" s="12" t="s">
        <v>39</v>
      </c>
      <c r="J585" s="12" t="s">
        <v>189</v>
      </c>
      <c r="K585" s="12" t="s">
        <v>67</v>
      </c>
      <c r="L585" s="12" t="s">
        <v>189</v>
      </c>
      <c r="M585" s="13">
        <v>46105.440324074072</v>
      </c>
      <c r="N585" s="14">
        <v>46106.738171296296</v>
      </c>
      <c r="O585" s="15" t="s">
        <v>122</v>
      </c>
      <c r="P585" s="15" t="s">
        <v>39</v>
      </c>
    </row>
    <row r="586" spans="1:16" s="15" customFormat="1" ht="16.5" customHeight="1">
      <c r="A586" s="12" t="s">
        <v>588</v>
      </c>
      <c r="B586" s="12" t="s">
        <v>18</v>
      </c>
      <c r="C586" s="12" t="s">
        <v>229</v>
      </c>
      <c r="D586" s="12" t="s">
        <v>589</v>
      </c>
      <c r="E586" s="12" t="s">
        <v>590</v>
      </c>
      <c r="F586" s="12" t="s">
        <v>232</v>
      </c>
      <c r="G586" s="12" t="s">
        <v>25</v>
      </c>
      <c r="H586" s="12" t="s">
        <v>38</v>
      </c>
      <c r="I586" s="12" t="s">
        <v>203</v>
      </c>
      <c r="J586" s="12" t="s">
        <v>189</v>
      </c>
      <c r="K586" s="12" t="s">
        <v>29</v>
      </c>
      <c r="L586" s="12" t="s">
        <v>189</v>
      </c>
      <c r="M586" s="13">
        <v>46105.454004629632</v>
      </c>
      <c r="N586" s="14">
        <v>46106.731736111113</v>
      </c>
      <c r="O586" s="38" t="s">
        <v>3410</v>
      </c>
      <c r="P586" s="38" t="s">
        <v>3411</v>
      </c>
    </row>
    <row r="587" spans="1:16" s="15" customFormat="1" ht="16.5" customHeight="1">
      <c r="A587" s="12" t="s">
        <v>588</v>
      </c>
      <c r="B587" s="12" t="s">
        <v>18</v>
      </c>
      <c r="C587" s="12" t="s">
        <v>229</v>
      </c>
      <c r="D587" s="12" t="s">
        <v>591</v>
      </c>
      <c r="E587" s="12" t="s">
        <v>592</v>
      </c>
      <c r="F587" s="12" t="s">
        <v>232</v>
      </c>
      <c r="G587" s="12" t="s">
        <v>25</v>
      </c>
      <c r="H587" s="12" t="s">
        <v>38</v>
      </c>
      <c r="I587" s="12" t="s">
        <v>27</v>
      </c>
      <c r="J587" s="12" t="s">
        <v>189</v>
      </c>
      <c r="K587" s="12" t="s">
        <v>67</v>
      </c>
      <c r="L587" s="12" t="s">
        <v>189</v>
      </c>
      <c r="M587" s="13">
        <v>46106.583124999997</v>
      </c>
      <c r="N587" s="14">
        <v>46112.819664351853</v>
      </c>
      <c r="O587" s="38" t="s">
        <v>3410</v>
      </c>
      <c r="P587" s="38" t="s">
        <v>3411</v>
      </c>
    </row>
    <row r="588" spans="1:16" s="15" customFormat="1" ht="16.5" customHeight="1">
      <c r="A588" s="12" t="s">
        <v>629</v>
      </c>
      <c r="B588" s="12" t="s">
        <v>18</v>
      </c>
      <c r="C588" s="12" t="s">
        <v>229</v>
      </c>
      <c r="D588" s="12" t="s">
        <v>630</v>
      </c>
      <c r="E588" s="12" t="s">
        <v>631</v>
      </c>
      <c r="F588" s="12" t="s">
        <v>232</v>
      </c>
      <c r="G588" s="12" t="s">
        <v>25</v>
      </c>
      <c r="H588" s="12" t="s">
        <v>38</v>
      </c>
      <c r="I588" s="12" t="s">
        <v>203</v>
      </c>
      <c r="J588" s="12" t="s">
        <v>189</v>
      </c>
      <c r="K588" s="12" t="s">
        <v>29</v>
      </c>
      <c r="L588" s="12" t="s">
        <v>189</v>
      </c>
      <c r="M588" s="13">
        <v>46104.688078703701</v>
      </c>
      <c r="N588" s="14">
        <v>46107.401006944441</v>
      </c>
      <c r="O588" s="38" t="s">
        <v>3410</v>
      </c>
      <c r="P588" s="38" t="s">
        <v>3411</v>
      </c>
    </row>
    <row r="589" spans="1:16" s="15" customFormat="1" ht="16.5" customHeight="1">
      <c r="A589" s="12" t="s">
        <v>646</v>
      </c>
      <c r="B589" s="12" t="s">
        <v>18</v>
      </c>
      <c r="C589" s="12" t="s">
        <v>111</v>
      </c>
      <c r="D589" s="12" t="s">
        <v>647</v>
      </c>
      <c r="E589" s="12" t="s">
        <v>648</v>
      </c>
      <c r="F589" s="12" t="s">
        <v>114</v>
      </c>
      <c r="G589" s="12" t="s">
        <v>25</v>
      </c>
      <c r="H589" s="12" t="s">
        <v>26</v>
      </c>
      <c r="I589" s="12" t="s">
        <v>203</v>
      </c>
      <c r="J589" s="12" t="s">
        <v>189</v>
      </c>
      <c r="K589" s="12" t="s">
        <v>29</v>
      </c>
      <c r="L589" s="12" t="s">
        <v>189</v>
      </c>
      <c r="M589" s="13">
        <v>46104.461770833332</v>
      </c>
      <c r="N589" s="14">
        <v>46111.591666666667</v>
      </c>
      <c r="O589" s="38" t="s">
        <v>3410</v>
      </c>
      <c r="P589" s="38" t="s">
        <v>3411</v>
      </c>
    </row>
    <row r="590" spans="1:16" s="15" customFormat="1" ht="16.5" customHeight="1">
      <c r="A590" s="12" t="s">
        <v>649</v>
      </c>
      <c r="B590" s="12" t="s">
        <v>18</v>
      </c>
      <c r="C590" s="12" t="s">
        <v>111</v>
      </c>
      <c r="D590" s="12" t="s">
        <v>650</v>
      </c>
      <c r="E590" s="12" t="s">
        <v>651</v>
      </c>
      <c r="F590" s="12" t="s">
        <v>114</v>
      </c>
      <c r="G590" s="12" t="s">
        <v>25</v>
      </c>
      <c r="H590" s="12" t="s">
        <v>26</v>
      </c>
      <c r="I590" s="12" t="s">
        <v>203</v>
      </c>
      <c r="J590" s="12" t="s">
        <v>189</v>
      </c>
      <c r="K590" s="12" t="s">
        <v>29</v>
      </c>
      <c r="L590" s="12" t="s">
        <v>189</v>
      </c>
      <c r="M590" s="13">
        <v>46104.476979166669</v>
      </c>
      <c r="N590" s="14">
        <v>46111.591215277775</v>
      </c>
      <c r="O590" s="38" t="s">
        <v>3410</v>
      </c>
      <c r="P590" s="38" t="s">
        <v>3411</v>
      </c>
    </row>
    <row r="591" spans="1:16" s="15" customFormat="1" ht="16.5" customHeight="1">
      <c r="A591" s="12" t="s">
        <v>676</v>
      </c>
      <c r="B591" s="12" t="s">
        <v>18</v>
      </c>
      <c r="C591" s="12" t="s">
        <v>266</v>
      </c>
      <c r="D591" s="12" t="s">
        <v>677</v>
      </c>
      <c r="E591" s="12" t="s">
        <v>678</v>
      </c>
      <c r="F591" s="12" t="s">
        <v>269</v>
      </c>
      <c r="G591" s="12" t="s">
        <v>116</v>
      </c>
      <c r="H591" s="12" t="s">
        <v>26</v>
      </c>
      <c r="I591" s="12" t="s">
        <v>39</v>
      </c>
      <c r="J591" s="12" t="s">
        <v>189</v>
      </c>
      <c r="K591" s="12" t="s">
        <v>29</v>
      </c>
      <c r="L591" s="12" t="s">
        <v>189</v>
      </c>
      <c r="M591" s="13">
        <v>46079.623842592591</v>
      </c>
      <c r="N591" s="14">
        <v>46080.395497685182</v>
      </c>
      <c r="O591" s="15" t="s">
        <v>122</v>
      </c>
      <c r="P591" s="15" t="s">
        <v>39</v>
      </c>
    </row>
    <row r="592" spans="1:16" s="15" customFormat="1" ht="16.5" customHeight="1">
      <c r="A592" s="12" t="s">
        <v>509</v>
      </c>
      <c r="B592" s="12" t="s">
        <v>18</v>
      </c>
      <c r="C592" s="12" t="s">
        <v>275</v>
      </c>
      <c r="D592" s="12" t="s">
        <v>692</v>
      </c>
      <c r="E592" s="12" t="s">
        <v>693</v>
      </c>
      <c r="F592" s="12" t="s">
        <v>278</v>
      </c>
      <c r="G592" s="12" t="s">
        <v>25</v>
      </c>
      <c r="H592" s="12" t="s">
        <v>38</v>
      </c>
      <c r="I592" s="12" t="s">
        <v>39</v>
      </c>
      <c r="J592" s="12" t="s">
        <v>694</v>
      </c>
      <c r="K592" s="12" t="s">
        <v>29</v>
      </c>
      <c r="L592" s="12" t="s">
        <v>694</v>
      </c>
      <c r="M592" s="13">
        <v>46108.621215277781</v>
      </c>
      <c r="N592" s="14">
        <v>46111.381226851852</v>
      </c>
      <c r="O592" s="38" t="s">
        <v>3418</v>
      </c>
      <c r="P592" s="38" t="s">
        <v>3417</v>
      </c>
    </row>
    <row r="593" spans="1:16" s="15" customFormat="1" ht="16.5" customHeight="1">
      <c r="A593" s="12" t="s">
        <v>695</v>
      </c>
      <c r="B593" s="12" t="s">
        <v>18</v>
      </c>
      <c r="C593" s="12" t="s">
        <v>275</v>
      </c>
      <c r="D593" s="12" t="s">
        <v>696</v>
      </c>
      <c r="E593" s="12" t="s">
        <v>697</v>
      </c>
      <c r="F593" s="12" t="s">
        <v>278</v>
      </c>
      <c r="G593" s="12" t="s">
        <v>25</v>
      </c>
      <c r="H593" s="12" t="s">
        <v>26</v>
      </c>
      <c r="I593" s="12" t="s">
        <v>82</v>
      </c>
      <c r="J593" s="12" t="s">
        <v>694</v>
      </c>
      <c r="K593" s="12" t="s">
        <v>29</v>
      </c>
      <c r="L593" s="12" t="s">
        <v>694</v>
      </c>
      <c r="M593" s="13">
        <v>46108.456099537034</v>
      </c>
      <c r="N593" s="14">
        <v>46111.380069444444</v>
      </c>
      <c r="O593" s="15" t="s">
        <v>122</v>
      </c>
      <c r="P593" s="15" t="s">
        <v>39</v>
      </c>
    </row>
    <row r="594" spans="1:16" s="15" customFormat="1" ht="16.5" customHeight="1">
      <c r="A594" s="12" t="s">
        <v>698</v>
      </c>
      <c r="B594" s="12" t="s">
        <v>18</v>
      </c>
      <c r="C594" s="12" t="s">
        <v>275</v>
      </c>
      <c r="D594" s="12" t="s">
        <v>699</v>
      </c>
      <c r="E594" s="12" t="s">
        <v>700</v>
      </c>
      <c r="F594" s="12" t="s">
        <v>278</v>
      </c>
      <c r="G594" s="12" t="s">
        <v>25</v>
      </c>
      <c r="H594" s="12" t="s">
        <v>26</v>
      </c>
      <c r="I594" s="12" t="s">
        <v>39</v>
      </c>
      <c r="J594" s="12" t="s">
        <v>694</v>
      </c>
      <c r="K594" s="12" t="s">
        <v>29</v>
      </c>
      <c r="L594" s="12" t="s">
        <v>694</v>
      </c>
      <c r="M594" s="13">
        <v>46107.397812499999</v>
      </c>
      <c r="N594" s="14">
        <v>46107.779791666668</v>
      </c>
      <c r="O594" s="15" t="s">
        <v>122</v>
      </c>
      <c r="P594" s="15" t="s">
        <v>39</v>
      </c>
    </row>
    <row r="595" spans="1:16" s="15" customFormat="1" ht="16.5" customHeight="1">
      <c r="A595" s="12" t="s">
        <v>701</v>
      </c>
      <c r="B595" s="12" t="s">
        <v>18</v>
      </c>
      <c r="C595" s="12" t="s">
        <v>275</v>
      </c>
      <c r="D595" s="12" t="s">
        <v>702</v>
      </c>
      <c r="E595" s="12" t="s">
        <v>703</v>
      </c>
      <c r="F595" s="12" t="s">
        <v>278</v>
      </c>
      <c r="G595" s="12" t="s">
        <v>25</v>
      </c>
      <c r="H595" s="12" t="s">
        <v>26</v>
      </c>
      <c r="I595" s="12" t="s">
        <v>39</v>
      </c>
      <c r="J595" s="12" t="s">
        <v>694</v>
      </c>
      <c r="K595" s="12" t="s">
        <v>67</v>
      </c>
      <c r="L595" s="12" t="s">
        <v>694</v>
      </c>
      <c r="M595" s="13">
        <v>46105.417974537035</v>
      </c>
      <c r="N595" s="14">
        <v>46106.825243055559</v>
      </c>
      <c r="O595" s="15" t="s">
        <v>122</v>
      </c>
      <c r="P595" s="15" t="s">
        <v>39</v>
      </c>
    </row>
    <row r="596" spans="1:16" s="15" customFormat="1" ht="16.5" customHeight="1">
      <c r="A596" s="12" t="s">
        <v>704</v>
      </c>
      <c r="B596" s="12" t="s">
        <v>18</v>
      </c>
      <c r="C596" s="12" t="s">
        <v>111</v>
      </c>
      <c r="D596" s="12" t="s">
        <v>705</v>
      </c>
      <c r="E596" s="12" t="s">
        <v>706</v>
      </c>
      <c r="F596" s="12" t="s">
        <v>114</v>
      </c>
      <c r="G596" s="12" t="s">
        <v>25</v>
      </c>
      <c r="H596" s="12" t="s">
        <v>38</v>
      </c>
      <c r="I596" s="12" t="s">
        <v>203</v>
      </c>
      <c r="J596" s="12" t="s">
        <v>694</v>
      </c>
      <c r="K596" s="12" t="s">
        <v>29</v>
      </c>
      <c r="L596" s="12" t="s">
        <v>694</v>
      </c>
      <c r="M596" s="13">
        <v>46104.537673611114</v>
      </c>
      <c r="N596" s="14">
        <v>46111.615636574075</v>
      </c>
      <c r="O596" s="38" t="s">
        <v>3410</v>
      </c>
      <c r="P596" s="38" t="s">
        <v>3411</v>
      </c>
    </row>
    <row r="597" spans="1:16" s="15" customFormat="1" ht="16.5" customHeight="1">
      <c r="A597" s="12" t="s">
        <v>707</v>
      </c>
      <c r="B597" s="12" t="s">
        <v>18</v>
      </c>
      <c r="C597" s="12" t="s">
        <v>306</v>
      </c>
      <c r="D597" s="12" t="s">
        <v>708</v>
      </c>
      <c r="E597" s="12" t="s">
        <v>709</v>
      </c>
      <c r="F597" s="12" t="s">
        <v>232</v>
      </c>
      <c r="G597" s="12" t="s">
        <v>25</v>
      </c>
      <c r="H597" s="12" t="s">
        <v>38</v>
      </c>
      <c r="I597" s="12" t="s">
        <v>39</v>
      </c>
      <c r="J597" s="12" t="s">
        <v>694</v>
      </c>
      <c r="K597" s="12" t="s">
        <v>29</v>
      </c>
      <c r="L597" s="12" t="s">
        <v>694</v>
      </c>
      <c r="M597" s="13">
        <v>46105.599444444444</v>
      </c>
      <c r="N597" s="14">
        <v>46106.665798611109</v>
      </c>
      <c r="O597" s="15" t="s">
        <v>122</v>
      </c>
      <c r="P597" s="15" t="s">
        <v>39</v>
      </c>
    </row>
    <row r="598" spans="1:16" s="15" customFormat="1" ht="16.5" customHeight="1">
      <c r="A598" s="12" t="s">
        <v>473</v>
      </c>
      <c r="B598" s="12" t="s">
        <v>18</v>
      </c>
      <c r="C598" s="12" t="s">
        <v>261</v>
      </c>
      <c r="D598" s="12" t="s">
        <v>710</v>
      </c>
      <c r="E598" s="12" t="s">
        <v>711</v>
      </c>
      <c r="F598" s="12" t="s">
        <v>219</v>
      </c>
      <c r="G598" s="12" t="s">
        <v>25</v>
      </c>
      <c r="H598" s="12" t="s">
        <v>26</v>
      </c>
      <c r="I598" s="12" t="s">
        <v>39</v>
      </c>
      <c r="J598" s="12" t="s">
        <v>694</v>
      </c>
      <c r="K598" s="12" t="s">
        <v>67</v>
      </c>
      <c r="L598" s="12" t="s">
        <v>694</v>
      </c>
      <c r="M598" s="13">
        <v>46104.65520833333</v>
      </c>
      <c r="N598" s="14">
        <v>46107.741944444446</v>
      </c>
      <c r="O598" s="15" t="s">
        <v>122</v>
      </c>
      <c r="P598" s="15" t="s">
        <v>39</v>
      </c>
    </row>
    <row r="599" spans="1:16" s="15" customFormat="1" ht="16.5" customHeight="1">
      <c r="A599" s="12" t="s">
        <v>484</v>
      </c>
      <c r="B599" s="12" t="s">
        <v>18</v>
      </c>
      <c r="C599" s="12" t="s">
        <v>261</v>
      </c>
      <c r="D599" s="12" t="s">
        <v>712</v>
      </c>
      <c r="E599" s="12" t="s">
        <v>713</v>
      </c>
      <c r="F599" s="12" t="s">
        <v>219</v>
      </c>
      <c r="G599" s="12" t="s">
        <v>25</v>
      </c>
      <c r="H599" s="12" t="s">
        <v>38</v>
      </c>
      <c r="I599" s="12" t="s">
        <v>39</v>
      </c>
      <c r="J599" s="12" t="s">
        <v>694</v>
      </c>
      <c r="K599" s="12" t="s">
        <v>67</v>
      </c>
      <c r="L599" s="12" t="s">
        <v>694</v>
      </c>
      <c r="M599" s="13">
        <v>46106.399872685186</v>
      </c>
      <c r="N599" s="14">
        <v>46107.595810185187</v>
      </c>
      <c r="O599" s="38" t="s">
        <v>3413</v>
      </c>
      <c r="P599" s="38" t="s">
        <v>3409</v>
      </c>
    </row>
    <row r="600" spans="1:16" s="15" customFormat="1" ht="16.5" customHeight="1">
      <c r="A600" s="12" t="s">
        <v>484</v>
      </c>
      <c r="B600" s="12" t="s">
        <v>18</v>
      </c>
      <c r="C600" s="12" t="s">
        <v>261</v>
      </c>
      <c r="D600" s="12" t="s">
        <v>714</v>
      </c>
      <c r="E600" s="12" t="s">
        <v>715</v>
      </c>
      <c r="F600" s="12" t="s">
        <v>219</v>
      </c>
      <c r="G600" s="12" t="s">
        <v>25</v>
      </c>
      <c r="H600" s="12" t="s">
        <v>38</v>
      </c>
      <c r="I600" s="12" t="s">
        <v>27</v>
      </c>
      <c r="J600" s="12" t="s">
        <v>694</v>
      </c>
      <c r="K600" s="12" t="s">
        <v>29</v>
      </c>
      <c r="L600" s="12" t="s">
        <v>694</v>
      </c>
      <c r="M600" s="13">
        <v>46106.402650462966</v>
      </c>
      <c r="N600" s="14">
        <v>46107.595555555556</v>
      </c>
      <c r="O600" s="38" t="s">
        <v>3413</v>
      </c>
      <c r="P600" s="38" t="s">
        <v>3409</v>
      </c>
    </row>
    <row r="601" spans="1:16" s="15" customFormat="1" ht="16.5" customHeight="1">
      <c r="A601" s="12" t="s">
        <v>484</v>
      </c>
      <c r="B601" s="12" t="s">
        <v>18</v>
      </c>
      <c r="C601" s="12" t="s">
        <v>261</v>
      </c>
      <c r="D601" s="12" t="s">
        <v>716</v>
      </c>
      <c r="E601" s="12" t="s">
        <v>717</v>
      </c>
      <c r="F601" s="12" t="s">
        <v>219</v>
      </c>
      <c r="G601" s="12" t="s">
        <v>25</v>
      </c>
      <c r="H601" s="12" t="s">
        <v>26</v>
      </c>
      <c r="I601" s="12" t="s">
        <v>39</v>
      </c>
      <c r="J601" s="12" t="s">
        <v>694</v>
      </c>
      <c r="K601" s="12" t="s">
        <v>67</v>
      </c>
      <c r="L601" s="12" t="s">
        <v>694</v>
      </c>
      <c r="M601" s="13">
        <v>46106.404791666668</v>
      </c>
      <c r="N601" s="14">
        <v>46107.594409722224</v>
      </c>
      <c r="O601" s="15" t="s">
        <v>122</v>
      </c>
      <c r="P601" s="15" t="s">
        <v>39</v>
      </c>
    </row>
    <row r="602" spans="1:16" s="15" customFormat="1" ht="16.5" customHeight="1">
      <c r="A602" s="12" t="s">
        <v>718</v>
      </c>
      <c r="B602" s="12" t="s">
        <v>18</v>
      </c>
      <c r="C602" s="12" t="s">
        <v>216</v>
      </c>
      <c r="D602" s="12" t="s">
        <v>719</v>
      </c>
      <c r="E602" s="12" t="s">
        <v>720</v>
      </c>
      <c r="F602" s="12" t="s">
        <v>219</v>
      </c>
      <c r="G602" s="12" t="s">
        <v>25</v>
      </c>
      <c r="H602" s="12" t="s">
        <v>38</v>
      </c>
      <c r="I602" s="12" t="s">
        <v>51</v>
      </c>
      <c r="J602" s="12" t="s">
        <v>694</v>
      </c>
      <c r="K602" s="12" t="s">
        <v>67</v>
      </c>
      <c r="L602" s="12" t="s">
        <v>694</v>
      </c>
      <c r="M602" s="13">
        <v>46105.415208333332</v>
      </c>
      <c r="N602" s="14">
        <v>46105.567303240743</v>
      </c>
      <c r="O602" s="15" t="s">
        <v>122</v>
      </c>
      <c r="P602" s="15" t="s">
        <v>39</v>
      </c>
    </row>
    <row r="603" spans="1:16" s="15" customFormat="1" ht="16.5" customHeight="1">
      <c r="A603" s="12" t="s">
        <v>929</v>
      </c>
      <c r="B603" s="12" t="s">
        <v>18</v>
      </c>
      <c r="C603" s="12" t="s">
        <v>266</v>
      </c>
      <c r="D603" s="12" t="s">
        <v>930</v>
      </c>
      <c r="E603" s="12" t="s">
        <v>931</v>
      </c>
      <c r="F603" s="12" t="s">
        <v>269</v>
      </c>
      <c r="G603" s="12" t="s">
        <v>116</v>
      </c>
      <c r="H603" s="12" t="s">
        <v>26</v>
      </c>
      <c r="I603" s="12" t="s">
        <v>39</v>
      </c>
      <c r="J603" s="12" t="s">
        <v>724</v>
      </c>
      <c r="K603" s="12" t="s">
        <v>29</v>
      </c>
      <c r="L603" s="12" t="s">
        <v>724</v>
      </c>
      <c r="M603" s="13">
        <v>46108.371539351851</v>
      </c>
      <c r="N603" s="14">
        <v>46113.412430555552</v>
      </c>
      <c r="O603" s="15" t="s">
        <v>122</v>
      </c>
      <c r="P603" s="15" t="s">
        <v>39</v>
      </c>
    </row>
    <row r="604" spans="1:16" s="15" customFormat="1" ht="16.5" customHeight="1">
      <c r="A604" s="12" t="s">
        <v>1322</v>
      </c>
      <c r="B604" s="12" t="s">
        <v>18</v>
      </c>
      <c r="C604" s="12" t="s">
        <v>266</v>
      </c>
      <c r="D604" s="12" t="s">
        <v>1323</v>
      </c>
      <c r="E604" s="12" t="s">
        <v>1324</v>
      </c>
      <c r="F604" s="12" t="s">
        <v>269</v>
      </c>
      <c r="G604" s="12" t="s">
        <v>25</v>
      </c>
      <c r="H604" s="12" t="s">
        <v>26</v>
      </c>
      <c r="I604" s="12" t="s">
        <v>39</v>
      </c>
      <c r="J604" s="12" t="s">
        <v>724</v>
      </c>
      <c r="K604" s="12" t="s">
        <v>29</v>
      </c>
      <c r="L604" s="12" t="s">
        <v>724</v>
      </c>
      <c r="M604" s="13">
        <v>46104.704976851855</v>
      </c>
      <c r="N604" s="14">
        <v>46113.398622685185</v>
      </c>
      <c r="O604" s="15" t="s">
        <v>122</v>
      </c>
      <c r="P604" s="15" t="s">
        <v>39</v>
      </c>
    </row>
    <row r="605" spans="1:16" s="15" customFormat="1" ht="16.5" customHeight="1">
      <c r="A605" s="12" t="s">
        <v>1325</v>
      </c>
      <c r="B605" s="12" t="s">
        <v>18</v>
      </c>
      <c r="C605" s="12" t="s">
        <v>266</v>
      </c>
      <c r="D605" s="12" t="s">
        <v>1326</v>
      </c>
      <c r="E605" s="12" t="s">
        <v>1327</v>
      </c>
      <c r="F605" s="12" t="s">
        <v>269</v>
      </c>
      <c r="G605" s="12" t="s">
        <v>116</v>
      </c>
      <c r="H605" s="12" t="s">
        <v>38</v>
      </c>
      <c r="I605" s="12" t="s">
        <v>39</v>
      </c>
      <c r="J605" s="12" t="s">
        <v>724</v>
      </c>
      <c r="K605" s="12" t="s">
        <v>29</v>
      </c>
      <c r="L605" s="12" t="s">
        <v>724</v>
      </c>
      <c r="M605" s="13">
        <v>46079.697199074071</v>
      </c>
      <c r="N605" s="14">
        <v>46108.606134259258</v>
      </c>
      <c r="O605" s="15" t="s">
        <v>68</v>
      </c>
      <c r="P605" s="38" t="s">
        <v>3417</v>
      </c>
    </row>
    <row r="606" spans="1:16" s="15" customFormat="1" ht="16.5" customHeight="1">
      <c r="A606" s="12" t="s">
        <v>1384</v>
      </c>
      <c r="B606" s="12" t="s">
        <v>18</v>
      </c>
      <c r="C606" s="12" t="s">
        <v>301</v>
      </c>
      <c r="D606" s="12" t="s">
        <v>1385</v>
      </c>
      <c r="E606" s="12" t="s">
        <v>1386</v>
      </c>
      <c r="F606" s="12" t="s">
        <v>269</v>
      </c>
      <c r="G606" s="12" t="s">
        <v>116</v>
      </c>
      <c r="H606" s="12" t="s">
        <v>26</v>
      </c>
      <c r="I606" s="12" t="s">
        <v>56</v>
      </c>
      <c r="J606" s="12" t="s">
        <v>724</v>
      </c>
      <c r="K606" s="12" t="s">
        <v>29</v>
      </c>
      <c r="L606" s="12" t="s">
        <v>724</v>
      </c>
      <c r="M606" s="13">
        <v>46106.585787037038</v>
      </c>
      <c r="N606" s="14">
        <v>46108.559791666667</v>
      </c>
      <c r="O606" s="38" t="s">
        <v>3415</v>
      </c>
      <c r="P606" s="38" t="s">
        <v>3414</v>
      </c>
    </row>
    <row r="607" spans="1:16" s="15" customFormat="1" ht="16.5" customHeight="1">
      <c r="A607" s="12" t="s">
        <v>1435</v>
      </c>
      <c r="B607" s="12" t="s">
        <v>18</v>
      </c>
      <c r="C607" s="12" t="s">
        <v>306</v>
      </c>
      <c r="D607" s="12" t="s">
        <v>1436</v>
      </c>
      <c r="E607" s="12" t="s">
        <v>1437</v>
      </c>
      <c r="F607" s="12" t="s">
        <v>232</v>
      </c>
      <c r="G607" s="12" t="s">
        <v>25</v>
      </c>
      <c r="H607" s="12" t="s">
        <v>38</v>
      </c>
      <c r="I607" s="12" t="s">
        <v>39</v>
      </c>
      <c r="J607" s="12" t="s">
        <v>724</v>
      </c>
      <c r="K607" s="12" t="s">
        <v>29</v>
      </c>
      <c r="L607" s="12" t="s">
        <v>724</v>
      </c>
      <c r="M607" s="13">
        <v>46105.571006944447</v>
      </c>
      <c r="N607" s="14">
        <v>46113.539120370369</v>
      </c>
      <c r="O607" s="38" t="s">
        <v>3413</v>
      </c>
      <c r="P607" s="38" t="s">
        <v>3409</v>
      </c>
    </row>
    <row r="608" spans="1:16" s="15" customFormat="1" ht="16.5" customHeight="1">
      <c r="A608" s="12" t="s">
        <v>1712</v>
      </c>
      <c r="B608" s="12" t="s">
        <v>18</v>
      </c>
      <c r="C608" s="12" t="s">
        <v>216</v>
      </c>
      <c r="D608" s="12" t="s">
        <v>1713</v>
      </c>
      <c r="E608" s="12" t="s">
        <v>1714</v>
      </c>
      <c r="F608" s="12" t="s">
        <v>219</v>
      </c>
      <c r="G608" s="12" t="s">
        <v>25</v>
      </c>
      <c r="H608" s="12" t="s">
        <v>38</v>
      </c>
      <c r="I608" s="12" t="s">
        <v>99</v>
      </c>
      <c r="J608" s="12" t="s">
        <v>1715</v>
      </c>
      <c r="K608" s="12" t="s">
        <v>29</v>
      </c>
      <c r="L608" s="12" t="s">
        <v>1716</v>
      </c>
      <c r="M608" s="13">
        <v>46105.455648148149</v>
      </c>
      <c r="N608" s="14">
        <v>46111.345497685186</v>
      </c>
      <c r="O608" s="38" t="s">
        <v>3413</v>
      </c>
      <c r="P608" s="38" t="s">
        <v>3409</v>
      </c>
    </row>
    <row r="609" spans="1:16" s="15" customFormat="1" ht="16.5" customHeight="1">
      <c r="A609" s="12" t="s">
        <v>1721</v>
      </c>
      <c r="B609" s="12" t="s">
        <v>18</v>
      </c>
      <c r="C609" s="12" t="s">
        <v>111</v>
      </c>
      <c r="D609" s="12" t="s">
        <v>1722</v>
      </c>
      <c r="E609" s="12" t="s">
        <v>1723</v>
      </c>
      <c r="F609" s="12" t="s">
        <v>114</v>
      </c>
      <c r="G609" s="12" t="s">
        <v>116</v>
      </c>
      <c r="H609" s="12" t="s">
        <v>26</v>
      </c>
      <c r="I609" s="12" t="s">
        <v>82</v>
      </c>
      <c r="J609" s="12" t="s">
        <v>1715</v>
      </c>
      <c r="K609" s="12" t="s">
        <v>67</v>
      </c>
      <c r="L609" s="12" t="s">
        <v>1716</v>
      </c>
      <c r="M609" s="13">
        <v>46104.604710648149</v>
      </c>
      <c r="N609" s="14">
        <v>46111.681793981479</v>
      </c>
      <c r="O609" s="15" t="s">
        <v>122</v>
      </c>
      <c r="P609" s="15" t="s">
        <v>39</v>
      </c>
    </row>
    <row r="610" spans="1:16" s="15" customFormat="1" ht="16.5" customHeight="1">
      <c r="A610" s="12" t="s">
        <v>1733</v>
      </c>
      <c r="B610" s="12" t="s">
        <v>18</v>
      </c>
      <c r="C610" s="12" t="s">
        <v>229</v>
      </c>
      <c r="D610" s="12" t="s">
        <v>1734</v>
      </c>
      <c r="E610" s="12" t="s">
        <v>1735</v>
      </c>
      <c r="F610" s="12" t="s">
        <v>232</v>
      </c>
      <c r="G610" s="12" t="s">
        <v>25</v>
      </c>
      <c r="H610" s="12" t="s">
        <v>38</v>
      </c>
      <c r="I610" s="12" t="s">
        <v>99</v>
      </c>
      <c r="J610" s="12" t="s">
        <v>1715</v>
      </c>
      <c r="K610" s="12" t="s">
        <v>29</v>
      </c>
      <c r="L610" s="12" t="s">
        <v>1716</v>
      </c>
      <c r="M610" s="13">
        <v>46105.365358796298</v>
      </c>
      <c r="N610" s="14">
        <v>46106.741898148146</v>
      </c>
      <c r="O610" s="38" t="s">
        <v>3415</v>
      </c>
      <c r="P610" s="38" t="s">
        <v>3414</v>
      </c>
    </row>
    <row r="611" spans="1:16" s="15" customFormat="1" ht="16.5" customHeight="1">
      <c r="A611" s="12" t="s">
        <v>1736</v>
      </c>
      <c r="B611" s="12" t="s">
        <v>18</v>
      </c>
      <c r="C611" s="12" t="s">
        <v>229</v>
      </c>
      <c r="D611" s="12" t="s">
        <v>1737</v>
      </c>
      <c r="E611" s="12" t="s">
        <v>1738</v>
      </c>
      <c r="F611" s="12" t="s">
        <v>232</v>
      </c>
      <c r="G611" s="12" t="s">
        <v>25</v>
      </c>
      <c r="H611" s="12" t="s">
        <v>38</v>
      </c>
      <c r="I611" s="12" t="s">
        <v>203</v>
      </c>
      <c r="J611" s="12" t="s">
        <v>1715</v>
      </c>
      <c r="K611" s="12" t="s">
        <v>29</v>
      </c>
      <c r="L611" s="12" t="s">
        <v>1716</v>
      </c>
      <c r="M611" s="13">
        <v>46105.471504629626</v>
      </c>
      <c r="N611" s="14">
        <v>46112.82304398148</v>
      </c>
      <c r="O611" s="38" t="s">
        <v>3410</v>
      </c>
      <c r="P611" s="38" t="s">
        <v>3411</v>
      </c>
    </row>
    <row r="612" spans="1:16" s="15" customFormat="1" ht="16.5" customHeight="1">
      <c r="A612" s="12" t="s">
        <v>1739</v>
      </c>
      <c r="B612" s="12" t="s">
        <v>18</v>
      </c>
      <c r="C612" s="12" t="s">
        <v>184</v>
      </c>
      <c r="D612" s="12" t="s">
        <v>1740</v>
      </c>
      <c r="E612" s="12" t="s">
        <v>1741</v>
      </c>
      <c r="F612" s="12" t="s">
        <v>187</v>
      </c>
      <c r="G612" s="12" t="s">
        <v>25</v>
      </c>
      <c r="H612" s="12" t="s">
        <v>26</v>
      </c>
      <c r="I612" s="12" t="s">
        <v>39</v>
      </c>
      <c r="J612" s="12" t="s">
        <v>1715</v>
      </c>
      <c r="K612" s="12" t="s">
        <v>67</v>
      </c>
      <c r="L612" s="12" t="s">
        <v>1716</v>
      </c>
      <c r="M612" s="13">
        <v>46107.658958333333</v>
      </c>
      <c r="N612" s="14">
        <v>46113.289444444446</v>
      </c>
      <c r="O612" s="15" t="s">
        <v>122</v>
      </c>
      <c r="P612" s="15" t="s">
        <v>39</v>
      </c>
    </row>
    <row r="613" spans="1:16" s="15" customFormat="1" ht="16.5" customHeight="1">
      <c r="A613" s="12" t="s">
        <v>1746</v>
      </c>
      <c r="B613" s="12" t="s">
        <v>18</v>
      </c>
      <c r="C613" s="12" t="s">
        <v>111</v>
      </c>
      <c r="D613" s="12" t="s">
        <v>1747</v>
      </c>
      <c r="E613" s="12" t="s">
        <v>1748</v>
      </c>
      <c r="F613" s="12" t="s">
        <v>114</v>
      </c>
      <c r="G613" s="12" t="s">
        <v>25</v>
      </c>
      <c r="H613" s="12" t="s">
        <v>26</v>
      </c>
      <c r="I613" s="12" t="s">
        <v>203</v>
      </c>
      <c r="J613" s="12" t="s">
        <v>1715</v>
      </c>
      <c r="K613" s="12" t="s">
        <v>29</v>
      </c>
      <c r="L613" s="12" t="s">
        <v>1716</v>
      </c>
      <c r="M613" s="13">
        <v>46104.561469907407</v>
      </c>
      <c r="N613" s="14">
        <v>46113.474340277775</v>
      </c>
      <c r="O613" s="15" t="s">
        <v>122</v>
      </c>
      <c r="P613" s="15" t="s">
        <v>39</v>
      </c>
    </row>
    <row r="614" spans="1:16" s="15" customFormat="1" ht="16.5" customHeight="1">
      <c r="A614" s="12" t="s">
        <v>1749</v>
      </c>
      <c r="B614" s="12" t="s">
        <v>18</v>
      </c>
      <c r="C614" s="12" t="s">
        <v>111</v>
      </c>
      <c r="D614" s="12" t="s">
        <v>1750</v>
      </c>
      <c r="E614" s="12" t="s">
        <v>1751</v>
      </c>
      <c r="F614" s="12" t="s">
        <v>114</v>
      </c>
      <c r="G614" s="12" t="s">
        <v>25</v>
      </c>
      <c r="H614" s="12" t="s">
        <v>38</v>
      </c>
      <c r="I614" s="12" t="s">
        <v>99</v>
      </c>
      <c r="J614" s="12" t="s">
        <v>1715</v>
      </c>
      <c r="K614" s="12" t="s">
        <v>29</v>
      </c>
      <c r="L614" s="12" t="s">
        <v>1716</v>
      </c>
      <c r="M614" s="13">
        <v>46106.580810185187</v>
      </c>
      <c r="N614" s="14">
        <v>46111.449606481481</v>
      </c>
      <c r="O614" s="38" t="s">
        <v>3415</v>
      </c>
      <c r="P614" s="38" t="s">
        <v>3414</v>
      </c>
    </row>
    <row r="615" spans="1:16" s="15" customFormat="1" ht="16.5" customHeight="1">
      <c r="A615" s="12" t="s">
        <v>1752</v>
      </c>
      <c r="B615" s="12" t="s">
        <v>18</v>
      </c>
      <c r="C615" s="12" t="s">
        <v>111</v>
      </c>
      <c r="D615" s="12" t="s">
        <v>1753</v>
      </c>
      <c r="E615" s="12" t="s">
        <v>1754</v>
      </c>
      <c r="F615" s="12" t="s">
        <v>114</v>
      </c>
      <c r="G615" s="12" t="s">
        <v>25</v>
      </c>
      <c r="H615" s="12" t="s">
        <v>38</v>
      </c>
      <c r="I615" s="12" t="s">
        <v>39</v>
      </c>
      <c r="J615" s="12" t="s">
        <v>1715</v>
      </c>
      <c r="K615" s="12" t="s">
        <v>29</v>
      </c>
      <c r="L615" s="12" t="s">
        <v>1716</v>
      </c>
      <c r="M615" s="13">
        <v>46104.553680555553</v>
      </c>
      <c r="N615" s="14">
        <v>46111.677141203705</v>
      </c>
      <c r="O615" s="38" t="s">
        <v>3410</v>
      </c>
      <c r="P615" s="38" t="s">
        <v>3411</v>
      </c>
    </row>
    <row r="616" spans="1:16" s="15" customFormat="1" ht="16.5" customHeight="1">
      <c r="A616" s="12" t="s">
        <v>1762</v>
      </c>
      <c r="B616" s="12" t="s">
        <v>18</v>
      </c>
      <c r="C616" s="12" t="s">
        <v>184</v>
      </c>
      <c r="D616" s="12" t="s">
        <v>1763</v>
      </c>
      <c r="E616" s="12" t="s">
        <v>1741</v>
      </c>
      <c r="F616" s="12" t="s">
        <v>187</v>
      </c>
      <c r="G616" s="12" t="s">
        <v>25</v>
      </c>
      <c r="H616" s="12" t="s">
        <v>26</v>
      </c>
      <c r="I616" s="12" t="s">
        <v>39</v>
      </c>
      <c r="J616" s="12" t="s">
        <v>1715</v>
      </c>
      <c r="K616" s="12" t="s">
        <v>67</v>
      </c>
      <c r="L616" s="12" t="s">
        <v>1716</v>
      </c>
      <c r="M616" s="13">
        <v>46107.659768518519</v>
      </c>
      <c r="N616" s="14">
        <v>46113.289606481485</v>
      </c>
      <c r="O616" s="15" t="s">
        <v>122</v>
      </c>
      <c r="P616" s="15" t="s">
        <v>39</v>
      </c>
    </row>
    <row r="617" spans="1:16" s="15" customFormat="1" ht="16.5" customHeight="1">
      <c r="A617" s="12" t="s">
        <v>1764</v>
      </c>
      <c r="B617" s="12" t="s">
        <v>18</v>
      </c>
      <c r="C617" s="12" t="s">
        <v>261</v>
      </c>
      <c r="D617" s="12" t="s">
        <v>1765</v>
      </c>
      <c r="E617" s="12" t="s">
        <v>1766</v>
      </c>
      <c r="F617" s="12" t="s">
        <v>219</v>
      </c>
      <c r="G617" s="12" t="s">
        <v>25</v>
      </c>
      <c r="H617" s="12" t="s">
        <v>38</v>
      </c>
      <c r="I617" s="12" t="s">
        <v>27</v>
      </c>
      <c r="J617" s="12" t="s">
        <v>1715</v>
      </c>
      <c r="K617" s="12" t="s">
        <v>29</v>
      </c>
      <c r="L617" s="12" t="s">
        <v>1716</v>
      </c>
      <c r="M617" s="13">
        <v>46104.6799537037</v>
      </c>
      <c r="N617" s="14">
        <v>46111.349629629629</v>
      </c>
      <c r="O617" s="38" t="s">
        <v>3410</v>
      </c>
      <c r="P617" s="38" t="s">
        <v>3411</v>
      </c>
    </row>
    <row r="618" spans="1:16" s="15" customFormat="1" ht="16.5" customHeight="1">
      <c r="A618" s="12" t="s">
        <v>1767</v>
      </c>
      <c r="B618" s="12" t="s">
        <v>18</v>
      </c>
      <c r="C618" s="12" t="s">
        <v>111</v>
      </c>
      <c r="D618" s="12" t="s">
        <v>1768</v>
      </c>
      <c r="E618" s="12" t="s">
        <v>1769</v>
      </c>
      <c r="F618" s="12" t="s">
        <v>114</v>
      </c>
      <c r="G618" s="12" t="s">
        <v>25</v>
      </c>
      <c r="H618" s="12" t="s">
        <v>38</v>
      </c>
      <c r="I618" s="12" t="s">
        <v>39</v>
      </c>
      <c r="J618" s="12" t="s">
        <v>1715</v>
      </c>
      <c r="K618" s="12" t="s">
        <v>29</v>
      </c>
      <c r="L618" s="12" t="s">
        <v>1716</v>
      </c>
      <c r="M618" s="13">
        <v>46104.546365740738</v>
      </c>
      <c r="N618" s="14">
        <v>46108.672951388886</v>
      </c>
      <c r="O618" s="38" t="s">
        <v>3410</v>
      </c>
      <c r="P618" s="38" t="s">
        <v>3411</v>
      </c>
    </row>
    <row r="619" spans="1:16" s="15" customFormat="1" ht="16.5" customHeight="1">
      <c r="A619" s="12" t="s">
        <v>1776</v>
      </c>
      <c r="B619" s="12" t="s">
        <v>18</v>
      </c>
      <c r="C619" s="12" t="s">
        <v>216</v>
      </c>
      <c r="D619" s="12" t="s">
        <v>1777</v>
      </c>
      <c r="E619" s="12" t="s">
        <v>1778</v>
      </c>
      <c r="F619" s="12" t="s">
        <v>219</v>
      </c>
      <c r="G619" s="12" t="s">
        <v>25</v>
      </c>
      <c r="H619" s="12" t="s">
        <v>38</v>
      </c>
      <c r="I619" s="12" t="s">
        <v>82</v>
      </c>
      <c r="J619" s="12" t="s">
        <v>1715</v>
      </c>
      <c r="K619" s="12" t="s">
        <v>29</v>
      </c>
      <c r="L619" s="12" t="s">
        <v>1716</v>
      </c>
      <c r="M619" s="13">
        <v>46104.720393518517</v>
      </c>
      <c r="N619" s="14">
        <v>46111.347673611112</v>
      </c>
      <c r="O619" s="38" t="s">
        <v>3408</v>
      </c>
      <c r="P619" s="38" t="s">
        <v>3409</v>
      </c>
    </row>
    <row r="620" spans="1:16" s="15" customFormat="1" ht="16.5" customHeight="1">
      <c r="A620" s="12" t="s">
        <v>1779</v>
      </c>
      <c r="B620" s="12" t="s">
        <v>18</v>
      </c>
      <c r="C620" s="12" t="s">
        <v>216</v>
      </c>
      <c r="D620" s="12" t="s">
        <v>1780</v>
      </c>
      <c r="E620" s="12" t="s">
        <v>1781</v>
      </c>
      <c r="F620" s="12" t="s">
        <v>219</v>
      </c>
      <c r="G620" s="12" t="s">
        <v>25</v>
      </c>
      <c r="H620" s="12" t="s">
        <v>38</v>
      </c>
      <c r="I620" s="12" t="s">
        <v>39</v>
      </c>
      <c r="J620" s="12" t="s">
        <v>1715</v>
      </c>
      <c r="K620" s="12" t="s">
        <v>29</v>
      </c>
      <c r="L620" s="12" t="s">
        <v>1716</v>
      </c>
      <c r="M620" s="13">
        <v>46104.727152777778</v>
      </c>
      <c r="N620" s="14">
        <v>46111.348344907405</v>
      </c>
      <c r="O620" s="15" t="s">
        <v>122</v>
      </c>
      <c r="P620" s="15" t="s">
        <v>39</v>
      </c>
    </row>
    <row r="621" spans="1:16" s="15" customFormat="1" ht="16.5" customHeight="1">
      <c r="A621" s="12" t="s">
        <v>1779</v>
      </c>
      <c r="B621" s="12" t="s">
        <v>18</v>
      </c>
      <c r="C621" s="12" t="s">
        <v>216</v>
      </c>
      <c r="D621" s="12" t="s">
        <v>1782</v>
      </c>
      <c r="E621" s="12" t="s">
        <v>1783</v>
      </c>
      <c r="F621" s="12" t="s">
        <v>219</v>
      </c>
      <c r="G621" s="12" t="s">
        <v>25</v>
      </c>
      <c r="H621" s="12" t="s">
        <v>38</v>
      </c>
      <c r="I621" s="12" t="s">
        <v>99</v>
      </c>
      <c r="J621" s="12" t="s">
        <v>1715</v>
      </c>
      <c r="K621" s="12" t="s">
        <v>29</v>
      </c>
      <c r="L621" s="12" t="s">
        <v>1716</v>
      </c>
      <c r="M621" s="13">
        <v>46104.72388888889</v>
      </c>
      <c r="N621" s="14">
        <v>46111.34710648148</v>
      </c>
      <c r="O621" s="38" t="s">
        <v>3410</v>
      </c>
      <c r="P621" s="38" t="s">
        <v>3411</v>
      </c>
    </row>
    <row r="622" spans="1:16" s="15" customFormat="1" ht="16.5" customHeight="1">
      <c r="A622" s="12" t="s">
        <v>222</v>
      </c>
      <c r="B622" s="12" t="s">
        <v>18</v>
      </c>
      <c r="C622" s="12" t="s">
        <v>216</v>
      </c>
      <c r="D622" s="12" t="s">
        <v>1784</v>
      </c>
      <c r="E622" s="12" t="s">
        <v>1785</v>
      </c>
      <c r="F622" s="12" t="s">
        <v>219</v>
      </c>
      <c r="G622" s="12" t="s">
        <v>25</v>
      </c>
      <c r="H622" s="12" t="s">
        <v>26</v>
      </c>
      <c r="I622" s="12" t="s">
        <v>39</v>
      </c>
      <c r="J622" s="12" t="s">
        <v>1715</v>
      </c>
      <c r="K622" s="12" t="s">
        <v>67</v>
      </c>
      <c r="L622" s="12" t="s">
        <v>1716</v>
      </c>
      <c r="M622" s="13">
        <v>46105.463854166665</v>
      </c>
      <c r="N622" s="14">
        <v>46111.332592592589</v>
      </c>
      <c r="O622" s="38" t="s">
        <v>3413</v>
      </c>
      <c r="P622" s="38" t="s">
        <v>3409</v>
      </c>
    </row>
    <row r="623" spans="1:16" s="15" customFormat="1" ht="16.5" customHeight="1">
      <c r="A623" s="12" t="s">
        <v>698</v>
      </c>
      <c r="B623" s="12" t="s">
        <v>18</v>
      </c>
      <c r="C623" s="12" t="s">
        <v>275</v>
      </c>
      <c r="D623" s="12" t="s">
        <v>1786</v>
      </c>
      <c r="E623" s="12" t="s">
        <v>1787</v>
      </c>
      <c r="F623" s="12" t="s">
        <v>278</v>
      </c>
      <c r="G623" s="12" t="s">
        <v>25</v>
      </c>
      <c r="H623" s="12" t="s">
        <v>26</v>
      </c>
      <c r="I623" s="12" t="s">
        <v>39</v>
      </c>
      <c r="J623" s="12" t="s">
        <v>1715</v>
      </c>
      <c r="K623" s="12" t="s">
        <v>67</v>
      </c>
      <c r="L623" s="12" t="s">
        <v>1716</v>
      </c>
      <c r="M623" s="13">
        <v>46105.44568287037</v>
      </c>
      <c r="N623" s="14">
        <v>46108.77239583333</v>
      </c>
      <c r="O623" s="15" t="s">
        <v>122</v>
      </c>
      <c r="P623" s="15" t="s">
        <v>39</v>
      </c>
    </row>
    <row r="624" spans="1:16" s="15" customFormat="1" ht="16.5" customHeight="1">
      <c r="A624" s="12" t="s">
        <v>1788</v>
      </c>
      <c r="B624" s="12" t="s">
        <v>18</v>
      </c>
      <c r="C624" s="12" t="s">
        <v>216</v>
      </c>
      <c r="D624" s="12" t="s">
        <v>1789</v>
      </c>
      <c r="E624" s="12" t="s">
        <v>1790</v>
      </c>
      <c r="F624" s="12" t="s">
        <v>219</v>
      </c>
      <c r="G624" s="12" t="s">
        <v>25</v>
      </c>
      <c r="H624" s="12" t="s">
        <v>38</v>
      </c>
      <c r="I624" s="12" t="s">
        <v>27</v>
      </c>
      <c r="J624" s="12" t="s">
        <v>1715</v>
      </c>
      <c r="K624" s="12" t="s">
        <v>29</v>
      </c>
      <c r="L624" s="12" t="s">
        <v>1716</v>
      </c>
      <c r="M624" s="13">
        <v>46105.403761574074</v>
      </c>
      <c r="N624" s="14">
        <v>46111.345925925925</v>
      </c>
      <c r="O624" s="15" t="s">
        <v>76</v>
      </c>
      <c r="P624" s="38" t="s">
        <v>3411</v>
      </c>
    </row>
    <row r="625" spans="1:16" s="15" customFormat="1" ht="16.5" customHeight="1">
      <c r="A625" s="12" t="s">
        <v>1796</v>
      </c>
      <c r="B625" s="12" t="s">
        <v>18</v>
      </c>
      <c r="C625" s="12" t="s">
        <v>33</v>
      </c>
      <c r="D625" s="12" t="s">
        <v>1797</v>
      </c>
      <c r="E625" s="12" t="s">
        <v>1798</v>
      </c>
      <c r="F625" s="12" t="s">
        <v>36</v>
      </c>
      <c r="G625" s="12" t="s">
        <v>25</v>
      </c>
      <c r="H625" s="12" t="s">
        <v>38</v>
      </c>
      <c r="I625" s="12" t="s">
        <v>39</v>
      </c>
      <c r="J625" s="12" t="s">
        <v>1715</v>
      </c>
      <c r="K625" s="12" t="s">
        <v>29</v>
      </c>
      <c r="L625" s="12" t="s">
        <v>1716</v>
      </c>
      <c r="M625" s="13">
        <v>46104.642280092594</v>
      </c>
      <c r="N625" s="14">
        <v>46104.701226851852</v>
      </c>
      <c r="O625" s="38" t="s">
        <v>3416</v>
      </c>
      <c r="P625" s="38" t="s">
        <v>3409</v>
      </c>
    </row>
    <row r="626" spans="1:16" s="15" customFormat="1" ht="16.5" customHeight="1">
      <c r="A626" s="12" t="s">
        <v>1799</v>
      </c>
      <c r="B626" s="12" t="s">
        <v>18</v>
      </c>
      <c r="C626" s="12" t="s">
        <v>229</v>
      </c>
      <c r="D626" s="12" t="s">
        <v>1800</v>
      </c>
      <c r="E626" s="12" t="s">
        <v>1801</v>
      </c>
      <c r="F626" s="12" t="s">
        <v>232</v>
      </c>
      <c r="G626" s="12" t="s">
        <v>116</v>
      </c>
      <c r="H626" s="12" t="s">
        <v>38</v>
      </c>
      <c r="I626" s="12" t="s">
        <v>82</v>
      </c>
      <c r="J626" s="12" t="s">
        <v>1715</v>
      </c>
      <c r="K626" s="12" t="s">
        <v>29</v>
      </c>
      <c r="L626" s="12" t="s">
        <v>1716</v>
      </c>
      <c r="M626" s="13">
        <v>46105.605694444443</v>
      </c>
      <c r="N626" s="14">
        <v>46108.683900462966</v>
      </c>
      <c r="O626" s="38" t="s">
        <v>3416</v>
      </c>
      <c r="P626" s="38" t="s">
        <v>3409</v>
      </c>
    </row>
    <row r="627" spans="1:16" s="15" customFormat="1" ht="16.5" customHeight="1">
      <c r="A627" s="12" t="s">
        <v>1802</v>
      </c>
      <c r="B627" s="12" t="s">
        <v>18</v>
      </c>
      <c r="C627" s="12" t="s">
        <v>229</v>
      </c>
      <c r="D627" s="12" t="s">
        <v>1803</v>
      </c>
      <c r="E627" s="12" t="s">
        <v>1804</v>
      </c>
      <c r="F627" s="12" t="s">
        <v>232</v>
      </c>
      <c r="G627" s="12" t="s">
        <v>116</v>
      </c>
      <c r="H627" s="12" t="s">
        <v>26</v>
      </c>
      <c r="I627" s="12" t="s">
        <v>99</v>
      </c>
      <c r="J627" s="12" t="s">
        <v>1715</v>
      </c>
      <c r="K627" s="12" t="s">
        <v>29</v>
      </c>
      <c r="L627" s="12" t="s">
        <v>1716</v>
      </c>
      <c r="M627" s="13">
        <v>46106.387731481482</v>
      </c>
      <c r="N627" s="14">
        <v>46106.714930555558</v>
      </c>
      <c r="O627" s="38" t="s">
        <v>3415</v>
      </c>
      <c r="P627" s="38" t="s">
        <v>3414</v>
      </c>
    </row>
    <row r="628" spans="1:16" s="15" customFormat="1" ht="16.5" customHeight="1">
      <c r="A628" s="12" t="s">
        <v>1805</v>
      </c>
      <c r="B628" s="12" t="s">
        <v>18</v>
      </c>
      <c r="C628" s="12" t="s">
        <v>184</v>
      </c>
      <c r="D628" s="12" t="s">
        <v>1806</v>
      </c>
      <c r="E628" s="12" t="s">
        <v>1807</v>
      </c>
      <c r="F628" s="12" t="s">
        <v>187</v>
      </c>
      <c r="G628" s="12" t="s">
        <v>25</v>
      </c>
      <c r="H628" s="12" t="s">
        <v>26</v>
      </c>
      <c r="I628" s="12" t="s">
        <v>39</v>
      </c>
      <c r="J628" s="12" t="s">
        <v>1715</v>
      </c>
      <c r="K628" s="12" t="s">
        <v>67</v>
      </c>
      <c r="L628" s="12" t="s">
        <v>1716</v>
      </c>
      <c r="M628" s="13">
        <v>46107.601805555554</v>
      </c>
      <c r="N628" s="14">
        <v>46110.878657407404</v>
      </c>
      <c r="O628" s="38" t="s">
        <v>3413</v>
      </c>
      <c r="P628" s="38" t="s">
        <v>3409</v>
      </c>
    </row>
    <row r="629" spans="1:16" s="15" customFormat="1" ht="16.5" customHeight="1">
      <c r="A629" s="12" t="s">
        <v>1808</v>
      </c>
      <c r="B629" s="12" t="s">
        <v>18</v>
      </c>
      <c r="C629" s="12" t="s">
        <v>184</v>
      </c>
      <c r="D629" s="12" t="s">
        <v>1809</v>
      </c>
      <c r="E629" s="12" t="s">
        <v>1810</v>
      </c>
      <c r="F629" s="12" t="s">
        <v>187</v>
      </c>
      <c r="G629" s="12" t="s">
        <v>25</v>
      </c>
      <c r="H629" s="12" t="s">
        <v>26</v>
      </c>
      <c r="I629" s="12" t="s">
        <v>39</v>
      </c>
      <c r="J629" s="12" t="s">
        <v>1715</v>
      </c>
      <c r="K629" s="12" t="s">
        <v>67</v>
      </c>
      <c r="L629" s="12" t="s">
        <v>1716</v>
      </c>
      <c r="M629" s="13">
        <v>46107.658182870371</v>
      </c>
      <c r="N629" s="14">
        <v>46110.878437500003</v>
      </c>
      <c r="O629" s="38" t="s">
        <v>3413</v>
      </c>
      <c r="P629" s="38" t="s">
        <v>3409</v>
      </c>
    </row>
    <row r="630" spans="1:16" s="15" customFormat="1" ht="16.5" customHeight="1">
      <c r="A630" s="12" t="s">
        <v>1811</v>
      </c>
      <c r="B630" s="12" t="s">
        <v>18</v>
      </c>
      <c r="C630" s="12" t="s">
        <v>301</v>
      </c>
      <c r="D630" s="12" t="s">
        <v>1812</v>
      </c>
      <c r="E630" s="12" t="s">
        <v>1324</v>
      </c>
      <c r="F630" s="12" t="s">
        <v>269</v>
      </c>
      <c r="G630" s="12" t="s">
        <v>25</v>
      </c>
      <c r="H630" s="12" t="s">
        <v>26</v>
      </c>
      <c r="I630" s="12" t="s">
        <v>39</v>
      </c>
      <c r="J630" s="12" t="s">
        <v>1715</v>
      </c>
      <c r="K630" s="12" t="s">
        <v>29</v>
      </c>
      <c r="L630" s="12" t="s">
        <v>1716</v>
      </c>
      <c r="M630" s="13">
        <v>46104.709131944444</v>
      </c>
      <c r="N630" s="14">
        <v>46107.759143518517</v>
      </c>
      <c r="O630" s="38" t="s">
        <v>3413</v>
      </c>
      <c r="P630" s="38" t="s">
        <v>3409</v>
      </c>
    </row>
    <row r="631" spans="1:16" s="15" customFormat="1" ht="16.5" customHeight="1">
      <c r="A631" s="12" t="s">
        <v>1816</v>
      </c>
      <c r="B631" s="12" t="s">
        <v>18</v>
      </c>
      <c r="C631" s="12" t="s">
        <v>229</v>
      </c>
      <c r="D631" s="12" t="s">
        <v>1817</v>
      </c>
      <c r="E631" s="12" t="s">
        <v>1818</v>
      </c>
      <c r="F631" s="12" t="s">
        <v>232</v>
      </c>
      <c r="G631" s="12" t="s">
        <v>116</v>
      </c>
      <c r="H631" s="12" t="s">
        <v>38</v>
      </c>
      <c r="I631" s="12" t="s">
        <v>39</v>
      </c>
      <c r="J631" s="12" t="s">
        <v>1715</v>
      </c>
      <c r="K631" s="12" t="s">
        <v>29</v>
      </c>
      <c r="L631" s="12" t="s">
        <v>1716</v>
      </c>
      <c r="M631" s="13">
        <v>46106.544849537036</v>
      </c>
      <c r="N631" s="14">
        <v>46106.726354166669</v>
      </c>
      <c r="O631" s="15" t="s">
        <v>68</v>
      </c>
      <c r="P631" s="15" t="s">
        <v>69</v>
      </c>
    </row>
    <row r="632" spans="1:16" s="15" customFormat="1" ht="16.5" customHeight="1">
      <c r="A632" s="12" t="s">
        <v>1837</v>
      </c>
      <c r="B632" s="12" t="s">
        <v>18</v>
      </c>
      <c r="C632" s="12" t="s">
        <v>261</v>
      </c>
      <c r="D632" s="12" t="s">
        <v>1838</v>
      </c>
      <c r="E632" s="12" t="s">
        <v>483</v>
      </c>
      <c r="F632" s="12" t="s">
        <v>219</v>
      </c>
      <c r="G632" s="12" t="s">
        <v>25</v>
      </c>
      <c r="H632" s="12" t="s">
        <v>26</v>
      </c>
      <c r="I632" s="12" t="s">
        <v>39</v>
      </c>
      <c r="J632" s="12" t="s">
        <v>1715</v>
      </c>
      <c r="K632" s="12" t="s">
        <v>106</v>
      </c>
      <c r="L632" s="12" t="s">
        <v>1716</v>
      </c>
      <c r="M632" s="13">
        <v>46104.672326388885</v>
      </c>
      <c r="N632" s="14">
        <v>46111.350243055553</v>
      </c>
      <c r="O632" s="38" t="s">
        <v>3416</v>
      </c>
      <c r="P632" s="38" t="s">
        <v>3409</v>
      </c>
    </row>
    <row r="633" spans="1:16" s="15" customFormat="1" ht="16.5" customHeight="1">
      <c r="A633" s="12" t="s">
        <v>1844</v>
      </c>
      <c r="B633" s="12" t="s">
        <v>18</v>
      </c>
      <c r="C633" s="12" t="s">
        <v>216</v>
      </c>
      <c r="D633" s="12" t="s">
        <v>1845</v>
      </c>
      <c r="E633" s="12" t="s">
        <v>1846</v>
      </c>
      <c r="F633" s="12" t="s">
        <v>219</v>
      </c>
      <c r="G633" s="12" t="s">
        <v>25</v>
      </c>
      <c r="H633" s="12" t="s">
        <v>38</v>
      </c>
      <c r="I633" s="12" t="s">
        <v>39</v>
      </c>
      <c r="J633" s="12" t="s">
        <v>1715</v>
      </c>
      <c r="K633" s="12" t="s">
        <v>67</v>
      </c>
      <c r="L633" s="12" t="s">
        <v>1715</v>
      </c>
      <c r="M633" s="13">
        <v>46105.392337962963</v>
      </c>
      <c r="N633" s="14">
        <v>46113.594571759262</v>
      </c>
      <c r="O633" s="38" t="s">
        <v>3408</v>
      </c>
      <c r="P633" s="38" t="s">
        <v>3409</v>
      </c>
    </row>
    <row r="634" spans="1:16" s="15" customFormat="1" ht="16.5" customHeight="1">
      <c r="A634" s="12" t="s">
        <v>1844</v>
      </c>
      <c r="B634" s="12" t="s">
        <v>18</v>
      </c>
      <c r="C634" s="12" t="s">
        <v>216</v>
      </c>
      <c r="D634" s="12" t="s">
        <v>1847</v>
      </c>
      <c r="E634" s="12" t="s">
        <v>1848</v>
      </c>
      <c r="F634" s="12" t="s">
        <v>219</v>
      </c>
      <c r="G634" s="12" t="s">
        <v>25</v>
      </c>
      <c r="H634" s="12" t="s">
        <v>38</v>
      </c>
      <c r="I634" s="12" t="s">
        <v>39</v>
      </c>
      <c r="J634" s="12" t="s">
        <v>1715</v>
      </c>
      <c r="K634" s="12" t="s">
        <v>67</v>
      </c>
      <c r="L634" s="12" t="s">
        <v>1715</v>
      </c>
      <c r="M634" s="13">
        <v>46105.389282407406</v>
      </c>
      <c r="N634" s="14">
        <v>46113.589236111111</v>
      </c>
      <c r="O634" s="38" t="s">
        <v>3408</v>
      </c>
      <c r="P634" s="38" t="s">
        <v>3409</v>
      </c>
    </row>
    <row r="635" spans="1:16" s="15" customFormat="1" ht="16.5" customHeight="1">
      <c r="A635" s="12" t="s">
        <v>1849</v>
      </c>
      <c r="B635" s="12" t="s">
        <v>18</v>
      </c>
      <c r="C635" s="12" t="s">
        <v>275</v>
      </c>
      <c r="D635" s="12" t="s">
        <v>1850</v>
      </c>
      <c r="E635" s="12" t="s">
        <v>1851</v>
      </c>
      <c r="F635" s="12" t="s">
        <v>278</v>
      </c>
      <c r="G635" s="12" t="s">
        <v>25</v>
      </c>
      <c r="H635" s="12" t="s">
        <v>26</v>
      </c>
      <c r="I635" s="12" t="s">
        <v>39</v>
      </c>
      <c r="J635" s="12" t="s">
        <v>1715</v>
      </c>
      <c r="K635" s="12" t="s">
        <v>67</v>
      </c>
      <c r="L635" s="12" t="s">
        <v>1715</v>
      </c>
      <c r="M635" s="13">
        <v>46107.403043981481</v>
      </c>
      <c r="N635" s="14">
        <v>46113.452743055554</v>
      </c>
      <c r="O635" s="15" t="s">
        <v>122</v>
      </c>
      <c r="P635" s="15" t="s">
        <v>39</v>
      </c>
    </row>
    <row r="636" spans="1:16" s="15" customFormat="1" ht="16.5" customHeight="1">
      <c r="A636" s="12" t="s">
        <v>701</v>
      </c>
      <c r="B636" s="12" t="s">
        <v>18</v>
      </c>
      <c r="C636" s="12" t="s">
        <v>275</v>
      </c>
      <c r="D636" s="12" t="s">
        <v>1852</v>
      </c>
      <c r="E636" s="12" t="s">
        <v>1853</v>
      </c>
      <c r="F636" s="12" t="s">
        <v>278</v>
      </c>
      <c r="G636" s="12" t="s">
        <v>25</v>
      </c>
      <c r="H636" s="12" t="s">
        <v>26</v>
      </c>
      <c r="I636" s="12" t="s">
        <v>56</v>
      </c>
      <c r="J636" s="12" t="s">
        <v>1715</v>
      </c>
      <c r="K636" s="12" t="s">
        <v>29</v>
      </c>
      <c r="L636" s="12" t="s">
        <v>1715</v>
      </c>
      <c r="M636" s="13">
        <v>46107.437349537038</v>
      </c>
      <c r="N636" s="14">
        <v>46113.449814814812</v>
      </c>
      <c r="O636" s="38" t="s">
        <v>3410</v>
      </c>
      <c r="P636" s="38" t="s">
        <v>3411</v>
      </c>
    </row>
    <row r="637" spans="1:16" s="15" customFormat="1" ht="16.5" customHeight="1">
      <c r="A637" s="12" t="s">
        <v>505</v>
      </c>
      <c r="B637" s="12" t="s">
        <v>18</v>
      </c>
      <c r="C637" s="12" t="s">
        <v>275</v>
      </c>
      <c r="D637" s="12" t="s">
        <v>1854</v>
      </c>
      <c r="E637" s="12" t="s">
        <v>1855</v>
      </c>
      <c r="F637" s="12" t="s">
        <v>278</v>
      </c>
      <c r="G637" s="12" t="s">
        <v>25</v>
      </c>
      <c r="H637" s="12" t="s">
        <v>38</v>
      </c>
      <c r="I637" s="12" t="s">
        <v>39</v>
      </c>
      <c r="J637" s="12" t="s">
        <v>1715</v>
      </c>
      <c r="K637" s="12" t="s">
        <v>29</v>
      </c>
      <c r="L637" s="12" t="s">
        <v>1715</v>
      </c>
      <c r="M637" s="13">
        <v>46108.619884259257</v>
      </c>
      <c r="N637" s="14">
        <v>46112.573518518519</v>
      </c>
      <c r="O637" s="38" t="s">
        <v>3410</v>
      </c>
      <c r="P637" s="38" t="s">
        <v>3411</v>
      </c>
    </row>
    <row r="638" spans="1:16" s="15" customFormat="1" ht="16.5" customHeight="1">
      <c r="A638" s="12" t="s">
        <v>1856</v>
      </c>
      <c r="B638" s="12" t="s">
        <v>18</v>
      </c>
      <c r="C638" s="12" t="s">
        <v>275</v>
      </c>
      <c r="D638" s="12" t="s">
        <v>1857</v>
      </c>
      <c r="E638" s="12" t="s">
        <v>1858</v>
      </c>
      <c r="F638" s="12" t="s">
        <v>278</v>
      </c>
      <c r="G638" s="12" t="s">
        <v>25</v>
      </c>
      <c r="H638" s="12" t="s">
        <v>26</v>
      </c>
      <c r="I638" s="12" t="s">
        <v>56</v>
      </c>
      <c r="J638" s="12" t="s">
        <v>1715</v>
      </c>
      <c r="K638" s="12" t="s">
        <v>29</v>
      </c>
      <c r="L638" s="12" t="s">
        <v>1715</v>
      </c>
      <c r="M638" s="13">
        <v>46107.469444444447</v>
      </c>
      <c r="N638" s="14">
        <v>46113.552106481482</v>
      </c>
      <c r="O638" s="38" t="s">
        <v>3410</v>
      </c>
      <c r="P638" s="38" t="s">
        <v>3411</v>
      </c>
    </row>
  </sheetData>
  <phoneticPr fontId="5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7A65-F7EC-72C2-D4C8-93AF14A165C8}">
  <dimension ref="A1:AF503"/>
  <sheetViews>
    <sheetView topLeftCell="A2" workbookViewId="0">
      <selection activeCell="C12" sqref="C12"/>
    </sheetView>
  </sheetViews>
  <sheetFormatPr defaultColWidth="9.09765625" defaultRowHeight="16.5" customHeight="1"/>
  <cols>
    <col min="1" max="1" width="20" customWidth="1"/>
    <col min="2" max="2" width="17.8984375" customWidth="1"/>
    <col min="3" max="3" width="41.59765625" customWidth="1"/>
    <col min="4" max="4" width="11.19921875" customWidth="1"/>
    <col min="5" max="5" width="17.8984375" customWidth="1"/>
    <col min="6" max="6" width="81" customWidth="1"/>
    <col min="7" max="7" width="9.3984375" customWidth="1"/>
    <col min="8" max="8" width="17.3984375" customWidth="1"/>
    <col min="9" max="9" width="16.59765625" customWidth="1"/>
    <col min="10" max="10" width="21.3984375" customWidth="1"/>
    <col min="11" max="12" width="7.59765625" customWidth="1"/>
    <col min="13" max="13" width="18.59765625" customWidth="1"/>
    <col min="14" max="14" width="15" customWidth="1"/>
    <col min="15" max="15" width="15.19921875" customWidth="1"/>
    <col min="16" max="17" width="14.59765625" customWidth="1"/>
    <col min="18" max="18" width="23.59765625" customWidth="1"/>
    <col min="19" max="19" width="19.59765625" customWidth="1"/>
    <col min="20" max="20" width="17.3984375" customWidth="1"/>
    <col min="21" max="21" width="20.8984375" customWidth="1"/>
    <col min="22" max="23" width="15.19921875" customWidth="1"/>
    <col min="24" max="24" width="23.59765625" customWidth="1"/>
    <col min="25" max="25" width="19.59765625" customWidth="1"/>
    <col min="26" max="26" width="17.3984375" customWidth="1"/>
    <col min="27" max="27" width="20.8984375" customWidth="1"/>
    <col min="28" max="29" width="15.19921875" customWidth="1"/>
    <col min="30" max="30" width="19.59765625" customWidth="1"/>
    <col min="31" max="31" width="17.3984375" customWidth="1"/>
    <col min="32" max="32" width="20.8984375" customWidth="1"/>
  </cols>
  <sheetData>
    <row r="1" spans="1:32" ht="16.5" customHeight="1">
      <c r="A1" t="s">
        <v>1859</v>
      </c>
      <c r="B1" t="s">
        <v>1860</v>
      </c>
      <c r="C1" t="s">
        <v>1861</v>
      </c>
      <c r="D1" t="s">
        <v>7</v>
      </c>
      <c r="E1" t="s">
        <v>1862</v>
      </c>
      <c r="F1" t="s">
        <v>1863</v>
      </c>
      <c r="G1" t="s">
        <v>6</v>
      </c>
      <c r="H1" t="s">
        <v>1864</v>
      </c>
      <c r="I1" t="s">
        <v>1865</v>
      </c>
      <c r="J1" t="s">
        <v>1866</v>
      </c>
      <c r="K1" t="s">
        <v>1867</v>
      </c>
      <c r="L1" t="s">
        <v>1868</v>
      </c>
      <c r="M1" t="s">
        <v>1869</v>
      </c>
      <c r="N1" t="s">
        <v>1870</v>
      </c>
      <c r="O1" t="s">
        <v>1871</v>
      </c>
      <c r="P1" t="s">
        <v>1872</v>
      </c>
      <c r="Q1" t="s">
        <v>1873</v>
      </c>
      <c r="R1" t="s">
        <v>1874</v>
      </c>
      <c r="S1" t="s">
        <v>1875</v>
      </c>
      <c r="T1" t="s">
        <v>1876</v>
      </c>
      <c r="U1" t="s">
        <v>1877</v>
      </c>
      <c r="V1" t="s">
        <v>1878</v>
      </c>
      <c r="W1" t="s">
        <v>1879</v>
      </c>
      <c r="X1" t="s">
        <v>1880</v>
      </c>
      <c r="Y1" t="s">
        <v>1881</v>
      </c>
      <c r="Z1" t="s">
        <v>1882</v>
      </c>
      <c r="AA1" t="s">
        <v>1883</v>
      </c>
      <c r="AB1" t="s">
        <v>1884</v>
      </c>
      <c r="AC1" t="s">
        <v>1885</v>
      </c>
      <c r="AD1" t="s">
        <v>1886</v>
      </c>
      <c r="AE1" t="s">
        <v>1887</v>
      </c>
      <c r="AF1" t="s">
        <v>1888</v>
      </c>
    </row>
    <row r="2" spans="1:32" ht="16.5" customHeight="1">
      <c r="A2" s="3" t="s">
        <v>301</v>
      </c>
      <c r="B2" s="3" t="s">
        <v>1889</v>
      </c>
      <c r="C2" s="3" t="s">
        <v>1889</v>
      </c>
      <c r="D2" s="3" t="s">
        <v>25</v>
      </c>
      <c r="E2" s="3" t="s">
        <v>1890</v>
      </c>
      <c r="F2" s="3" t="s">
        <v>1891</v>
      </c>
      <c r="G2" s="3" t="s">
        <v>304</v>
      </c>
      <c r="H2" s="5">
        <v>46056</v>
      </c>
      <c r="I2" s="5">
        <v>46059.619317129633</v>
      </c>
      <c r="J2" s="3" t="s">
        <v>300</v>
      </c>
      <c r="K2" s="3" t="s">
        <v>1892</v>
      </c>
      <c r="L2">
        <v>6</v>
      </c>
      <c r="M2" s="5">
        <v>46105</v>
      </c>
      <c r="N2" s="3" t="s">
        <v>1893</v>
      </c>
      <c r="O2">
        <v>0</v>
      </c>
      <c r="P2" s="3" t="s">
        <v>24</v>
      </c>
      <c r="Q2" s="3" t="s">
        <v>1893</v>
      </c>
      <c r="R2" s="5">
        <v>46118</v>
      </c>
      <c r="S2" s="3" t="s">
        <v>190</v>
      </c>
      <c r="T2" s="3" t="s">
        <v>190</v>
      </c>
      <c r="U2">
        <v>0</v>
      </c>
      <c r="V2" s="3" t="s">
        <v>1894</v>
      </c>
      <c r="W2" s="3" t="s">
        <v>190</v>
      </c>
      <c r="X2" s="5">
        <v>46132</v>
      </c>
      <c r="Y2" s="3" t="s">
        <v>190</v>
      </c>
      <c r="Z2" s="3" t="s">
        <v>190</v>
      </c>
      <c r="AA2">
        <v>0</v>
      </c>
      <c r="AB2" s="3" t="s">
        <v>1895</v>
      </c>
      <c r="AC2" s="3" t="s">
        <v>190</v>
      </c>
      <c r="AD2" s="3" t="s">
        <v>190</v>
      </c>
      <c r="AE2" s="3" t="s">
        <v>190</v>
      </c>
      <c r="AF2" s="3" t="s">
        <v>190</v>
      </c>
    </row>
    <row r="3" spans="1:32" ht="16.5" customHeight="1">
      <c r="A3" s="4" t="s">
        <v>301</v>
      </c>
      <c r="B3" s="4" t="s">
        <v>1896</v>
      </c>
      <c r="C3" s="4" t="s">
        <v>1897</v>
      </c>
      <c r="D3" s="4" t="s">
        <v>25</v>
      </c>
      <c r="E3" s="4" t="s">
        <v>1898</v>
      </c>
      <c r="F3" s="4" t="s">
        <v>1899</v>
      </c>
      <c r="G3" s="4" t="s">
        <v>415</v>
      </c>
      <c r="H3" s="6">
        <v>46037</v>
      </c>
      <c r="I3" s="6">
        <v>46037.725034722222</v>
      </c>
      <c r="J3" s="4" t="s">
        <v>1811</v>
      </c>
      <c r="K3" s="4" t="s">
        <v>1892</v>
      </c>
      <c r="L3">
        <v>6</v>
      </c>
      <c r="M3" s="6">
        <v>46104</v>
      </c>
      <c r="N3" s="4" t="s">
        <v>1900</v>
      </c>
      <c r="O3">
        <v>0</v>
      </c>
      <c r="P3" s="4" t="s">
        <v>24</v>
      </c>
      <c r="Q3" s="4" t="s">
        <v>1900</v>
      </c>
      <c r="R3" s="6">
        <v>46118</v>
      </c>
      <c r="S3" s="4" t="s">
        <v>190</v>
      </c>
      <c r="T3" s="4" t="s">
        <v>190</v>
      </c>
      <c r="U3">
        <v>0</v>
      </c>
      <c r="V3" s="4" t="s">
        <v>1901</v>
      </c>
      <c r="W3" s="4" t="s">
        <v>190</v>
      </c>
      <c r="X3" s="6">
        <v>46132</v>
      </c>
      <c r="Y3" s="4" t="s">
        <v>190</v>
      </c>
      <c r="Z3" s="4" t="s">
        <v>190</v>
      </c>
      <c r="AA3">
        <v>0</v>
      </c>
      <c r="AB3" s="4" t="s">
        <v>1895</v>
      </c>
      <c r="AC3" s="4" t="s">
        <v>190</v>
      </c>
      <c r="AD3" s="4" t="s">
        <v>190</v>
      </c>
      <c r="AE3" s="4" t="s">
        <v>190</v>
      </c>
      <c r="AF3" s="4" t="s">
        <v>190</v>
      </c>
    </row>
    <row r="4" spans="1:32" ht="16.5" customHeight="1">
      <c r="A4" s="3" t="s">
        <v>266</v>
      </c>
      <c r="B4" s="3" t="s">
        <v>56</v>
      </c>
      <c r="C4" s="3" t="s">
        <v>56</v>
      </c>
      <c r="D4" s="3" t="s">
        <v>1795</v>
      </c>
      <c r="E4" s="3" t="s">
        <v>1902</v>
      </c>
      <c r="F4" s="3" t="s">
        <v>1903</v>
      </c>
      <c r="G4" s="3" t="s">
        <v>269</v>
      </c>
      <c r="H4" s="5">
        <v>46080</v>
      </c>
      <c r="I4" s="5">
        <v>46077.370173611111</v>
      </c>
      <c r="J4" s="3" t="s">
        <v>1904</v>
      </c>
      <c r="K4" s="3" t="s">
        <v>1892</v>
      </c>
      <c r="L4">
        <v>6</v>
      </c>
      <c r="M4" s="5">
        <v>46104</v>
      </c>
      <c r="N4" s="3" t="s">
        <v>1893</v>
      </c>
      <c r="O4">
        <v>0</v>
      </c>
      <c r="P4" s="3" t="s">
        <v>24</v>
      </c>
      <c r="Q4" s="3" t="s">
        <v>1893</v>
      </c>
      <c r="R4" s="5">
        <v>46118</v>
      </c>
      <c r="S4" s="3" t="s">
        <v>190</v>
      </c>
      <c r="T4" s="3" t="s">
        <v>190</v>
      </c>
      <c r="U4">
        <v>0</v>
      </c>
      <c r="V4" s="3" t="s">
        <v>1894</v>
      </c>
      <c r="W4" s="3" t="s">
        <v>190</v>
      </c>
      <c r="X4" s="5">
        <v>46132</v>
      </c>
      <c r="Y4" s="3" t="s">
        <v>190</v>
      </c>
      <c r="Z4" s="3" t="s">
        <v>190</v>
      </c>
      <c r="AA4">
        <v>0</v>
      </c>
      <c r="AB4" s="3" t="s">
        <v>1895</v>
      </c>
      <c r="AC4" s="3" t="s">
        <v>190</v>
      </c>
      <c r="AD4" s="3" t="s">
        <v>190</v>
      </c>
      <c r="AE4" s="3" t="s">
        <v>190</v>
      </c>
      <c r="AF4" s="3" t="s">
        <v>190</v>
      </c>
    </row>
    <row r="5" spans="1:32" ht="16.5" customHeight="1">
      <c r="A5" s="4" t="s">
        <v>266</v>
      </c>
      <c r="B5" s="4" t="s">
        <v>56</v>
      </c>
      <c r="C5" s="4" t="s">
        <v>56</v>
      </c>
      <c r="D5" s="4" t="s">
        <v>116</v>
      </c>
      <c r="E5" s="4" t="s">
        <v>1905</v>
      </c>
      <c r="F5" s="4" t="s">
        <v>1906</v>
      </c>
      <c r="G5" s="4" t="s">
        <v>273</v>
      </c>
      <c r="H5" s="6">
        <v>46106</v>
      </c>
      <c r="I5" s="6">
        <v>46106.551550925928</v>
      </c>
      <c r="J5" s="4" t="s">
        <v>1907</v>
      </c>
      <c r="K5" s="4" t="s">
        <v>1892</v>
      </c>
      <c r="L5">
        <v>6</v>
      </c>
      <c r="M5" s="6">
        <v>46108</v>
      </c>
      <c r="N5" s="4" t="s">
        <v>1893</v>
      </c>
      <c r="O5">
        <v>0</v>
      </c>
      <c r="P5" s="4" t="s">
        <v>24</v>
      </c>
      <c r="Q5" s="4" t="s">
        <v>1893</v>
      </c>
      <c r="R5" s="6">
        <v>46112</v>
      </c>
      <c r="S5" s="4" t="s">
        <v>190</v>
      </c>
      <c r="T5" s="4" t="s">
        <v>190</v>
      </c>
      <c r="U5">
        <v>0</v>
      </c>
      <c r="V5" s="4" t="s">
        <v>1901</v>
      </c>
      <c r="W5" s="4" t="s">
        <v>190</v>
      </c>
      <c r="X5" s="6">
        <v>46112</v>
      </c>
      <c r="Y5" s="4" t="s">
        <v>190</v>
      </c>
      <c r="Z5" s="4" t="s">
        <v>190</v>
      </c>
      <c r="AA5">
        <v>0</v>
      </c>
      <c r="AB5" s="4" t="s">
        <v>1895</v>
      </c>
      <c r="AC5" s="4" t="s">
        <v>190</v>
      </c>
      <c r="AD5" s="4" t="s">
        <v>190</v>
      </c>
      <c r="AE5" s="4" t="s">
        <v>190</v>
      </c>
      <c r="AF5" s="4" t="s">
        <v>190</v>
      </c>
    </row>
    <row r="6" spans="1:32" ht="16.5" customHeight="1">
      <c r="A6" s="3" t="s">
        <v>229</v>
      </c>
      <c r="B6" s="3" t="s">
        <v>56</v>
      </c>
      <c r="C6" s="3" t="s">
        <v>56</v>
      </c>
      <c r="D6" s="3" t="s">
        <v>116</v>
      </c>
      <c r="E6" s="3" t="s">
        <v>1908</v>
      </c>
      <c r="F6" s="3" t="s">
        <v>1909</v>
      </c>
      <c r="G6" s="3" t="s">
        <v>250</v>
      </c>
      <c r="H6" s="5">
        <v>46052</v>
      </c>
      <c r="I6" s="5">
        <v>46050.425798611112</v>
      </c>
      <c r="J6" s="3" t="s">
        <v>1910</v>
      </c>
      <c r="K6" s="3" t="s">
        <v>1892</v>
      </c>
      <c r="L6">
        <v>6</v>
      </c>
      <c r="M6" s="5">
        <v>46105</v>
      </c>
      <c r="N6" s="3" t="s">
        <v>1893</v>
      </c>
      <c r="O6">
        <v>0</v>
      </c>
      <c r="P6" s="3" t="s">
        <v>24</v>
      </c>
      <c r="Q6" s="3" t="s">
        <v>1893</v>
      </c>
      <c r="R6" s="5">
        <v>46118</v>
      </c>
      <c r="S6" s="3" t="s">
        <v>190</v>
      </c>
      <c r="T6" s="3" t="s">
        <v>190</v>
      </c>
      <c r="U6">
        <v>0</v>
      </c>
      <c r="V6" s="3" t="s">
        <v>1794</v>
      </c>
      <c r="W6" s="3" t="s">
        <v>190</v>
      </c>
      <c r="X6" s="5">
        <v>46132</v>
      </c>
      <c r="Y6" s="3" t="s">
        <v>190</v>
      </c>
      <c r="Z6" s="3" t="s">
        <v>190</v>
      </c>
      <c r="AA6">
        <v>0</v>
      </c>
      <c r="AB6" s="3" t="s">
        <v>1895</v>
      </c>
      <c r="AC6" s="3" t="s">
        <v>190</v>
      </c>
      <c r="AD6" s="3" t="s">
        <v>190</v>
      </c>
      <c r="AE6" s="3" t="s">
        <v>190</v>
      </c>
      <c r="AF6" s="3" t="s">
        <v>190</v>
      </c>
    </row>
    <row r="7" spans="1:32" ht="16.5" customHeight="1">
      <c r="A7" s="4" t="s">
        <v>229</v>
      </c>
      <c r="B7" s="4" t="s">
        <v>56</v>
      </c>
      <c r="C7" s="4" t="s">
        <v>56</v>
      </c>
      <c r="D7" s="4" t="s">
        <v>116</v>
      </c>
      <c r="E7" s="4" t="s">
        <v>1911</v>
      </c>
      <c r="F7" s="4" t="s">
        <v>1912</v>
      </c>
      <c r="G7" s="4" t="s">
        <v>250</v>
      </c>
      <c r="H7" s="6">
        <v>46052</v>
      </c>
      <c r="I7" s="6">
        <v>46050.425902777781</v>
      </c>
      <c r="J7" s="4" t="s">
        <v>1913</v>
      </c>
      <c r="K7" s="4" t="s">
        <v>1892</v>
      </c>
      <c r="L7">
        <v>6</v>
      </c>
      <c r="M7" s="6">
        <v>46105</v>
      </c>
      <c r="N7" s="4" t="s">
        <v>1893</v>
      </c>
      <c r="O7">
        <v>0</v>
      </c>
      <c r="P7" s="4" t="s">
        <v>24</v>
      </c>
      <c r="Q7" s="4" t="s">
        <v>1893</v>
      </c>
      <c r="R7" s="6">
        <v>46118</v>
      </c>
      <c r="S7" s="4" t="s">
        <v>190</v>
      </c>
      <c r="T7" s="4" t="s">
        <v>190</v>
      </c>
      <c r="U7">
        <v>0</v>
      </c>
      <c r="V7" s="4" t="s">
        <v>1794</v>
      </c>
      <c r="W7" s="4" t="s">
        <v>190</v>
      </c>
      <c r="X7" s="6">
        <v>46132</v>
      </c>
      <c r="Y7" s="4" t="s">
        <v>190</v>
      </c>
      <c r="Z7" s="4" t="s">
        <v>190</v>
      </c>
      <c r="AA7">
        <v>0</v>
      </c>
      <c r="AB7" s="4" t="s">
        <v>1895</v>
      </c>
      <c r="AC7" s="4" t="s">
        <v>190</v>
      </c>
      <c r="AD7" s="4" t="s">
        <v>190</v>
      </c>
      <c r="AE7" s="4" t="s">
        <v>190</v>
      </c>
      <c r="AF7" s="4" t="s">
        <v>190</v>
      </c>
    </row>
    <row r="8" spans="1:32" ht="16.5" customHeight="1">
      <c r="A8" s="3" t="s">
        <v>229</v>
      </c>
      <c r="B8" s="3" t="s">
        <v>56</v>
      </c>
      <c r="C8" s="3" t="s">
        <v>56</v>
      </c>
      <c r="D8" s="3" t="s">
        <v>116</v>
      </c>
      <c r="E8" s="3" t="s">
        <v>1914</v>
      </c>
      <c r="F8" s="3" t="s">
        <v>1915</v>
      </c>
      <c r="G8" s="3" t="s">
        <v>250</v>
      </c>
      <c r="H8" s="5">
        <v>46059</v>
      </c>
      <c r="I8" s="5">
        <v>46051.456770833334</v>
      </c>
      <c r="J8" s="3" t="s">
        <v>1916</v>
      </c>
      <c r="K8" s="3" t="s">
        <v>1892</v>
      </c>
      <c r="L8">
        <v>6</v>
      </c>
      <c r="M8" s="5">
        <v>46105</v>
      </c>
      <c r="N8" s="3" t="s">
        <v>1893</v>
      </c>
      <c r="O8">
        <v>0</v>
      </c>
      <c r="P8" s="3" t="s">
        <v>24</v>
      </c>
      <c r="Q8" s="3" t="s">
        <v>1893</v>
      </c>
      <c r="R8" s="5">
        <v>46118</v>
      </c>
      <c r="S8" s="3" t="s">
        <v>190</v>
      </c>
      <c r="T8" s="3" t="s">
        <v>190</v>
      </c>
      <c r="U8">
        <v>0</v>
      </c>
      <c r="V8" s="3" t="s">
        <v>1794</v>
      </c>
      <c r="W8" s="3" t="s">
        <v>190</v>
      </c>
      <c r="X8" s="5">
        <v>46132</v>
      </c>
      <c r="Y8" s="3" t="s">
        <v>190</v>
      </c>
      <c r="Z8" s="3" t="s">
        <v>190</v>
      </c>
      <c r="AA8">
        <v>0</v>
      </c>
      <c r="AB8" s="3" t="s">
        <v>1895</v>
      </c>
      <c r="AC8" s="3" t="s">
        <v>190</v>
      </c>
      <c r="AD8" s="3" t="s">
        <v>190</v>
      </c>
      <c r="AE8" s="3" t="s">
        <v>190</v>
      </c>
      <c r="AF8" s="3" t="s">
        <v>190</v>
      </c>
    </row>
    <row r="9" spans="1:32" ht="16.5" customHeight="1">
      <c r="A9" s="4" t="s">
        <v>229</v>
      </c>
      <c r="B9" s="4" t="s">
        <v>56</v>
      </c>
      <c r="C9" s="4" t="s">
        <v>56</v>
      </c>
      <c r="D9" s="4" t="s">
        <v>116</v>
      </c>
      <c r="E9" s="4" t="s">
        <v>1917</v>
      </c>
      <c r="F9" s="4" t="s">
        <v>1918</v>
      </c>
      <c r="G9" s="4" t="s">
        <v>250</v>
      </c>
      <c r="H9" s="6">
        <v>46059</v>
      </c>
      <c r="I9" s="6">
        <v>46051.460856481484</v>
      </c>
      <c r="J9" s="4" t="s">
        <v>1919</v>
      </c>
      <c r="K9" s="4" t="s">
        <v>1892</v>
      </c>
      <c r="L9">
        <v>6</v>
      </c>
      <c r="M9" s="6">
        <v>46106</v>
      </c>
      <c r="N9" s="4" t="s">
        <v>1893</v>
      </c>
      <c r="O9">
        <v>0</v>
      </c>
      <c r="P9" s="4" t="s">
        <v>24</v>
      </c>
      <c r="Q9" s="4" t="s">
        <v>1893</v>
      </c>
      <c r="R9" s="6">
        <v>46118</v>
      </c>
      <c r="S9" s="4" t="s">
        <v>190</v>
      </c>
      <c r="T9" s="4" t="s">
        <v>190</v>
      </c>
      <c r="U9">
        <v>0</v>
      </c>
      <c r="V9" s="4" t="s">
        <v>1794</v>
      </c>
      <c r="W9" s="4" t="s">
        <v>190</v>
      </c>
      <c r="X9" s="6">
        <v>46132</v>
      </c>
      <c r="Y9" s="4" t="s">
        <v>190</v>
      </c>
      <c r="Z9" s="4" t="s">
        <v>190</v>
      </c>
      <c r="AA9">
        <v>0</v>
      </c>
      <c r="AB9" s="4" t="s">
        <v>1895</v>
      </c>
      <c r="AC9" s="4" t="s">
        <v>190</v>
      </c>
      <c r="AD9" s="4" t="s">
        <v>190</v>
      </c>
      <c r="AE9" s="4" t="s">
        <v>190</v>
      </c>
      <c r="AF9" s="4" t="s">
        <v>190</v>
      </c>
    </row>
    <row r="10" spans="1:32" ht="16.5" customHeight="1">
      <c r="A10" s="3" t="s">
        <v>229</v>
      </c>
      <c r="B10" s="3" t="s">
        <v>56</v>
      </c>
      <c r="C10" s="3" t="s">
        <v>56</v>
      </c>
      <c r="D10" s="3" t="s">
        <v>116</v>
      </c>
      <c r="E10" s="3" t="s">
        <v>1920</v>
      </c>
      <c r="F10" s="3" t="s">
        <v>1921</v>
      </c>
      <c r="G10" s="3" t="s">
        <v>250</v>
      </c>
      <c r="H10" s="5">
        <v>46073</v>
      </c>
      <c r="I10" s="5">
        <v>46059.395405092589</v>
      </c>
      <c r="J10" s="3" t="s">
        <v>1922</v>
      </c>
      <c r="K10" s="3" t="s">
        <v>1892</v>
      </c>
      <c r="L10">
        <v>6</v>
      </c>
      <c r="M10" s="5">
        <v>46106</v>
      </c>
      <c r="N10" s="3" t="s">
        <v>1893</v>
      </c>
      <c r="O10">
        <v>0</v>
      </c>
      <c r="P10" s="3" t="s">
        <v>24</v>
      </c>
      <c r="Q10" s="3" t="s">
        <v>1893</v>
      </c>
      <c r="R10" s="5">
        <v>46118</v>
      </c>
      <c r="S10" s="3" t="s">
        <v>190</v>
      </c>
      <c r="T10" s="3" t="s">
        <v>190</v>
      </c>
      <c r="U10">
        <v>0</v>
      </c>
      <c r="V10" s="3" t="s">
        <v>1794</v>
      </c>
      <c r="W10" s="3" t="s">
        <v>190</v>
      </c>
      <c r="X10" s="5">
        <v>46132</v>
      </c>
      <c r="Y10" s="3" t="s">
        <v>190</v>
      </c>
      <c r="Z10" s="3" t="s">
        <v>190</v>
      </c>
      <c r="AA10">
        <v>0</v>
      </c>
      <c r="AB10" s="3" t="s">
        <v>1895</v>
      </c>
      <c r="AC10" s="3" t="s">
        <v>190</v>
      </c>
      <c r="AD10" s="3" t="s">
        <v>190</v>
      </c>
      <c r="AE10" s="3" t="s">
        <v>190</v>
      </c>
      <c r="AF10" s="3" t="s">
        <v>190</v>
      </c>
    </row>
    <row r="11" spans="1:32" ht="16.5" customHeight="1">
      <c r="A11" s="4" t="s">
        <v>229</v>
      </c>
      <c r="B11" s="4" t="s">
        <v>56</v>
      </c>
      <c r="C11" s="4" t="s">
        <v>56</v>
      </c>
      <c r="D11" s="4" t="s">
        <v>1923</v>
      </c>
      <c r="E11" s="4" t="s">
        <v>1924</v>
      </c>
      <c r="F11" s="4" t="s">
        <v>1925</v>
      </c>
      <c r="G11" s="4" t="s">
        <v>233</v>
      </c>
      <c r="H11" s="6">
        <v>46066</v>
      </c>
      <c r="I11" s="6">
        <v>46093.38821759259</v>
      </c>
      <c r="J11" s="4" t="s">
        <v>1926</v>
      </c>
      <c r="K11" s="4" t="s">
        <v>1892</v>
      </c>
      <c r="L11">
        <v>6</v>
      </c>
      <c r="M11" s="6"/>
      <c r="N11" s="4" t="s">
        <v>190</v>
      </c>
      <c r="O11">
        <v>0</v>
      </c>
      <c r="P11" s="4" t="s">
        <v>24</v>
      </c>
      <c r="Q11" s="4" t="s">
        <v>190</v>
      </c>
      <c r="R11" s="6">
        <v>46118</v>
      </c>
      <c r="S11" s="4" t="s">
        <v>190</v>
      </c>
      <c r="T11" s="4" t="s">
        <v>190</v>
      </c>
      <c r="U11">
        <v>0</v>
      </c>
      <c r="V11" s="4" t="s">
        <v>1794</v>
      </c>
      <c r="W11" s="4" t="s">
        <v>190</v>
      </c>
      <c r="X11" s="6">
        <v>46132</v>
      </c>
      <c r="Y11" s="4" t="s">
        <v>190</v>
      </c>
      <c r="Z11" s="4" t="s">
        <v>190</v>
      </c>
      <c r="AA11">
        <v>0</v>
      </c>
      <c r="AB11" s="4" t="s">
        <v>1895</v>
      </c>
      <c r="AC11" s="4" t="s">
        <v>190</v>
      </c>
      <c r="AD11" s="4" t="s">
        <v>190</v>
      </c>
      <c r="AE11" s="4" t="s">
        <v>190</v>
      </c>
      <c r="AF11" s="4" t="s">
        <v>190</v>
      </c>
    </row>
    <row r="12" spans="1:32" ht="16.5" customHeight="1">
      <c r="A12" s="3" t="s">
        <v>229</v>
      </c>
      <c r="B12" s="3" t="s">
        <v>56</v>
      </c>
      <c r="C12" s="3" t="s">
        <v>56</v>
      </c>
      <c r="D12" s="3" t="s">
        <v>116</v>
      </c>
      <c r="E12" s="3" t="s">
        <v>1927</v>
      </c>
      <c r="F12" s="3" t="s">
        <v>1928</v>
      </c>
      <c r="G12" s="3" t="s">
        <v>250</v>
      </c>
      <c r="H12" s="5">
        <v>46066</v>
      </c>
      <c r="I12" s="5">
        <v>46058.555462962962</v>
      </c>
      <c r="J12" s="3" t="s">
        <v>1929</v>
      </c>
      <c r="K12" s="3" t="s">
        <v>1892</v>
      </c>
      <c r="L12">
        <v>6</v>
      </c>
      <c r="M12" s="5">
        <v>46105</v>
      </c>
      <c r="N12" s="3" t="s">
        <v>1893</v>
      </c>
      <c r="O12">
        <v>0</v>
      </c>
      <c r="P12" s="3" t="s">
        <v>24</v>
      </c>
      <c r="Q12" s="3" t="s">
        <v>1893</v>
      </c>
      <c r="R12" s="5">
        <v>46118</v>
      </c>
      <c r="S12" s="3" t="s">
        <v>190</v>
      </c>
      <c r="T12" s="3" t="s">
        <v>190</v>
      </c>
      <c r="U12">
        <v>0</v>
      </c>
      <c r="V12" s="3" t="s">
        <v>1901</v>
      </c>
      <c r="W12" s="3" t="s">
        <v>190</v>
      </c>
      <c r="X12" s="5">
        <v>46132</v>
      </c>
      <c r="Y12" s="3" t="s">
        <v>190</v>
      </c>
      <c r="Z12" s="3" t="s">
        <v>190</v>
      </c>
      <c r="AA12">
        <v>0</v>
      </c>
      <c r="AB12" s="3" t="s">
        <v>1895</v>
      </c>
      <c r="AC12" s="3" t="s">
        <v>190</v>
      </c>
      <c r="AD12" s="3" t="s">
        <v>190</v>
      </c>
      <c r="AE12" s="3" t="s">
        <v>190</v>
      </c>
      <c r="AF12" s="3" t="s">
        <v>190</v>
      </c>
    </row>
    <row r="13" spans="1:32" ht="16.5" customHeight="1">
      <c r="A13" s="4" t="s">
        <v>229</v>
      </c>
      <c r="B13" s="4" t="s">
        <v>56</v>
      </c>
      <c r="C13" s="4" t="s">
        <v>56</v>
      </c>
      <c r="D13" s="4" t="s">
        <v>116</v>
      </c>
      <c r="E13" s="4" t="s">
        <v>1930</v>
      </c>
      <c r="F13" s="4" t="s">
        <v>1931</v>
      </c>
      <c r="G13" s="4" t="s">
        <v>250</v>
      </c>
      <c r="H13" s="6">
        <v>46059</v>
      </c>
      <c r="I13" s="6">
        <v>46051.458668981482</v>
      </c>
      <c r="J13" s="4" t="s">
        <v>1932</v>
      </c>
      <c r="K13" s="4" t="s">
        <v>1892</v>
      </c>
      <c r="L13">
        <v>6</v>
      </c>
      <c r="M13" s="6">
        <v>46107</v>
      </c>
      <c r="N13" s="4" t="s">
        <v>1893</v>
      </c>
      <c r="O13">
        <v>0</v>
      </c>
      <c r="P13" s="4" t="s">
        <v>24</v>
      </c>
      <c r="Q13" s="4" t="s">
        <v>1893</v>
      </c>
      <c r="R13" s="6">
        <v>46118</v>
      </c>
      <c r="S13" s="4" t="s">
        <v>190</v>
      </c>
      <c r="T13" s="4" t="s">
        <v>190</v>
      </c>
      <c r="U13">
        <v>0</v>
      </c>
      <c r="V13" s="4" t="s">
        <v>1901</v>
      </c>
      <c r="W13" s="4" t="s">
        <v>190</v>
      </c>
      <c r="X13" s="6">
        <v>46132</v>
      </c>
      <c r="Y13" s="4" t="s">
        <v>190</v>
      </c>
      <c r="Z13" s="4" t="s">
        <v>190</v>
      </c>
      <c r="AA13">
        <v>0</v>
      </c>
      <c r="AB13" s="4" t="s">
        <v>1895</v>
      </c>
      <c r="AC13" s="4" t="s">
        <v>190</v>
      </c>
      <c r="AD13" s="4" t="s">
        <v>190</v>
      </c>
      <c r="AE13" s="4" t="s">
        <v>190</v>
      </c>
      <c r="AF13" s="4" t="s">
        <v>190</v>
      </c>
    </row>
    <row r="14" spans="1:32" ht="16.5" customHeight="1">
      <c r="A14" s="3" t="s">
        <v>229</v>
      </c>
      <c r="B14" s="3" t="s">
        <v>56</v>
      </c>
      <c r="C14" s="3" t="s">
        <v>56</v>
      </c>
      <c r="D14" s="3" t="s">
        <v>116</v>
      </c>
      <c r="E14" s="3" t="s">
        <v>1933</v>
      </c>
      <c r="F14" s="3" t="s">
        <v>1934</v>
      </c>
      <c r="G14" s="3" t="s">
        <v>250</v>
      </c>
      <c r="H14" s="5">
        <v>46066</v>
      </c>
      <c r="I14" s="5">
        <v>46058.555914351855</v>
      </c>
      <c r="J14" s="3" t="s">
        <v>1816</v>
      </c>
      <c r="K14" s="3" t="s">
        <v>1892</v>
      </c>
      <c r="L14">
        <v>6</v>
      </c>
      <c r="M14" s="5">
        <v>46106</v>
      </c>
      <c r="N14" s="3" t="s">
        <v>1900</v>
      </c>
      <c r="O14">
        <v>0</v>
      </c>
      <c r="P14" s="3" t="s">
        <v>24</v>
      </c>
      <c r="Q14" s="3" t="s">
        <v>1893</v>
      </c>
      <c r="R14" s="5">
        <v>46118</v>
      </c>
      <c r="S14" s="3" t="s">
        <v>190</v>
      </c>
      <c r="T14" s="3" t="s">
        <v>190</v>
      </c>
      <c r="U14">
        <v>0</v>
      </c>
      <c r="V14" s="3" t="s">
        <v>1901</v>
      </c>
      <c r="W14" s="3" t="s">
        <v>190</v>
      </c>
      <c r="X14" s="5">
        <v>46132</v>
      </c>
      <c r="Y14" s="3" t="s">
        <v>190</v>
      </c>
      <c r="Z14" s="3" t="s">
        <v>190</v>
      </c>
      <c r="AA14">
        <v>0</v>
      </c>
      <c r="AB14" s="3" t="s">
        <v>1895</v>
      </c>
      <c r="AC14" s="3" t="s">
        <v>190</v>
      </c>
      <c r="AD14" s="3" t="s">
        <v>190</v>
      </c>
      <c r="AE14" s="3" t="s">
        <v>190</v>
      </c>
      <c r="AF14" s="3" t="s">
        <v>190</v>
      </c>
    </row>
    <row r="15" spans="1:32" ht="16.5" customHeight="1">
      <c r="A15" s="4" t="s">
        <v>229</v>
      </c>
      <c r="B15" s="4" t="s">
        <v>56</v>
      </c>
      <c r="C15" s="4" t="s">
        <v>56</v>
      </c>
      <c r="D15" s="4" t="s">
        <v>116</v>
      </c>
      <c r="E15" s="4" t="s">
        <v>1935</v>
      </c>
      <c r="F15" s="4" t="s">
        <v>1936</v>
      </c>
      <c r="G15" s="4" t="s">
        <v>250</v>
      </c>
      <c r="H15" s="6">
        <v>46066</v>
      </c>
      <c r="I15" s="6">
        <v>46058.555775462963</v>
      </c>
      <c r="J15" s="4" t="s">
        <v>1937</v>
      </c>
      <c r="K15" s="4" t="s">
        <v>1892</v>
      </c>
      <c r="L15">
        <v>6</v>
      </c>
      <c r="M15" s="6">
        <v>46106</v>
      </c>
      <c r="N15" s="4" t="s">
        <v>1893</v>
      </c>
      <c r="O15">
        <v>0</v>
      </c>
      <c r="P15" s="4" t="s">
        <v>24</v>
      </c>
      <c r="Q15" s="4" t="s">
        <v>1893</v>
      </c>
      <c r="R15" s="6">
        <v>46118</v>
      </c>
      <c r="S15" s="4" t="s">
        <v>190</v>
      </c>
      <c r="T15" s="4" t="s">
        <v>190</v>
      </c>
      <c r="U15">
        <v>0</v>
      </c>
      <c r="V15" s="4" t="s">
        <v>1901</v>
      </c>
      <c r="W15" s="4" t="s">
        <v>190</v>
      </c>
      <c r="X15" s="6">
        <v>46132</v>
      </c>
      <c r="Y15" s="4" t="s">
        <v>190</v>
      </c>
      <c r="Z15" s="4" t="s">
        <v>190</v>
      </c>
      <c r="AA15">
        <v>0</v>
      </c>
      <c r="AB15" s="4" t="s">
        <v>1895</v>
      </c>
      <c r="AC15" s="4" t="s">
        <v>190</v>
      </c>
      <c r="AD15" s="4" t="s">
        <v>190</v>
      </c>
      <c r="AE15" s="4" t="s">
        <v>190</v>
      </c>
      <c r="AF15" s="4" t="s">
        <v>190</v>
      </c>
    </row>
    <row r="16" spans="1:32" ht="16.5" customHeight="1">
      <c r="A16" s="3" t="s">
        <v>229</v>
      </c>
      <c r="B16" s="3" t="s">
        <v>56</v>
      </c>
      <c r="C16" s="3" t="s">
        <v>56</v>
      </c>
      <c r="D16" s="3" t="s">
        <v>116</v>
      </c>
      <c r="E16" s="3" t="s">
        <v>1938</v>
      </c>
      <c r="F16" s="3" t="s">
        <v>1939</v>
      </c>
      <c r="G16" s="3" t="s">
        <v>250</v>
      </c>
      <c r="H16" s="5">
        <v>46094</v>
      </c>
      <c r="I16" s="5">
        <v>46087.754652777781</v>
      </c>
      <c r="J16" s="3" t="s">
        <v>1940</v>
      </c>
      <c r="K16" s="3" t="s">
        <v>1892</v>
      </c>
      <c r="L16">
        <v>6</v>
      </c>
      <c r="M16" s="5">
        <v>46106</v>
      </c>
      <c r="N16" s="3" t="s">
        <v>1893</v>
      </c>
      <c r="O16">
        <v>0</v>
      </c>
      <c r="P16" s="3" t="s">
        <v>24</v>
      </c>
      <c r="Q16" s="3" t="s">
        <v>1893</v>
      </c>
      <c r="R16" s="5">
        <v>46118</v>
      </c>
      <c r="S16" s="3" t="s">
        <v>190</v>
      </c>
      <c r="T16" s="3" t="s">
        <v>190</v>
      </c>
      <c r="U16">
        <v>0</v>
      </c>
      <c r="V16" s="3" t="s">
        <v>1794</v>
      </c>
      <c r="W16" s="3" t="s">
        <v>190</v>
      </c>
      <c r="X16" s="5">
        <v>46132</v>
      </c>
      <c r="Y16" s="3" t="s">
        <v>190</v>
      </c>
      <c r="Z16" s="3" t="s">
        <v>190</v>
      </c>
      <c r="AA16">
        <v>0</v>
      </c>
      <c r="AB16" s="3" t="s">
        <v>1895</v>
      </c>
      <c r="AC16" s="3" t="s">
        <v>190</v>
      </c>
      <c r="AD16" s="3" t="s">
        <v>190</v>
      </c>
      <c r="AE16" s="3" t="s">
        <v>190</v>
      </c>
      <c r="AF16" s="3" t="s">
        <v>190</v>
      </c>
    </row>
    <row r="17" spans="1:32" ht="16.5" customHeight="1">
      <c r="A17" s="4" t="s">
        <v>229</v>
      </c>
      <c r="B17" s="4" t="s">
        <v>56</v>
      </c>
      <c r="C17" s="4" t="s">
        <v>56</v>
      </c>
      <c r="D17" s="4" t="s">
        <v>116</v>
      </c>
      <c r="E17" s="4" t="s">
        <v>1941</v>
      </c>
      <c r="F17" s="4" t="s">
        <v>1942</v>
      </c>
      <c r="G17" s="4" t="s">
        <v>250</v>
      </c>
      <c r="H17" s="6">
        <v>46094</v>
      </c>
      <c r="I17" s="6">
        <v>46093.65625</v>
      </c>
      <c r="J17" s="4" t="s">
        <v>1943</v>
      </c>
      <c r="K17" s="4" t="s">
        <v>1892</v>
      </c>
      <c r="L17">
        <v>6</v>
      </c>
      <c r="M17" s="6">
        <v>46107</v>
      </c>
      <c r="N17" s="4" t="s">
        <v>1893</v>
      </c>
      <c r="O17">
        <v>0</v>
      </c>
      <c r="P17" s="4" t="s">
        <v>24</v>
      </c>
      <c r="Q17" s="4" t="s">
        <v>1893</v>
      </c>
      <c r="R17" s="6">
        <v>46118</v>
      </c>
      <c r="S17" s="4" t="s">
        <v>190</v>
      </c>
      <c r="T17" s="4" t="s">
        <v>190</v>
      </c>
      <c r="U17">
        <v>0</v>
      </c>
      <c r="V17" s="4" t="s">
        <v>1794</v>
      </c>
      <c r="W17" s="4" t="s">
        <v>190</v>
      </c>
      <c r="X17" s="6">
        <v>46132</v>
      </c>
      <c r="Y17" s="4" t="s">
        <v>190</v>
      </c>
      <c r="Z17" s="4" t="s">
        <v>190</v>
      </c>
      <c r="AA17">
        <v>0</v>
      </c>
      <c r="AB17" s="4" t="s">
        <v>1895</v>
      </c>
      <c r="AC17" s="4" t="s">
        <v>190</v>
      </c>
      <c r="AD17" s="4" t="s">
        <v>190</v>
      </c>
      <c r="AE17" s="4" t="s">
        <v>190</v>
      </c>
      <c r="AF17" s="4" t="s">
        <v>190</v>
      </c>
    </row>
    <row r="18" spans="1:32" ht="16.5" customHeight="1">
      <c r="A18" s="3" t="s">
        <v>306</v>
      </c>
      <c r="B18" s="3" t="s">
        <v>56</v>
      </c>
      <c r="C18" s="3" t="s">
        <v>56</v>
      </c>
      <c r="D18" s="3" t="s">
        <v>116</v>
      </c>
      <c r="E18" s="3" t="s">
        <v>1944</v>
      </c>
      <c r="F18" s="3" t="s">
        <v>1945</v>
      </c>
      <c r="G18" s="3" t="s">
        <v>250</v>
      </c>
      <c r="H18" s="5">
        <v>46094</v>
      </c>
      <c r="I18" s="5">
        <v>46093.654710648145</v>
      </c>
      <c r="J18" s="3" t="s">
        <v>1946</v>
      </c>
      <c r="K18" s="3" t="s">
        <v>1892</v>
      </c>
      <c r="L18">
        <v>6</v>
      </c>
      <c r="M18" s="5">
        <v>46105</v>
      </c>
      <c r="N18" s="3" t="s">
        <v>1893</v>
      </c>
      <c r="O18">
        <v>0</v>
      </c>
      <c r="P18" s="3" t="s">
        <v>24</v>
      </c>
      <c r="Q18" s="3" t="s">
        <v>1893</v>
      </c>
      <c r="R18" s="5">
        <v>46118</v>
      </c>
      <c r="S18" s="3" t="s">
        <v>190</v>
      </c>
      <c r="T18" s="3" t="s">
        <v>190</v>
      </c>
      <c r="U18">
        <v>0</v>
      </c>
      <c r="V18" s="3" t="s">
        <v>1901</v>
      </c>
      <c r="W18" s="3" t="s">
        <v>190</v>
      </c>
      <c r="X18" s="5">
        <v>46132</v>
      </c>
      <c r="Y18" s="3" t="s">
        <v>190</v>
      </c>
      <c r="Z18" s="3" t="s">
        <v>190</v>
      </c>
      <c r="AA18">
        <v>0</v>
      </c>
      <c r="AB18" s="3" t="s">
        <v>1895</v>
      </c>
      <c r="AC18" s="3" t="s">
        <v>190</v>
      </c>
      <c r="AD18" s="3" t="s">
        <v>190</v>
      </c>
      <c r="AE18" s="3" t="s">
        <v>190</v>
      </c>
      <c r="AF18" s="3" t="s">
        <v>190</v>
      </c>
    </row>
    <row r="19" spans="1:32" ht="16.5" customHeight="1">
      <c r="A19" s="4" t="s">
        <v>306</v>
      </c>
      <c r="B19" s="4" t="s">
        <v>56</v>
      </c>
      <c r="C19" s="4" t="s">
        <v>56</v>
      </c>
      <c r="D19" s="4" t="s">
        <v>116</v>
      </c>
      <c r="E19" s="4" t="s">
        <v>1947</v>
      </c>
      <c r="F19" s="4" t="s">
        <v>1948</v>
      </c>
      <c r="G19" s="4" t="s">
        <v>250</v>
      </c>
      <c r="H19" s="6">
        <v>46080</v>
      </c>
      <c r="I19" s="6">
        <v>46064.384444444448</v>
      </c>
      <c r="J19" s="4" t="s">
        <v>1949</v>
      </c>
      <c r="K19" s="4" t="s">
        <v>1892</v>
      </c>
      <c r="L19">
        <v>6</v>
      </c>
      <c r="M19" s="6">
        <v>46105</v>
      </c>
      <c r="N19" s="4" t="s">
        <v>1893</v>
      </c>
      <c r="O19">
        <v>0</v>
      </c>
      <c r="P19" s="4" t="s">
        <v>24</v>
      </c>
      <c r="Q19" s="4" t="s">
        <v>1893</v>
      </c>
      <c r="R19" s="6">
        <v>46118</v>
      </c>
      <c r="S19" s="4" t="s">
        <v>190</v>
      </c>
      <c r="T19" s="4" t="s">
        <v>190</v>
      </c>
      <c r="U19">
        <v>0</v>
      </c>
      <c r="V19" s="4" t="s">
        <v>1901</v>
      </c>
      <c r="W19" s="4" t="s">
        <v>190</v>
      </c>
      <c r="X19" s="6">
        <v>46132</v>
      </c>
      <c r="Y19" s="4" t="s">
        <v>190</v>
      </c>
      <c r="Z19" s="4" t="s">
        <v>190</v>
      </c>
      <c r="AA19">
        <v>0</v>
      </c>
      <c r="AB19" s="4" t="s">
        <v>1895</v>
      </c>
      <c r="AC19" s="4" t="s">
        <v>190</v>
      </c>
      <c r="AD19" s="4" t="s">
        <v>190</v>
      </c>
      <c r="AE19" s="4" t="s">
        <v>190</v>
      </c>
      <c r="AF19" s="4" t="s">
        <v>190</v>
      </c>
    </row>
    <row r="20" spans="1:32" ht="16.5" customHeight="1">
      <c r="A20" s="3" t="s">
        <v>306</v>
      </c>
      <c r="B20" s="3" t="s">
        <v>56</v>
      </c>
      <c r="C20" s="3" t="s">
        <v>56</v>
      </c>
      <c r="D20" s="3" t="s">
        <v>116</v>
      </c>
      <c r="E20" s="3" t="s">
        <v>1950</v>
      </c>
      <c r="F20" s="3" t="s">
        <v>1951</v>
      </c>
      <c r="G20" s="3" t="s">
        <v>250</v>
      </c>
      <c r="H20" s="5">
        <v>46080</v>
      </c>
      <c r="I20" s="5">
        <v>46064.384618055556</v>
      </c>
      <c r="J20" s="3" t="s">
        <v>1952</v>
      </c>
      <c r="K20" s="3" t="s">
        <v>1892</v>
      </c>
      <c r="L20">
        <v>6</v>
      </c>
      <c r="M20" s="5">
        <v>46105</v>
      </c>
      <c r="N20" s="3" t="s">
        <v>1893</v>
      </c>
      <c r="O20">
        <v>0</v>
      </c>
      <c r="P20" s="3" t="s">
        <v>24</v>
      </c>
      <c r="Q20" s="3" t="s">
        <v>1893</v>
      </c>
      <c r="R20" s="5">
        <v>46118</v>
      </c>
      <c r="S20" s="3" t="s">
        <v>190</v>
      </c>
      <c r="T20" s="3" t="s">
        <v>190</v>
      </c>
      <c r="U20">
        <v>0</v>
      </c>
      <c r="V20" s="3" t="s">
        <v>1901</v>
      </c>
      <c r="W20" s="3" t="s">
        <v>190</v>
      </c>
      <c r="X20" s="5">
        <v>46132</v>
      </c>
      <c r="Y20" s="3" t="s">
        <v>190</v>
      </c>
      <c r="Z20" s="3" t="s">
        <v>190</v>
      </c>
      <c r="AA20">
        <v>0</v>
      </c>
      <c r="AB20" s="3" t="s">
        <v>1895</v>
      </c>
      <c r="AC20" s="3" t="s">
        <v>190</v>
      </c>
      <c r="AD20" s="3" t="s">
        <v>190</v>
      </c>
      <c r="AE20" s="3" t="s">
        <v>190</v>
      </c>
      <c r="AF20" s="3" t="s">
        <v>190</v>
      </c>
    </row>
    <row r="21" spans="1:32" ht="16.5" customHeight="1">
      <c r="A21" s="4" t="s">
        <v>580</v>
      </c>
      <c r="B21" s="4" t="s">
        <v>56</v>
      </c>
      <c r="C21" s="4" t="s">
        <v>56</v>
      </c>
      <c r="D21" s="4" t="s">
        <v>116</v>
      </c>
      <c r="E21" s="4" t="s">
        <v>1953</v>
      </c>
      <c r="F21" s="4" t="s">
        <v>1954</v>
      </c>
      <c r="G21" s="4" t="s">
        <v>582</v>
      </c>
      <c r="H21" s="6">
        <v>46073</v>
      </c>
      <c r="I21" s="6">
        <v>46055.746261574073</v>
      </c>
      <c r="J21" s="4" t="s">
        <v>1955</v>
      </c>
      <c r="K21" s="4" t="s">
        <v>1892</v>
      </c>
      <c r="L21">
        <v>6</v>
      </c>
      <c r="M21" s="6">
        <v>46106</v>
      </c>
      <c r="N21" s="4" t="s">
        <v>1893</v>
      </c>
      <c r="O21">
        <v>0</v>
      </c>
      <c r="P21" s="4" t="s">
        <v>24</v>
      </c>
      <c r="Q21" s="4" t="s">
        <v>1893</v>
      </c>
      <c r="R21" s="6">
        <v>46118</v>
      </c>
      <c r="S21" s="4" t="s">
        <v>190</v>
      </c>
      <c r="T21" s="4" t="s">
        <v>190</v>
      </c>
      <c r="U21">
        <v>0</v>
      </c>
      <c r="V21" s="4" t="s">
        <v>1956</v>
      </c>
      <c r="W21" s="4" t="s">
        <v>190</v>
      </c>
      <c r="X21" s="6">
        <v>46132</v>
      </c>
      <c r="Y21" s="4" t="s">
        <v>190</v>
      </c>
      <c r="Z21" s="4" t="s">
        <v>190</v>
      </c>
      <c r="AA21">
        <v>0</v>
      </c>
      <c r="AB21" s="4" t="s">
        <v>1895</v>
      </c>
      <c r="AC21" s="4" t="s">
        <v>190</v>
      </c>
      <c r="AD21" s="4" t="s">
        <v>190</v>
      </c>
      <c r="AE21" s="4" t="s">
        <v>190</v>
      </c>
      <c r="AF21" s="4" t="s">
        <v>190</v>
      </c>
    </row>
    <row r="22" spans="1:32" ht="16.5" customHeight="1">
      <c r="A22" s="3" t="s">
        <v>580</v>
      </c>
      <c r="B22" s="3" t="s">
        <v>56</v>
      </c>
      <c r="C22" s="3" t="s">
        <v>56</v>
      </c>
      <c r="D22" s="3" t="s">
        <v>116</v>
      </c>
      <c r="E22" s="3" t="s">
        <v>1957</v>
      </c>
      <c r="F22" s="3" t="s">
        <v>1958</v>
      </c>
      <c r="G22" s="3" t="s">
        <v>582</v>
      </c>
      <c r="H22" s="5">
        <v>46073</v>
      </c>
      <c r="I22" s="5">
        <v>46055.746990740743</v>
      </c>
      <c r="J22" s="3" t="s">
        <v>1959</v>
      </c>
      <c r="K22" s="3" t="s">
        <v>1892</v>
      </c>
      <c r="L22">
        <v>6</v>
      </c>
      <c r="M22" s="5">
        <v>46106</v>
      </c>
      <c r="N22" s="3" t="s">
        <v>1893</v>
      </c>
      <c r="O22">
        <v>0</v>
      </c>
      <c r="P22" s="3" t="s">
        <v>24</v>
      </c>
      <c r="Q22" s="3" t="s">
        <v>1893</v>
      </c>
      <c r="R22" s="5">
        <v>46118</v>
      </c>
      <c r="S22" s="3" t="s">
        <v>190</v>
      </c>
      <c r="T22" s="3" t="s">
        <v>190</v>
      </c>
      <c r="U22">
        <v>0</v>
      </c>
      <c r="V22" s="3" t="s">
        <v>1956</v>
      </c>
      <c r="W22" s="3" t="s">
        <v>190</v>
      </c>
      <c r="X22" s="5">
        <v>46132</v>
      </c>
      <c r="Y22" s="3" t="s">
        <v>190</v>
      </c>
      <c r="Z22" s="3" t="s">
        <v>190</v>
      </c>
      <c r="AA22">
        <v>0</v>
      </c>
      <c r="AB22" s="3" t="s">
        <v>1895</v>
      </c>
      <c r="AC22" s="3" t="s">
        <v>190</v>
      </c>
      <c r="AD22" s="3" t="s">
        <v>190</v>
      </c>
      <c r="AE22" s="3" t="s">
        <v>190</v>
      </c>
      <c r="AF22" s="3" t="s">
        <v>190</v>
      </c>
    </row>
    <row r="23" spans="1:32" ht="16.5" customHeight="1">
      <c r="A23" s="4" t="s">
        <v>580</v>
      </c>
      <c r="B23" s="4" t="s">
        <v>56</v>
      </c>
      <c r="C23" s="4" t="s">
        <v>56</v>
      </c>
      <c r="D23" s="4" t="s">
        <v>116</v>
      </c>
      <c r="E23" s="4" t="s">
        <v>1960</v>
      </c>
      <c r="F23" s="4" t="s">
        <v>1961</v>
      </c>
      <c r="G23" s="4" t="s">
        <v>279</v>
      </c>
      <c r="H23" s="6">
        <v>46066</v>
      </c>
      <c r="I23" s="6">
        <v>46020.438668981478</v>
      </c>
      <c r="J23" s="4" t="s">
        <v>1962</v>
      </c>
      <c r="K23" s="4" t="s">
        <v>1892</v>
      </c>
      <c r="L23">
        <v>6</v>
      </c>
      <c r="M23" s="6">
        <v>46106</v>
      </c>
      <c r="N23" s="4" t="s">
        <v>1893</v>
      </c>
      <c r="O23">
        <v>0</v>
      </c>
      <c r="P23" s="4" t="s">
        <v>24</v>
      </c>
      <c r="Q23" s="4" t="s">
        <v>1893</v>
      </c>
      <c r="R23" s="6">
        <v>46118</v>
      </c>
      <c r="S23" s="4" t="s">
        <v>190</v>
      </c>
      <c r="T23" s="4" t="s">
        <v>190</v>
      </c>
      <c r="U23">
        <v>0</v>
      </c>
      <c r="V23" s="4" t="s">
        <v>1956</v>
      </c>
      <c r="W23" s="4" t="s">
        <v>190</v>
      </c>
      <c r="X23" s="6">
        <v>46132</v>
      </c>
      <c r="Y23" s="4" t="s">
        <v>190</v>
      </c>
      <c r="Z23" s="4" t="s">
        <v>190</v>
      </c>
      <c r="AA23">
        <v>0</v>
      </c>
      <c r="AB23" s="4" t="s">
        <v>1895</v>
      </c>
      <c r="AC23" s="4" t="s">
        <v>190</v>
      </c>
      <c r="AD23" s="4" t="s">
        <v>190</v>
      </c>
      <c r="AE23" s="4" t="s">
        <v>190</v>
      </c>
      <c r="AF23" s="4" t="s">
        <v>190</v>
      </c>
    </row>
    <row r="24" spans="1:32" ht="16.5" customHeight="1">
      <c r="A24" s="3" t="s">
        <v>580</v>
      </c>
      <c r="B24" s="3" t="s">
        <v>56</v>
      </c>
      <c r="C24" s="3" t="s">
        <v>56</v>
      </c>
      <c r="D24" s="3" t="s">
        <v>116</v>
      </c>
      <c r="E24" s="3" t="s">
        <v>1963</v>
      </c>
      <c r="F24" s="3" t="s">
        <v>1964</v>
      </c>
      <c r="G24" s="3" t="s">
        <v>279</v>
      </c>
      <c r="H24" s="5">
        <v>46081</v>
      </c>
      <c r="I24" s="5">
        <v>46020.438831018517</v>
      </c>
      <c r="J24" s="3" t="s">
        <v>1965</v>
      </c>
      <c r="K24" s="3" t="s">
        <v>1892</v>
      </c>
      <c r="L24">
        <v>6</v>
      </c>
      <c r="M24" s="5">
        <v>46105</v>
      </c>
      <c r="N24" s="3" t="s">
        <v>1893</v>
      </c>
      <c r="O24">
        <v>0</v>
      </c>
      <c r="P24" s="3" t="s">
        <v>24</v>
      </c>
      <c r="Q24" s="3" t="s">
        <v>1893</v>
      </c>
      <c r="R24" s="5">
        <v>46118</v>
      </c>
      <c r="S24" s="3" t="s">
        <v>190</v>
      </c>
      <c r="T24" s="3" t="s">
        <v>190</v>
      </c>
      <c r="U24">
        <v>0</v>
      </c>
      <c r="V24" s="3" t="s">
        <v>1956</v>
      </c>
      <c r="W24" s="3" t="s">
        <v>190</v>
      </c>
      <c r="X24" s="5">
        <v>46132</v>
      </c>
      <c r="Y24" s="3" t="s">
        <v>190</v>
      </c>
      <c r="Z24" s="3" t="s">
        <v>190</v>
      </c>
      <c r="AA24">
        <v>0</v>
      </c>
      <c r="AB24" s="3" t="s">
        <v>1895</v>
      </c>
      <c r="AC24" s="3" t="s">
        <v>190</v>
      </c>
      <c r="AD24" s="3" t="s">
        <v>190</v>
      </c>
      <c r="AE24" s="3" t="s">
        <v>190</v>
      </c>
      <c r="AF24" s="3" t="s">
        <v>190</v>
      </c>
    </row>
    <row r="25" spans="1:32" ht="16.5" customHeight="1">
      <c r="A25" s="4" t="s">
        <v>580</v>
      </c>
      <c r="B25" s="4" t="s">
        <v>56</v>
      </c>
      <c r="C25" s="4" t="s">
        <v>56</v>
      </c>
      <c r="D25" s="4" t="s">
        <v>116</v>
      </c>
      <c r="E25" s="4" t="s">
        <v>1966</v>
      </c>
      <c r="F25" s="4" t="s">
        <v>1967</v>
      </c>
      <c r="G25" s="4" t="s">
        <v>279</v>
      </c>
      <c r="H25" s="6">
        <v>46081</v>
      </c>
      <c r="I25" s="6">
        <v>46020.439016203702</v>
      </c>
      <c r="J25" s="4" t="s">
        <v>1968</v>
      </c>
      <c r="K25" s="4" t="s">
        <v>1892</v>
      </c>
      <c r="L25">
        <v>6</v>
      </c>
      <c r="M25" s="6">
        <v>46106</v>
      </c>
      <c r="N25" s="4" t="s">
        <v>1893</v>
      </c>
      <c r="O25">
        <v>0</v>
      </c>
      <c r="P25" s="4" t="s">
        <v>24</v>
      </c>
      <c r="Q25" s="4" t="s">
        <v>1893</v>
      </c>
      <c r="R25" s="6">
        <v>46118</v>
      </c>
      <c r="S25" s="4" t="s">
        <v>190</v>
      </c>
      <c r="T25" s="4" t="s">
        <v>190</v>
      </c>
      <c r="U25">
        <v>0</v>
      </c>
      <c r="V25" s="4" t="s">
        <v>1956</v>
      </c>
      <c r="W25" s="4" t="s">
        <v>190</v>
      </c>
      <c r="X25" s="6">
        <v>46132</v>
      </c>
      <c r="Y25" s="4" t="s">
        <v>190</v>
      </c>
      <c r="Z25" s="4" t="s">
        <v>190</v>
      </c>
      <c r="AA25">
        <v>0</v>
      </c>
      <c r="AB25" s="4" t="s">
        <v>1895</v>
      </c>
      <c r="AC25" s="4" t="s">
        <v>190</v>
      </c>
      <c r="AD25" s="4" t="s">
        <v>190</v>
      </c>
      <c r="AE25" s="4" t="s">
        <v>190</v>
      </c>
      <c r="AF25" s="4" t="s">
        <v>190</v>
      </c>
    </row>
    <row r="26" spans="1:32" ht="16.5" customHeight="1">
      <c r="A26" s="3" t="s">
        <v>580</v>
      </c>
      <c r="B26" s="3" t="s">
        <v>56</v>
      </c>
      <c r="C26" s="3" t="s">
        <v>56</v>
      </c>
      <c r="D26" s="3" t="s">
        <v>1923</v>
      </c>
      <c r="E26" s="3" t="s">
        <v>1969</v>
      </c>
      <c r="F26" s="3" t="s">
        <v>1970</v>
      </c>
      <c r="G26" s="3" t="s">
        <v>584</v>
      </c>
      <c r="H26" s="5">
        <v>46081</v>
      </c>
      <c r="I26" s="5">
        <v>46098.711446759262</v>
      </c>
      <c r="J26" s="3" t="s">
        <v>1971</v>
      </c>
      <c r="K26" s="3" t="s">
        <v>1892</v>
      </c>
      <c r="L26">
        <v>6</v>
      </c>
      <c r="M26" s="5">
        <v>46104</v>
      </c>
      <c r="N26" s="3" t="s">
        <v>1893</v>
      </c>
      <c r="O26">
        <v>0</v>
      </c>
      <c r="P26" s="3" t="s">
        <v>24</v>
      </c>
      <c r="Q26" s="3" t="s">
        <v>1893</v>
      </c>
      <c r="R26" s="5">
        <v>46118</v>
      </c>
      <c r="S26" s="3" t="s">
        <v>190</v>
      </c>
      <c r="T26" s="3" t="s">
        <v>190</v>
      </c>
      <c r="U26">
        <v>0</v>
      </c>
      <c r="V26" s="3" t="s">
        <v>1956</v>
      </c>
      <c r="W26" s="3" t="s">
        <v>190</v>
      </c>
      <c r="X26" s="5">
        <v>46132</v>
      </c>
      <c r="Y26" s="3" t="s">
        <v>190</v>
      </c>
      <c r="Z26" s="3" t="s">
        <v>190</v>
      </c>
      <c r="AA26">
        <v>0</v>
      </c>
      <c r="AB26" s="3" t="s">
        <v>1895</v>
      </c>
      <c r="AC26" s="3" t="s">
        <v>190</v>
      </c>
      <c r="AD26" s="3" t="s">
        <v>190</v>
      </c>
      <c r="AE26" s="3" t="s">
        <v>190</v>
      </c>
      <c r="AF26" s="3" t="s">
        <v>190</v>
      </c>
    </row>
    <row r="27" spans="1:32" ht="16.5" customHeight="1">
      <c r="A27" s="4" t="s">
        <v>580</v>
      </c>
      <c r="B27" s="4" t="s">
        <v>56</v>
      </c>
      <c r="C27" s="4" t="s">
        <v>56</v>
      </c>
      <c r="D27" s="4" t="s">
        <v>116</v>
      </c>
      <c r="E27" s="4" t="s">
        <v>1972</v>
      </c>
      <c r="F27" s="4" t="s">
        <v>1973</v>
      </c>
      <c r="G27" s="4" t="s">
        <v>582</v>
      </c>
      <c r="H27" s="6">
        <v>46087</v>
      </c>
      <c r="I27" s="6">
        <v>46066.662939814814</v>
      </c>
      <c r="J27" s="4" t="s">
        <v>1974</v>
      </c>
      <c r="K27" s="4" t="s">
        <v>1892</v>
      </c>
      <c r="L27">
        <v>6</v>
      </c>
      <c r="M27" s="6">
        <v>46106</v>
      </c>
      <c r="N27" s="4" t="s">
        <v>1893</v>
      </c>
      <c r="O27">
        <v>0</v>
      </c>
      <c r="P27" s="4" t="s">
        <v>24</v>
      </c>
      <c r="Q27" s="4" t="s">
        <v>1893</v>
      </c>
      <c r="R27" s="6">
        <v>46118</v>
      </c>
      <c r="S27" s="4" t="s">
        <v>190</v>
      </c>
      <c r="T27" s="4" t="s">
        <v>190</v>
      </c>
      <c r="U27">
        <v>0</v>
      </c>
      <c r="V27" s="4" t="s">
        <v>1901</v>
      </c>
      <c r="W27" s="4" t="s">
        <v>190</v>
      </c>
      <c r="X27" s="6">
        <v>46132</v>
      </c>
      <c r="Y27" s="4" t="s">
        <v>190</v>
      </c>
      <c r="Z27" s="4" t="s">
        <v>190</v>
      </c>
      <c r="AA27">
        <v>0</v>
      </c>
      <c r="AB27" s="4" t="s">
        <v>1895</v>
      </c>
      <c r="AC27" s="4" t="s">
        <v>190</v>
      </c>
      <c r="AD27" s="4" t="s">
        <v>190</v>
      </c>
      <c r="AE27" s="4" t="s">
        <v>190</v>
      </c>
      <c r="AF27" s="4" t="s">
        <v>190</v>
      </c>
    </row>
    <row r="28" spans="1:32" ht="16.5" customHeight="1">
      <c r="A28" s="3" t="s">
        <v>580</v>
      </c>
      <c r="B28" s="3" t="s">
        <v>56</v>
      </c>
      <c r="C28" s="3" t="s">
        <v>56</v>
      </c>
      <c r="D28" s="3" t="s">
        <v>1923</v>
      </c>
      <c r="E28" s="3" t="s">
        <v>1975</v>
      </c>
      <c r="F28" s="3" t="s">
        <v>1976</v>
      </c>
      <c r="G28" s="3" t="s">
        <v>584</v>
      </c>
      <c r="H28" s="5">
        <v>46045</v>
      </c>
      <c r="I28" s="5">
        <v>46062.64271990741</v>
      </c>
      <c r="J28" s="3" t="s">
        <v>1977</v>
      </c>
      <c r="K28" s="3" t="s">
        <v>1892</v>
      </c>
      <c r="L28">
        <v>6</v>
      </c>
      <c r="M28" s="5"/>
      <c r="N28" s="3" t="s">
        <v>190</v>
      </c>
      <c r="O28">
        <v>0</v>
      </c>
      <c r="P28" s="3" t="s">
        <v>24</v>
      </c>
      <c r="Q28" s="3" t="s">
        <v>190</v>
      </c>
      <c r="R28" s="5">
        <v>46118</v>
      </c>
      <c r="S28" s="3" t="s">
        <v>190</v>
      </c>
      <c r="T28" s="3" t="s">
        <v>190</v>
      </c>
      <c r="U28">
        <v>0</v>
      </c>
      <c r="V28" s="3" t="s">
        <v>1901</v>
      </c>
      <c r="W28" s="3" t="s">
        <v>190</v>
      </c>
      <c r="X28" s="5">
        <v>46132</v>
      </c>
      <c r="Y28" s="3" t="s">
        <v>190</v>
      </c>
      <c r="Z28" s="3" t="s">
        <v>190</v>
      </c>
      <c r="AA28">
        <v>0</v>
      </c>
      <c r="AB28" s="3" t="s">
        <v>1895</v>
      </c>
      <c r="AC28" s="3" t="s">
        <v>190</v>
      </c>
      <c r="AD28" s="3" t="s">
        <v>190</v>
      </c>
      <c r="AE28" s="3" t="s">
        <v>190</v>
      </c>
      <c r="AF28" s="3" t="s">
        <v>190</v>
      </c>
    </row>
    <row r="29" spans="1:32" ht="16.5" customHeight="1">
      <c r="A29" s="4" t="s">
        <v>275</v>
      </c>
      <c r="B29" s="4" t="s">
        <v>1978</v>
      </c>
      <c r="C29" s="4" t="s">
        <v>1979</v>
      </c>
      <c r="D29" s="4" t="s">
        <v>25</v>
      </c>
      <c r="E29" s="4" t="s">
        <v>1980</v>
      </c>
      <c r="F29" s="4" t="s">
        <v>1981</v>
      </c>
      <c r="G29" s="4" t="s">
        <v>512</v>
      </c>
      <c r="H29" s="6">
        <v>46031</v>
      </c>
      <c r="I29" s="6">
        <v>46079.562905092593</v>
      </c>
      <c r="J29" s="4" t="s">
        <v>1982</v>
      </c>
      <c r="K29" s="4" t="s">
        <v>1892</v>
      </c>
      <c r="L29">
        <v>6</v>
      </c>
      <c r="M29" s="6">
        <v>46106</v>
      </c>
      <c r="N29" s="4" t="s">
        <v>1893</v>
      </c>
      <c r="O29">
        <v>0</v>
      </c>
      <c r="P29" s="4" t="s">
        <v>24</v>
      </c>
      <c r="Q29" s="4" t="s">
        <v>1893</v>
      </c>
      <c r="R29" s="6">
        <v>46118</v>
      </c>
      <c r="S29" s="4" t="s">
        <v>190</v>
      </c>
      <c r="T29" s="4" t="s">
        <v>190</v>
      </c>
      <c r="U29">
        <v>4</v>
      </c>
      <c r="V29" s="4" t="s">
        <v>1983</v>
      </c>
      <c r="W29" s="4" t="s">
        <v>190</v>
      </c>
      <c r="X29" s="6">
        <v>46132</v>
      </c>
      <c r="Y29" s="4" t="s">
        <v>190</v>
      </c>
      <c r="Z29" s="4" t="s">
        <v>190</v>
      </c>
      <c r="AA29">
        <v>0</v>
      </c>
      <c r="AB29" s="4" t="s">
        <v>1984</v>
      </c>
      <c r="AC29" s="4" t="s">
        <v>190</v>
      </c>
      <c r="AD29" s="4" t="s">
        <v>190</v>
      </c>
      <c r="AE29" s="4" t="s">
        <v>190</v>
      </c>
      <c r="AF29" s="4" t="s">
        <v>190</v>
      </c>
    </row>
    <row r="30" spans="1:32" ht="16.5" customHeight="1">
      <c r="A30" s="3" t="s">
        <v>275</v>
      </c>
      <c r="B30" s="3" t="s">
        <v>1985</v>
      </c>
      <c r="C30" s="3" t="s">
        <v>1986</v>
      </c>
      <c r="D30" s="3" t="s">
        <v>25</v>
      </c>
      <c r="E30" s="3" t="s">
        <v>1987</v>
      </c>
      <c r="F30" s="3" t="s">
        <v>1988</v>
      </c>
      <c r="G30" s="3" t="s">
        <v>512</v>
      </c>
      <c r="H30" s="5">
        <v>46080</v>
      </c>
      <c r="I30" s="5">
        <v>45993.653020833335</v>
      </c>
      <c r="J30" s="3" t="s">
        <v>1849</v>
      </c>
      <c r="K30" s="3" t="s">
        <v>1892</v>
      </c>
      <c r="L30">
        <v>6</v>
      </c>
      <c r="M30" s="5">
        <v>46107</v>
      </c>
      <c r="N30" s="3" t="s">
        <v>1900</v>
      </c>
      <c r="O30">
        <v>0</v>
      </c>
      <c r="P30" s="3" t="s">
        <v>24</v>
      </c>
      <c r="Q30" s="3" t="s">
        <v>1900</v>
      </c>
      <c r="R30" s="5">
        <v>46118</v>
      </c>
      <c r="S30" s="3" t="s">
        <v>190</v>
      </c>
      <c r="T30" s="3" t="s">
        <v>190</v>
      </c>
      <c r="U30">
        <v>0</v>
      </c>
      <c r="V30" s="3" t="s">
        <v>1983</v>
      </c>
      <c r="W30" s="3" t="s">
        <v>190</v>
      </c>
      <c r="X30" s="5">
        <v>46132</v>
      </c>
      <c r="Y30" s="3" t="s">
        <v>190</v>
      </c>
      <c r="Z30" s="3" t="s">
        <v>190</v>
      </c>
      <c r="AA30">
        <v>0</v>
      </c>
      <c r="AB30" s="3" t="s">
        <v>1984</v>
      </c>
      <c r="AC30" s="3" t="s">
        <v>190</v>
      </c>
      <c r="AD30" s="3" t="s">
        <v>190</v>
      </c>
      <c r="AE30" s="3" t="s">
        <v>190</v>
      </c>
      <c r="AF30" s="3" t="s">
        <v>190</v>
      </c>
    </row>
    <row r="31" spans="1:32" ht="16.5" customHeight="1">
      <c r="A31" s="4" t="s">
        <v>184</v>
      </c>
      <c r="B31" s="4" t="s">
        <v>1989</v>
      </c>
      <c r="C31" s="4" t="s">
        <v>1990</v>
      </c>
      <c r="D31" s="4" t="s">
        <v>25</v>
      </c>
      <c r="E31" s="4" t="s">
        <v>1991</v>
      </c>
      <c r="F31" s="4" t="s">
        <v>1992</v>
      </c>
      <c r="G31" s="4" t="s">
        <v>1291</v>
      </c>
      <c r="H31" s="6">
        <v>46031</v>
      </c>
      <c r="I31" s="6">
        <v>46108.416412037041</v>
      </c>
      <c r="J31" s="4" t="s">
        <v>1993</v>
      </c>
      <c r="K31" s="4" t="s">
        <v>1892</v>
      </c>
      <c r="L31">
        <v>6</v>
      </c>
      <c r="M31" s="6">
        <v>46108</v>
      </c>
      <c r="N31" s="4" t="s">
        <v>1893</v>
      </c>
      <c r="O31">
        <v>0</v>
      </c>
      <c r="P31" s="4" t="s">
        <v>24</v>
      </c>
      <c r="Q31" s="4" t="s">
        <v>1893</v>
      </c>
      <c r="R31" s="6">
        <v>46118</v>
      </c>
      <c r="S31" s="4" t="s">
        <v>190</v>
      </c>
      <c r="T31" s="4" t="s">
        <v>190</v>
      </c>
      <c r="U31">
        <v>0</v>
      </c>
      <c r="V31" s="4" t="s">
        <v>1901</v>
      </c>
      <c r="W31" s="4" t="s">
        <v>190</v>
      </c>
      <c r="X31" s="6">
        <v>46132</v>
      </c>
      <c r="Y31" s="4" t="s">
        <v>190</v>
      </c>
      <c r="Z31" s="4" t="s">
        <v>190</v>
      </c>
      <c r="AA31">
        <v>0</v>
      </c>
      <c r="AB31" s="4" t="s">
        <v>1895</v>
      </c>
      <c r="AC31" s="4" t="s">
        <v>190</v>
      </c>
      <c r="AD31" s="4" t="s">
        <v>190</v>
      </c>
      <c r="AE31" s="4" t="s">
        <v>190</v>
      </c>
      <c r="AF31" s="4" t="s">
        <v>190</v>
      </c>
    </row>
    <row r="32" spans="1:32" ht="16.5" customHeight="1">
      <c r="A32" s="3" t="s">
        <v>184</v>
      </c>
      <c r="B32" s="3" t="s">
        <v>1989</v>
      </c>
      <c r="C32" s="3" t="s">
        <v>1990</v>
      </c>
      <c r="D32" s="3" t="s">
        <v>25</v>
      </c>
      <c r="E32" s="3" t="s">
        <v>1994</v>
      </c>
      <c r="F32" s="3" t="s">
        <v>1995</v>
      </c>
      <c r="G32" s="3" t="s">
        <v>1291</v>
      </c>
      <c r="H32" s="5">
        <v>46031</v>
      </c>
      <c r="I32" s="5">
        <v>46108.416354166664</v>
      </c>
      <c r="J32" s="3" t="s">
        <v>1996</v>
      </c>
      <c r="K32" s="3" t="s">
        <v>1892</v>
      </c>
      <c r="L32">
        <v>6</v>
      </c>
      <c r="M32" s="5">
        <v>46108</v>
      </c>
      <c r="N32" s="3" t="s">
        <v>1893</v>
      </c>
      <c r="O32">
        <v>0</v>
      </c>
      <c r="P32" s="3" t="s">
        <v>24</v>
      </c>
      <c r="Q32" s="3" t="s">
        <v>1893</v>
      </c>
      <c r="R32" s="5">
        <v>46118</v>
      </c>
      <c r="S32" s="3" t="s">
        <v>190</v>
      </c>
      <c r="T32" s="3" t="s">
        <v>190</v>
      </c>
      <c r="U32">
        <v>0</v>
      </c>
      <c r="V32" s="3" t="s">
        <v>1901</v>
      </c>
      <c r="W32" s="3" t="s">
        <v>190</v>
      </c>
      <c r="X32" s="5">
        <v>46132</v>
      </c>
      <c r="Y32" s="3" t="s">
        <v>190</v>
      </c>
      <c r="Z32" s="3" t="s">
        <v>190</v>
      </c>
      <c r="AA32">
        <v>0</v>
      </c>
      <c r="AB32" s="3" t="s">
        <v>1895</v>
      </c>
      <c r="AC32" s="3" t="s">
        <v>190</v>
      </c>
      <c r="AD32" s="3" t="s">
        <v>190</v>
      </c>
      <c r="AE32" s="3" t="s">
        <v>190</v>
      </c>
      <c r="AF32" s="3" t="s">
        <v>190</v>
      </c>
    </row>
    <row r="33" spans="1:32" ht="16.5" customHeight="1">
      <c r="A33" s="4" t="s">
        <v>184</v>
      </c>
      <c r="B33" s="4" t="s">
        <v>1989</v>
      </c>
      <c r="C33" s="4" t="s">
        <v>1990</v>
      </c>
      <c r="D33" s="4" t="s">
        <v>25</v>
      </c>
      <c r="E33" s="4" t="s">
        <v>1997</v>
      </c>
      <c r="F33" s="4" t="s">
        <v>1998</v>
      </c>
      <c r="G33" s="4" t="s">
        <v>493</v>
      </c>
      <c r="H33" s="6">
        <v>46045</v>
      </c>
      <c r="I33" s="6">
        <v>46108.416504629633</v>
      </c>
      <c r="J33" s="4" t="s">
        <v>1999</v>
      </c>
      <c r="K33" s="4" t="s">
        <v>1892</v>
      </c>
      <c r="L33">
        <v>6</v>
      </c>
      <c r="M33" s="6">
        <v>46108</v>
      </c>
      <c r="N33" s="4" t="s">
        <v>1893</v>
      </c>
      <c r="O33">
        <v>0</v>
      </c>
      <c r="P33" s="4" t="s">
        <v>24</v>
      </c>
      <c r="Q33" s="4" t="s">
        <v>1893</v>
      </c>
      <c r="R33" s="6">
        <v>46118</v>
      </c>
      <c r="S33" s="4" t="s">
        <v>190</v>
      </c>
      <c r="T33" s="4" t="s">
        <v>190</v>
      </c>
      <c r="U33">
        <v>0</v>
      </c>
      <c r="V33" s="4" t="s">
        <v>1901</v>
      </c>
      <c r="W33" s="4" t="s">
        <v>190</v>
      </c>
      <c r="X33" s="6">
        <v>46132</v>
      </c>
      <c r="Y33" s="4" t="s">
        <v>190</v>
      </c>
      <c r="Z33" s="4" t="s">
        <v>190</v>
      </c>
      <c r="AA33">
        <v>0</v>
      </c>
      <c r="AB33" s="4" t="s">
        <v>1895</v>
      </c>
      <c r="AC33" s="4" t="s">
        <v>190</v>
      </c>
      <c r="AD33" s="4" t="s">
        <v>190</v>
      </c>
      <c r="AE33" s="4" t="s">
        <v>190</v>
      </c>
      <c r="AF33" s="4" t="s">
        <v>190</v>
      </c>
    </row>
    <row r="34" spans="1:32" ht="16.5" customHeight="1">
      <c r="A34" s="3" t="s">
        <v>184</v>
      </c>
      <c r="B34" s="3" t="s">
        <v>56</v>
      </c>
      <c r="C34" s="3" t="s">
        <v>56</v>
      </c>
      <c r="D34" s="3" t="s">
        <v>1795</v>
      </c>
      <c r="E34" s="3" t="s">
        <v>2000</v>
      </c>
      <c r="F34" s="3" t="s">
        <v>2001</v>
      </c>
      <c r="G34" s="3" t="s">
        <v>188</v>
      </c>
      <c r="H34" s="5">
        <v>46073</v>
      </c>
      <c r="I34" s="5"/>
      <c r="J34" s="3" t="s">
        <v>2002</v>
      </c>
      <c r="K34" s="3" t="s">
        <v>1892</v>
      </c>
      <c r="L34">
        <v>6</v>
      </c>
      <c r="M34" s="5"/>
      <c r="N34" s="3" t="s">
        <v>190</v>
      </c>
      <c r="O34">
        <v>0</v>
      </c>
      <c r="P34" s="3" t="s">
        <v>24</v>
      </c>
      <c r="Q34" s="3" t="s">
        <v>190</v>
      </c>
      <c r="R34" s="5">
        <v>46118</v>
      </c>
      <c r="S34" s="3" t="s">
        <v>190</v>
      </c>
      <c r="T34" s="3" t="s">
        <v>190</v>
      </c>
      <c r="U34">
        <v>0</v>
      </c>
      <c r="V34" s="3" t="s">
        <v>1901</v>
      </c>
      <c r="W34" s="3" t="s">
        <v>190</v>
      </c>
      <c r="X34" s="5">
        <v>46132</v>
      </c>
      <c r="Y34" s="3" t="s">
        <v>190</v>
      </c>
      <c r="Z34" s="3" t="s">
        <v>190</v>
      </c>
      <c r="AA34">
        <v>0</v>
      </c>
      <c r="AB34" s="3" t="s">
        <v>1895</v>
      </c>
      <c r="AC34" s="3" t="s">
        <v>190</v>
      </c>
      <c r="AD34" s="3" t="s">
        <v>190</v>
      </c>
      <c r="AE34" s="3" t="s">
        <v>190</v>
      </c>
      <c r="AF34" s="3" t="s">
        <v>190</v>
      </c>
    </row>
    <row r="35" spans="1:32" ht="16.5" customHeight="1">
      <c r="A35" s="4" t="s">
        <v>974</v>
      </c>
      <c r="B35" s="4" t="s">
        <v>2003</v>
      </c>
      <c r="C35" s="4" t="s">
        <v>2004</v>
      </c>
      <c r="D35" s="4" t="s">
        <v>25</v>
      </c>
      <c r="E35" s="4" t="s">
        <v>2005</v>
      </c>
      <c r="F35" s="4" t="s">
        <v>2006</v>
      </c>
      <c r="G35" s="4" t="s">
        <v>23</v>
      </c>
      <c r="H35" s="6">
        <v>46115</v>
      </c>
      <c r="I35" s="6"/>
      <c r="J35" s="4" t="s">
        <v>2007</v>
      </c>
      <c r="K35" s="4" t="s">
        <v>1892</v>
      </c>
      <c r="L35">
        <v>6</v>
      </c>
      <c r="M35" s="6"/>
      <c r="N35" s="4" t="s">
        <v>190</v>
      </c>
      <c r="O35">
        <v>0</v>
      </c>
      <c r="P35" s="4" t="s">
        <v>24</v>
      </c>
      <c r="Q35" s="4" t="s">
        <v>190</v>
      </c>
      <c r="R35" s="6">
        <v>46120</v>
      </c>
      <c r="S35" s="4" t="s">
        <v>190</v>
      </c>
      <c r="T35" s="4" t="s">
        <v>190</v>
      </c>
      <c r="U35">
        <v>0</v>
      </c>
      <c r="V35" s="4" t="s">
        <v>1894</v>
      </c>
      <c r="W35" s="4" t="s">
        <v>190</v>
      </c>
      <c r="X35" s="6">
        <v>46121</v>
      </c>
      <c r="Y35" s="4" t="s">
        <v>190</v>
      </c>
      <c r="Z35" s="4" t="s">
        <v>190</v>
      </c>
      <c r="AA35">
        <v>0</v>
      </c>
      <c r="AB35" s="4" t="s">
        <v>1895</v>
      </c>
      <c r="AC35" s="4" t="s">
        <v>190</v>
      </c>
      <c r="AD35" s="4" t="s">
        <v>190</v>
      </c>
      <c r="AE35" s="4" t="s">
        <v>190</v>
      </c>
      <c r="AF35" s="4" t="s">
        <v>190</v>
      </c>
    </row>
    <row r="36" spans="1:32" ht="16.5" customHeight="1">
      <c r="A36" s="3" t="s">
        <v>46</v>
      </c>
      <c r="B36" s="3" t="s">
        <v>2008</v>
      </c>
      <c r="C36" s="3" t="s">
        <v>2009</v>
      </c>
      <c r="D36" s="3" t="s">
        <v>25</v>
      </c>
      <c r="E36" s="3" t="s">
        <v>2010</v>
      </c>
      <c r="F36" s="3" t="s">
        <v>2011</v>
      </c>
      <c r="G36" s="3" t="s">
        <v>50</v>
      </c>
      <c r="H36" s="5">
        <v>46031</v>
      </c>
      <c r="I36" s="5">
        <v>46027.379618055558</v>
      </c>
      <c r="J36" s="3" t="s">
        <v>2012</v>
      </c>
      <c r="K36" s="3" t="s">
        <v>1892</v>
      </c>
      <c r="L36">
        <v>6</v>
      </c>
      <c r="M36" s="5">
        <v>46105</v>
      </c>
      <c r="N36" s="3" t="s">
        <v>1893</v>
      </c>
      <c r="O36">
        <v>0</v>
      </c>
      <c r="P36" s="3" t="s">
        <v>24</v>
      </c>
      <c r="Q36" s="3" t="s">
        <v>1893</v>
      </c>
      <c r="R36" s="5">
        <v>46118</v>
      </c>
      <c r="S36" s="3" t="s">
        <v>190</v>
      </c>
      <c r="T36" s="3" t="s">
        <v>190</v>
      </c>
      <c r="U36">
        <v>0</v>
      </c>
      <c r="V36" s="3" t="s">
        <v>2013</v>
      </c>
      <c r="W36" s="3" t="s">
        <v>190</v>
      </c>
      <c r="X36" s="5">
        <v>46132</v>
      </c>
      <c r="Y36" s="3" t="s">
        <v>190</v>
      </c>
      <c r="Z36" s="3" t="s">
        <v>190</v>
      </c>
      <c r="AA36">
        <v>0</v>
      </c>
      <c r="AB36" s="3" t="s">
        <v>1895</v>
      </c>
      <c r="AC36" s="3" t="s">
        <v>190</v>
      </c>
      <c r="AD36" s="3" t="s">
        <v>190</v>
      </c>
      <c r="AE36" s="3" t="s">
        <v>190</v>
      </c>
      <c r="AF36" s="3" t="s">
        <v>190</v>
      </c>
    </row>
    <row r="37" spans="1:32" ht="16.5" customHeight="1">
      <c r="A37" s="4" t="s">
        <v>46</v>
      </c>
      <c r="B37" s="4" t="s">
        <v>56</v>
      </c>
      <c r="C37" s="4" t="s">
        <v>56</v>
      </c>
      <c r="D37" s="4" t="s">
        <v>116</v>
      </c>
      <c r="E37" s="4" t="s">
        <v>2014</v>
      </c>
      <c r="F37" s="4" t="s">
        <v>2015</v>
      </c>
      <c r="G37" s="4" t="s">
        <v>49</v>
      </c>
      <c r="H37" s="6">
        <v>46031</v>
      </c>
      <c r="I37" s="6">
        <v>46031.388518518521</v>
      </c>
      <c r="J37" s="4" t="s">
        <v>2016</v>
      </c>
      <c r="K37" s="4" t="s">
        <v>1892</v>
      </c>
      <c r="L37">
        <v>6</v>
      </c>
      <c r="M37" s="6">
        <v>46106</v>
      </c>
      <c r="N37" s="4" t="s">
        <v>1893</v>
      </c>
      <c r="O37">
        <v>0</v>
      </c>
      <c r="P37" s="4" t="s">
        <v>24</v>
      </c>
      <c r="Q37" s="4" t="s">
        <v>1893</v>
      </c>
      <c r="R37" s="6">
        <v>46118</v>
      </c>
      <c r="S37" s="4" t="s">
        <v>190</v>
      </c>
      <c r="T37" s="4" t="s">
        <v>190</v>
      </c>
      <c r="U37">
        <v>0</v>
      </c>
      <c r="V37" s="4" t="s">
        <v>2013</v>
      </c>
      <c r="W37" s="4" t="s">
        <v>190</v>
      </c>
      <c r="X37" s="6">
        <v>46132</v>
      </c>
      <c r="Y37" s="4" t="s">
        <v>190</v>
      </c>
      <c r="Z37" s="4" t="s">
        <v>190</v>
      </c>
      <c r="AA37">
        <v>0</v>
      </c>
      <c r="AB37" s="4" t="s">
        <v>1895</v>
      </c>
      <c r="AC37" s="4" t="s">
        <v>190</v>
      </c>
      <c r="AD37" s="4" t="s">
        <v>190</v>
      </c>
      <c r="AE37" s="4" t="s">
        <v>190</v>
      </c>
      <c r="AF37" s="4" t="s">
        <v>190</v>
      </c>
    </row>
    <row r="38" spans="1:32" ht="16.5" customHeight="1">
      <c r="A38" s="3" t="s">
        <v>19</v>
      </c>
      <c r="B38" s="3" t="s">
        <v>2017</v>
      </c>
      <c r="C38" s="3" t="s">
        <v>2018</v>
      </c>
      <c r="D38" s="3" t="s">
        <v>25</v>
      </c>
      <c r="E38" s="3" t="s">
        <v>2019</v>
      </c>
      <c r="F38" s="3" t="s">
        <v>2020</v>
      </c>
      <c r="G38" s="3" t="s">
        <v>50</v>
      </c>
      <c r="H38" s="5">
        <v>46059</v>
      </c>
      <c r="I38" s="5">
        <v>46059</v>
      </c>
      <c r="J38" s="3" t="s">
        <v>2021</v>
      </c>
      <c r="K38" s="3" t="s">
        <v>1892</v>
      </c>
      <c r="L38">
        <v>6</v>
      </c>
      <c r="M38" s="5"/>
      <c r="N38" s="3" t="s">
        <v>190</v>
      </c>
      <c r="O38">
        <v>0</v>
      </c>
      <c r="P38" s="3" t="s">
        <v>24</v>
      </c>
      <c r="Q38" s="3" t="s">
        <v>190</v>
      </c>
      <c r="R38" s="5">
        <v>46118</v>
      </c>
      <c r="S38" s="3" t="s">
        <v>190</v>
      </c>
      <c r="T38" s="3" t="s">
        <v>190</v>
      </c>
      <c r="U38">
        <v>0</v>
      </c>
      <c r="V38" s="3" t="s">
        <v>1901</v>
      </c>
      <c r="W38" s="3" t="s">
        <v>190</v>
      </c>
      <c r="X38" s="5">
        <v>46132</v>
      </c>
      <c r="Y38" s="3" t="s">
        <v>190</v>
      </c>
      <c r="Z38" s="3" t="s">
        <v>190</v>
      </c>
      <c r="AA38">
        <v>0</v>
      </c>
      <c r="AB38" s="3" t="s">
        <v>1895</v>
      </c>
      <c r="AC38" s="3" t="s">
        <v>190</v>
      </c>
      <c r="AD38" s="3" t="s">
        <v>190</v>
      </c>
      <c r="AE38" s="3" t="s">
        <v>190</v>
      </c>
      <c r="AF38" s="3" t="s">
        <v>190</v>
      </c>
    </row>
    <row r="39" spans="1:32" ht="16.5" customHeight="1">
      <c r="A39" s="4" t="s">
        <v>19</v>
      </c>
      <c r="B39" s="4" t="s">
        <v>2017</v>
      </c>
      <c r="C39" s="4" t="s">
        <v>2018</v>
      </c>
      <c r="D39" s="4" t="s">
        <v>25</v>
      </c>
      <c r="E39" s="4" t="s">
        <v>2022</v>
      </c>
      <c r="F39" s="4" t="s">
        <v>2023</v>
      </c>
      <c r="G39" s="4" t="s">
        <v>50</v>
      </c>
      <c r="H39" s="6">
        <v>46059</v>
      </c>
      <c r="I39" s="6">
        <v>46059</v>
      </c>
      <c r="J39" s="4" t="s">
        <v>2024</v>
      </c>
      <c r="K39" s="4" t="s">
        <v>1892</v>
      </c>
      <c r="L39">
        <v>6</v>
      </c>
      <c r="M39" s="6"/>
      <c r="N39" s="4" t="s">
        <v>190</v>
      </c>
      <c r="O39">
        <v>0</v>
      </c>
      <c r="P39" s="4" t="s">
        <v>24</v>
      </c>
      <c r="Q39" s="4" t="s">
        <v>190</v>
      </c>
      <c r="R39" s="6">
        <v>46118</v>
      </c>
      <c r="S39" s="4" t="s">
        <v>190</v>
      </c>
      <c r="T39" s="4" t="s">
        <v>190</v>
      </c>
      <c r="U39">
        <v>0</v>
      </c>
      <c r="V39" s="4" t="s">
        <v>1901</v>
      </c>
      <c r="W39" s="4" t="s">
        <v>190</v>
      </c>
      <c r="X39" s="6">
        <v>46132</v>
      </c>
      <c r="Y39" s="4" t="s">
        <v>190</v>
      </c>
      <c r="Z39" s="4" t="s">
        <v>190</v>
      </c>
      <c r="AA39">
        <v>0</v>
      </c>
      <c r="AB39" s="4" t="s">
        <v>1895</v>
      </c>
      <c r="AC39" s="4" t="s">
        <v>190</v>
      </c>
      <c r="AD39" s="4" t="s">
        <v>190</v>
      </c>
      <c r="AE39" s="4" t="s">
        <v>190</v>
      </c>
      <c r="AF39" s="4" t="s">
        <v>190</v>
      </c>
    </row>
    <row r="40" spans="1:32" ht="16.5" customHeight="1">
      <c r="A40" s="3" t="s">
        <v>19</v>
      </c>
      <c r="B40" s="3" t="s">
        <v>2017</v>
      </c>
      <c r="C40" s="3" t="s">
        <v>2025</v>
      </c>
      <c r="D40" s="3" t="s">
        <v>25</v>
      </c>
      <c r="E40" s="3" t="s">
        <v>2026</v>
      </c>
      <c r="F40" s="3" t="s">
        <v>2027</v>
      </c>
      <c r="G40" s="3" t="s">
        <v>23</v>
      </c>
      <c r="H40" s="5">
        <v>46059</v>
      </c>
      <c r="I40" s="5">
        <v>46059</v>
      </c>
      <c r="J40" s="3" t="s">
        <v>2028</v>
      </c>
      <c r="K40" s="3" t="s">
        <v>1892</v>
      </c>
      <c r="L40">
        <v>6</v>
      </c>
      <c r="M40" s="5"/>
      <c r="N40" s="3" t="s">
        <v>190</v>
      </c>
      <c r="O40">
        <v>0</v>
      </c>
      <c r="P40" s="3" t="s">
        <v>24</v>
      </c>
      <c r="Q40" s="3" t="s">
        <v>190</v>
      </c>
      <c r="R40" s="5">
        <v>46118</v>
      </c>
      <c r="S40" s="3" t="s">
        <v>190</v>
      </c>
      <c r="T40" s="3" t="s">
        <v>190</v>
      </c>
      <c r="U40">
        <v>0</v>
      </c>
      <c r="V40" s="3" t="s">
        <v>1901</v>
      </c>
      <c r="W40" s="3" t="s">
        <v>190</v>
      </c>
      <c r="X40" s="5">
        <v>46132</v>
      </c>
      <c r="Y40" s="3" t="s">
        <v>190</v>
      </c>
      <c r="Z40" s="3" t="s">
        <v>190</v>
      </c>
      <c r="AA40">
        <v>0</v>
      </c>
      <c r="AB40" s="3" t="s">
        <v>1895</v>
      </c>
      <c r="AC40" s="3" t="s">
        <v>190</v>
      </c>
      <c r="AD40" s="3" t="s">
        <v>190</v>
      </c>
      <c r="AE40" s="3" t="s">
        <v>190</v>
      </c>
      <c r="AF40" s="3" t="s">
        <v>190</v>
      </c>
    </row>
    <row r="41" spans="1:32" ht="16.5" customHeight="1">
      <c r="A41" s="4" t="s">
        <v>19</v>
      </c>
      <c r="B41" s="4" t="s">
        <v>2017</v>
      </c>
      <c r="C41" s="4" t="s">
        <v>2029</v>
      </c>
      <c r="D41" s="4" t="s">
        <v>25</v>
      </c>
      <c r="E41" s="4" t="s">
        <v>2030</v>
      </c>
      <c r="F41" s="4" t="s">
        <v>2031</v>
      </c>
      <c r="G41" s="4" t="s">
        <v>50</v>
      </c>
      <c r="H41" s="6">
        <v>46066</v>
      </c>
      <c r="I41" s="6">
        <v>46059</v>
      </c>
      <c r="J41" s="4" t="s">
        <v>2032</v>
      </c>
      <c r="K41" s="4" t="s">
        <v>1892</v>
      </c>
      <c r="L41">
        <v>6</v>
      </c>
      <c r="M41" s="6"/>
      <c r="N41" s="4" t="s">
        <v>190</v>
      </c>
      <c r="O41">
        <v>0</v>
      </c>
      <c r="P41" s="4" t="s">
        <v>24</v>
      </c>
      <c r="Q41" s="4" t="s">
        <v>190</v>
      </c>
      <c r="R41" s="6">
        <v>46118</v>
      </c>
      <c r="S41" s="4" t="s">
        <v>190</v>
      </c>
      <c r="T41" s="4" t="s">
        <v>190</v>
      </c>
      <c r="U41">
        <v>0</v>
      </c>
      <c r="V41" s="4" t="s">
        <v>1901</v>
      </c>
      <c r="W41" s="4" t="s">
        <v>190</v>
      </c>
      <c r="X41" s="6">
        <v>46132</v>
      </c>
      <c r="Y41" s="4" t="s">
        <v>190</v>
      </c>
      <c r="Z41" s="4" t="s">
        <v>190</v>
      </c>
      <c r="AA41">
        <v>0</v>
      </c>
      <c r="AB41" s="4" t="s">
        <v>1895</v>
      </c>
      <c r="AC41" s="4" t="s">
        <v>190</v>
      </c>
      <c r="AD41" s="4" t="s">
        <v>190</v>
      </c>
      <c r="AE41" s="4" t="s">
        <v>190</v>
      </c>
      <c r="AF41" s="4" t="s">
        <v>190</v>
      </c>
    </row>
    <row r="42" spans="1:32" ht="16.5" customHeight="1">
      <c r="A42" s="3" t="s">
        <v>19</v>
      </c>
      <c r="B42" s="3" t="s">
        <v>2017</v>
      </c>
      <c r="C42" s="3" t="s">
        <v>2029</v>
      </c>
      <c r="D42" s="3" t="s">
        <v>25</v>
      </c>
      <c r="E42" s="3" t="s">
        <v>2033</v>
      </c>
      <c r="F42" s="3" t="s">
        <v>2034</v>
      </c>
      <c r="G42" s="3" t="s">
        <v>23</v>
      </c>
      <c r="H42" s="5">
        <v>46066</v>
      </c>
      <c r="I42" s="5">
        <v>46059</v>
      </c>
      <c r="J42" s="3" t="s">
        <v>2035</v>
      </c>
      <c r="K42" s="3" t="s">
        <v>1892</v>
      </c>
      <c r="L42">
        <v>6</v>
      </c>
      <c r="M42" s="5"/>
      <c r="N42" s="3" t="s">
        <v>190</v>
      </c>
      <c r="O42">
        <v>0</v>
      </c>
      <c r="P42" s="3" t="s">
        <v>24</v>
      </c>
      <c r="Q42" s="3" t="s">
        <v>190</v>
      </c>
      <c r="R42" s="5">
        <v>46118</v>
      </c>
      <c r="S42" s="3" t="s">
        <v>190</v>
      </c>
      <c r="T42" s="3" t="s">
        <v>190</v>
      </c>
      <c r="U42">
        <v>0</v>
      </c>
      <c r="V42" s="3" t="s">
        <v>1901</v>
      </c>
      <c r="W42" s="3" t="s">
        <v>190</v>
      </c>
      <c r="X42" s="5">
        <v>46132</v>
      </c>
      <c r="Y42" s="3" t="s">
        <v>190</v>
      </c>
      <c r="Z42" s="3" t="s">
        <v>190</v>
      </c>
      <c r="AA42">
        <v>0</v>
      </c>
      <c r="AB42" s="3" t="s">
        <v>1895</v>
      </c>
      <c r="AC42" s="3" t="s">
        <v>190</v>
      </c>
      <c r="AD42" s="3" t="s">
        <v>190</v>
      </c>
      <c r="AE42" s="3" t="s">
        <v>190</v>
      </c>
      <c r="AF42" s="3" t="s">
        <v>190</v>
      </c>
    </row>
    <row r="43" spans="1:32" ht="16.5" customHeight="1">
      <c r="A43" s="4" t="s">
        <v>19</v>
      </c>
      <c r="B43" s="4" t="s">
        <v>2017</v>
      </c>
      <c r="C43" s="4" t="s">
        <v>2029</v>
      </c>
      <c r="D43" s="4" t="s">
        <v>25</v>
      </c>
      <c r="E43" s="4" t="s">
        <v>2036</v>
      </c>
      <c r="F43" s="4" t="s">
        <v>2037</v>
      </c>
      <c r="G43" s="4" t="s">
        <v>23</v>
      </c>
      <c r="H43" s="6">
        <v>46066</v>
      </c>
      <c r="I43" s="6">
        <v>46059</v>
      </c>
      <c r="J43" s="4" t="s">
        <v>2038</v>
      </c>
      <c r="K43" s="4" t="s">
        <v>1892</v>
      </c>
      <c r="L43">
        <v>6</v>
      </c>
      <c r="M43" s="6"/>
      <c r="N43" s="4" t="s">
        <v>190</v>
      </c>
      <c r="O43">
        <v>0</v>
      </c>
      <c r="P43" s="4" t="s">
        <v>24</v>
      </c>
      <c r="Q43" s="4" t="s">
        <v>190</v>
      </c>
      <c r="R43" s="6">
        <v>46118</v>
      </c>
      <c r="S43" s="4" t="s">
        <v>190</v>
      </c>
      <c r="T43" s="4" t="s">
        <v>190</v>
      </c>
      <c r="U43">
        <v>0</v>
      </c>
      <c r="V43" s="4" t="s">
        <v>1901</v>
      </c>
      <c r="W43" s="4" t="s">
        <v>190</v>
      </c>
      <c r="X43" s="6">
        <v>46132</v>
      </c>
      <c r="Y43" s="4" t="s">
        <v>190</v>
      </c>
      <c r="Z43" s="4" t="s">
        <v>190</v>
      </c>
      <c r="AA43">
        <v>0</v>
      </c>
      <c r="AB43" s="4" t="s">
        <v>1895</v>
      </c>
      <c r="AC43" s="4" t="s">
        <v>190</v>
      </c>
      <c r="AD43" s="4" t="s">
        <v>190</v>
      </c>
      <c r="AE43" s="4" t="s">
        <v>190</v>
      </c>
      <c r="AF43" s="4" t="s">
        <v>190</v>
      </c>
    </row>
    <row r="44" spans="1:32" ht="16.5" customHeight="1">
      <c r="A44" s="3" t="s">
        <v>19</v>
      </c>
      <c r="B44" s="3" t="s">
        <v>2017</v>
      </c>
      <c r="C44" s="3" t="s">
        <v>2029</v>
      </c>
      <c r="D44" s="3" t="s">
        <v>25</v>
      </c>
      <c r="E44" s="3" t="s">
        <v>2039</v>
      </c>
      <c r="F44" s="3" t="s">
        <v>2040</v>
      </c>
      <c r="G44" s="3" t="s">
        <v>50</v>
      </c>
      <c r="H44" s="5">
        <v>46077</v>
      </c>
      <c r="I44" s="5">
        <v>46080.570567129631</v>
      </c>
      <c r="J44" s="3" t="s">
        <v>2041</v>
      </c>
      <c r="K44" s="3" t="s">
        <v>1892</v>
      </c>
      <c r="L44">
        <v>6</v>
      </c>
      <c r="M44" s="5"/>
      <c r="N44" s="3" t="s">
        <v>190</v>
      </c>
      <c r="O44">
        <v>0</v>
      </c>
      <c r="P44" s="3" t="s">
        <v>24</v>
      </c>
      <c r="Q44" s="3" t="s">
        <v>190</v>
      </c>
      <c r="R44" s="5">
        <v>46118</v>
      </c>
      <c r="S44" s="3" t="s">
        <v>190</v>
      </c>
      <c r="T44" s="3" t="s">
        <v>190</v>
      </c>
      <c r="U44">
        <v>0</v>
      </c>
      <c r="V44" s="3" t="s">
        <v>1901</v>
      </c>
      <c r="W44" s="3" t="s">
        <v>190</v>
      </c>
      <c r="X44" s="5">
        <v>46132</v>
      </c>
      <c r="Y44" s="3" t="s">
        <v>190</v>
      </c>
      <c r="Z44" s="3" t="s">
        <v>190</v>
      </c>
      <c r="AA44">
        <v>0</v>
      </c>
      <c r="AB44" s="3" t="s">
        <v>1895</v>
      </c>
      <c r="AC44" s="3" t="s">
        <v>190</v>
      </c>
      <c r="AD44" s="3" t="s">
        <v>190</v>
      </c>
      <c r="AE44" s="3" t="s">
        <v>190</v>
      </c>
      <c r="AF44" s="3" t="s">
        <v>190</v>
      </c>
    </row>
    <row r="45" spans="1:32" ht="16.5" customHeight="1">
      <c r="A45" s="4" t="s">
        <v>19</v>
      </c>
      <c r="B45" s="4" t="s">
        <v>2017</v>
      </c>
      <c r="C45" s="4" t="s">
        <v>2029</v>
      </c>
      <c r="D45" s="4" t="s">
        <v>25</v>
      </c>
      <c r="E45" s="4" t="s">
        <v>2042</v>
      </c>
      <c r="F45" s="4" t="s">
        <v>2043</v>
      </c>
      <c r="G45" s="4" t="s">
        <v>50</v>
      </c>
      <c r="H45" s="6">
        <v>46077</v>
      </c>
      <c r="I45" s="6"/>
      <c r="J45" s="4" t="s">
        <v>2044</v>
      </c>
      <c r="K45" s="4" t="s">
        <v>1892</v>
      </c>
      <c r="L45">
        <v>6</v>
      </c>
      <c r="M45" s="6"/>
      <c r="N45" s="4" t="s">
        <v>190</v>
      </c>
      <c r="O45">
        <v>0</v>
      </c>
      <c r="P45" s="4" t="s">
        <v>24</v>
      </c>
      <c r="Q45" s="4" t="s">
        <v>190</v>
      </c>
      <c r="R45" s="6">
        <v>46118</v>
      </c>
      <c r="S45" s="4" t="s">
        <v>190</v>
      </c>
      <c r="T45" s="4" t="s">
        <v>190</v>
      </c>
      <c r="U45">
        <v>0</v>
      </c>
      <c r="V45" s="4" t="s">
        <v>1901</v>
      </c>
      <c r="W45" s="4" t="s">
        <v>190</v>
      </c>
      <c r="X45" s="6">
        <v>46132</v>
      </c>
      <c r="Y45" s="4" t="s">
        <v>190</v>
      </c>
      <c r="Z45" s="4" t="s">
        <v>190</v>
      </c>
      <c r="AA45">
        <v>0</v>
      </c>
      <c r="AB45" s="4" t="s">
        <v>1895</v>
      </c>
      <c r="AC45" s="4" t="s">
        <v>190</v>
      </c>
      <c r="AD45" s="4" t="s">
        <v>190</v>
      </c>
      <c r="AE45" s="4" t="s">
        <v>190</v>
      </c>
      <c r="AF45" s="4" t="s">
        <v>190</v>
      </c>
    </row>
    <row r="46" spans="1:32" ht="16.5" customHeight="1">
      <c r="A46" s="3" t="s">
        <v>19</v>
      </c>
      <c r="B46" s="3" t="s">
        <v>2045</v>
      </c>
      <c r="C46" s="3" t="s">
        <v>2046</v>
      </c>
      <c r="D46" s="3" t="s">
        <v>25</v>
      </c>
      <c r="E46" s="3" t="s">
        <v>2047</v>
      </c>
      <c r="F46" s="3" t="s">
        <v>2048</v>
      </c>
      <c r="G46" s="3" t="s">
        <v>23</v>
      </c>
      <c r="H46" s="5">
        <v>46031</v>
      </c>
      <c r="I46" s="5">
        <v>46059</v>
      </c>
      <c r="J46" s="3" t="s">
        <v>2049</v>
      </c>
      <c r="K46" s="3" t="s">
        <v>1892</v>
      </c>
      <c r="L46">
        <v>6</v>
      </c>
      <c r="M46" s="5">
        <v>46106</v>
      </c>
      <c r="N46" s="3" t="s">
        <v>1893</v>
      </c>
      <c r="O46">
        <v>0</v>
      </c>
      <c r="P46" s="3" t="s">
        <v>24</v>
      </c>
      <c r="Q46" s="3" t="s">
        <v>1893</v>
      </c>
      <c r="R46" s="5">
        <v>46118</v>
      </c>
      <c r="S46" s="3" t="s">
        <v>190</v>
      </c>
      <c r="T46" s="3" t="s">
        <v>190</v>
      </c>
      <c r="U46">
        <v>0</v>
      </c>
      <c r="V46" s="3" t="s">
        <v>1901</v>
      </c>
      <c r="W46" s="3" t="s">
        <v>190</v>
      </c>
      <c r="X46" s="5">
        <v>46132</v>
      </c>
      <c r="Y46" s="3" t="s">
        <v>190</v>
      </c>
      <c r="Z46" s="3" t="s">
        <v>190</v>
      </c>
      <c r="AA46">
        <v>0</v>
      </c>
      <c r="AB46" s="3" t="s">
        <v>1895</v>
      </c>
      <c r="AC46" s="3" t="s">
        <v>190</v>
      </c>
      <c r="AD46" s="3" t="s">
        <v>190</v>
      </c>
      <c r="AE46" s="3" t="s">
        <v>190</v>
      </c>
      <c r="AF46" s="3" t="s">
        <v>190</v>
      </c>
    </row>
    <row r="47" spans="1:32" ht="16.5" customHeight="1">
      <c r="A47" s="4" t="s">
        <v>19</v>
      </c>
      <c r="B47" s="4" t="s">
        <v>2045</v>
      </c>
      <c r="C47" s="4" t="s">
        <v>2046</v>
      </c>
      <c r="D47" s="4" t="s">
        <v>25</v>
      </c>
      <c r="E47" s="4" t="s">
        <v>2050</v>
      </c>
      <c r="F47" s="4" t="s">
        <v>2051</v>
      </c>
      <c r="G47" s="4" t="s">
        <v>23</v>
      </c>
      <c r="H47" s="6">
        <v>46031</v>
      </c>
      <c r="I47" s="6">
        <v>46059</v>
      </c>
      <c r="J47" s="4" t="s">
        <v>2052</v>
      </c>
      <c r="K47" s="4" t="s">
        <v>1892</v>
      </c>
      <c r="L47">
        <v>6</v>
      </c>
      <c r="M47" s="6">
        <v>46106</v>
      </c>
      <c r="N47" s="4" t="s">
        <v>1893</v>
      </c>
      <c r="O47">
        <v>0</v>
      </c>
      <c r="P47" s="4" t="s">
        <v>24</v>
      </c>
      <c r="Q47" s="4" t="s">
        <v>1893</v>
      </c>
      <c r="R47" s="6">
        <v>46118</v>
      </c>
      <c r="S47" s="4" t="s">
        <v>190</v>
      </c>
      <c r="T47" s="4" t="s">
        <v>190</v>
      </c>
      <c r="U47">
        <v>0</v>
      </c>
      <c r="V47" s="4" t="s">
        <v>1901</v>
      </c>
      <c r="W47" s="4" t="s">
        <v>190</v>
      </c>
      <c r="X47" s="6">
        <v>46132</v>
      </c>
      <c r="Y47" s="4" t="s">
        <v>190</v>
      </c>
      <c r="Z47" s="4" t="s">
        <v>190</v>
      </c>
      <c r="AA47">
        <v>0</v>
      </c>
      <c r="AB47" s="4" t="s">
        <v>1895</v>
      </c>
      <c r="AC47" s="4" t="s">
        <v>190</v>
      </c>
      <c r="AD47" s="4" t="s">
        <v>190</v>
      </c>
      <c r="AE47" s="4" t="s">
        <v>190</v>
      </c>
      <c r="AF47" s="4" t="s">
        <v>190</v>
      </c>
    </row>
    <row r="48" spans="1:32" ht="16.5" customHeight="1">
      <c r="A48" s="3" t="s">
        <v>19</v>
      </c>
      <c r="B48" s="3" t="s">
        <v>2045</v>
      </c>
      <c r="C48" s="3" t="s">
        <v>2046</v>
      </c>
      <c r="D48" s="3" t="s">
        <v>25</v>
      </c>
      <c r="E48" s="3" t="s">
        <v>2053</v>
      </c>
      <c r="F48" s="3" t="s">
        <v>2054</v>
      </c>
      <c r="G48" s="3" t="s">
        <v>50</v>
      </c>
      <c r="H48" s="5">
        <v>46031</v>
      </c>
      <c r="I48" s="5">
        <v>46059</v>
      </c>
      <c r="J48" s="3" t="s">
        <v>2055</v>
      </c>
      <c r="K48" s="3" t="s">
        <v>1892</v>
      </c>
      <c r="L48">
        <v>6</v>
      </c>
      <c r="M48" s="5">
        <v>46106</v>
      </c>
      <c r="N48" s="3" t="s">
        <v>1893</v>
      </c>
      <c r="O48">
        <v>0</v>
      </c>
      <c r="P48" s="3" t="s">
        <v>24</v>
      </c>
      <c r="Q48" s="3" t="s">
        <v>1893</v>
      </c>
      <c r="R48" s="5">
        <v>46118</v>
      </c>
      <c r="S48" s="3" t="s">
        <v>190</v>
      </c>
      <c r="T48" s="3" t="s">
        <v>190</v>
      </c>
      <c r="U48">
        <v>0</v>
      </c>
      <c r="V48" s="3" t="s">
        <v>1901</v>
      </c>
      <c r="W48" s="3" t="s">
        <v>190</v>
      </c>
      <c r="X48" s="5">
        <v>46132</v>
      </c>
      <c r="Y48" s="3" t="s">
        <v>190</v>
      </c>
      <c r="Z48" s="3" t="s">
        <v>190</v>
      </c>
      <c r="AA48">
        <v>0</v>
      </c>
      <c r="AB48" s="3" t="s">
        <v>1895</v>
      </c>
      <c r="AC48" s="3" t="s">
        <v>190</v>
      </c>
      <c r="AD48" s="3" t="s">
        <v>190</v>
      </c>
      <c r="AE48" s="3" t="s">
        <v>190</v>
      </c>
      <c r="AF48" s="3" t="s">
        <v>190</v>
      </c>
    </row>
    <row r="49" spans="1:32" ht="16.5" customHeight="1">
      <c r="A49" s="4" t="s">
        <v>19</v>
      </c>
      <c r="B49" s="4" t="s">
        <v>2045</v>
      </c>
      <c r="C49" s="4" t="s">
        <v>2056</v>
      </c>
      <c r="D49" s="4" t="s">
        <v>25</v>
      </c>
      <c r="E49" s="4" t="s">
        <v>2057</v>
      </c>
      <c r="F49" s="4" t="s">
        <v>2058</v>
      </c>
      <c r="G49" s="4" t="s">
        <v>23</v>
      </c>
      <c r="H49" s="6">
        <v>46038</v>
      </c>
      <c r="I49" s="6">
        <v>46059</v>
      </c>
      <c r="J49" s="4" t="s">
        <v>2059</v>
      </c>
      <c r="K49" s="4" t="s">
        <v>1892</v>
      </c>
      <c r="L49">
        <v>6</v>
      </c>
      <c r="M49" s="6">
        <v>46106</v>
      </c>
      <c r="N49" s="4" t="s">
        <v>1893</v>
      </c>
      <c r="O49">
        <v>0</v>
      </c>
      <c r="P49" s="4" t="s">
        <v>24</v>
      </c>
      <c r="Q49" s="4" t="s">
        <v>1893</v>
      </c>
      <c r="R49" s="6">
        <v>46118</v>
      </c>
      <c r="S49" s="4" t="s">
        <v>190</v>
      </c>
      <c r="T49" s="4" t="s">
        <v>190</v>
      </c>
      <c r="U49">
        <v>0</v>
      </c>
      <c r="V49" s="4" t="s">
        <v>1901</v>
      </c>
      <c r="W49" s="4" t="s">
        <v>190</v>
      </c>
      <c r="X49" s="6">
        <v>46132</v>
      </c>
      <c r="Y49" s="4" t="s">
        <v>190</v>
      </c>
      <c r="Z49" s="4" t="s">
        <v>190</v>
      </c>
      <c r="AA49">
        <v>0</v>
      </c>
      <c r="AB49" s="4" t="s">
        <v>1895</v>
      </c>
      <c r="AC49" s="4" t="s">
        <v>190</v>
      </c>
      <c r="AD49" s="4" t="s">
        <v>190</v>
      </c>
      <c r="AE49" s="4" t="s">
        <v>190</v>
      </c>
      <c r="AF49" s="4" t="s">
        <v>190</v>
      </c>
    </row>
    <row r="50" spans="1:32" ht="16.5" customHeight="1">
      <c r="A50" s="3" t="s">
        <v>19</v>
      </c>
      <c r="B50" s="3" t="s">
        <v>2045</v>
      </c>
      <c r="C50" s="3" t="s">
        <v>2056</v>
      </c>
      <c r="D50" s="3" t="s">
        <v>25</v>
      </c>
      <c r="E50" s="3" t="s">
        <v>2060</v>
      </c>
      <c r="F50" s="3" t="s">
        <v>2061</v>
      </c>
      <c r="G50" s="3" t="s">
        <v>23</v>
      </c>
      <c r="H50" s="5">
        <v>46038</v>
      </c>
      <c r="I50" s="5">
        <v>46059</v>
      </c>
      <c r="J50" s="3" t="s">
        <v>2062</v>
      </c>
      <c r="K50" s="3" t="s">
        <v>1892</v>
      </c>
      <c r="L50">
        <v>6</v>
      </c>
      <c r="M50" s="5">
        <v>46106</v>
      </c>
      <c r="N50" s="3" t="s">
        <v>1893</v>
      </c>
      <c r="O50">
        <v>0</v>
      </c>
      <c r="P50" s="3" t="s">
        <v>24</v>
      </c>
      <c r="Q50" s="3" t="s">
        <v>1893</v>
      </c>
      <c r="R50" s="5">
        <v>46118</v>
      </c>
      <c r="S50" s="3" t="s">
        <v>190</v>
      </c>
      <c r="T50" s="3" t="s">
        <v>190</v>
      </c>
      <c r="U50">
        <v>0</v>
      </c>
      <c r="V50" s="3" t="s">
        <v>1901</v>
      </c>
      <c r="W50" s="3" t="s">
        <v>190</v>
      </c>
      <c r="X50" s="5">
        <v>46132</v>
      </c>
      <c r="Y50" s="3" t="s">
        <v>190</v>
      </c>
      <c r="Z50" s="3" t="s">
        <v>190</v>
      </c>
      <c r="AA50">
        <v>0</v>
      </c>
      <c r="AB50" s="3" t="s">
        <v>1895</v>
      </c>
      <c r="AC50" s="3" t="s">
        <v>190</v>
      </c>
      <c r="AD50" s="3" t="s">
        <v>190</v>
      </c>
      <c r="AE50" s="3" t="s">
        <v>190</v>
      </c>
      <c r="AF50" s="3" t="s">
        <v>190</v>
      </c>
    </row>
    <row r="51" spans="1:32" ht="16.5" customHeight="1">
      <c r="A51" s="4" t="s">
        <v>19</v>
      </c>
      <c r="B51" s="4" t="s">
        <v>2045</v>
      </c>
      <c r="C51" s="4" t="s">
        <v>2056</v>
      </c>
      <c r="D51" s="4" t="s">
        <v>25</v>
      </c>
      <c r="E51" s="4" t="s">
        <v>2063</v>
      </c>
      <c r="F51" s="4" t="s">
        <v>2064</v>
      </c>
      <c r="G51" s="4" t="s">
        <v>50</v>
      </c>
      <c r="H51" s="6">
        <v>46038</v>
      </c>
      <c r="I51" s="6">
        <v>46059</v>
      </c>
      <c r="J51" s="4" t="s">
        <v>2065</v>
      </c>
      <c r="K51" s="4" t="s">
        <v>1892</v>
      </c>
      <c r="L51">
        <v>6</v>
      </c>
      <c r="M51" s="6">
        <v>46106</v>
      </c>
      <c r="N51" s="4" t="s">
        <v>1893</v>
      </c>
      <c r="O51">
        <v>0</v>
      </c>
      <c r="P51" s="4" t="s">
        <v>24</v>
      </c>
      <c r="Q51" s="4" t="s">
        <v>1893</v>
      </c>
      <c r="R51" s="6">
        <v>46118</v>
      </c>
      <c r="S51" s="4" t="s">
        <v>190</v>
      </c>
      <c r="T51" s="4" t="s">
        <v>190</v>
      </c>
      <c r="U51">
        <v>0</v>
      </c>
      <c r="V51" s="4" t="s">
        <v>1901</v>
      </c>
      <c r="W51" s="4" t="s">
        <v>190</v>
      </c>
      <c r="X51" s="6">
        <v>46132</v>
      </c>
      <c r="Y51" s="4" t="s">
        <v>190</v>
      </c>
      <c r="Z51" s="4" t="s">
        <v>190</v>
      </c>
      <c r="AA51">
        <v>0</v>
      </c>
      <c r="AB51" s="4" t="s">
        <v>1895</v>
      </c>
      <c r="AC51" s="4" t="s">
        <v>190</v>
      </c>
      <c r="AD51" s="4" t="s">
        <v>190</v>
      </c>
      <c r="AE51" s="4" t="s">
        <v>190</v>
      </c>
      <c r="AF51" s="4" t="s">
        <v>190</v>
      </c>
    </row>
    <row r="52" spans="1:32" ht="16.5" customHeight="1">
      <c r="A52" s="3" t="s">
        <v>19</v>
      </c>
      <c r="B52" s="3" t="s">
        <v>2045</v>
      </c>
      <c r="C52" s="3" t="s">
        <v>2056</v>
      </c>
      <c r="D52" s="3" t="s">
        <v>25</v>
      </c>
      <c r="E52" s="3" t="s">
        <v>2066</v>
      </c>
      <c r="F52" s="3" t="s">
        <v>2067</v>
      </c>
      <c r="G52" s="3" t="s">
        <v>50</v>
      </c>
      <c r="H52" s="5">
        <v>46038</v>
      </c>
      <c r="I52" s="5">
        <v>46059</v>
      </c>
      <c r="J52" s="3" t="s">
        <v>2068</v>
      </c>
      <c r="K52" s="3" t="s">
        <v>1892</v>
      </c>
      <c r="L52">
        <v>6</v>
      </c>
      <c r="M52" s="5">
        <v>46106</v>
      </c>
      <c r="N52" s="3" t="s">
        <v>1893</v>
      </c>
      <c r="O52">
        <v>0</v>
      </c>
      <c r="P52" s="3" t="s">
        <v>24</v>
      </c>
      <c r="Q52" s="3" t="s">
        <v>1893</v>
      </c>
      <c r="R52" s="5">
        <v>46118</v>
      </c>
      <c r="S52" s="3" t="s">
        <v>190</v>
      </c>
      <c r="T52" s="3" t="s">
        <v>190</v>
      </c>
      <c r="U52">
        <v>0</v>
      </c>
      <c r="V52" s="3" t="s">
        <v>1901</v>
      </c>
      <c r="W52" s="3" t="s">
        <v>190</v>
      </c>
      <c r="X52" s="5">
        <v>46132</v>
      </c>
      <c r="Y52" s="3" t="s">
        <v>190</v>
      </c>
      <c r="Z52" s="3" t="s">
        <v>190</v>
      </c>
      <c r="AA52">
        <v>0</v>
      </c>
      <c r="AB52" s="3" t="s">
        <v>1895</v>
      </c>
      <c r="AC52" s="3" t="s">
        <v>190</v>
      </c>
      <c r="AD52" s="3" t="s">
        <v>190</v>
      </c>
      <c r="AE52" s="3" t="s">
        <v>190</v>
      </c>
      <c r="AF52" s="3" t="s">
        <v>190</v>
      </c>
    </row>
    <row r="53" spans="1:32" ht="16.5" customHeight="1">
      <c r="A53" s="4" t="s">
        <v>19</v>
      </c>
      <c r="B53" s="4" t="s">
        <v>2045</v>
      </c>
      <c r="C53" s="4" t="s">
        <v>2069</v>
      </c>
      <c r="D53" s="4" t="s">
        <v>25</v>
      </c>
      <c r="E53" s="4" t="s">
        <v>2070</v>
      </c>
      <c r="F53" s="4" t="s">
        <v>2071</v>
      </c>
      <c r="G53" s="4" t="s">
        <v>23</v>
      </c>
      <c r="H53" s="6">
        <v>46045</v>
      </c>
      <c r="I53" s="6">
        <v>46059</v>
      </c>
      <c r="J53" s="4" t="s">
        <v>42</v>
      </c>
      <c r="K53" s="4" t="s">
        <v>1892</v>
      </c>
      <c r="L53">
        <v>6</v>
      </c>
      <c r="M53" s="6">
        <v>46106</v>
      </c>
      <c r="N53" s="4" t="s">
        <v>1900</v>
      </c>
      <c r="O53">
        <v>0</v>
      </c>
      <c r="P53" s="4" t="s">
        <v>24</v>
      </c>
      <c r="Q53" s="4" t="s">
        <v>1893</v>
      </c>
      <c r="R53" s="6">
        <v>46118</v>
      </c>
      <c r="S53" s="4" t="s">
        <v>190</v>
      </c>
      <c r="T53" s="4" t="s">
        <v>190</v>
      </c>
      <c r="U53">
        <v>0</v>
      </c>
      <c r="V53" s="4" t="s">
        <v>1901</v>
      </c>
      <c r="W53" s="4" t="s">
        <v>190</v>
      </c>
      <c r="X53" s="6">
        <v>46132</v>
      </c>
      <c r="Y53" s="4" t="s">
        <v>190</v>
      </c>
      <c r="Z53" s="4" t="s">
        <v>190</v>
      </c>
      <c r="AA53">
        <v>0</v>
      </c>
      <c r="AB53" s="4" t="s">
        <v>1895</v>
      </c>
      <c r="AC53" s="4" t="s">
        <v>190</v>
      </c>
      <c r="AD53" s="4" t="s">
        <v>190</v>
      </c>
      <c r="AE53" s="4" t="s">
        <v>190</v>
      </c>
      <c r="AF53" s="4" t="s">
        <v>190</v>
      </c>
    </row>
    <row r="54" spans="1:32" ht="16.5" customHeight="1">
      <c r="A54" s="3" t="s">
        <v>19</v>
      </c>
      <c r="B54" s="3" t="s">
        <v>2045</v>
      </c>
      <c r="C54" s="3" t="s">
        <v>2069</v>
      </c>
      <c r="D54" s="3" t="s">
        <v>25</v>
      </c>
      <c r="E54" s="3" t="s">
        <v>2072</v>
      </c>
      <c r="F54" s="3" t="s">
        <v>2073</v>
      </c>
      <c r="G54" s="3" t="s">
        <v>23</v>
      </c>
      <c r="H54" s="5">
        <v>46045</v>
      </c>
      <c r="I54" s="5">
        <v>46059</v>
      </c>
      <c r="J54" s="3" t="s">
        <v>2074</v>
      </c>
      <c r="K54" s="3" t="s">
        <v>1892</v>
      </c>
      <c r="L54">
        <v>6</v>
      </c>
      <c r="M54" s="5">
        <v>46106</v>
      </c>
      <c r="N54" s="3" t="s">
        <v>1893</v>
      </c>
      <c r="O54">
        <v>0</v>
      </c>
      <c r="P54" s="3" t="s">
        <v>24</v>
      </c>
      <c r="Q54" s="3" t="s">
        <v>1893</v>
      </c>
      <c r="R54" s="5">
        <v>46118</v>
      </c>
      <c r="S54" s="3" t="s">
        <v>190</v>
      </c>
      <c r="T54" s="3" t="s">
        <v>190</v>
      </c>
      <c r="U54">
        <v>0</v>
      </c>
      <c r="V54" s="3" t="s">
        <v>1901</v>
      </c>
      <c r="W54" s="3" t="s">
        <v>190</v>
      </c>
      <c r="X54" s="5">
        <v>46132</v>
      </c>
      <c r="Y54" s="3" t="s">
        <v>190</v>
      </c>
      <c r="Z54" s="3" t="s">
        <v>190</v>
      </c>
      <c r="AA54">
        <v>0</v>
      </c>
      <c r="AB54" s="3" t="s">
        <v>1895</v>
      </c>
      <c r="AC54" s="3" t="s">
        <v>190</v>
      </c>
      <c r="AD54" s="3" t="s">
        <v>190</v>
      </c>
      <c r="AE54" s="3" t="s">
        <v>190</v>
      </c>
      <c r="AF54" s="3" t="s">
        <v>190</v>
      </c>
    </row>
    <row r="55" spans="1:32" ht="16.5" customHeight="1">
      <c r="A55" s="4" t="s">
        <v>19</v>
      </c>
      <c r="B55" s="4" t="s">
        <v>2045</v>
      </c>
      <c r="C55" s="4" t="s">
        <v>2075</v>
      </c>
      <c r="D55" s="4" t="s">
        <v>25</v>
      </c>
      <c r="E55" s="4" t="s">
        <v>2076</v>
      </c>
      <c r="F55" s="4" t="s">
        <v>2077</v>
      </c>
      <c r="G55" s="4" t="s">
        <v>50</v>
      </c>
      <c r="H55" s="6">
        <v>46031</v>
      </c>
      <c r="I55" s="6">
        <v>46059</v>
      </c>
      <c r="J55" s="4" t="s">
        <v>2078</v>
      </c>
      <c r="K55" s="4" t="s">
        <v>1892</v>
      </c>
      <c r="L55">
        <v>6</v>
      </c>
      <c r="M55" s="6">
        <v>46108</v>
      </c>
      <c r="N55" s="4" t="s">
        <v>1893</v>
      </c>
      <c r="O55">
        <v>0</v>
      </c>
      <c r="P55" s="4" t="s">
        <v>24</v>
      </c>
      <c r="Q55" s="4" t="s">
        <v>1893</v>
      </c>
      <c r="R55" s="6">
        <v>46118</v>
      </c>
      <c r="S55" s="4" t="s">
        <v>190</v>
      </c>
      <c r="T55" s="4" t="s">
        <v>190</v>
      </c>
      <c r="U55">
        <v>0</v>
      </c>
      <c r="V55" s="4" t="s">
        <v>1901</v>
      </c>
      <c r="W55" s="4" t="s">
        <v>190</v>
      </c>
      <c r="X55" s="6">
        <v>46132</v>
      </c>
      <c r="Y55" s="4" t="s">
        <v>190</v>
      </c>
      <c r="Z55" s="4" t="s">
        <v>190</v>
      </c>
      <c r="AA55">
        <v>0</v>
      </c>
      <c r="AB55" s="4" t="s">
        <v>1895</v>
      </c>
      <c r="AC55" s="4" t="s">
        <v>190</v>
      </c>
      <c r="AD55" s="4" t="s">
        <v>190</v>
      </c>
      <c r="AE55" s="4" t="s">
        <v>190</v>
      </c>
      <c r="AF55" s="4" t="s">
        <v>190</v>
      </c>
    </row>
    <row r="56" spans="1:32" ht="16.5" customHeight="1">
      <c r="A56" s="3" t="s">
        <v>19</v>
      </c>
      <c r="B56" s="3" t="s">
        <v>56</v>
      </c>
      <c r="C56" s="3" t="s">
        <v>190</v>
      </c>
      <c r="D56" s="3" t="s">
        <v>116</v>
      </c>
      <c r="E56" s="3" t="s">
        <v>2079</v>
      </c>
      <c r="F56" s="3" t="s">
        <v>2080</v>
      </c>
      <c r="G56" s="3" t="s">
        <v>50</v>
      </c>
      <c r="H56" s="5">
        <v>46059</v>
      </c>
      <c r="I56" s="5">
        <v>46063.660370370373</v>
      </c>
      <c r="J56" s="3" t="s">
        <v>2081</v>
      </c>
      <c r="K56" s="3" t="s">
        <v>1892</v>
      </c>
      <c r="L56">
        <v>6</v>
      </c>
      <c r="M56" s="5">
        <v>46108</v>
      </c>
      <c r="N56" s="3" t="s">
        <v>1893</v>
      </c>
      <c r="O56">
        <v>0</v>
      </c>
      <c r="P56" s="3" t="s">
        <v>24</v>
      </c>
      <c r="Q56" s="3" t="s">
        <v>1893</v>
      </c>
      <c r="R56" s="5">
        <v>46118</v>
      </c>
      <c r="S56" s="3" t="s">
        <v>190</v>
      </c>
      <c r="T56" s="3" t="s">
        <v>190</v>
      </c>
      <c r="U56">
        <v>0</v>
      </c>
      <c r="V56" s="3" t="s">
        <v>1901</v>
      </c>
      <c r="W56" s="3" t="s">
        <v>190</v>
      </c>
      <c r="X56" s="5">
        <v>46132</v>
      </c>
      <c r="Y56" s="3" t="s">
        <v>190</v>
      </c>
      <c r="Z56" s="3" t="s">
        <v>190</v>
      </c>
      <c r="AA56">
        <v>0</v>
      </c>
      <c r="AB56" s="3" t="s">
        <v>1895</v>
      </c>
      <c r="AC56" s="3" t="s">
        <v>190</v>
      </c>
      <c r="AD56" s="3" t="s">
        <v>190</v>
      </c>
      <c r="AE56" s="3" t="s">
        <v>190</v>
      </c>
      <c r="AF56" s="3" t="s">
        <v>190</v>
      </c>
    </row>
    <row r="57" spans="1:32" ht="16.5" customHeight="1">
      <c r="A57" s="4" t="s">
        <v>19</v>
      </c>
      <c r="B57" s="4" t="s">
        <v>56</v>
      </c>
      <c r="C57" s="4" t="s">
        <v>190</v>
      </c>
      <c r="D57" s="4" t="s">
        <v>116</v>
      </c>
      <c r="E57" s="4" t="s">
        <v>2082</v>
      </c>
      <c r="F57" s="4" t="s">
        <v>2083</v>
      </c>
      <c r="G57" s="4" t="s">
        <v>23</v>
      </c>
      <c r="H57" s="6">
        <v>46077</v>
      </c>
      <c r="I57" s="6"/>
      <c r="J57" s="4" t="s">
        <v>2084</v>
      </c>
      <c r="K57" s="4" t="s">
        <v>1892</v>
      </c>
      <c r="L57">
        <v>6</v>
      </c>
      <c r="M57" s="6">
        <v>46108</v>
      </c>
      <c r="N57" s="4" t="s">
        <v>1893</v>
      </c>
      <c r="O57">
        <v>0</v>
      </c>
      <c r="P57" s="4" t="s">
        <v>24</v>
      </c>
      <c r="Q57" s="4" t="s">
        <v>1893</v>
      </c>
      <c r="R57" s="6">
        <v>46118</v>
      </c>
      <c r="S57" s="4" t="s">
        <v>190</v>
      </c>
      <c r="T57" s="4" t="s">
        <v>190</v>
      </c>
      <c r="U57">
        <v>0</v>
      </c>
      <c r="V57" s="4" t="s">
        <v>1901</v>
      </c>
      <c r="W57" s="4" t="s">
        <v>190</v>
      </c>
      <c r="X57" s="6">
        <v>46132</v>
      </c>
      <c r="Y57" s="4" t="s">
        <v>190</v>
      </c>
      <c r="Z57" s="4" t="s">
        <v>190</v>
      </c>
      <c r="AA57">
        <v>0</v>
      </c>
      <c r="AB57" s="4" t="s">
        <v>1895</v>
      </c>
      <c r="AC57" s="4" t="s">
        <v>190</v>
      </c>
      <c r="AD57" s="4" t="s">
        <v>190</v>
      </c>
      <c r="AE57" s="4" t="s">
        <v>190</v>
      </c>
      <c r="AF57" s="4" t="s">
        <v>190</v>
      </c>
    </row>
    <row r="58" spans="1:32" ht="16.5" customHeight="1">
      <c r="A58" s="3" t="s">
        <v>216</v>
      </c>
      <c r="B58" s="3" t="s">
        <v>2085</v>
      </c>
      <c r="C58" s="3" t="s">
        <v>2086</v>
      </c>
      <c r="D58" s="3" t="s">
        <v>25</v>
      </c>
      <c r="E58" s="3" t="s">
        <v>2087</v>
      </c>
      <c r="F58" s="3" t="s">
        <v>2086</v>
      </c>
      <c r="G58" s="3" t="s">
        <v>220</v>
      </c>
      <c r="H58" s="5">
        <v>45988</v>
      </c>
      <c r="I58" s="5">
        <v>45988.423425925925</v>
      </c>
      <c r="J58" s="3" t="s">
        <v>1776</v>
      </c>
      <c r="K58" s="3" t="s">
        <v>1892</v>
      </c>
      <c r="L58">
        <v>6</v>
      </c>
      <c r="M58" s="5">
        <v>46104</v>
      </c>
      <c r="N58" s="3" t="s">
        <v>1900</v>
      </c>
      <c r="O58">
        <v>0</v>
      </c>
      <c r="P58" s="3" t="s">
        <v>24</v>
      </c>
      <c r="Q58" s="3" t="s">
        <v>1893</v>
      </c>
      <c r="R58" s="5">
        <v>46118</v>
      </c>
      <c r="S58" s="3" t="s">
        <v>190</v>
      </c>
      <c r="T58" s="3" t="s">
        <v>190</v>
      </c>
      <c r="U58">
        <v>0</v>
      </c>
      <c r="V58" s="3" t="s">
        <v>1901</v>
      </c>
      <c r="W58" s="3" t="s">
        <v>190</v>
      </c>
      <c r="X58" s="5">
        <v>46132</v>
      </c>
      <c r="Y58" s="3" t="s">
        <v>190</v>
      </c>
      <c r="Z58" s="3" t="s">
        <v>190</v>
      </c>
      <c r="AA58">
        <v>0</v>
      </c>
      <c r="AB58" s="3" t="s">
        <v>1895</v>
      </c>
      <c r="AC58" s="3" t="s">
        <v>190</v>
      </c>
      <c r="AD58" s="3" t="s">
        <v>190</v>
      </c>
      <c r="AE58" s="3" t="s">
        <v>190</v>
      </c>
      <c r="AF58" s="3" t="s">
        <v>190</v>
      </c>
    </row>
    <row r="59" spans="1:32" ht="16.5" customHeight="1">
      <c r="A59" s="4" t="s">
        <v>216</v>
      </c>
      <c r="B59" s="4" t="s">
        <v>2088</v>
      </c>
      <c r="C59" s="4" t="s">
        <v>2089</v>
      </c>
      <c r="D59" s="4" t="s">
        <v>25</v>
      </c>
      <c r="E59" s="4" t="s">
        <v>2090</v>
      </c>
      <c r="F59" s="4" t="s">
        <v>2089</v>
      </c>
      <c r="G59" s="4" t="s">
        <v>220</v>
      </c>
      <c r="H59" s="6">
        <v>46080</v>
      </c>
      <c r="I59" s="6">
        <v>46078.403958333336</v>
      </c>
      <c r="J59" s="4" t="s">
        <v>2091</v>
      </c>
      <c r="K59" s="4" t="s">
        <v>1892</v>
      </c>
      <c r="L59">
        <v>6</v>
      </c>
      <c r="M59" s="6">
        <v>46105</v>
      </c>
      <c r="N59" s="4" t="s">
        <v>1893</v>
      </c>
      <c r="O59">
        <v>0</v>
      </c>
      <c r="P59" s="4" t="s">
        <v>24</v>
      </c>
      <c r="Q59" s="4" t="s">
        <v>1893</v>
      </c>
      <c r="R59" s="6">
        <v>46118</v>
      </c>
      <c r="S59" s="4" t="s">
        <v>190</v>
      </c>
      <c r="T59" s="4" t="s">
        <v>190</v>
      </c>
      <c r="U59">
        <v>0</v>
      </c>
      <c r="V59" s="4" t="s">
        <v>1901</v>
      </c>
      <c r="W59" s="4" t="s">
        <v>190</v>
      </c>
      <c r="X59" s="6">
        <v>46132</v>
      </c>
      <c r="Y59" s="4" t="s">
        <v>190</v>
      </c>
      <c r="Z59" s="4" t="s">
        <v>190</v>
      </c>
      <c r="AA59">
        <v>0</v>
      </c>
      <c r="AB59" s="4" t="s">
        <v>1895</v>
      </c>
      <c r="AC59" s="4" t="s">
        <v>190</v>
      </c>
      <c r="AD59" s="4" t="s">
        <v>190</v>
      </c>
      <c r="AE59" s="4" t="s">
        <v>190</v>
      </c>
      <c r="AF59" s="4" t="s">
        <v>190</v>
      </c>
    </row>
    <row r="60" spans="1:32" ht="16.5" customHeight="1">
      <c r="A60" s="3" t="s">
        <v>216</v>
      </c>
      <c r="B60" s="3" t="s">
        <v>2092</v>
      </c>
      <c r="C60" s="3" t="s">
        <v>2093</v>
      </c>
      <c r="D60" s="3" t="s">
        <v>25</v>
      </c>
      <c r="E60" s="3" t="s">
        <v>2094</v>
      </c>
      <c r="F60" s="3" t="s">
        <v>2093</v>
      </c>
      <c r="G60" s="3" t="s">
        <v>225</v>
      </c>
      <c r="H60" s="5">
        <v>46031</v>
      </c>
      <c r="I60" s="5">
        <v>46034.736250000002</v>
      </c>
      <c r="J60" s="3" t="s">
        <v>294</v>
      </c>
      <c r="K60" s="3" t="s">
        <v>1892</v>
      </c>
      <c r="L60">
        <v>6</v>
      </c>
      <c r="M60" s="5">
        <v>46105</v>
      </c>
      <c r="N60" s="3" t="s">
        <v>1900</v>
      </c>
      <c r="O60">
        <v>0</v>
      </c>
      <c r="P60" s="3" t="s">
        <v>24</v>
      </c>
      <c r="Q60" s="3" t="s">
        <v>1893</v>
      </c>
      <c r="R60" s="5">
        <v>46118</v>
      </c>
      <c r="S60" s="3" t="s">
        <v>190</v>
      </c>
      <c r="T60" s="3" t="s">
        <v>190</v>
      </c>
      <c r="U60">
        <v>0</v>
      </c>
      <c r="V60" s="3" t="s">
        <v>1901</v>
      </c>
      <c r="W60" s="3" t="s">
        <v>190</v>
      </c>
      <c r="X60" s="5">
        <v>46132</v>
      </c>
      <c r="Y60" s="3" t="s">
        <v>190</v>
      </c>
      <c r="Z60" s="3" t="s">
        <v>190</v>
      </c>
      <c r="AA60">
        <v>0</v>
      </c>
      <c r="AB60" s="3" t="s">
        <v>1895</v>
      </c>
      <c r="AC60" s="3" t="s">
        <v>190</v>
      </c>
      <c r="AD60" s="3" t="s">
        <v>190</v>
      </c>
      <c r="AE60" s="3" t="s">
        <v>190</v>
      </c>
      <c r="AF60" s="3" t="s">
        <v>190</v>
      </c>
    </row>
    <row r="61" spans="1:32" ht="16.5" customHeight="1">
      <c r="A61" s="4" t="s">
        <v>216</v>
      </c>
      <c r="B61" s="4" t="s">
        <v>2095</v>
      </c>
      <c r="C61" s="4" t="s">
        <v>1889</v>
      </c>
      <c r="D61" s="4" t="s">
        <v>25</v>
      </c>
      <c r="E61" s="4" t="s">
        <v>2096</v>
      </c>
      <c r="F61" s="4" t="s">
        <v>1891</v>
      </c>
      <c r="G61" s="4" t="s">
        <v>225</v>
      </c>
      <c r="H61" s="6">
        <v>46051</v>
      </c>
      <c r="I61" s="6">
        <v>46065.504259259258</v>
      </c>
      <c r="J61" s="4" t="s">
        <v>2097</v>
      </c>
      <c r="K61" s="4" t="s">
        <v>1892</v>
      </c>
      <c r="L61">
        <v>6</v>
      </c>
      <c r="M61" s="6">
        <v>46105</v>
      </c>
      <c r="N61" s="4" t="s">
        <v>1893</v>
      </c>
      <c r="O61">
        <v>0</v>
      </c>
      <c r="P61" s="4" t="s">
        <v>24</v>
      </c>
      <c r="Q61" s="4" t="s">
        <v>1893</v>
      </c>
      <c r="R61" s="6">
        <v>46118</v>
      </c>
      <c r="S61" s="4" t="s">
        <v>190</v>
      </c>
      <c r="T61" s="4" t="s">
        <v>190</v>
      </c>
      <c r="U61">
        <v>0</v>
      </c>
      <c r="V61" s="4" t="s">
        <v>1901</v>
      </c>
      <c r="W61" s="4" t="s">
        <v>190</v>
      </c>
      <c r="X61" s="6">
        <v>46132</v>
      </c>
      <c r="Y61" s="4" t="s">
        <v>190</v>
      </c>
      <c r="Z61" s="4" t="s">
        <v>190</v>
      </c>
      <c r="AA61">
        <v>0</v>
      </c>
      <c r="AB61" s="4" t="s">
        <v>1895</v>
      </c>
      <c r="AC61" s="4" t="s">
        <v>190</v>
      </c>
      <c r="AD61" s="4" t="s">
        <v>190</v>
      </c>
      <c r="AE61" s="4" t="s">
        <v>190</v>
      </c>
      <c r="AF61" s="4" t="s">
        <v>190</v>
      </c>
    </row>
    <row r="62" spans="1:32" ht="16.5" customHeight="1">
      <c r="A62" s="3" t="s">
        <v>216</v>
      </c>
      <c r="B62" s="3" t="s">
        <v>56</v>
      </c>
      <c r="C62" s="3" t="s">
        <v>56</v>
      </c>
      <c r="D62" s="3" t="s">
        <v>25</v>
      </c>
      <c r="E62" s="3" t="s">
        <v>2098</v>
      </c>
      <c r="F62" s="3" t="s">
        <v>2099</v>
      </c>
      <c r="G62" s="3" t="s">
        <v>225</v>
      </c>
      <c r="H62" s="5">
        <v>46079</v>
      </c>
      <c r="I62" s="5">
        <v>46091.623761574076</v>
      </c>
      <c r="J62" s="3" t="s">
        <v>2100</v>
      </c>
      <c r="K62" s="3" t="s">
        <v>1892</v>
      </c>
      <c r="L62">
        <v>6</v>
      </c>
      <c r="M62" s="5">
        <v>46105</v>
      </c>
      <c r="N62" s="3" t="s">
        <v>1893</v>
      </c>
      <c r="O62">
        <v>0</v>
      </c>
      <c r="P62" s="3" t="s">
        <v>24</v>
      </c>
      <c r="Q62" s="3" t="s">
        <v>1893</v>
      </c>
      <c r="R62" s="5">
        <v>46118</v>
      </c>
      <c r="S62" s="3" t="s">
        <v>190</v>
      </c>
      <c r="T62" s="3" t="s">
        <v>190</v>
      </c>
      <c r="U62">
        <v>0</v>
      </c>
      <c r="V62" s="3" t="s">
        <v>1901</v>
      </c>
      <c r="W62" s="3" t="s">
        <v>190</v>
      </c>
      <c r="X62" s="5">
        <v>46132</v>
      </c>
      <c r="Y62" s="3" t="s">
        <v>190</v>
      </c>
      <c r="Z62" s="3" t="s">
        <v>190</v>
      </c>
      <c r="AA62">
        <v>0</v>
      </c>
      <c r="AB62" s="3" t="s">
        <v>1895</v>
      </c>
      <c r="AC62" s="3" t="s">
        <v>190</v>
      </c>
      <c r="AD62" s="3" t="s">
        <v>190</v>
      </c>
      <c r="AE62" s="3" t="s">
        <v>190</v>
      </c>
      <c r="AF62" s="3" t="s">
        <v>190</v>
      </c>
    </row>
    <row r="63" spans="1:32" ht="16.5" customHeight="1">
      <c r="A63" s="4" t="s">
        <v>216</v>
      </c>
      <c r="B63" s="4" t="s">
        <v>56</v>
      </c>
      <c r="C63" s="4" t="s">
        <v>56</v>
      </c>
      <c r="D63" s="4" t="s">
        <v>116</v>
      </c>
      <c r="E63" s="4" t="s">
        <v>2101</v>
      </c>
      <c r="F63" s="4" t="s">
        <v>2102</v>
      </c>
      <c r="G63" s="4" t="s">
        <v>220</v>
      </c>
      <c r="H63" s="6">
        <v>46051</v>
      </c>
      <c r="I63" s="6">
        <v>46050.59646990741</v>
      </c>
      <c r="J63" s="4" t="s">
        <v>2103</v>
      </c>
      <c r="K63" s="4" t="s">
        <v>1892</v>
      </c>
      <c r="L63">
        <v>6</v>
      </c>
      <c r="M63" s="6">
        <v>46105</v>
      </c>
      <c r="N63" s="4" t="s">
        <v>1893</v>
      </c>
      <c r="O63">
        <v>0</v>
      </c>
      <c r="P63" s="4" t="s">
        <v>24</v>
      </c>
      <c r="Q63" s="4" t="s">
        <v>1893</v>
      </c>
      <c r="R63" s="6">
        <v>46118</v>
      </c>
      <c r="S63" s="4" t="s">
        <v>190</v>
      </c>
      <c r="T63" s="4" t="s">
        <v>190</v>
      </c>
      <c r="U63">
        <v>0</v>
      </c>
      <c r="V63" s="4" t="s">
        <v>1901</v>
      </c>
      <c r="W63" s="4" t="s">
        <v>190</v>
      </c>
      <c r="X63" s="6">
        <v>46132</v>
      </c>
      <c r="Y63" s="4" t="s">
        <v>190</v>
      </c>
      <c r="Z63" s="4" t="s">
        <v>190</v>
      </c>
      <c r="AA63">
        <v>0</v>
      </c>
      <c r="AB63" s="4" t="s">
        <v>1895</v>
      </c>
      <c r="AC63" s="4" t="s">
        <v>190</v>
      </c>
      <c r="AD63" s="4" t="s">
        <v>190</v>
      </c>
      <c r="AE63" s="4" t="s">
        <v>190</v>
      </c>
      <c r="AF63" s="4" t="s">
        <v>190</v>
      </c>
    </row>
    <row r="64" spans="1:32" ht="16.5" customHeight="1">
      <c r="A64" s="3" t="s">
        <v>261</v>
      </c>
      <c r="B64" s="3" t="s">
        <v>56</v>
      </c>
      <c r="C64" s="3" t="s">
        <v>56</v>
      </c>
      <c r="D64" s="3" t="s">
        <v>1795</v>
      </c>
      <c r="E64" s="3" t="s">
        <v>2104</v>
      </c>
      <c r="F64" s="3" t="s">
        <v>2105</v>
      </c>
      <c r="G64" s="3" t="s">
        <v>219</v>
      </c>
      <c r="H64" s="5">
        <v>46066</v>
      </c>
      <c r="I64" s="5">
        <v>46065.498148148145</v>
      </c>
      <c r="J64" s="3" t="s">
        <v>2106</v>
      </c>
      <c r="K64" s="3" t="s">
        <v>1892</v>
      </c>
      <c r="L64">
        <v>6</v>
      </c>
      <c r="M64" s="5"/>
      <c r="N64" s="3" t="s">
        <v>190</v>
      </c>
      <c r="O64">
        <v>0</v>
      </c>
      <c r="P64" s="3" t="s">
        <v>24</v>
      </c>
      <c r="Q64" s="3" t="s">
        <v>190</v>
      </c>
      <c r="R64" s="5">
        <v>46118</v>
      </c>
      <c r="S64" s="3" t="s">
        <v>190</v>
      </c>
      <c r="T64" s="3" t="s">
        <v>190</v>
      </c>
      <c r="U64">
        <v>0</v>
      </c>
      <c r="V64" s="3" t="s">
        <v>1901</v>
      </c>
      <c r="W64" s="3" t="s">
        <v>190</v>
      </c>
      <c r="X64" s="5">
        <v>46132</v>
      </c>
      <c r="Y64" s="3" t="s">
        <v>190</v>
      </c>
      <c r="Z64" s="3" t="s">
        <v>190</v>
      </c>
      <c r="AA64">
        <v>0</v>
      </c>
      <c r="AB64" s="3" t="s">
        <v>1895</v>
      </c>
      <c r="AC64" s="3" t="s">
        <v>190</v>
      </c>
      <c r="AD64" s="3" t="s">
        <v>190</v>
      </c>
      <c r="AE64" s="3" t="s">
        <v>190</v>
      </c>
      <c r="AF64" s="3" t="s">
        <v>190</v>
      </c>
    </row>
    <row r="65" spans="1:32" ht="16.5" customHeight="1">
      <c r="A65" s="4" t="s">
        <v>261</v>
      </c>
      <c r="B65" s="4" t="s">
        <v>56</v>
      </c>
      <c r="C65" s="4" t="s">
        <v>56</v>
      </c>
      <c r="D65" s="4" t="s">
        <v>1795</v>
      </c>
      <c r="E65" s="4" t="s">
        <v>2107</v>
      </c>
      <c r="F65" s="4" t="s">
        <v>2108</v>
      </c>
      <c r="G65" s="4" t="s">
        <v>219</v>
      </c>
      <c r="H65" s="6">
        <v>46066</v>
      </c>
      <c r="I65" s="6">
        <v>46065.498252314814</v>
      </c>
      <c r="J65" s="4" t="s">
        <v>2109</v>
      </c>
      <c r="K65" s="4" t="s">
        <v>1892</v>
      </c>
      <c r="L65">
        <v>6</v>
      </c>
      <c r="M65" s="6"/>
      <c r="N65" s="4" t="s">
        <v>190</v>
      </c>
      <c r="O65">
        <v>0</v>
      </c>
      <c r="P65" s="4" t="s">
        <v>24</v>
      </c>
      <c r="Q65" s="4" t="s">
        <v>190</v>
      </c>
      <c r="R65" s="6">
        <v>46118</v>
      </c>
      <c r="S65" s="4" t="s">
        <v>190</v>
      </c>
      <c r="T65" s="4" t="s">
        <v>190</v>
      </c>
      <c r="U65">
        <v>0</v>
      </c>
      <c r="V65" s="4" t="s">
        <v>1901</v>
      </c>
      <c r="W65" s="4" t="s">
        <v>190</v>
      </c>
      <c r="X65" s="6">
        <v>46132</v>
      </c>
      <c r="Y65" s="4" t="s">
        <v>190</v>
      </c>
      <c r="Z65" s="4" t="s">
        <v>190</v>
      </c>
      <c r="AA65">
        <v>0</v>
      </c>
      <c r="AB65" s="4" t="s">
        <v>1895</v>
      </c>
      <c r="AC65" s="4" t="s">
        <v>190</v>
      </c>
      <c r="AD65" s="4" t="s">
        <v>190</v>
      </c>
      <c r="AE65" s="4" t="s">
        <v>190</v>
      </c>
      <c r="AF65" s="4" t="s">
        <v>190</v>
      </c>
    </row>
    <row r="66" spans="1:32" ht="16.5" customHeight="1">
      <c r="A66" s="3" t="s">
        <v>261</v>
      </c>
      <c r="B66" s="3" t="s">
        <v>56</v>
      </c>
      <c r="C66" s="3" t="s">
        <v>56</v>
      </c>
      <c r="D66" s="3" t="s">
        <v>1795</v>
      </c>
      <c r="E66" s="3" t="s">
        <v>2110</v>
      </c>
      <c r="F66" s="3" t="s">
        <v>2111</v>
      </c>
      <c r="G66" s="3" t="s">
        <v>219</v>
      </c>
      <c r="H66" s="5">
        <v>46066</v>
      </c>
      <c r="I66" s="5">
        <v>46065.498287037037</v>
      </c>
      <c r="J66" s="3" t="s">
        <v>2112</v>
      </c>
      <c r="K66" s="3" t="s">
        <v>1892</v>
      </c>
      <c r="L66">
        <v>6</v>
      </c>
      <c r="M66" s="5"/>
      <c r="N66" s="3" t="s">
        <v>190</v>
      </c>
      <c r="O66">
        <v>0</v>
      </c>
      <c r="P66" s="3" t="s">
        <v>24</v>
      </c>
      <c r="Q66" s="3" t="s">
        <v>190</v>
      </c>
      <c r="R66" s="5">
        <v>46118</v>
      </c>
      <c r="S66" s="3" t="s">
        <v>190</v>
      </c>
      <c r="T66" s="3" t="s">
        <v>190</v>
      </c>
      <c r="U66">
        <v>0</v>
      </c>
      <c r="V66" s="3" t="s">
        <v>1901</v>
      </c>
      <c r="W66" s="3" t="s">
        <v>190</v>
      </c>
      <c r="X66" s="5">
        <v>46132</v>
      </c>
      <c r="Y66" s="3" t="s">
        <v>190</v>
      </c>
      <c r="Z66" s="3" t="s">
        <v>190</v>
      </c>
      <c r="AA66">
        <v>0</v>
      </c>
      <c r="AB66" s="3" t="s">
        <v>1895</v>
      </c>
      <c r="AC66" s="3" t="s">
        <v>190</v>
      </c>
      <c r="AD66" s="3" t="s">
        <v>190</v>
      </c>
      <c r="AE66" s="3" t="s">
        <v>190</v>
      </c>
      <c r="AF66" s="3" t="s">
        <v>190</v>
      </c>
    </row>
    <row r="67" spans="1:32" ht="16.5" customHeight="1">
      <c r="A67" s="4" t="s">
        <v>261</v>
      </c>
      <c r="B67" s="4" t="s">
        <v>2095</v>
      </c>
      <c r="C67" s="4" t="s">
        <v>2113</v>
      </c>
      <c r="D67" s="4" t="s">
        <v>1923</v>
      </c>
      <c r="E67" s="4" t="s">
        <v>2114</v>
      </c>
      <c r="F67" s="4" t="s">
        <v>2115</v>
      </c>
      <c r="G67" s="4" t="s">
        <v>264</v>
      </c>
      <c r="H67" s="6">
        <v>45968</v>
      </c>
      <c r="I67" s="6">
        <v>46065</v>
      </c>
      <c r="J67" s="4" t="s">
        <v>2116</v>
      </c>
      <c r="K67" s="4" t="s">
        <v>1892</v>
      </c>
      <c r="L67">
        <v>6</v>
      </c>
      <c r="M67" s="6">
        <v>46105</v>
      </c>
      <c r="N67" s="4" t="s">
        <v>1893</v>
      </c>
      <c r="O67">
        <v>0</v>
      </c>
      <c r="P67" s="4" t="s">
        <v>24</v>
      </c>
      <c r="Q67" s="4" t="s">
        <v>1893</v>
      </c>
      <c r="R67" s="6">
        <v>46118</v>
      </c>
      <c r="S67" s="4" t="s">
        <v>190</v>
      </c>
      <c r="T67" s="4" t="s">
        <v>190</v>
      </c>
      <c r="U67">
        <v>0</v>
      </c>
      <c r="V67" s="4" t="s">
        <v>1901</v>
      </c>
      <c r="W67" s="4" t="s">
        <v>190</v>
      </c>
      <c r="X67" s="6">
        <v>46132</v>
      </c>
      <c r="Y67" s="4" t="s">
        <v>190</v>
      </c>
      <c r="Z67" s="4" t="s">
        <v>190</v>
      </c>
      <c r="AA67">
        <v>0</v>
      </c>
      <c r="AB67" s="4" t="s">
        <v>1895</v>
      </c>
      <c r="AC67" s="4" t="s">
        <v>190</v>
      </c>
      <c r="AD67" s="4" t="s">
        <v>190</v>
      </c>
      <c r="AE67" s="4" t="s">
        <v>190</v>
      </c>
      <c r="AF67" s="4" t="s">
        <v>190</v>
      </c>
    </row>
    <row r="68" spans="1:32" ht="16.5" customHeight="1">
      <c r="A68" s="3" t="s">
        <v>111</v>
      </c>
      <c r="B68" s="3" t="s">
        <v>2117</v>
      </c>
      <c r="C68" s="3" t="s">
        <v>2118</v>
      </c>
      <c r="D68" s="3" t="s">
        <v>25</v>
      </c>
      <c r="E68" s="3" t="s">
        <v>2119</v>
      </c>
      <c r="F68" s="3" t="s">
        <v>2120</v>
      </c>
      <c r="G68" s="3" t="s">
        <v>386</v>
      </c>
      <c r="H68" s="5">
        <v>46036</v>
      </c>
      <c r="I68" s="5">
        <v>46037.358136574076</v>
      </c>
      <c r="J68" s="3" t="s">
        <v>2121</v>
      </c>
      <c r="K68" s="3" t="s">
        <v>1892</v>
      </c>
      <c r="L68">
        <v>6</v>
      </c>
      <c r="M68" s="5">
        <v>46104</v>
      </c>
      <c r="N68" s="3" t="s">
        <v>1893</v>
      </c>
      <c r="O68">
        <v>0</v>
      </c>
      <c r="P68" s="3" t="s">
        <v>24</v>
      </c>
      <c r="Q68" s="3" t="s">
        <v>1893</v>
      </c>
      <c r="R68" s="5">
        <v>46118</v>
      </c>
      <c r="S68" s="3" t="s">
        <v>190</v>
      </c>
      <c r="T68" s="3" t="s">
        <v>190</v>
      </c>
      <c r="U68">
        <v>0</v>
      </c>
      <c r="V68" s="3" t="s">
        <v>1794</v>
      </c>
      <c r="W68" s="3" t="s">
        <v>190</v>
      </c>
      <c r="X68" s="5">
        <v>46132</v>
      </c>
      <c r="Y68" s="3" t="s">
        <v>190</v>
      </c>
      <c r="Z68" s="3" t="s">
        <v>190</v>
      </c>
      <c r="AA68">
        <v>0</v>
      </c>
      <c r="AB68" s="3" t="s">
        <v>1895</v>
      </c>
      <c r="AC68" s="3" t="s">
        <v>190</v>
      </c>
      <c r="AD68" s="3" t="s">
        <v>190</v>
      </c>
      <c r="AE68" s="3" t="s">
        <v>190</v>
      </c>
      <c r="AF68" s="3" t="s">
        <v>190</v>
      </c>
    </row>
    <row r="69" spans="1:32" ht="16.5" customHeight="1">
      <c r="A69" s="4" t="s">
        <v>111</v>
      </c>
      <c r="B69" s="4" t="s">
        <v>2117</v>
      </c>
      <c r="C69" s="4" t="s">
        <v>2122</v>
      </c>
      <c r="D69" s="4" t="s">
        <v>25</v>
      </c>
      <c r="E69" s="4" t="s">
        <v>2123</v>
      </c>
      <c r="F69" s="4" t="s">
        <v>2124</v>
      </c>
      <c r="G69" s="4" t="s">
        <v>386</v>
      </c>
      <c r="H69" s="6">
        <v>46051</v>
      </c>
      <c r="I69" s="6">
        <v>46038.365069444444</v>
      </c>
      <c r="J69" s="4" t="s">
        <v>649</v>
      </c>
      <c r="K69" s="4" t="s">
        <v>1892</v>
      </c>
      <c r="L69">
        <v>6</v>
      </c>
      <c r="M69" s="6">
        <v>46104</v>
      </c>
      <c r="N69" s="4" t="s">
        <v>1900</v>
      </c>
      <c r="O69">
        <v>0</v>
      </c>
      <c r="P69" s="4" t="s">
        <v>24</v>
      </c>
      <c r="Q69" s="4" t="s">
        <v>1893</v>
      </c>
      <c r="R69" s="6">
        <v>46118</v>
      </c>
      <c r="S69" s="4" t="s">
        <v>190</v>
      </c>
      <c r="T69" s="4" t="s">
        <v>190</v>
      </c>
      <c r="U69">
        <v>0</v>
      </c>
      <c r="V69" s="4" t="s">
        <v>1794</v>
      </c>
      <c r="W69" s="4" t="s">
        <v>190</v>
      </c>
      <c r="X69" s="6">
        <v>46132</v>
      </c>
      <c r="Y69" s="4" t="s">
        <v>190</v>
      </c>
      <c r="Z69" s="4" t="s">
        <v>190</v>
      </c>
      <c r="AA69">
        <v>0</v>
      </c>
      <c r="AB69" s="4" t="s">
        <v>1895</v>
      </c>
      <c r="AC69" s="4" t="s">
        <v>190</v>
      </c>
      <c r="AD69" s="4" t="s">
        <v>190</v>
      </c>
      <c r="AE69" s="4" t="s">
        <v>190</v>
      </c>
      <c r="AF69" s="4" t="s">
        <v>190</v>
      </c>
    </row>
    <row r="70" spans="1:32" ht="16.5" customHeight="1">
      <c r="A70" s="3" t="s">
        <v>111</v>
      </c>
      <c r="B70" s="3" t="s">
        <v>2125</v>
      </c>
      <c r="C70" s="3" t="s">
        <v>2126</v>
      </c>
      <c r="D70" s="3" t="s">
        <v>25</v>
      </c>
      <c r="E70" s="3" t="s">
        <v>2127</v>
      </c>
      <c r="F70" s="3" t="s">
        <v>2128</v>
      </c>
      <c r="G70" s="3" t="s">
        <v>369</v>
      </c>
      <c r="H70" s="5">
        <v>46037</v>
      </c>
      <c r="I70" s="5">
        <v>46037.544062499997</v>
      </c>
      <c r="J70" s="3" t="s">
        <v>1746</v>
      </c>
      <c r="K70" s="3" t="s">
        <v>1892</v>
      </c>
      <c r="L70">
        <v>6</v>
      </c>
      <c r="M70" s="5">
        <v>46104</v>
      </c>
      <c r="N70" s="3" t="s">
        <v>1900</v>
      </c>
      <c r="O70">
        <v>0</v>
      </c>
      <c r="P70" s="3" t="s">
        <v>24</v>
      </c>
      <c r="Q70" s="3" t="s">
        <v>1900</v>
      </c>
      <c r="R70" s="5">
        <v>46118</v>
      </c>
      <c r="S70" s="3" t="s">
        <v>190</v>
      </c>
      <c r="T70" s="3" t="s">
        <v>190</v>
      </c>
      <c r="U70">
        <v>0</v>
      </c>
      <c r="V70" s="3" t="s">
        <v>1794</v>
      </c>
      <c r="W70" s="3" t="s">
        <v>190</v>
      </c>
      <c r="X70" s="5">
        <v>46132</v>
      </c>
      <c r="Y70" s="3" t="s">
        <v>190</v>
      </c>
      <c r="Z70" s="3" t="s">
        <v>190</v>
      </c>
      <c r="AA70">
        <v>0</v>
      </c>
      <c r="AB70" s="3" t="s">
        <v>1895</v>
      </c>
      <c r="AC70" s="3" t="s">
        <v>190</v>
      </c>
      <c r="AD70" s="3" t="s">
        <v>190</v>
      </c>
      <c r="AE70" s="3" t="s">
        <v>190</v>
      </c>
      <c r="AF70" s="3" t="s">
        <v>190</v>
      </c>
    </row>
    <row r="71" spans="1:32" ht="16.5" customHeight="1">
      <c r="A71" s="4" t="s">
        <v>111</v>
      </c>
      <c r="B71" s="4" t="s">
        <v>56</v>
      </c>
      <c r="C71" s="4" t="s">
        <v>56</v>
      </c>
      <c r="D71" s="4" t="s">
        <v>1795</v>
      </c>
      <c r="E71" s="4" t="s">
        <v>2129</v>
      </c>
      <c r="F71" s="4" t="s">
        <v>2130</v>
      </c>
      <c r="G71" s="4" t="s">
        <v>645</v>
      </c>
      <c r="H71" s="6">
        <v>46051</v>
      </c>
      <c r="I71" s="6">
        <v>46049.66165509259</v>
      </c>
      <c r="J71" s="4" t="s">
        <v>2131</v>
      </c>
      <c r="K71" s="4" t="s">
        <v>1892</v>
      </c>
      <c r="L71">
        <v>6</v>
      </c>
      <c r="M71" s="6"/>
      <c r="N71" s="4" t="s">
        <v>190</v>
      </c>
      <c r="O71">
        <v>0</v>
      </c>
      <c r="P71" s="4" t="s">
        <v>24</v>
      </c>
      <c r="Q71" s="4" t="s">
        <v>190</v>
      </c>
      <c r="R71" s="6">
        <v>46118</v>
      </c>
      <c r="S71" s="4" t="s">
        <v>190</v>
      </c>
      <c r="T71" s="4" t="s">
        <v>190</v>
      </c>
      <c r="U71">
        <v>0</v>
      </c>
      <c r="V71" s="4" t="s">
        <v>1794</v>
      </c>
      <c r="W71" s="4" t="s">
        <v>190</v>
      </c>
      <c r="X71" s="6">
        <v>46132</v>
      </c>
      <c r="Y71" s="4" t="s">
        <v>190</v>
      </c>
      <c r="Z71" s="4" t="s">
        <v>190</v>
      </c>
      <c r="AA71">
        <v>0</v>
      </c>
      <c r="AB71" s="4" t="s">
        <v>1895</v>
      </c>
      <c r="AC71" s="4" t="s">
        <v>190</v>
      </c>
      <c r="AD71" s="4" t="s">
        <v>190</v>
      </c>
      <c r="AE71" s="4" t="s">
        <v>190</v>
      </c>
      <c r="AF71" s="4" t="s">
        <v>190</v>
      </c>
    </row>
    <row r="72" spans="1:32" ht="16.5" customHeight="1">
      <c r="A72" s="3" t="s">
        <v>111</v>
      </c>
      <c r="B72" s="3" t="s">
        <v>56</v>
      </c>
      <c r="C72" s="3" t="s">
        <v>56</v>
      </c>
      <c r="D72" s="3" t="s">
        <v>1795</v>
      </c>
      <c r="E72" s="3" t="s">
        <v>2132</v>
      </c>
      <c r="F72" s="3" t="s">
        <v>2133</v>
      </c>
      <c r="G72" s="3" t="s">
        <v>645</v>
      </c>
      <c r="H72" s="5">
        <v>46079</v>
      </c>
      <c r="I72" s="5">
        <v>46078.60125</v>
      </c>
      <c r="J72" s="3" t="s">
        <v>2134</v>
      </c>
      <c r="K72" s="3" t="s">
        <v>1892</v>
      </c>
      <c r="L72">
        <v>6</v>
      </c>
      <c r="M72" s="5"/>
      <c r="N72" s="3" t="s">
        <v>190</v>
      </c>
      <c r="O72">
        <v>0</v>
      </c>
      <c r="P72" s="3" t="s">
        <v>24</v>
      </c>
      <c r="Q72" s="3" t="s">
        <v>190</v>
      </c>
      <c r="R72" s="5">
        <v>46118</v>
      </c>
      <c r="S72" s="3" t="s">
        <v>190</v>
      </c>
      <c r="T72" s="3" t="s">
        <v>190</v>
      </c>
      <c r="U72">
        <v>0</v>
      </c>
      <c r="V72" s="3" t="s">
        <v>1794</v>
      </c>
      <c r="W72" s="3" t="s">
        <v>190</v>
      </c>
      <c r="X72" s="5">
        <v>46132</v>
      </c>
      <c r="Y72" s="3" t="s">
        <v>190</v>
      </c>
      <c r="Z72" s="3" t="s">
        <v>190</v>
      </c>
      <c r="AA72">
        <v>0</v>
      </c>
      <c r="AB72" s="3" t="s">
        <v>1895</v>
      </c>
      <c r="AC72" s="3" t="s">
        <v>190</v>
      </c>
      <c r="AD72" s="3" t="s">
        <v>190</v>
      </c>
      <c r="AE72" s="3" t="s">
        <v>190</v>
      </c>
      <c r="AF72" s="3" t="s">
        <v>190</v>
      </c>
    </row>
    <row r="73" spans="1:32" ht="16.5" customHeight="1">
      <c r="A73" s="4" t="s">
        <v>111</v>
      </c>
      <c r="B73" s="4" t="s">
        <v>56</v>
      </c>
      <c r="C73" s="4" t="s">
        <v>56</v>
      </c>
      <c r="D73" s="4" t="s">
        <v>116</v>
      </c>
      <c r="E73" s="4" t="s">
        <v>2135</v>
      </c>
      <c r="F73" s="4" t="s">
        <v>2136</v>
      </c>
      <c r="G73" s="4" t="s">
        <v>115</v>
      </c>
      <c r="H73" s="6">
        <v>46052</v>
      </c>
      <c r="I73" s="6">
        <v>46048.426354166666</v>
      </c>
      <c r="J73" s="4" t="s">
        <v>2137</v>
      </c>
      <c r="K73" s="4" t="s">
        <v>1892</v>
      </c>
      <c r="L73">
        <v>6</v>
      </c>
      <c r="M73" s="6">
        <v>46104</v>
      </c>
      <c r="N73" s="4" t="s">
        <v>1893</v>
      </c>
      <c r="O73">
        <v>0</v>
      </c>
      <c r="P73" s="4" t="s">
        <v>24</v>
      </c>
      <c r="Q73" s="4" t="s">
        <v>1893</v>
      </c>
      <c r="R73" s="6">
        <v>46118</v>
      </c>
      <c r="S73" s="4" t="s">
        <v>190</v>
      </c>
      <c r="T73" s="4" t="s">
        <v>190</v>
      </c>
      <c r="U73">
        <v>0</v>
      </c>
      <c r="V73" s="4" t="s">
        <v>1901</v>
      </c>
      <c r="W73" s="4" t="s">
        <v>190</v>
      </c>
      <c r="X73" s="6">
        <v>46132</v>
      </c>
      <c r="Y73" s="4" t="s">
        <v>190</v>
      </c>
      <c r="Z73" s="4" t="s">
        <v>190</v>
      </c>
      <c r="AA73">
        <v>0</v>
      </c>
      <c r="AB73" s="4" t="s">
        <v>1895</v>
      </c>
      <c r="AC73" s="4" t="s">
        <v>190</v>
      </c>
      <c r="AD73" s="4" t="s">
        <v>190</v>
      </c>
      <c r="AE73" s="4" t="s">
        <v>190</v>
      </c>
      <c r="AF73" s="4" t="s">
        <v>190</v>
      </c>
    </row>
    <row r="74" spans="1:32" ht="16.5" customHeight="1">
      <c r="A74" s="3" t="s">
        <v>111</v>
      </c>
      <c r="B74" s="3" t="s">
        <v>56</v>
      </c>
      <c r="C74" s="3" t="s">
        <v>56</v>
      </c>
      <c r="D74" s="3" t="s">
        <v>116</v>
      </c>
      <c r="E74" s="3" t="s">
        <v>2138</v>
      </c>
      <c r="F74" s="3" t="s">
        <v>2139</v>
      </c>
      <c r="G74" s="3" t="s">
        <v>115</v>
      </c>
      <c r="H74" s="5">
        <v>46052</v>
      </c>
      <c r="I74" s="5">
        <v>46048.428784722222</v>
      </c>
      <c r="J74" s="3" t="s">
        <v>117</v>
      </c>
      <c r="K74" s="3" t="s">
        <v>1892</v>
      </c>
      <c r="L74">
        <v>6</v>
      </c>
      <c r="M74" s="5">
        <v>46104</v>
      </c>
      <c r="N74" s="3" t="s">
        <v>1900</v>
      </c>
      <c r="O74">
        <v>0</v>
      </c>
      <c r="P74" s="3" t="s">
        <v>24</v>
      </c>
      <c r="Q74" s="3" t="s">
        <v>1900</v>
      </c>
      <c r="R74" s="5">
        <v>46118</v>
      </c>
      <c r="S74" s="3" t="s">
        <v>190</v>
      </c>
      <c r="T74" s="3" t="s">
        <v>190</v>
      </c>
      <c r="U74">
        <v>0</v>
      </c>
      <c r="V74" s="3" t="s">
        <v>1901</v>
      </c>
      <c r="W74" s="3" t="s">
        <v>190</v>
      </c>
      <c r="X74" s="5">
        <v>46132</v>
      </c>
      <c r="Y74" s="3" t="s">
        <v>190</v>
      </c>
      <c r="Z74" s="3" t="s">
        <v>190</v>
      </c>
      <c r="AA74">
        <v>0</v>
      </c>
      <c r="AB74" s="3" t="s">
        <v>1895</v>
      </c>
      <c r="AC74" s="3" t="s">
        <v>190</v>
      </c>
      <c r="AD74" s="3" t="s">
        <v>190</v>
      </c>
      <c r="AE74" s="3" t="s">
        <v>190</v>
      </c>
      <c r="AF74" s="3" t="s">
        <v>190</v>
      </c>
    </row>
    <row r="75" spans="1:32" ht="16.5" customHeight="1">
      <c r="A75" s="4" t="s">
        <v>111</v>
      </c>
      <c r="B75" s="4" t="s">
        <v>56</v>
      </c>
      <c r="C75" s="4" t="s">
        <v>56</v>
      </c>
      <c r="D75" s="4" t="s">
        <v>116</v>
      </c>
      <c r="E75" s="4" t="s">
        <v>2140</v>
      </c>
      <c r="F75" s="4" t="s">
        <v>2141</v>
      </c>
      <c r="G75" s="4" t="s">
        <v>115</v>
      </c>
      <c r="H75" s="6">
        <v>46052</v>
      </c>
      <c r="I75" s="6">
        <v>46048.434513888889</v>
      </c>
      <c r="J75" s="4" t="s">
        <v>2142</v>
      </c>
      <c r="K75" s="4" t="s">
        <v>1892</v>
      </c>
      <c r="L75">
        <v>6</v>
      </c>
      <c r="M75" s="6">
        <v>46104</v>
      </c>
      <c r="N75" s="4" t="s">
        <v>1893</v>
      </c>
      <c r="O75">
        <v>0</v>
      </c>
      <c r="P75" s="4" t="s">
        <v>24</v>
      </c>
      <c r="Q75" s="4" t="s">
        <v>1893</v>
      </c>
      <c r="R75" s="6">
        <v>46118</v>
      </c>
      <c r="S75" s="4" t="s">
        <v>190</v>
      </c>
      <c r="T75" s="4" t="s">
        <v>190</v>
      </c>
      <c r="U75">
        <v>0</v>
      </c>
      <c r="V75" s="4" t="s">
        <v>1901</v>
      </c>
      <c r="W75" s="4" t="s">
        <v>190</v>
      </c>
      <c r="X75" s="6">
        <v>46132</v>
      </c>
      <c r="Y75" s="4" t="s">
        <v>190</v>
      </c>
      <c r="Z75" s="4" t="s">
        <v>190</v>
      </c>
      <c r="AA75">
        <v>0</v>
      </c>
      <c r="AB75" s="4" t="s">
        <v>1895</v>
      </c>
      <c r="AC75" s="4" t="s">
        <v>190</v>
      </c>
      <c r="AD75" s="4" t="s">
        <v>190</v>
      </c>
      <c r="AE75" s="4" t="s">
        <v>190</v>
      </c>
      <c r="AF75" s="4" t="s">
        <v>190</v>
      </c>
    </row>
    <row r="76" spans="1:32" ht="16.5" customHeight="1">
      <c r="A76" s="3" t="s">
        <v>402</v>
      </c>
      <c r="B76" s="3" t="s">
        <v>2117</v>
      </c>
      <c r="C76" s="3" t="s">
        <v>2143</v>
      </c>
      <c r="D76" s="3" t="s">
        <v>25</v>
      </c>
      <c r="E76" s="3" t="s">
        <v>2144</v>
      </c>
      <c r="F76" s="3" t="s">
        <v>2145</v>
      </c>
      <c r="G76" s="3" t="s">
        <v>386</v>
      </c>
      <c r="H76" s="5">
        <v>46024</v>
      </c>
      <c r="I76" s="5">
        <v>45786</v>
      </c>
      <c r="J76" s="3" t="s">
        <v>2146</v>
      </c>
      <c r="K76" s="3" t="s">
        <v>1892</v>
      </c>
      <c r="L76">
        <v>6</v>
      </c>
      <c r="M76" s="5">
        <v>46105</v>
      </c>
      <c r="N76" s="3" t="s">
        <v>1893</v>
      </c>
      <c r="O76">
        <v>0</v>
      </c>
      <c r="P76" s="3" t="s">
        <v>236</v>
      </c>
      <c r="Q76" s="3" t="s">
        <v>1893</v>
      </c>
      <c r="R76" s="5">
        <v>46118</v>
      </c>
      <c r="S76" s="3" t="s">
        <v>190</v>
      </c>
      <c r="T76" s="3" t="s">
        <v>190</v>
      </c>
      <c r="U76">
        <v>0</v>
      </c>
      <c r="V76" s="3" t="s">
        <v>1794</v>
      </c>
      <c r="W76" s="3" t="s">
        <v>190</v>
      </c>
      <c r="X76" s="5">
        <v>46132</v>
      </c>
      <c r="Y76" s="3" t="s">
        <v>190</v>
      </c>
      <c r="Z76" s="3" t="s">
        <v>190</v>
      </c>
      <c r="AA76">
        <v>0</v>
      </c>
      <c r="AB76" s="3" t="s">
        <v>1895</v>
      </c>
      <c r="AC76" s="3" t="s">
        <v>190</v>
      </c>
      <c r="AD76" s="3" t="s">
        <v>190</v>
      </c>
      <c r="AE76" s="3" t="s">
        <v>190</v>
      </c>
      <c r="AF76" s="3" t="s">
        <v>190</v>
      </c>
    </row>
    <row r="77" spans="1:32" ht="16.5" customHeight="1">
      <c r="A77" s="4" t="s">
        <v>301</v>
      </c>
      <c r="B77" s="4" t="s">
        <v>2147</v>
      </c>
      <c r="C77" s="4" t="s">
        <v>2148</v>
      </c>
      <c r="D77" s="4" t="s">
        <v>25</v>
      </c>
      <c r="E77" s="4" t="s">
        <v>2149</v>
      </c>
      <c r="F77" s="4" t="s">
        <v>2150</v>
      </c>
      <c r="G77" s="4" t="s">
        <v>415</v>
      </c>
      <c r="H77" s="6">
        <v>47127</v>
      </c>
      <c r="I77" s="6">
        <v>46030.562569444446</v>
      </c>
      <c r="J77" s="4" t="s">
        <v>2151</v>
      </c>
      <c r="K77" s="4" t="s">
        <v>1892</v>
      </c>
      <c r="L77">
        <v>6</v>
      </c>
      <c r="M77" s="6">
        <v>46076</v>
      </c>
      <c r="N77" s="4" t="s">
        <v>1893</v>
      </c>
      <c r="O77">
        <v>0</v>
      </c>
      <c r="P77" s="4" t="s">
        <v>24</v>
      </c>
      <c r="Q77" s="4" t="s">
        <v>1893</v>
      </c>
      <c r="R77" s="6">
        <v>46118</v>
      </c>
      <c r="S77" s="4" t="s">
        <v>190</v>
      </c>
      <c r="T77" s="4" t="s">
        <v>190</v>
      </c>
      <c r="U77">
        <v>0</v>
      </c>
      <c r="V77" s="4" t="s">
        <v>1901</v>
      </c>
      <c r="W77" s="4" t="s">
        <v>190</v>
      </c>
      <c r="X77" s="6">
        <v>46132</v>
      </c>
      <c r="Y77" s="4" t="s">
        <v>190</v>
      </c>
      <c r="Z77" s="4" t="s">
        <v>190</v>
      </c>
      <c r="AA77">
        <v>0</v>
      </c>
      <c r="AB77" s="4" t="s">
        <v>1895</v>
      </c>
      <c r="AC77" s="4" t="s">
        <v>190</v>
      </c>
      <c r="AD77" s="4" t="s">
        <v>190</v>
      </c>
      <c r="AE77" s="4" t="s">
        <v>190</v>
      </c>
      <c r="AF77" s="4" t="s">
        <v>190</v>
      </c>
    </row>
    <row r="78" spans="1:32" ht="16.5" customHeight="1">
      <c r="A78" s="3" t="s">
        <v>301</v>
      </c>
      <c r="B78" s="3" t="s">
        <v>2147</v>
      </c>
      <c r="C78" s="3" t="s">
        <v>2152</v>
      </c>
      <c r="D78" s="3" t="s">
        <v>25</v>
      </c>
      <c r="E78" s="3" t="s">
        <v>2153</v>
      </c>
      <c r="F78" s="3" t="s">
        <v>2154</v>
      </c>
      <c r="G78" s="3" t="s">
        <v>304</v>
      </c>
      <c r="H78" s="5">
        <v>46038</v>
      </c>
      <c r="I78" s="5">
        <v>46048.642245370371</v>
      </c>
      <c r="J78" s="3" t="s">
        <v>2155</v>
      </c>
      <c r="K78" s="3" t="s">
        <v>1892</v>
      </c>
      <c r="L78">
        <v>6</v>
      </c>
      <c r="M78" s="5">
        <v>46106</v>
      </c>
      <c r="N78" s="3" t="s">
        <v>1893</v>
      </c>
      <c r="O78">
        <v>0</v>
      </c>
      <c r="P78" s="3" t="s">
        <v>24</v>
      </c>
      <c r="Q78" s="3" t="s">
        <v>1893</v>
      </c>
      <c r="R78" s="5">
        <v>46118</v>
      </c>
      <c r="S78" s="3" t="s">
        <v>190</v>
      </c>
      <c r="T78" s="3" t="s">
        <v>190</v>
      </c>
      <c r="U78">
        <v>0</v>
      </c>
      <c r="V78" s="3" t="s">
        <v>1894</v>
      </c>
      <c r="W78" s="3" t="s">
        <v>190</v>
      </c>
      <c r="X78" s="5">
        <v>46132</v>
      </c>
      <c r="Y78" s="3" t="s">
        <v>190</v>
      </c>
      <c r="Z78" s="3" t="s">
        <v>190</v>
      </c>
      <c r="AA78">
        <v>0</v>
      </c>
      <c r="AB78" s="3" t="s">
        <v>1895</v>
      </c>
      <c r="AC78" s="3" t="s">
        <v>190</v>
      </c>
      <c r="AD78" s="3" t="s">
        <v>190</v>
      </c>
      <c r="AE78" s="3" t="s">
        <v>190</v>
      </c>
      <c r="AF78" s="3" t="s">
        <v>190</v>
      </c>
    </row>
    <row r="79" spans="1:32" ht="16.5" customHeight="1">
      <c r="A79" s="4" t="s">
        <v>301</v>
      </c>
      <c r="B79" s="4" t="s">
        <v>2147</v>
      </c>
      <c r="C79" s="4" t="s">
        <v>2152</v>
      </c>
      <c r="D79" s="4" t="s">
        <v>25</v>
      </c>
      <c r="E79" s="4" t="s">
        <v>2156</v>
      </c>
      <c r="F79" s="4" t="s">
        <v>2157</v>
      </c>
      <c r="G79" s="4" t="s">
        <v>304</v>
      </c>
      <c r="H79" s="6">
        <v>46045</v>
      </c>
      <c r="I79" s="6">
        <v>46048.642280092594</v>
      </c>
      <c r="J79" s="4" t="s">
        <v>2158</v>
      </c>
      <c r="K79" s="4" t="s">
        <v>1892</v>
      </c>
      <c r="L79">
        <v>6</v>
      </c>
      <c r="M79" s="6">
        <v>46105</v>
      </c>
      <c r="N79" s="4" t="s">
        <v>1893</v>
      </c>
      <c r="O79">
        <v>0</v>
      </c>
      <c r="P79" s="4" t="s">
        <v>24</v>
      </c>
      <c r="Q79" s="4" t="s">
        <v>1893</v>
      </c>
      <c r="R79" s="6">
        <v>46118</v>
      </c>
      <c r="S79" s="4" t="s">
        <v>190</v>
      </c>
      <c r="T79" s="4" t="s">
        <v>190</v>
      </c>
      <c r="U79">
        <v>0</v>
      </c>
      <c r="V79" s="4" t="s">
        <v>1894</v>
      </c>
      <c r="W79" s="4" t="s">
        <v>190</v>
      </c>
      <c r="X79" s="6">
        <v>46132</v>
      </c>
      <c r="Y79" s="4" t="s">
        <v>190</v>
      </c>
      <c r="Z79" s="4" t="s">
        <v>190</v>
      </c>
      <c r="AA79">
        <v>0</v>
      </c>
      <c r="AB79" s="4" t="s">
        <v>1895</v>
      </c>
      <c r="AC79" s="4" t="s">
        <v>190</v>
      </c>
      <c r="AD79" s="4" t="s">
        <v>190</v>
      </c>
      <c r="AE79" s="4" t="s">
        <v>190</v>
      </c>
      <c r="AF79" s="4" t="s">
        <v>190</v>
      </c>
    </row>
    <row r="80" spans="1:32" ht="16.5" customHeight="1">
      <c r="A80" s="3" t="s">
        <v>266</v>
      </c>
      <c r="B80" s="3" t="s">
        <v>2147</v>
      </c>
      <c r="C80" s="3" t="s">
        <v>2152</v>
      </c>
      <c r="D80" s="3" t="s">
        <v>25</v>
      </c>
      <c r="E80" s="3" t="s">
        <v>2159</v>
      </c>
      <c r="F80" s="3" t="s">
        <v>2160</v>
      </c>
      <c r="G80" s="3" t="s">
        <v>269</v>
      </c>
      <c r="H80" s="5">
        <v>46031</v>
      </c>
      <c r="I80" s="5">
        <v>46048.641076388885</v>
      </c>
      <c r="J80" s="3" t="s">
        <v>2161</v>
      </c>
      <c r="K80" s="3" t="s">
        <v>1892</v>
      </c>
      <c r="L80">
        <v>6</v>
      </c>
      <c r="M80" s="5">
        <v>46106</v>
      </c>
      <c r="N80" s="3" t="s">
        <v>1893</v>
      </c>
      <c r="O80">
        <v>0</v>
      </c>
      <c r="P80" s="3" t="s">
        <v>24</v>
      </c>
      <c r="Q80" s="3" t="s">
        <v>1893</v>
      </c>
      <c r="R80" s="5">
        <v>46055</v>
      </c>
      <c r="S80" s="3" t="s">
        <v>190</v>
      </c>
      <c r="T80" s="3" t="s">
        <v>190</v>
      </c>
      <c r="U80">
        <v>0</v>
      </c>
      <c r="V80" s="3" t="s">
        <v>1894</v>
      </c>
      <c r="W80" s="3" t="s">
        <v>190</v>
      </c>
      <c r="X80" s="5">
        <v>46084</v>
      </c>
      <c r="Y80" s="3" t="s">
        <v>190</v>
      </c>
      <c r="Z80" s="3" t="s">
        <v>190</v>
      </c>
      <c r="AA80">
        <v>0</v>
      </c>
      <c r="AB80" s="3" t="s">
        <v>1895</v>
      </c>
      <c r="AC80" s="3" t="s">
        <v>190</v>
      </c>
      <c r="AD80" s="3" t="s">
        <v>190</v>
      </c>
      <c r="AE80" s="3" t="s">
        <v>190</v>
      </c>
      <c r="AF80" s="3" t="s">
        <v>190</v>
      </c>
    </row>
    <row r="81" spans="1:32" ht="16.5" customHeight="1">
      <c r="A81" s="4" t="s">
        <v>266</v>
      </c>
      <c r="B81" s="4" t="s">
        <v>2147</v>
      </c>
      <c r="C81" s="4" t="s">
        <v>2152</v>
      </c>
      <c r="D81" s="4" t="s">
        <v>25</v>
      </c>
      <c r="E81" s="4" t="s">
        <v>2162</v>
      </c>
      <c r="F81" s="4" t="s">
        <v>2157</v>
      </c>
      <c r="G81" s="4" t="s">
        <v>269</v>
      </c>
      <c r="H81" s="6">
        <v>46045</v>
      </c>
      <c r="I81" s="6">
        <v>46048.641504629632</v>
      </c>
      <c r="J81" s="4" t="s">
        <v>2163</v>
      </c>
      <c r="K81" s="4" t="s">
        <v>1892</v>
      </c>
      <c r="L81">
        <v>6</v>
      </c>
      <c r="M81" s="6">
        <v>46079</v>
      </c>
      <c r="N81" s="4" t="s">
        <v>1893</v>
      </c>
      <c r="O81">
        <v>0</v>
      </c>
      <c r="P81" s="4" t="s">
        <v>24</v>
      </c>
      <c r="Q81" s="4" t="s">
        <v>1893</v>
      </c>
      <c r="R81" s="6">
        <v>46118</v>
      </c>
      <c r="S81" s="4" t="s">
        <v>190</v>
      </c>
      <c r="T81" s="4" t="s">
        <v>190</v>
      </c>
      <c r="U81">
        <v>0</v>
      </c>
      <c r="V81" s="4" t="s">
        <v>1894</v>
      </c>
      <c r="W81" s="4" t="s">
        <v>190</v>
      </c>
      <c r="X81" s="6">
        <v>46132</v>
      </c>
      <c r="Y81" s="4" t="s">
        <v>190</v>
      </c>
      <c r="Z81" s="4" t="s">
        <v>190</v>
      </c>
      <c r="AA81">
        <v>0</v>
      </c>
      <c r="AB81" s="4" t="s">
        <v>1895</v>
      </c>
      <c r="AC81" s="4" t="s">
        <v>190</v>
      </c>
      <c r="AD81" s="4" t="s">
        <v>190</v>
      </c>
      <c r="AE81" s="4" t="s">
        <v>190</v>
      </c>
      <c r="AF81" s="4" t="s">
        <v>190</v>
      </c>
    </row>
    <row r="82" spans="1:32" ht="16.5" customHeight="1">
      <c r="A82" s="3" t="s">
        <v>266</v>
      </c>
      <c r="B82" s="3" t="s">
        <v>1896</v>
      </c>
      <c r="C82" s="3" t="s">
        <v>1897</v>
      </c>
      <c r="D82" s="3" t="s">
        <v>25</v>
      </c>
      <c r="E82" s="3" t="s">
        <v>2164</v>
      </c>
      <c r="F82" s="3" t="s">
        <v>1899</v>
      </c>
      <c r="G82" s="3" t="s">
        <v>415</v>
      </c>
      <c r="H82" s="5">
        <v>46037</v>
      </c>
      <c r="I82" s="5">
        <v>46037.724953703706</v>
      </c>
      <c r="J82" s="3" t="s">
        <v>1322</v>
      </c>
      <c r="K82" s="3" t="s">
        <v>1892</v>
      </c>
      <c r="L82">
        <v>6</v>
      </c>
      <c r="M82" s="5">
        <v>46104</v>
      </c>
      <c r="N82" s="3" t="s">
        <v>1893</v>
      </c>
      <c r="O82">
        <v>0</v>
      </c>
      <c r="P82" s="3" t="s">
        <v>24</v>
      </c>
      <c r="Q82" s="3" t="s">
        <v>1893</v>
      </c>
      <c r="R82" s="5">
        <v>46118</v>
      </c>
      <c r="S82" s="3" t="s">
        <v>190</v>
      </c>
      <c r="T82" s="3" t="s">
        <v>190</v>
      </c>
      <c r="U82">
        <v>0</v>
      </c>
      <c r="V82" s="3" t="s">
        <v>1901</v>
      </c>
      <c r="W82" s="3" t="s">
        <v>190</v>
      </c>
      <c r="X82" s="5">
        <v>46132</v>
      </c>
      <c r="Y82" s="3" t="s">
        <v>190</v>
      </c>
      <c r="Z82" s="3" t="s">
        <v>190</v>
      </c>
      <c r="AA82">
        <v>0</v>
      </c>
      <c r="AB82" s="3" t="s">
        <v>1895</v>
      </c>
      <c r="AC82" s="3" t="s">
        <v>190</v>
      </c>
      <c r="AD82" s="3" t="s">
        <v>190</v>
      </c>
      <c r="AE82" s="3" t="s">
        <v>190</v>
      </c>
      <c r="AF82" s="3" t="s">
        <v>190</v>
      </c>
    </row>
    <row r="83" spans="1:32" ht="16.5" customHeight="1">
      <c r="A83" s="4" t="s">
        <v>266</v>
      </c>
      <c r="B83" s="4" t="s">
        <v>56</v>
      </c>
      <c r="C83" s="4" t="s">
        <v>56</v>
      </c>
      <c r="D83" s="4" t="s">
        <v>116</v>
      </c>
      <c r="E83" s="4" t="s">
        <v>2165</v>
      </c>
      <c r="F83" s="4" t="s">
        <v>2166</v>
      </c>
      <c r="G83" s="4" t="s">
        <v>269</v>
      </c>
      <c r="H83" s="6">
        <v>46020</v>
      </c>
      <c r="I83" s="6">
        <v>46030.649155092593</v>
      </c>
      <c r="J83" s="4" t="s">
        <v>2167</v>
      </c>
      <c r="K83" s="4" t="s">
        <v>1892</v>
      </c>
      <c r="L83">
        <v>6</v>
      </c>
      <c r="M83" s="6">
        <v>46108</v>
      </c>
      <c r="N83" s="4" t="s">
        <v>1893</v>
      </c>
      <c r="O83">
        <v>0</v>
      </c>
      <c r="P83" s="4" t="s">
        <v>24</v>
      </c>
      <c r="Q83" s="4" t="s">
        <v>1893</v>
      </c>
      <c r="R83" s="6">
        <v>46118</v>
      </c>
      <c r="S83" s="4" t="s">
        <v>190</v>
      </c>
      <c r="T83" s="4" t="s">
        <v>190</v>
      </c>
      <c r="U83">
        <v>0</v>
      </c>
      <c r="V83" s="4" t="s">
        <v>1894</v>
      </c>
      <c r="W83" s="4" t="s">
        <v>190</v>
      </c>
      <c r="X83" s="6">
        <v>46132</v>
      </c>
      <c r="Y83" s="4" t="s">
        <v>190</v>
      </c>
      <c r="Z83" s="4" t="s">
        <v>190</v>
      </c>
      <c r="AA83">
        <v>0</v>
      </c>
      <c r="AB83" s="4" t="s">
        <v>1895</v>
      </c>
      <c r="AC83" s="4" t="s">
        <v>190</v>
      </c>
      <c r="AD83" s="4" t="s">
        <v>190</v>
      </c>
      <c r="AE83" s="4" t="s">
        <v>190</v>
      </c>
      <c r="AF83" s="4" t="s">
        <v>190</v>
      </c>
    </row>
    <row r="84" spans="1:32" ht="16.5" customHeight="1">
      <c r="A84" s="3" t="s">
        <v>266</v>
      </c>
      <c r="B84" s="3" t="s">
        <v>56</v>
      </c>
      <c r="C84" s="3" t="s">
        <v>56</v>
      </c>
      <c r="D84" s="3" t="s">
        <v>116</v>
      </c>
      <c r="E84" s="3" t="s">
        <v>2168</v>
      </c>
      <c r="F84" s="3" t="s">
        <v>2169</v>
      </c>
      <c r="G84" s="3" t="s">
        <v>273</v>
      </c>
      <c r="H84" s="5">
        <v>46031</v>
      </c>
      <c r="I84" s="5">
        <v>46034.744803240741</v>
      </c>
      <c r="J84" s="3" t="s">
        <v>1325</v>
      </c>
      <c r="K84" s="3" t="s">
        <v>1892</v>
      </c>
      <c r="L84">
        <v>6</v>
      </c>
      <c r="M84" s="5">
        <v>46108</v>
      </c>
      <c r="N84" s="3" t="s">
        <v>1893</v>
      </c>
      <c r="O84">
        <v>0</v>
      </c>
      <c r="P84" s="3" t="s">
        <v>24</v>
      </c>
      <c r="Q84" s="3" t="s">
        <v>1893</v>
      </c>
      <c r="R84" s="5">
        <v>46118</v>
      </c>
      <c r="S84" s="3" t="s">
        <v>190</v>
      </c>
      <c r="T84" s="3" t="s">
        <v>190</v>
      </c>
      <c r="U84">
        <v>0</v>
      </c>
      <c r="V84" s="3" t="s">
        <v>1901</v>
      </c>
      <c r="W84" s="3" t="s">
        <v>190</v>
      </c>
      <c r="X84" s="5">
        <v>46132</v>
      </c>
      <c r="Y84" s="3" t="s">
        <v>190</v>
      </c>
      <c r="Z84" s="3" t="s">
        <v>190</v>
      </c>
      <c r="AA84">
        <v>0</v>
      </c>
      <c r="AB84" s="3" t="s">
        <v>1895</v>
      </c>
      <c r="AC84" s="3" t="s">
        <v>190</v>
      </c>
      <c r="AD84" s="3" t="s">
        <v>190</v>
      </c>
      <c r="AE84" s="3" t="s">
        <v>190</v>
      </c>
      <c r="AF84" s="3" t="s">
        <v>190</v>
      </c>
    </row>
    <row r="85" spans="1:32" ht="16.5" customHeight="1">
      <c r="A85" s="4" t="s">
        <v>266</v>
      </c>
      <c r="B85" s="4" t="s">
        <v>56</v>
      </c>
      <c r="C85" s="4" t="s">
        <v>56</v>
      </c>
      <c r="D85" s="4" t="s">
        <v>116</v>
      </c>
      <c r="E85" s="4" t="s">
        <v>2170</v>
      </c>
      <c r="F85" s="4" t="s">
        <v>2171</v>
      </c>
      <c r="G85" s="4" t="s">
        <v>269</v>
      </c>
      <c r="H85" s="6">
        <v>46006</v>
      </c>
      <c r="I85" s="6">
        <v>46030.648784722223</v>
      </c>
      <c r="J85" s="4" t="s">
        <v>676</v>
      </c>
      <c r="K85" s="4" t="s">
        <v>1892</v>
      </c>
      <c r="L85">
        <v>6</v>
      </c>
      <c r="M85" s="6">
        <v>46108</v>
      </c>
      <c r="N85" s="4" t="s">
        <v>1893</v>
      </c>
      <c r="O85">
        <v>0</v>
      </c>
      <c r="P85" s="4" t="s">
        <v>24</v>
      </c>
      <c r="Q85" s="4" t="s">
        <v>1893</v>
      </c>
      <c r="R85" s="6">
        <v>46118</v>
      </c>
      <c r="S85" s="4" t="s">
        <v>190</v>
      </c>
      <c r="T85" s="4" t="s">
        <v>190</v>
      </c>
      <c r="U85">
        <v>0</v>
      </c>
      <c r="V85" s="4" t="s">
        <v>1894</v>
      </c>
      <c r="W85" s="4" t="s">
        <v>190</v>
      </c>
      <c r="X85" s="6">
        <v>46132</v>
      </c>
      <c r="Y85" s="4" t="s">
        <v>190</v>
      </c>
      <c r="Z85" s="4" t="s">
        <v>190</v>
      </c>
      <c r="AA85">
        <v>0</v>
      </c>
      <c r="AB85" s="4" t="s">
        <v>1895</v>
      </c>
      <c r="AC85" s="4" t="s">
        <v>190</v>
      </c>
      <c r="AD85" s="4" t="s">
        <v>190</v>
      </c>
      <c r="AE85" s="4" t="s">
        <v>190</v>
      </c>
      <c r="AF85" s="4" t="s">
        <v>190</v>
      </c>
    </row>
    <row r="86" spans="1:32" ht="16.5" customHeight="1">
      <c r="A86" s="3" t="s">
        <v>229</v>
      </c>
      <c r="B86" s="3" t="s">
        <v>2172</v>
      </c>
      <c r="C86" s="3" t="s">
        <v>2173</v>
      </c>
      <c r="D86" s="3" t="s">
        <v>25</v>
      </c>
      <c r="E86" s="3" t="s">
        <v>2174</v>
      </c>
      <c r="F86" s="3" t="s">
        <v>2175</v>
      </c>
      <c r="G86" s="3" t="s">
        <v>233</v>
      </c>
      <c r="H86" s="5">
        <v>46094</v>
      </c>
      <c r="I86" s="5">
        <v>46092.662754629629</v>
      </c>
      <c r="J86" s="3" t="s">
        <v>2176</v>
      </c>
      <c r="K86" s="3" t="s">
        <v>1892</v>
      </c>
      <c r="L86">
        <v>6</v>
      </c>
      <c r="M86" s="5">
        <v>46104</v>
      </c>
      <c r="N86" s="3" t="s">
        <v>1893</v>
      </c>
      <c r="O86">
        <v>0</v>
      </c>
      <c r="P86" s="3" t="s">
        <v>24</v>
      </c>
      <c r="Q86" s="3" t="s">
        <v>1893</v>
      </c>
      <c r="R86" s="5">
        <v>46112</v>
      </c>
      <c r="S86" s="3" t="s">
        <v>190</v>
      </c>
      <c r="T86" s="3" t="s">
        <v>190</v>
      </c>
      <c r="U86">
        <v>0</v>
      </c>
      <c r="V86" s="3" t="s">
        <v>1794</v>
      </c>
      <c r="W86" s="3" t="s">
        <v>190</v>
      </c>
      <c r="X86" s="5">
        <v>46122</v>
      </c>
      <c r="Y86" s="3" t="s">
        <v>190</v>
      </c>
      <c r="Z86" s="3" t="s">
        <v>190</v>
      </c>
      <c r="AA86">
        <v>0</v>
      </c>
      <c r="AB86" s="3" t="s">
        <v>1895</v>
      </c>
      <c r="AC86" s="3" t="s">
        <v>190</v>
      </c>
      <c r="AD86" s="3" t="s">
        <v>190</v>
      </c>
      <c r="AE86" s="3" t="s">
        <v>190</v>
      </c>
      <c r="AF86" s="3" t="s">
        <v>190</v>
      </c>
    </row>
    <row r="87" spans="1:32" ht="16.5" customHeight="1">
      <c r="A87" s="4" t="s">
        <v>229</v>
      </c>
      <c r="B87" s="4" t="s">
        <v>56</v>
      </c>
      <c r="C87" s="4" t="s">
        <v>56</v>
      </c>
      <c r="D87" s="4" t="s">
        <v>116</v>
      </c>
      <c r="E87" s="4" t="s">
        <v>2177</v>
      </c>
      <c r="F87" s="4" t="s">
        <v>2178</v>
      </c>
      <c r="G87" s="4" t="s">
        <v>250</v>
      </c>
      <c r="H87" s="6">
        <v>46038</v>
      </c>
      <c r="I87" s="6">
        <v>46042.415775462963</v>
      </c>
      <c r="J87" s="4" t="s">
        <v>2179</v>
      </c>
      <c r="K87" s="4" t="s">
        <v>1892</v>
      </c>
      <c r="L87">
        <v>6</v>
      </c>
      <c r="M87" s="6">
        <v>46106</v>
      </c>
      <c r="N87" s="4" t="s">
        <v>1893</v>
      </c>
      <c r="O87">
        <v>0</v>
      </c>
      <c r="P87" s="4" t="s">
        <v>24</v>
      </c>
      <c r="Q87" s="4" t="s">
        <v>1893</v>
      </c>
      <c r="R87" s="6">
        <v>46118</v>
      </c>
      <c r="S87" s="4" t="s">
        <v>190</v>
      </c>
      <c r="T87" s="4" t="s">
        <v>190</v>
      </c>
      <c r="U87">
        <v>0</v>
      </c>
      <c r="V87" s="4" t="s">
        <v>1901</v>
      </c>
      <c r="W87" s="4" t="s">
        <v>190</v>
      </c>
      <c r="X87" s="6">
        <v>46132</v>
      </c>
      <c r="Y87" s="4" t="s">
        <v>190</v>
      </c>
      <c r="Z87" s="4" t="s">
        <v>190</v>
      </c>
      <c r="AA87">
        <v>0</v>
      </c>
      <c r="AB87" s="4" t="s">
        <v>1895</v>
      </c>
      <c r="AC87" s="4" t="s">
        <v>190</v>
      </c>
      <c r="AD87" s="4" t="s">
        <v>190</v>
      </c>
      <c r="AE87" s="4" t="s">
        <v>190</v>
      </c>
      <c r="AF87" s="4" t="s">
        <v>190</v>
      </c>
    </row>
    <row r="88" spans="1:32" ht="16.5" customHeight="1">
      <c r="A88" s="3" t="s">
        <v>229</v>
      </c>
      <c r="B88" s="3" t="s">
        <v>2180</v>
      </c>
      <c r="C88" s="3" t="s">
        <v>2181</v>
      </c>
      <c r="D88" s="3" t="s">
        <v>25</v>
      </c>
      <c r="E88" s="3" t="s">
        <v>2182</v>
      </c>
      <c r="F88" s="3" t="s">
        <v>2183</v>
      </c>
      <c r="G88" s="3" t="s">
        <v>233</v>
      </c>
      <c r="H88" s="5">
        <v>46073</v>
      </c>
      <c r="I88" s="5">
        <v>46064.374340277776</v>
      </c>
      <c r="J88" s="3" t="s">
        <v>2184</v>
      </c>
      <c r="K88" s="3" t="s">
        <v>1892</v>
      </c>
      <c r="L88">
        <v>6</v>
      </c>
      <c r="M88" s="5">
        <v>46105</v>
      </c>
      <c r="N88" s="3" t="s">
        <v>1893</v>
      </c>
      <c r="O88">
        <v>0</v>
      </c>
      <c r="P88" s="3" t="s">
        <v>24</v>
      </c>
      <c r="Q88" s="3" t="s">
        <v>1893</v>
      </c>
      <c r="R88" s="5">
        <v>46118</v>
      </c>
      <c r="S88" s="3" t="s">
        <v>190</v>
      </c>
      <c r="T88" s="3" t="s">
        <v>190</v>
      </c>
      <c r="U88">
        <v>0</v>
      </c>
      <c r="V88" s="3" t="s">
        <v>1794</v>
      </c>
      <c r="W88" s="3" t="s">
        <v>190</v>
      </c>
      <c r="X88" s="5">
        <v>46132</v>
      </c>
      <c r="Y88" s="3" t="s">
        <v>190</v>
      </c>
      <c r="Z88" s="3" t="s">
        <v>190</v>
      </c>
      <c r="AA88">
        <v>0</v>
      </c>
      <c r="AB88" s="3" t="s">
        <v>1895</v>
      </c>
      <c r="AC88" s="3" t="s">
        <v>190</v>
      </c>
      <c r="AD88" s="3" t="s">
        <v>190</v>
      </c>
      <c r="AE88" s="3" t="s">
        <v>190</v>
      </c>
      <c r="AF88" s="3" t="s">
        <v>190</v>
      </c>
    </row>
    <row r="89" spans="1:32" ht="16.5" customHeight="1">
      <c r="A89" s="4" t="s">
        <v>229</v>
      </c>
      <c r="B89" s="4" t="s">
        <v>2180</v>
      </c>
      <c r="C89" s="4" t="s">
        <v>2185</v>
      </c>
      <c r="D89" s="4" t="s">
        <v>25</v>
      </c>
      <c r="E89" s="4" t="s">
        <v>2186</v>
      </c>
      <c r="F89" s="4" t="s">
        <v>2187</v>
      </c>
      <c r="G89" s="4" t="s">
        <v>233</v>
      </c>
      <c r="H89" s="6">
        <v>46031</v>
      </c>
      <c r="I89" s="6">
        <v>46031.472025462965</v>
      </c>
      <c r="J89" s="4" t="s">
        <v>2188</v>
      </c>
      <c r="K89" s="4" t="s">
        <v>1892</v>
      </c>
      <c r="L89">
        <v>6</v>
      </c>
      <c r="M89" s="6">
        <v>46105</v>
      </c>
      <c r="N89" s="4" t="s">
        <v>1900</v>
      </c>
      <c r="O89">
        <v>0</v>
      </c>
      <c r="P89" s="4" t="s">
        <v>24</v>
      </c>
      <c r="Q89" s="4" t="s">
        <v>1893</v>
      </c>
      <c r="R89" s="6">
        <v>46118</v>
      </c>
      <c r="S89" s="4" t="s">
        <v>190</v>
      </c>
      <c r="T89" s="4" t="s">
        <v>190</v>
      </c>
      <c r="U89">
        <v>1</v>
      </c>
      <c r="V89" s="4" t="s">
        <v>1794</v>
      </c>
      <c r="W89" s="4" t="s">
        <v>190</v>
      </c>
      <c r="X89" s="6">
        <v>46132</v>
      </c>
      <c r="Y89" s="4" t="s">
        <v>190</v>
      </c>
      <c r="Z89" s="4" t="s">
        <v>190</v>
      </c>
      <c r="AA89">
        <v>0</v>
      </c>
      <c r="AB89" s="4" t="s">
        <v>1895</v>
      </c>
      <c r="AC89" s="4" t="s">
        <v>190</v>
      </c>
      <c r="AD89" s="4" t="s">
        <v>190</v>
      </c>
      <c r="AE89" s="4" t="s">
        <v>190</v>
      </c>
      <c r="AF89" s="4" t="s">
        <v>190</v>
      </c>
    </row>
    <row r="90" spans="1:32" ht="16.5" customHeight="1">
      <c r="A90" s="3" t="s">
        <v>306</v>
      </c>
      <c r="B90" s="3" t="s">
        <v>2189</v>
      </c>
      <c r="C90" s="3" t="s">
        <v>2190</v>
      </c>
      <c r="D90" s="3" t="s">
        <v>25</v>
      </c>
      <c r="E90" s="3" t="s">
        <v>2191</v>
      </c>
      <c r="F90" s="3" t="s">
        <v>2192</v>
      </c>
      <c r="G90" s="3" t="s">
        <v>309</v>
      </c>
      <c r="H90" s="5">
        <v>46031</v>
      </c>
      <c r="I90" s="5">
        <v>46031.661469907405</v>
      </c>
      <c r="J90" s="3" t="s">
        <v>2193</v>
      </c>
      <c r="K90" s="3" t="s">
        <v>1892</v>
      </c>
      <c r="L90">
        <v>6</v>
      </c>
      <c r="M90" s="5">
        <v>46105</v>
      </c>
      <c r="N90" s="3" t="s">
        <v>1893</v>
      </c>
      <c r="O90">
        <v>0</v>
      </c>
      <c r="P90" s="3" t="s">
        <v>24</v>
      </c>
      <c r="Q90" s="3" t="s">
        <v>1893</v>
      </c>
      <c r="R90" s="5">
        <v>46118</v>
      </c>
      <c r="S90" s="3" t="s">
        <v>190</v>
      </c>
      <c r="T90" s="3" t="s">
        <v>190</v>
      </c>
      <c r="U90">
        <v>0</v>
      </c>
      <c r="V90" s="3" t="s">
        <v>1901</v>
      </c>
      <c r="W90" s="3" t="s">
        <v>190</v>
      </c>
      <c r="X90" s="5">
        <v>46132</v>
      </c>
      <c r="Y90" s="3" t="s">
        <v>190</v>
      </c>
      <c r="Z90" s="3" t="s">
        <v>190</v>
      </c>
      <c r="AA90">
        <v>0</v>
      </c>
      <c r="AB90" s="3" t="s">
        <v>1895</v>
      </c>
      <c r="AC90" s="3" t="s">
        <v>190</v>
      </c>
      <c r="AD90" s="3" t="s">
        <v>190</v>
      </c>
      <c r="AE90" s="3" t="s">
        <v>190</v>
      </c>
      <c r="AF90" s="3" t="s">
        <v>190</v>
      </c>
    </row>
    <row r="91" spans="1:32" ht="16.5" customHeight="1">
      <c r="A91" s="4" t="s">
        <v>306</v>
      </c>
      <c r="B91" s="4" t="s">
        <v>2117</v>
      </c>
      <c r="C91" s="4" t="s">
        <v>2194</v>
      </c>
      <c r="D91" s="4" t="s">
        <v>25</v>
      </c>
      <c r="E91" s="4" t="s">
        <v>2195</v>
      </c>
      <c r="F91" s="4" t="s">
        <v>2196</v>
      </c>
      <c r="G91" s="4" t="s">
        <v>309</v>
      </c>
      <c r="H91" s="6">
        <v>46080</v>
      </c>
      <c r="I91" s="6">
        <v>46105.72315972222</v>
      </c>
      <c r="J91" s="4" t="s">
        <v>2197</v>
      </c>
      <c r="K91" s="4" t="s">
        <v>1892</v>
      </c>
      <c r="L91">
        <v>6</v>
      </c>
      <c r="M91" s="6">
        <v>46105</v>
      </c>
      <c r="N91" s="4" t="s">
        <v>1900</v>
      </c>
      <c r="O91">
        <v>0</v>
      </c>
      <c r="P91" s="4" t="s">
        <v>24</v>
      </c>
      <c r="Q91" s="4" t="s">
        <v>1893</v>
      </c>
      <c r="R91" s="6">
        <v>46118</v>
      </c>
      <c r="S91" s="4" t="s">
        <v>190</v>
      </c>
      <c r="T91" s="4" t="s">
        <v>190</v>
      </c>
      <c r="U91">
        <v>0</v>
      </c>
      <c r="V91" s="4" t="s">
        <v>1901</v>
      </c>
      <c r="W91" s="4" t="s">
        <v>190</v>
      </c>
      <c r="X91" s="6">
        <v>46132</v>
      </c>
      <c r="Y91" s="4" t="s">
        <v>190</v>
      </c>
      <c r="Z91" s="4" t="s">
        <v>190</v>
      </c>
      <c r="AA91">
        <v>0</v>
      </c>
      <c r="AB91" s="4" t="s">
        <v>1895</v>
      </c>
      <c r="AC91" s="4" t="s">
        <v>190</v>
      </c>
      <c r="AD91" s="4" t="s">
        <v>190</v>
      </c>
      <c r="AE91" s="4" t="s">
        <v>190</v>
      </c>
      <c r="AF91" s="4" t="s">
        <v>190</v>
      </c>
    </row>
    <row r="92" spans="1:32" ht="16.5" customHeight="1">
      <c r="A92" s="3" t="s">
        <v>580</v>
      </c>
      <c r="B92" s="3" t="s">
        <v>56</v>
      </c>
      <c r="C92" s="3" t="s">
        <v>56</v>
      </c>
      <c r="D92" s="3" t="s">
        <v>116</v>
      </c>
      <c r="E92" s="3" t="s">
        <v>2198</v>
      </c>
      <c r="F92" s="3" t="s">
        <v>2199</v>
      </c>
      <c r="G92" s="3" t="s">
        <v>582</v>
      </c>
      <c r="H92" s="5">
        <v>45947</v>
      </c>
      <c r="I92" s="5">
        <v>45863.634780092594</v>
      </c>
      <c r="J92" s="3" t="s">
        <v>2200</v>
      </c>
      <c r="K92" s="3" t="s">
        <v>1892</v>
      </c>
      <c r="L92">
        <v>6</v>
      </c>
      <c r="M92" s="5">
        <v>46106</v>
      </c>
      <c r="N92" s="3" t="s">
        <v>1893</v>
      </c>
      <c r="O92">
        <v>0</v>
      </c>
      <c r="P92" s="3" t="s">
        <v>24</v>
      </c>
      <c r="Q92" s="3" t="s">
        <v>1893</v>
      </c>
      <c r="R92" s="5">
        <v>46118</v>
      </c>
      <c r="S92" s="3" t="s">
        <v>190</v>
      </c>
      <c r="T92" s="3" t="s">
        <v>190</v>
      </c>
      <c r="U92">
        <v>0</v>
      </c>
      <c r="V92" s="3" t="s">
        <v>1901</v>
      </c>
      <c r="W92" s="3" t="s">
        <v>190</v>
      </c>
      <c r="X92" s="5">
        <v>46132</v>
      </c>
      <c r="Y92" s="3" t="s">
        <v>190</v>
      </c>
      <c r="Z92" s="3" t="s">
        <v>190</v>
      </c>
      <c r="AA92">
        <v>0</v>
      </c>
      <c r="AB92" s="3" t="s">
        <v>1895</v>
      </c>
      <c r="AC92" s="3" t="s">
        <v>190</v>
      </c>
      <c r="AD92" s="3" t="s">
        <v>190</v>
      </c>
      <c r="AE92" s="3" t="s">
        <v>190</v>
      </c>
      <c r="AF92" s="3" t="s">
        <v>190</v>
      </c>
    </row>
    <row r="93" spans="1:32" ht="16.5" customHeight="1">
      <c r="A93" s="4" t="s">
        <v>580</v>
      </c>
      <c r="B93" s="4" t="s">
        <v>56</v>
      </c>
      <c r="C93" s="4" t="s">
        <v>56</v>
      </c>
      <c r="D93" s="4" t="s">
        <v>116</v>
      </c>
      <c r="E93" s="4" t="s">
        <v>2201</v>
      </c>
      <c r="F93" s="4" t="s">
        <v>2202</v>
      </c>
      <c r="G93" s="4" t="s">
        <v>582</v>
      </c>
      <c r="H93" s="6">
        <v>45947</v>
      </c>
      <c r="I93" s="6">
        <v>45981.885879629626</v>
      </c>
      <c r="J93" s="4" t="s">
        <v>2203</v>
      </c>
      <c r="K93" s="4" t="s">
        <v>1892</v>
      </c>
      <c r="L93">
        <v>6</v>
      </c>
      <c r="M93" s="6">
        <v>46106</v>
      </c>
      <c r="N93" s="4" t="s">
        <v>1893</v>
      </c>
      <c r="O93">
        <v>0</v>
      </c>
      <c r="P93" s="4" t="s">
        <v>24</v>
      </c>
      <c r="Q93" s="4" t="s">
        <v>1893</v>
      </c>
      <c r="R93" s="6">
        <v>46118</v>
      </c>
      <c r="S93" s="4" t="s">
        <v>190</v>
      </c>
      <c r="T93" s="4" t="s">
        <v>190</v>
      </c>
      <c r="U93">
        <v>0</v>
      </c>
      <c r="V93" s="4" t="s">
        <v>1901</v>
      </c>
      <c r="W93" s="4" t="s">
        <v>190</v>
      </c>
      <c r="X93" s="6">
        <v>46132</v>
      </c>
      <c r="Y93" s="4" t="s">
        <v>190</v>
      </c>
      <c r="Z93" s="4" t="s">
        <v>190</v>
      </c>
      <c r="AA93">
        <v>0</v>
      </c>
      <c r="AB93" s="4" t="s">
        <v>1895</v>
      </c>
      <c r="AC93" s="4" t="s">
        <v>190</v>
      </c>
      <c r="AD93" s="4" t="s">
        <v>190</v>
      </c>
      <c r="AE93" s="4" t="s">
        <v>190</v>
      </c>
      <c r="AF93" s="4" t="s">
        <v>190</v>
      </c>
    </row>
    <row r="94" spans="1:32" ht="16.5" customHeight="1">
      <c r="A94" s="3" t="s">
        <v>580</v>
      </c>
      <c r="B94" s="3" t="s">
        <v>56</v>
      </c>
      <c r="C94" s="3" t="s">
        <v>56</v>
      </c>
      <c r="D94" s="3" t="s">
        <v>116</v>
      </c>
      <c r="E94" s="3" t="s">
        <v>2204</v>
      </c>
      <c r="F94" s="3" t="s">
        <v>2205</v>
      </c>
      <c r="G94" s="3" t="s">
        <v>582</v>
      </c>
      <c r="H94" s="5">
        <v>46073</v>
      </c>
      <c r="I94" s="5">
        <v>46055.746782407405</v>
      </c>
      <c r="J94" s="3" t="s">
        <v>2206</v>
      </c>
      <c r="K94" s="3" t="s">
        <v>1892</v>
      </c>
      <c r="L94">
        <v>6</v>
      </c>
      <c r="M94" s="5">
        <v>46106</v>
      </c>
      <c r="N94" s="3" t="s">
        <v>1893</v>
      </c>
      <c r="O94">
        <v>0</v>
      </c>
      <c r="P94" s="3" t="s">
        <v>24</v>
      </c>
      <c r="Q94" s="3" t="s">
        <v>1893</v>
      </c>
      <c r="R94" s="5">
        <v>46118</v>
      </c>
      <c r="S94" s="3" t="s">
        <v>190</v>
      </c>
      <c r="T94" s="3" t="s">
        <v>190</v>
      </c>
      <c r="U94">
        <v>0</v>
      </c>
      <c r="V94" s="3" t="s">
        <v>1956</v>
      </c>
      <c r="W94" s="3" t="s">
        <v>190</v>
      </c>
      <c r="X94" s="5">
        <v>46132</v>
      </c>
      <c r="Y94" s="3" t="s">
        <v>190</v>
      </c>
      <c r="Z94" s="3" t="s">
        <v>190</v>
      </c>
      <c r="AA94">
        <v>0</v>
      </c>
      <c r="AB94" s="3" t="s">
        <v>1895</v>
      </c>
      <c r="AC94" s="3" t="s">
        <v>190</v>
      </c>
      <c r="AD94" s="3" t="s">
        <v>190</v>
      </c>
      <c r="AE94" s="3" t="s">
        <v>190</v>
      </c>
      <c r="AF94" s="3" t="s">
        <v>190</v>
      </c>
    </row>
    <row r="95" spans="1:32" ht="16.5" customHeight="1">
      <c r="A95" s="4" t="s">
        <v>580</v>
      </c>
      <c r="B95" s="4" t="s">
        <v>56</v>
      </c>
      <c r="C95" s="4" t="s">
        <v>56</v>
      </c>
      <c r="D95" s="4" t="s">
        <v>116</v>
      </c>
      <c r="E95" s="4" t="s">
        <v>2207</v>
      </c>
      <c r="F95" s="4" t="s">
        <v>2208</v>
      </c>
      <c r="G95" s="4" t="s">
        <v>279</v>
      </c>
      <c r="H95" s="6">
        <v>46066</v>
      </c>
      <c r="I95" s="6">
        <v>46020.438726851855</v>
      </c>
      <c r="J95" s="4" t="s">
        <v>2209</v>
      </c>
      <c r="K95" s="4" t="s">
        <v>1892</v>
      </c>
      <c r="L95">
        <v>6</v>
      </c>
      <c r="M95" s="6">
        <v>46106</v>
      </c>
      <c r="N95" s="4" t="s">
        <v>1893</v>
      </c>
      <c r="O95">
        <v>0</v>
      </c>
      <c r="P95" s="4" t="s">
        <v>24</v>
      </c>
      <c r="Q95" s="4" t="s">
        <v>1893</v>
      </c>
      <c r="R95" s="6">
        <v>46118</v>
      </c>
      <c r="S95" s="4" t="s">
        <v>190</v>
      </c>
      <c r="T95" s="4" t="s">
        <v>190</v>
      </c>
      <c r="U95">
        <v>0</v>
      </c>
      <c r="V95" s="4" t="s">
        <v>1956</v>
      </c>
      <c r="W95" s="4" t="s">
        <v>190</v>
      </c>
      <c r="X95" s="6">
        <v>46132</v>
      </c>
      <c r="Y95" s="4" t="s">
        <v>190</v>
      </c>
      <c r="Z95" s="4" t="s">
        <v>190</v>
      </c>
      <c r="AA95">
        <v>0</v>
      </c>
      <c r="AB95" s="4" t="s">
        <v>1895</v>
      </c>
      <c r="AC95" s="4" t="s">
        <v>190</v>
      </c>
      <c r="AD95" s="4" t="s">
        <v>190</v>
      </c>
      <c r="AE95" s="4" t="s">
        <v>190</v>
      </c>
      <c r="AF95" s="4" t="s">
        <v>190</v>
      </c>
    </row>
    <row r="96" spans="1:32" ht="16.5" customHeight="1">
      <c r="A96" s="3" t="s">
        <v>580</v>
      </c>
      <c r="B96" s="3" t="s">
        <v>56</v>
      </c>
      <c r="C96" s="3" t="s">
        <v>56</v>
      </c>
      <c r="D96" s="3" t="s">
        <v>116</v>
      </c>
      <c r="E96" s="3" t="s">
        <v>2210</v>
      </c>
      <c r="F96" s="3" t="s">
        <v>2211</v>
      </c>
      <c r="G96" s="3" t="s">
        <v>279</v>
      </c>
      <c r="H96" s="5">
        <v>46081</v>
      </c>
      <c r="I96" s="5">
        <v>46020.439166666663</v>
      </c>
      <c r="J96" s="3" t="s">
        <v>2212</v>
      </c>
      <c r="K96" s="3" t="s">
        <v>1892</v>
      </c>
      <c r="L96">
        <v>6</v>
      </c>
      <c r="M96" s="5">
        <v>46105</v>
      </c>
      <c r="N96" s="3" t="s">
        <v>1893</v>
      </c>
      <c r="O96">
        <v>0</v>
      </c>
      <c r="P96" s="3" t="s">
        <v>24</v>
      </c>
      <c r="Q96" s="3" t="s">
        <v>1893</v>
      </c>
      <c r="R96" s="5">
        <v>46118</v>
      </c>
      <c r="S96" s="3" t="s">
        <v>190</v>
      </c>
      <c r="T96" s="3" t="s">
        <v>190</v>
      </c>
      <c r="U96">
        <v>0</v>
      </c>
      <c r="V96" s="3" t="s">
        <v>1956</v>
      </c>
      <c r="W96" s="3" t="s">
        <v>190</v>
      </c>
      <c r="X96" s="5">
        <v>46132</v>
      </c>
      <c r="Y96" s="3" t="s">
        <v>190</v>
      </c>
      <c r="Z96" s="3" t="s">
        <v>190</v>
      </c>
      <c r="AA96">
        <v>0</v>
      </c>
      <c r="AB96" s="3" t="s">
        <v>1895</v>
      </c>
      <c r="AC96" s="3" t="s">
        <v>190</v>
      </c>
      <c r="AD96" s="3" t="s">
        <v>190</v>
      </c>
      <c r="AE96" s="3" t="s">
        <v>190</v>
      </c>
      <c r="AF96" s="3" t="s">
        <v>190</v>
      </c>
    </row>
    <row r="97" spans="1:32" ht="16.5" customHeight="1">
      <c r="A97" s="4" t="s">
        <v>580</v>
      </c>
      <c r="B97" s="4" t="s">
        <v>56</v>
      </c>
      <c r="C97" s="4" t="s">
        <v>56</v>
      </c>
      <c r="D97" s="4" t="s">
        <v>116</v>
      </c>
      <c r="E97" s="4" t="s">
        <v>2213</v>
      </c>
      <c r="F97" s="4" t="s">
        <v>2214</v>
      </c>
      <c r="G97" s="4" t="s">
        <v>279</v>
      </c>
      <c r="H97" s="6">
        <v>46081</v>
      </c>
      <c r="I97" s="6">
        <v>46020.438935185186</v>
      </c>
      <c r="J97" s="4" t="s">
        <v>2215</v>
      </c>
      <c r="K97" s="4" t="s">
        <v>1892</v>
      </c>
      <c r="L97">
        <v>6</v>
      </c>
      <c r="M97" s="6">
        <v>46106</v>
      </c>
      <c r="N97" s="4" t="s">
        <v>1893</v>
      </c>
      <c r="O97">
        <v>0</v>
      </c>
      <c r="P97" s="4" t="s">
        <v>24</v>
      </c>
      <c r="Q97" s="4" t="s">
        <v>1893</v>
      </c>
      <c r="R97" s="6">
        <v>46118</v>
      </c>
      <c r="S97" s="4" t="s">
        <v>190</v>
      </c>
      <c r="T97" s="4" t="s">
        <v>190</v>
      </c>
      <c r="U97">
        <v>0</v>
      </c>
      <c r="V97" s="4" t="s">
        <v>1956</v>
      </c>
      <c r="W97" s="4" t="s">
        <v>190</v>
      </c>
      <c r="X97" s="6">
        <v>46132</v>
      </c>
      <c r="Y97" s="4" t="s">
        <v>190</v>
      </c>
      <c r="Z97" s="4" t="s">
        <v>190</v>
      </c>
      <c r="AA97">
        <v>0</v>
      </c>
      <c r="AB97" s="4" t="s">
        <v>1895</v>
      </c>
      <c r="AC97" s="4" t="s">
        <v>190</v>
      </c>
      <c r="AD97" s="4" t="s">
        <v>190</v>
      </c>
      <c r="AE97" s="4" t="s">
        <v>190</v>
      </c>
      <c r="AF97" s="4" t="s">
        <v>190</v>
      </c>
    </row>
    <row r="98" spans="1:32" ht="16.5" customHeight="1">
      <c r="A98" s="3" t="s">
        <v>580</v>
      </c>
      <c r="B98" s="3" t="s">
        <v>56</v>
      </c>
      <c r="C98" s="3" t="s">
        <v>56</v>
      </c>
      <c r="D98" s="3" t="s">
        <v>116</v>
      </c>
      <c r="E98" s="3" t="s">
        <v>2216</v>
      </c>
      <c r="F98" s="3" t="s">
        <v>2217</v>
      </c>
      <c r="G98" s="3" t="s">
        <v>279</v>
      </c>
      <c r="H98" s="5">
        <v>46081</v>
      </c>
      <c r="I98" s="5">
        <v>46020.438958333332</v>
      </c>
      <c r="J98" s="3" t="s">
        <v>2218</v>
      </c>
      <c r="K98" s="3" t="s">
        <v>1892</v>
      </c>
      <c r="L98">
        <v>6</v>
      </c>
      <c r="M98" s="5">
        <v>46106</v>
      </c>
      <c r="N98" s="3" t="s">
        <v>1893</v>
      </c>
      <c r="O98">
        <v>0</v>
      </c>
      <c r="P98" s="3" t="s">
        <v>24</v>
      </c>
      <c r="Q98" s="3" t="s">
        <v>1893</v>
      </c>
      <c r="R98" s="5">
        <v>46118</v>
      </c>
      <c r="S98" s="3" t="s">
        <v>190</v>
      </c>
      <c r="T98" s="3" t="s">
        <v>190</v>
      </c>
      <c r="U98">
        <v>0</v>
      </c>
      <c r="V98" s="3" t="s">
        <v>1956</v>
      </c>
      <c r="W98" s="3" t="s">
        <v>190</v>
      </c>
      <c r="X98" s="5">
        <v>46132</v>
      </c>
      <c r="Y98" s="3" t="s">
        <v>190</v>
      </c>
      <c r="Z98" s="3" t="s">
        <v>190</v>
      </c>
      <c r="AA98">
        <v>0</v>
      </c>
      <c r="AB98" s="3" t="s">
        <v>1895</v>
      </c>
      <c r="AC98" s="3" t="s">
        <v>190</v>
      </c>
      <c r="AD98" s="3" t="s">
        <v>190</v>
      </c>
      <c r="AE98" s="3" t="s">
        <v>190</v>
      </c>
      <c r="AF98" s="3" t="s">
        <v>190</v>
      </c>
    </row>
    <row r="99" spans="1:32" ht="16.5" customHeight="1">
      <c r="A99" s="4" t="s">
        <v>580</v>
      </c>
      <c r="B99" s="4" t="s">
        <v>56</v>
      </c>
      <c r="C99" s="4" t="s">
        <v>56</v>
      </c>
      <c r="D99" s="4" t="s">
        <v>1795</v>
      </c>
      <c r="E99" s="4" t="s">
        <v>2219</v>
      </c>
      <c r="F99" s="4" t="s">
        <v>2220</v>
      </c>
      <c r="G99" s="4" t="s">
        <v>584</v>
      </c>
      <c r="H99" s="6">
        <v>46081</v>
      </c>
      <c r="I99" s="6">
        <v>46006.711782407408</v>
      </c>
      <c r="J99" s="4" t="s">
        <v>2221</v>
      </c>
      <c r="K99" s="4" t="s">
        <v>1892</v>
      </c>
      <c r="L99">
        <v>6</v>
      </c>
      <c r="M99" s="6">
        <v>46104</v>
      </c>
      <c r="N99" s="4" t="s">
        <v>1893</v>
      </c>
      <c r="O99">
        <v>0</v>
      </c>
      <c r="P99" s="4" t="s">
        <v>24</v>
      </c>
      <c r="Q99" s="4" t="s">
        <v>1893</v>
      </c>
      <c r="R99" s="6">
        <v>46118</v>
      </c>
      <c r="S99" s="4" t="s">
        <v>190</v>
      </c>
      <c r="T99" s="4" t="s">
        <v>190</v>
      </c>
      <c r="U99">
        <v>0</v>
      </c>
      <c r="V99" s="4" t="s">
        <v>1956</v>
      </c>
      <c r="W99" s="4" t="s">
        <v>190</v>
      </c>
      <c r="X99" s="6">
        <v>46132</v>
      </c>
      <c r="Y99" s="4" t="s">
        <v>190</v>
      </c>
      <c r="Z99" s="4" t="s">
        <v>190</v>
      </c>
      <c r="AA99">
        <v>0</v>
      </c>
      <c r="AB99" s="4" t="s">
        <v>1895</v>
      </c>
      <c r="AC99" s="4" t="s">
        <v>190</v>
      </c>
      <c r="AD99" s="4" t="s">
        <v>190</v>
      </c>
      <c r="AE99" s="4" t="s">
        <v>190</v>
      </c>
      <c r="AF99" s="4" t="s">
        <v>190</v>
      </c>
    </row>
    <row r="100" spans="1:32" ht="16.5" customHeight="1">
      <c r="A100" s="3" t="s">
        <v>580</v>
      </c>
      <c r="B100" s="3" t="s">
        <v>56</v>
      </c>
      <c r="C100" s="3" t="s">
        <v>56</v>
      </c>
      <c r="D100" s="3" t="s">
        <v>116</v>
      </c>
      <c r="E100" s="3" t="s">
        <v>2222</v>
      </c>
      <c r="F100" s="3" t="s">
        <v>2223</v>
      </c>
      <c r="G100" s="3" t="s">
        <v>279</v>
      </c>
      <c r="H100" s="5">
        <v>46080</v>
      </c>
      <c r="I100" s="5">
        <v>46055.618506944447</v>
      </c>
      <c r="J100" s="3" t="s">
        <v>2224</v>
      </c>
      <c r="K100" s="3" t="s">
        <v>1892</v>
      </c>
      <c r="L100">
        <v>6</v>
      </c>
      <c r="M100" s="5">
        <v>46106</v>
      </c>
      <c r="N100" s="3" t="s">
        <v>1893</v>
      </c>
      <c r="O100">
        <v>0</v>
      </c>
      <c r="P100" s="3" t="s">
        <v>24</v>
      </c>
      <c r="Q100" s="3" t="s">
        <v>1893</v>
      </c>
      <c r="R100" s="5">
        <v>46118</v>
      </c>
      <c r="S100" s="3" t="s">
        <v>190</v>
      </c>
      <c r="T100" s="3" t="s">
        <v>190</v>
      </c>
      <c r="U100">
        <v>0</v>
      </c>
      <c r="V100" s="3" t="s">
        <v>1956</v>
      </c>
      <c r="W100" s="3" t="s">
        <v>190</v>
      </c>
      <c r="X100" s="5">
        <v>46132</v>
      </c>
      <c r="Y100" s="3" t="s">
        <v>190</v>
      </c>
      <c r="Z100" s="3" t="s">
        <v>190</v>
      </c>
      <c r="AA100">
        <v>0</v>
      </c>
      <c r="AB100" s="3" t="s">
        <v>1895</v>
      </c>
      <c r="AC100" s="3" t="s">
        <v>190</v>
      </c>
      <c r="AD100" s="3" t="s">
        <v>190</v>
      </c>
      <c r="AE100" s="3" t="s">
        <v>190</v>
      </c>
      <c r="AF100" s="3" t="s">
        <v>190</v>
      </c>
    </row>
    <row r="101" spans="1:32" ht="16.5" customHeight="1">
      <c r="A101" s="4" t="s">
        <v>275</v>
      </c>
      <c r="B101" s="4" t="s">
        <v>2225</v>
      </c>
      <c r="C101" s="4" t="s">
        <v>2226</v>
      </c>
      <c r="D101" s="4" t="s">
        <v>25</v>
      </c>
      <c r="E101" s="4" t="s">
        <v>2227</v>
      </c>
      <c r="F101" s="4" t="s">
        <v>2228</v>
      </c>
      <c r="G101" s="4" t="s">
        <v>512</v>
      </c>
      <c r="H101" s="6">
        <v>46051</v>
      </c>
      <c r="I101" s="6"/>
      <c r="J101" s="4" t="s">
        <v>2229</v>
      </c>
      <c r="K101" s="4" t="s">
        <v>1892</v>
      </c>
      <c r="L101">
        <v>6</v>
      </c>
      <c r="M101" s="6"/>
      <c r="N101" s="4" t="s">
        <v>190</v>
      </c>
      <c r="O101">
        <v>0</v>
      </c>
      <c r="P101" s="4" t="s">
        <v>24</v>
      </c>
      <c r="Q101" s="4" t="s">
        <v>190</v>
      </c>
      <c r="R101" s="6">
        <v>46118</v>
      </c>
      <c r="S101" s="4" t="s">
        <v>190</v>
      </c>
      <c r="T101" s="4" t="s">
        <v>190</v>
      </c>
      <c r="U101">
        <v>0</v>
      </c>
      <c r="V101" s="4" t="s">
        <v>1983</v>
      </c>
      <c r="W101" s="4" t="s">
        <v>190</v>
      </c>
      <c r="X101" s="6">
        <v>46132</v>
      </c>
      <c r="Y101" s="4" t="s">
        <v>190</v>
      </c>
      <c r="Z101" s="4" t="s">
        <v>190</v>
      </c>
      <c r="AA101">
        <v>0</v>
      </c>
      <c r="AB101" s="4" t="s">
        <v>1984</v>
      </c>
      <c r="AC101" s="4" t="s">
        <v>190</v>
      </c>
      <c r="AD101" s="4" t="s">
        <v>190</v>
      </c>
      <c r="AE101" s="4" t="s">
        <v>190</v>
      </c>
      <c r="AF101" s="4" t="s">
        <v>190</v>
      </c>
    </row>
    <row r="102" spans="1:32" ht="16.5" customHeight="1">
      <c r="A102" s="3" t="s">
        <v>275</v>
      </c>
      <c r="B102" s="3" t="s">
        <v>2225</v>
      </c>
      <c r="C102" s="3" t="s">
        <v>2230</v>
      </c>
      <c r="D102" s="3" t="s">
        <v>25</v>
      </c>
      <c r="E102" s="3" t="s">
        <v>2231</v>
      </c>
      <c r="F102" s="3" t="s">
        <v>2232</v>
      </c>
      <c r="G102" s="3" t="s">
        <v>508</v>
      </c>
      <c r="H102" s="5">
        <v>46081</v>
      </c>
      <c r="I102" s="5">
        <v>46062.377928240741</v>
      </c>
      <c r="J102" s="3" t="s">
        <v>2233</v>
      </c>
      <c r="K102" s="3" t="s">
        <v>1892</v>
      </c>
      <c r="L102">
        <v>6</v>
      </c>
      <c r="M102" s="5">
        <v>46108</v>
      </c>
      <c r="N102" s="3" t="s">
        <v>1893</v>
      </c>
      <c r="O102">
        <v>0</v>
      </c>
      <c r="P102" s="3" t="s">
        <v>24</v>
      </c>
      <c r="Q102" s="3" t="s">
        <v>1893</v>
      </c>
      <c r="R102" s="5">
        <v>46118</v>
      </c>
      <c r="S102" s="3" t="s">
        <v>190</v>
      </c>
      <c r="T102" s="3" t="s">
        <v>190</v>
      </c>
      <c r="U102">
        <v>0</v>
      </c>
      <c r="V102" s="3" t="s">
        <v>1983</v>
      </c>
      <c r="W102" s="3" t="s">
        <v>190</v>
      </c>
      <c r="X102" s="5">
        <v>46132</v>
      </c>
      <c r="Y102" s="3" t="s">
        <v>190</v>
      </c>
      <c r="Z102" s="3" t="s">
        <v>190</v>
      </c>
      <c r="AA102">
        <v>0</v>
      </c>
      <c r="AB102" s="3" t="s">
        <v>1984</v>
      </c>
      <c r="AC102" s="3" t="s">
        <v>190</v>
      </c>
      <c r="AD102" s="3" t="s">
        <v>190</v>
      </c>
      <c r="AE102" s="3" t="s">
        <v>190</v>
      </c>
      <c r="AF102" s="3" t="s">
        <v>190</v>
      </c>
    </row>
    <row r="103" spans="1:32" ht="16.5" customHeight="1">
      <c r="A103" s="4" t="s">
        <v>275</v>
      </c>
      <c r="B103" s="4" t="s">
        <v>2225</v>
      </c>
      <c r="C103" s="4" t="s">
        <v>2234</v>
      </c>
      <c r="D103" s="4" t="s">
        <v>25</v>
      </c>
      <c r="E103" s="4" t="s">
        <v>2235</v>
      </c>
      <c r="F103" s="4" t="s">
        <v>2236</v>
      </c>
      <c r="G103" s="4" t="s">
        <v>512</v>
      </c>
      <c r="H103" s="6">
        <v>46063</v>
      </c>
      <c r="I103" s="6">
        <v>46086.413368055553</v>
      </c>
      <c r="J103" s="4" t="s">
        <v>2237</v>
      </c>
      <c r="K103" s="4" t="s">
        <v>1892</v>
      </c>
      <c r="L103">
        <v>6</v>
      </c>
      <c r="M103" s="6">
        <v>46108</v>
      </c>
      <c r="N103" s="4" t="s">
        <v>1893</v>
      </c>
      <c r="O103">
        <v>0</v>
      </c>
      <c r="P103" s="4" t="s">
        <v>24</v>
      </c>
      <c r="Q103" s="4" t="s">
        <v>1893</v>
      </c>
      <c r="R103" s="6">
        <v>46118</v>
      </c>
      <c r="S103" s="4" t="s">
        <v>190</v>
      </c>
      <c r="T103" s="4" t="s">
        <v>190</v>
      </c>
      <c r="U103">
        <v>0</v>
      </c>
      <c r="V103" s="4" t="s">
        <v>1983</v>
      </c>
      <c r="W103" s="4" t="s">
        <v>190</v>
      </c>
      <c r="X103" s="6">
        <v>46132</v>
      </c>
      <c r="Y103" s="4" t="s">
        <v>190</v>
      </c>
      <c r="Z103" s="4" t="s">
        <v>190</v>
      </c>
      <c r="AA103">
        <v>0</v>
      </c>
      <c r="AB103" s="4" t="s">
        <v>1984</v>
      </c>
      <c r="AC103" s="4" t="s">
        <v>190</v>
      </c>
      <c r="AD103" s="4" t="s">
        <v>190</v>
      </c>
      <c r="AE103" s="4" t="s">
        <v>190</v>
      </c>
      <c r="AF103" s="4" t="s">
        <v>190</v>
      </c>
    </row>
    <row r="104" spans="1:32" ht="16.5" customHeight="1">
      <c r="A104" s="3" t="s">
        <v>275</v>
      </c>
      <c r="B104" s="3" t="s">
        <v>2225</v>
      </c>
      <c r="C104" s="3" t="s">
        <v>2238</v>
      </c>
      <c r="D104" s="3" t="s">
        <v>25</v>
      </c>
      <c r="E104" s="3" t="s">
        <v>2239</v>
      </c>
      <c r="F104" s="3" t="s">
        <v>2240</v>
      </c>
      <c r="G104" s="3" t="s">
        <v>512</v>
      </c>
      <c r="H104" s="5">
        <v>46066</v>
      </c>
      <c r="I104" s="5">
        <v>46086.412974537037</v>
      </c>
      <c r="J104" s="3" t="s">
        <v>527</v>
      </c>
      <c r="K104" s="3" t="s">
        <v>1892</v>
      </c>
      <c r="L104">
        <v>6</v>
      </c>
      <c r="M104" s="5">
        <v>46108</v>
      </c>
      <c r="N104" s="3" t="s">
        <v>1900</v>
      </c>
      <c r="O104">
        <v>0</v>
      </c>
      <c r="P104" s="3" t="s">
        <v>24</v>
      </c>
      <c r="Q104" s="3" t="s">
        <v>1893</v>
      </c>
      <c r="R104" s="5">
        <v>46118</v>
      </c>
      <c r="S104" s="3" t="s">
        <v>190</v>
      </c>
      <c r="T104" s="3" t="s">
        <v>190</v>
      </c>
      <c r="U104">
        <v>0</v>
      </c>
      <c r="V104" s="3" t="s">
        <v>1983</v>
      </c>
      <c r="W104" s="3" t="s">
        <v>190</v>
      </c>
      <c r="X104" s="5">
        <v>46132</v>
      </c>
      <c r="Y104" s="3" t="s">
        <v>190</v>
      </c>
      <c r="Z104" s="3" t="s">
        <v>190</v>
      </c>
      <c r="AA104">
        <v>0</v>
      </c>
      <c r="AB104" s="3" t="s">
        <v>1984</v>
      </c>
      <c r="AC104" s="3" t="s">
        <v>190</v>
      </c>
      <c r="AD104" s="3" t="s">
        <v>190</v>
      </c>
      <c r="AE104" s="3" t="s">
        <v>190</v>
      </c>
      <c r="AF104" s="3" t="s">
        <v>190</v>
      </c>
    </row>
    <row r="105" spans="1:32" ht="16.5" customHeight="1">
      <c r="A105" s="4" t="s">
        <v>184</v>
      </c>
      <c r="B105" s="4" t="s">
        <v>1989</v>
      </c>
      <c r="C105" s="4" t="s">
        <v>2241</v>
      </c>
      <c r="D105" s="4" t="s">
        <v>25</v>
      </c>
      <c r="E105" s="4" t="s">
        <v>2242</v>
      </c>
      <c r="F105" s="4" t="s">
        <v>2243</v>
      </c>
      <c r="G105" s="4" t="s">
        <v>1291</v>
      </c>
      <c r="H105" s="6">
        <v>46017</v>
      </c>
      <c r="I105" s="6">
        <v>46000</v>
      </c>
      <c r="J105" s="4" t="s">
        <v>1808</v>
      </c>
      <c r="K105" s="4" t="s">
        <v>1892</v>
      </c>
      <c r="L105">
        <v>6</v>
      </c>
      <c r="M105" s="6">
        <v>46107</v>
      </c>
      <c r="N105" s="4" t="s">
        <v>1900</v>
      </c>
      <c r="O105">
        <v>0</v>
      </c>
      <c r="P105" s="4" t="s">
        <v>24</v>
      </c>
      <c r="Q105" s="4" t="s">
        <v>1900</v>
      </c>
      <c r="R105" s="6">
        <v>46118</v>
      </c>
      <c r="S105" s="4" t="s">
        <v>190</v>
      </c>
      <c r="T105" s="4" t="s">
        <v>190</v>
      </c>
      <c r="U105">
        <v>0</v>
      </c>
      <c r="V105" s="4" t="s">
        <v>1901</v>
      </c>
      <c r="W105" s="4" t="s">
        <v>190</v>
      </c>
      <c r="X105" s="6">
        <v>46132</v>
      </c>
      <c r="Y105" s="4" t="s">
        <v>190</v>
      </c>
      <c r="Z105" s="4" t="s">
        <v>190</v>
      </c>
      <c r="AA105">
        <v>0</v>
      </c>
      <c r="AB105" s="4" t="s">
        <v>1895</v>
      </c>
      <c r="AC105" s="4" t="s">
        <v>190</v>
      </c>
      <c r="AD105" s="4" t="s">
        <v>190</v>
      </c>
      <c r="AE105" s="4" t="s">
        <v>190</v>
      </c>
      <c r="AF105" s="4" t="s">
        <v>190</v>
      </c>
    </row>
    <row r="106" spans="1:32" ht="16.5" customHeight="1">
      <c r="A106" s="3" t="s">
        <v>184</v>
      </c>
      <c r="B106" s="3" t="s">
        <v>1989</v>
      </c>
      <c r="C106" s="3" t="s">
        <v>2244</v>
      </c>
      <c r="D106" s="3" t="s">
        <v>25</v>
      </c>
      <c r="E106" s="3" t="s">
        <v>2245</v>
      </c>
      <c r="F106" s="3" t="s">
        <v>2246</v>
      </c>
      <c r="G106" s="3" t="s">
        <v>496</v>
      </c>
      <c r="H106" s="5">
        <v>46059</v>
      </c>
      <c r="I106" s="5">
        <v>46107.252442129633</v>
      </c>
      <c r="J106" s="3" t="s">
        <v>2247</v>
      </c>
      <c r="K106" s="3" t="s">
        <v>1892</v>
      </c>
      <c r="L106">
        <v>6</v>
      </c>
      <c r="M106" s="5">
        <v>46107</v>
      </c>
      <c r="N106" s="3" t="s">
        <v>1893</v>
      </c>
      <c r="O106">
        <v>0</v>
      </c>
      <c r="P106" s="3" t="s">
        <v>24</v>
      </c>
      <c r="Q106" s="3" t="s">
        <v>1893</v>
      </c>
      <c r="R106" s="5">
        <v>46118</v>
      </c>
      <c r="S106" s="3" t="s">
        <v>190</v>
      </c>
      <c r="T106" s="3" t="s">
        <v>190</v>
      </c>
      <c r="U106">
        <v>0</v>
      </c>
      <c r="V106" s="3" t="s">
        <v>1901</v>
      </c>
      <c r="W106" s="3" t="s">
        <v>190</v>
      </c>
      <c r="X106" s="5">
        <v>46132</v>
      </c>
      <c r="Y106" s="3" t="s">
        <v>190</v>
      </c>
      <c r="Z106" s="3" t="s">
        <v>190</v>
      </c>
      <c r="AA106">
        <v>0</v>
      </c>
      <c r="AB106" s="3" t="s">
        <v>1895</v>
      </c>
      <c r="AC106" s="3" t="s">
        <v>190</v>
      </c>
      <c r="AD106" s="3" t="s">
        <v>190</v>
      </c>
      <c r="AE106" s="3" t="s">
        <v>190</v>
      </c>
      <c r="AF106" s="3" t="s">
        <v>190</v>
      </c>
    </row>
    <row r="107" spans="1:32" ht="16.5" customHeight="1">
      <c r="A107" s="4" t="s">
        <v>184</v>
      </c>
      <c r="B107" s="4" t="s">
        <v>1989</v>
      </c>
      <c r="C107" s="4" t="s">
        <v>2244</v>
      </c>
      <c r="D107" s="4" t="s">
        <v>25</v>
      </c>
      <c r="E107" s="4" t="s">
        <v>2248</v>
      </c>
      <c r="F107" s="4" t="s">
        <v>2249</v>
      </c>
      <c r="G107" s="4" t="s">
        <v>1291</v>
      </c>
      <c r="H107" s="6">
        <v>46059</v>
      </c>
      <c r="I107" s="6">
        <v>46107.721342592595</v>
      </c>
      <c r="J107" s="4" t="s">
        <v>2250</v>
      </c>
      <c r="K107" s="4" t="s">
        <v>1892</v>
      </c>
      <c r="L107">
        <v>6</v>
      </c>
      <c r="M107" s="6">
        <v>46107</v>
      </c>
      <c r="N107" s="4" t="s">
        <v>1893</v>
      </c>
      <c r="O107">
        <v>0</v>
      </c>
      <c r="P107" s="4" t="s">
        <v>24</v>
      </c>
      <c r="Q107" s="4" t="s">
        <v>1893</v>
      </c>
      <c r="R107" s="6">
        <v>46118</v>
      </c>
      <c r="S107" s="4" t="s">
        <v>190</v>
      </c>
      <c r="T107" s="4" t="s">
        <v>190</v>
      </c>
      <c r="U107">
        <v>0</v>
      </c>
      <c r="V107" s="4" t="s">
        <v>1901</v>
      </c>
      <c r="W107" s="4" t="s">
        <v>190</v>
      </c>
      <c r="X107" s="6">
        <v>46132</v>
      </c>
      <c r="Y107" s="4" t="s">
        <v>190</v>
      </c>
      <c r="Z107" s="4" t="s">
        <v>190</v>
      </c>
      <c r="AA107">
        <v>0</v>
      </c>
      <c r="AB107" s="4" t="s">
        <v>1895</v>
      </c>
      <c r="AC107" s="4" t="s">
        <v>190</v>
      </c>
      <c r="AD107" s="4" t="s">
        <v>190</v>
      </c>
      <c r="AE107" s="4" t="s">
        <v>190</v>
      </c>
      <c r="AF107" s="4" t="s">
        <v>190</v>
      </c>
    </row>
    <row r="108" spans="1:32" ht="16.5" customHeight="1">
      <c r="A108" s="3" t="s">
        <v>46</v>
      </c>
      <c r="B108" s="3" t="s">
        <v>2008</v>
      </c>
      <c r="C108" s="3" t="s">
        <v>2009</v>
      </c>
      <c r="D108" s="3" t="s">
        <v>25</v>
      </c>
      <c r="E108" s="3" t="s">
        <v>2251</v>
      </c>
      <c r="F108" s="3" t="s">
        <v>2252</v>
      </c>
      <c r="G108" s="3" t="s">
        <v>50</v>
      </c>
      <c r="H108" s="5">
        <v>46031</v>
      </c>
      <c r="I108" s="5">
        <v>46027.378969907404</v>
      </c>
      <c r="J108" s="3" t="s">
        <v>2253</v>
      </c>
      <c r="K108" s="3" t="s">
        <v>1892</v>
      </c>
      <c r="L108">
        <v>6</v>
      </c>
      <c r="M108" s="5">
        <v>46105</v>
      </c>
      <c r="N108" s="3" t="s">
        <v>1893</v>
      </c>
      <c r="O108">
        <v>0</v>
      </c>
      <c r="P108" s="3" t="s">
        <v>24</v>
      </c>
      <c r="Q108" s="3" t="s">
        <v>1893</v>
      </c>
      <c r="R108" s="5">
        <v>46118</v>
      </c>
      <c r="S108" s="3" t="s">
        <v>190</v>
      </c>
      <c r="T108" s="3" t="s">
        <v>190</v>
      </c>
      <c r="U108">
        <v>0</v>
      </c>
      <c r="V108" s="3" t="s">
        <v>2013</v>
      </c>
      <c r="W108" s="3" t="s">
        <v>190</v>
      </c>
      <c r="X108" s="5">
        <v>46132</v>
      </c>
      <c r="Y108" s="3" t="s">
        <v>190</v>
      </c>
      <c r="Z108" s="3" t="s">
        <v>190</v>
      </c>
      <c r="AA108">
        <v>0</v>
      </c>
      <c r="AB108" s="3" t="s">
        <v>1895</v>
      </c>
      <c r="AC108" s="3" t="s">
        <v>190</v>
      </c>
      <c r="AD108" s="3" t="s">
        <v>190</v>
      </c>
      <c r="AE108" s="3" t="s">
        <v>190</v>
      </c>
      <c r="AF108" s="3" t="s">
        <v>190</v>
      </c>
    </row>
    <row r="109" spans="1:32" ht="16.5" customHeight="1">
      <c r="A109" s="4" t="s">
        <v>46</v>
      </c>
      <c r="B109" s="4" t="s">
        <v>2008</v>
      </c>
      <c r="C109" s="4" t="s">
        <v>2009</v>
      </c>
      <c r="D109" s="4" t="s">
        <v>25</v>
      </c>
      <c r="E109" s="4" t="s">
        <v>2254</v>
      </c>
      <c r="F109" s="4" t="s">
        <v>2255</v>
      </c>
      <c r="G109" s="4" t="s">
        <v>50</v>
      </c>
      <c r="H109" s="6">
        <v>46031</v>
      </c>
      <c r="I109" s="6">
        <v>46027.378101851849</v>
      </c>
      <c r="J109" s="4" t="s">
        <v>155</v>
      </c>
      <c r="K109" s="4" t="s">
        <v>1892</v>
      </c>
      <c r="L109">
        <v>6</v>
      </c>
      <c r="M109" s="6">
        <v>46105</v>
      </c>
      <c r="N109" s="4" t="s">
        <v>1900</v>
      </c>
      <c r="O109">
        <v>0</v>
      </c>
      <c r="P109" s="4" t="s">
        <v>24</v>
      </c>
      <c r="Q109" s="4" t="s">
        <v>1900</v>
      </c>
      <c r="R109" s="6">
        <v>46118</v>
      </c>
      <c r="S109" s="4" t="s">
        <v>190</v>
      </c>
      <c r="T109" s="4" t="s">
        <v>190</v>
      </c>
      <c r="U109">
        <v>0</v>
      </c>
      <c r="V109" s="4" t="s">
        <v>2013</v>
      </c>
      <c r="W109" s="4" t="s">
        <v>190</v>
      </c>
      <c r="X109" s="6">
        <v>46132</v>
      </c>
      <c r="Y109" s="4" t="s">
        <v>190</v>
      </c>
      <c r="Z109" s="4" t="s">
        <v>190</v>
      </c>
      <c r="AA109">
        <v>0</v>
      </c>
      <c r="AB109" s="4" t="s">
        <v>1895</v>
      </c>
      <c r="AC109" s="4" t="s">
        <v>190</v>
      </c>
      <c r="AD109" s="4" t="s">
        <v>190</v>
      </c>
      <c r="AE109" s="4" t="s">
        <v>190</v>
      </c>
      <c r="AF109" s="4" t="s">
        <v>190</v>
      </c>
    </row>
    <row r="110" spans="1:32" ht="16.5" customHeight="1">
      <c r="A110" s="3" t="s">
        <v>46</v>
      </c>
      <c r="B110" s="3" t="s">
        <v>2008</v>
      </c>
      <c r="C110" s="3" t="s">
        <v>2256</v>
      </c>
      <c r="D110" s="3" t="s">
        <v>25</v>
      </c>
      <c r="E110" s="3" t="s">
        <v>2257</v>
      </c>
      <c r="F110" s="3" t="s">
        <v>2258</v>
      </c>
      <c r="G110" s="3" t="s">
        <v>49</v>
      </c>
      <c r="H110" s="5">
        <v>46045</v>
      </c>
      <c r="I110" s="5">
        <v>46043.592395833337</v>
      </c>
      <c r="J110" s="3" t="s">
        <v>140</v>
      </c>
      <c r="K110" s="3" t="s">
        <v>1892</v>
      </c>
      <c r="L110">
        <v>6</v>
      </c>
      <c r="M110" s="5">
        <v>46105</v>
      </c>
      <c r="N110" s="3" t="s">
        <v>1900</v>
      </c>
      <c r="O110">
        <v>0</v>
      </c>
      <c r="P110" s="3" t="s">
        <v>24</v>
      </c>
      <c r="Q110" s="3" t="s">
        <v>1900</v>
      </c>
      <c r="R110" s="5">
        <v>46118</v>
      </c>
      <c r="S110" s="3" t="s">
        <v>190</v>
      </c>
      <c r="T110" s="3" t="s">
        <v>190</v>
      </c>
      <c r="U110">
        <v>0</v>
      </c>
      <c r="V110" s="3" t="s">
        <v>2013</v>
      </c>
      <c r="W110" s="3" t="s">
        <v>190</v>
      </c>
      <c r="X110" s="5">
        <v>46132</v>
      </c>
      <c r="Y110" s="3" t="s">
        <v>190</v>
      </c>
      <c r="Z110" s="3" t="s">
        <v>190</v>
      </c>
      <c r="AA110">
        <v>0</v>
      </c>
      <c r="AB110" s="3" t="s">
        <v>1895</v>
      </c>
      <c r="AC110" s="3" t="s">
        <v>190</v>
      </c>
      <c r="AD110" s="3" t="s">
        <v>190</v>
      </c>
      <c r="AE110" s="3" t="s">
        <v>190</v>
      </c>
      <c r="AF110" s="3" t="s">
        <v>190</v>
      </c>
    </row>
    <row r="111" spans="1:32" ht="16.5" customHeight="1">
      <c r="A111" s="4" t="s">
        <v>46</v>
      </c>
      <c r="B111" s="4" t="s">
        <v>2008</v>
      </c>
      <c r="C111" s="4" t="s">
        <v>2256</v>
      </c>
      <c r="D111" s="4" t="s">
        <v>25</v>
      </c>
      <c r="E111" s="4" t="s">
        <v>2259</v>
      </c>
      <c r="F111" s="4" t="s">
        <v>2260</v>
      </c>
      <c r="G111" s="4" t="s">
        <v>49</v>
      </c>
      <c r="H111" s="6">
        <v>46045</v>
      </c>
      <c r="I111" s="6">
        <v>46043.608518518522</v>
      </c>
      <c r="J111" s="4" t="s">
        <v>166</v>
      </c>
      <c r="K111" s="4" t="s">
        <v>1892</v>
      </c>
      <c r="L111">
        <v>6</v>
      </c>
      <c r="M111" s="6">
        <v>46105</v>
      </c>
      <c r="N111" s="4" t="s">
        <v>1900</v>
      </c>
      <c r="O111">
        <v>0</v>
      </c>
      <c r="P111" s="4" t="s">
        <v>24</v>
      </c>
      <c r="Q111" s="4" t="s">
        <v>1900</v>
      </c>
      <c r="R111" s="6">
        <v>46118</v>
      </c>
      <c r="S111" s="4" t="s">
        <v>190</v>
      </c>
      <c r="T111" s="4" t="s">
        <v>190</v>
      </c>
      <c r="U111">
        <v>0</v>
      </c>
      <c r="V111" s="4" t="s">
        <v>2013</v>
      </c>
      <c r="W111" s="4" t="s">
        <v>190</v>
      </c>
      <c r="X111" s="6">
        <v>46132</v>
      </c>
      <c r="Y111" s="4" t="s">
        <v>190</v>
      </c>
      <c r="Z111" s="4" t="s">
        <v>190</v>
      </c>
      <c r="AA111">
        <v>0</v>
      </c>
      <c r="AB111" s="4" t="s">
        <v>1895</v>
      </c>
      <c r="AC111" s="4" t="s">
        <v>190</v>
      </c>
      <c r="AD111" s="4" t="s">
        <v>190</v>
      </c>
      <c r="AE111" s="4" t="s">
        <v>190</v>
      </c>
      <c r="AF111" s="4" t="s">
        <v>190</v>
      </c>
    </row>
    <row r="112" spans="1:32" ht="16.5" customHeight="1">
      <c r="A112" s="3" t="s">
        <v>46</v>
      </c>
      <c r="B112" s="3" t="s">
        <v>56</v>
      </c>
      <c r="C112" s="3" t="s">
        <v>56</v>
      </c>
      <c r="D112" s="3" t="s">
        <v>116</v>
      </c>
      <c r="E112" s="3" t="s">
        <v>2261</v>
      </c>
      <c r="F112" s="3" t="s">
        <v>2262</v>
      </c>
      <c r="G112" s="3" t="s">
        <v>49</v>
      </c>
      <c r="H112" s="5">
        <v>46045</v>
      </c>
      <c r="I112" s="5">
        <v>46044.451620370368</v>
      </c>
      <c r="J112" s="3" t="s">
        <v>2263</v>
      </c>
      <c r="K112" s="3" t="s">
        <v>1892</v>
      </c>
      <c r="L112">
        <v>6</v>
      </c>
      <c r="M112" s="5">
        <v>46106</v>
      </c>
      <c r="N112" s="3" t="s">
        <v>1893</v>
      </c>
      <c r="O112">
        <v>0</v>
      </c>
      <c r="P112" s="3" t="s">
        <v>24</v>
      </c>
      <c r="Q112" s="3" t="s">
        <v>1893</v>
      </c>
      <c r="R112" s="5">
        <v>46118</v>
      </c>
      <c r="S112" s="3" t="s">
        <v>190</v>
      </c>
      <c r="T112" s="3" t="s">
        <v>190</v>
      </c>
      <c r="U112">
        <v>0</v>
      </c>
      <c r="V112" s="3" t="s">
        <v>2013</v>
      </c>
      <c r="W112" s="3" t="s">
        <v>190</v>
      </c>
      <c r="X112" s="5">
        <v>46132</v>
      </c>
      <c r="Y112" s="3" t="s">
        <v>190</v>
      </c>
      <c r="Z112" s="3" t="s">
        <v>190</v>
      </c>
      <c r="AA112">
        <v>0</v>
      </c>
      <c r="AB112" s="3" t="s">
        <v>1895</v>
      </c>
      <c r="AC112" s="3" t="s">
        <v>190</v>
      </c>
      <c r="AD112" s="3" t="s">
        <v>190</v>
      </c>
      <c r="AE112" s="3" t="s">
        <v>190</v>
      </c>
      <c r="AF112" s="3" t="s">
        <v>190</v>
      </c>
    </row>
    <row r="113" spans="1:32" ht="16.5" customHeight="1">
      <c r="A113" s="4" t="s">
        <v>46</v>
      </c>
      <c r="B113" s="4" t="s">
        <v>56</v>
      </c>
      <c r="C113" s="4" t="s">
        <v>56</v>
      </c>
      <c r="D113" s="4" t="s">
        <v>116</v>
      </c>
      <c r="E113" s="4" t="s">
        <v>2264</v>
      </c>
      <c r="F113" s="4" t="s">
        <v>2265</v>
      </c>
      <c r="G113" s="4" t="s">
        <v>49</v>
      </c>
      <c r="H113" s="6">
        <v>46066</v>
      </c>
      <c r="I113" s="6">
        <v>46066</v>
      </c>
      <c r="J113" s="4" t="s">
        <v>145</v>
      </c>
      <c r="K113" s="4" t="s">
        <v>1892</v>
      </c>
      <c r="L113">
        <v>6</v>
      </c>
      <c r="M113" s="6">
        <v>46108</v>
      </c>
      <c r="N113" s="4" t="s">
        <v>1900</v>
      </c>
      <c r="O113">
        <v>0</v>
      </c>
      <c r="P113" s="4" t="s">
        <v>24</v>
      </c>
      <c r="Q113" s="4" t="s">
        <v>1893</v>
      </c>
      <c r="R113" s="6">
        <v>46112</v>
      </c>
      <c r="S113" s="4" t="s">
        <v>190</v>
      </c>
      <c r="T113" s="4" t="s">
        <v>190</v>
      </c>
      <c r="U113">
        <v>0</v>
      </c>
      <c r="V113" s="4" t="s">
        <v>2013</v>
      </c>
      <c r="W113" s="4" t="s">
        <v>190</v>
      </c>
      <c r="X113" s="6">
        <v>46114</v>
      </c>
      <c r="Y113" s="4" t="s">
        <v>190</v>
      </c>
      <c r="Z113" s="4" t="s">
        <v>190</v>
      </c>
      <c r="AA113">
        <v>0</v>
      </c>
      <c r="AB113" s="4" t="s">
        <v>1895</v>
      </c>
      <c r="AC113" s="4" t="s">
        <v>190</v>
      </c>
      <c r="AD113" s="4" t="s">
        <v>190</v>
      </c>
      <c r="AE113" s="4" t="s">
        <v>190</v>
      </c>
      <c r="AF113" s="4" t="s">
        <v>190</v>
      </c>
    </row>
    <row r="114" spans="1:32" ht="16.5" customHeight="1">
      <c r="A114" s="3" t="s">
        <v>19</v>
      </c>
      <c r="B114" s="3" t="s">
        <v>2017</v>
      </c>
      <c r="C114" s="3" t="s">
        <v>2018</v>
      </c>
      <c r="D114" s="3" t="s">
        <v>25</v>
      </c>
      <c r="E114" s="3" t="s">
        <v>2266</v>
      </c>
      <c r="F114" s="3" t="s">
        <v>2267</v>
      </c>
      <c r="G114" s="3" t="s">
        <v>23</v>
      </c>
      <c r="H114" s="5">
        <v>46059</v>
      </c>
      <c r="I114" s="5">
        <v>46059</v>
      </c>
      <c r="J114" s="3" t="s">
        <v>2268</v>
      </c>
      <c r="K114" s="3" t="s">
        <v>1892</v>
      </c>
      <c r="L114">
        <v>6</v>
      </c>
      <c r="M114" s="5"/>
      <c r="N114" s="3" t="s">
        <v>190</v>
      </c>
      <c r="O114">
        <v>0</v>
      </c>
      <c r="P114" s="3" t="s">
        <v>24</v>
      </c>
      <c r="Q114" s="3" t="s">
        <v>190</v>
      </c>
      <c r="R114" s="5">
        <v>46118</v>
      </c>
      <c r="S114" s="3" t="s">
        <v>190</v>
      </c>
      <c r="T114" s="3" t="s">
        <v>190</v>
      </c>
      <c r="U114">
        <v>0</v>
      </c>
      <c r="V114" s="3" t="s">
        <v>1901</v>
      </c>
      <c r="W114" s="3" t="s">
        <v>190</v>
      </c>
      <c r="X114" s="5">
        <v>46132</v>
      </c>
      <c r="Y114" s="3" t="s">
        <v>190</v>
      </c>
      <c r="Z114" s="3" t="s">
        <v>190</v>
      </c>
      <c r="AA114">
        <v>0</v>
      </c>
      <c r="AB114" s="3" t="s">
        <v>1895</v>
      </c>
      <c r="AC114" s="3" t="s">
        <v>190</v>
      </c>
      <c r="AD114" s="3" t="s">
        <v>190</v>
      </c>
      <c r="AE114" s="3" t="s">
        <v>190</v>
      </c>
      <c r="AF114" s="3" t="s">
        <v>190</v>
      </c>
    </row>
    <row r="115" spans="1:32" ht="16.5" customHeight="1">
      <c r="A115" s="4" t="s">
        <v>19</v>
      </c>
      <c r="B115" s="4" t="s">
        <v>2017</v>
      </c>
      <c r="C115" s="4" t="s">
        <v>2018</v>
      </c>
      <c r="D115" s="4" t="s">
        <v>25</v>
      </c>
      <c r="E115" s="4" t="s">
        <v>2269</v>
      </c>
      <c r="F115" s="4" t="s">
        <v>2270</v>
      </c>
      <c r="G115" s="4" t="s">
        <v>23</v>
      </c>
      <c r="H115" s="6">
        <v>46059</v>
      </c>
      <c r="I115" s="6">
        <v>46059</v>
      </c>
      <c r="J115" s="4" t="s">
        <v>2271</v>
      </c>
      <c r="K115" s="4" t="s">
        <v>1892</v>
      </c>
      <c r="L115">
        <v>6</v>
      </c>
      <c r="M115" s="6"/>
      <c r="N115" s="4" t="s">
        <v>190</v>
      </c>
      <c r="O115">
        <v>0</v>
      </c>
      <c r="P115" s="4" t="s">
        <v>24</v>
      </c>
      <c r="Q115" s="4" t="s">
        <v>190</v>
      </c>
      <c r="R115" s="6">
        <v>46118</v>
      </c>
      <c r="S115" s="4" t="s">
        <v>190</v>
      </c>
      <c r="T115" s="4" t="s">
        <v>190</v>
      </c>
      <c r="U115">
        <v>0</v>
      </c>
      <c r="V115" s="4" t="s">
        <v>1901</v>
      </c>
      <c r="W115" s="4" t="s">
        <v>190</v>
      </c>
      <c r="X115" s="6">
        <v>46132</v>
      </c>
      <c r="Y115" s="4" t="s">
        <v>190</v>
      </c>
      <c r="Z115" s="4" t="s">
        <v>190</v>
      </c>
      <c r="AA115">
        <v>0</v>
      </c>
      <c r="AB115" s="4" t="s">
        <v>1895</v>
      </c>
      <c r="AC115" s="4" t="s">
        <v>190</v>
      </c>
      <c r="AD115" s="4" t="s">
        <v>190</v>
      </c>
      <c r="AE115" s="4" t="s">
        <v>190</v>
      </c>
      <c r="AF115" s="4" t="s">
        <v>190</v>
      </c>
    </row>
    <row r="116" spans="1:32" ht="16.5" customHeight="1">
      <c r="A116" s="3" t="s">
        <v>19</v>
      </c>
      <c r="B116" s="3" t="s">
        <v>2017</v>
      </c>
      <c r="C116" s="3" t="s">
        <v>2272</v>
      </c>
      <c r="D116" s="3" t="s">
        <v>25</v>
      </c>
      <c r="E116" s="3" t="s">
        <v>2273</v>
      </c>
      <c r="F116" s="3" t="s">
        <v>2274</v>
      </c>
      <c r="G116" s="3" t="s">
        <v>50</v>
      </c>
      <c r="H116" s="5">
        <v>46066</v>
      </c>
      <c r="I116" s="5">
        <v>46059</v>
      </c>
      <c r="J116" s="3" t="s">
        <v>2275</v>
      </c>
      <c r="K116" s="3" t="s">
        <v>1892</v>
      </c>
      <c r="L116">
        <v>6</v>
      </c>
      <c r="M116" s="5"/>
      <c r="N116" s="3" t="s">
        <v>190</v>
      </c>
      <c r="O116">
        <v>0</v>
      </c>
      <c r="P116" s="3" t="s">
        <v>24</v>
      </c>
      <c r="Q116" s="3" t="s">
        <v>190</v>
      </c>
      <c r="R116" s="5">
        <v>46118</v>
      </c>
      <c r="S116" s="3" t="s">
        <v>190</v>
      </c>
      <c r="T116" s="3" t="s">
        <v>190</v>
      </c>
      <c r="U116">
        <v>0</v>
      </c>
      <c r="V116" s="3" t="s">
        <v>1901</v>
      </c>
      <c r="W116" s="3" t="s">
        <v>190</v>
      </c>
      <c r="X116" s="5">
        <v>46132</v>
      </c>
      <c r="Y116" s="3" t="s">
        <v>190</v>
      </c>
      <c r="Z116" s="3" t="s">
        <v>190</v>
      </c>
      <c r="AA116">
        <v>0</v>
      </c>
      <c r="AB116" s="3" t="s">
        <v>1895</v>
      </c>
      <c r="AC116" s="3" t="s">
        <v>190</v>
      </c>
      <c r="AD116" s="3" t="s">
        <v>190</v>
      </c>
      <c r="AE116" s="3" t="s">
        <v>190</v>
      </c>
      <c r="AF116" s="3" t="s">
        <v>190</v>
      </c>
    </row>
    <row r="117" spans="1:32" ht="16.5" customHeight="1">
      <c r="A117" s="4" t="s">
        <v>19</v>
      </c>
      <c r="B117" s="4" t="s">
        <v>2017</v>
      </c>
      <c r="C117" s="4" t="s">
        <v>2029</v>
      </c>
      <c r="D117" s="4" t="s">
        <v>25</v>
      </c>
      <c r="E117" s="4" t="s">
        <v>2276</v>
      </c>
      <c r="F117" s="4" t="s">
        <v>2277</v>
      </c>
      <c r="G117" s="4" t="s">
        <v>23</v>
      </c>
      <c r="H117" s="6">
        <v>46066</v>
      </c>
      <c r="I117" s="6">
        <v>46059</v>
      </c>
      <c r="J117" s="4" t="s">
        <v>2278</v>
      </c>
      <c r="K117" s="4" t="s">
        <v>1892</v>
      </c>
      <c r="L117">
        <v>6</v>
      </c>
      <c r="M117" s="6"/>
      <c r="N117" s="4" t="s">
        <v>190</v>
      </c>
      <c r="O117">
        <v>0</v>
      </c>
      <c r="P117" s="4" t="s">
        <v>24</v>
      </c>
      <c r="Q117" s="4" t="s">
        <v>190</v>
      </c>
      <c r="R117" s="6">
        <v>46118</v>
      </c>
      <c r="S117" s="4" t="s">
        <v>190</v>
      </c>
      <c r="T117" s="4" t="s">
        <v>190</v>
      </c>
      <c r="U117">
        <v>0</v>
      </c>
      <c r="V117" s="4" t="s">
        <v>1901</v>
      </c>
      <c r="W117" s="4" t="s">
        <v>190</v>
      </c>
      <c r="X117" s="6">
        <v>46132</v>
      </c>
      <c r="Y117" s="4" t="s">
        <v>190</v>
      </c>
      <c r="Z117" s="4" t="s">
        <v>190</v>
      </c>
      <c r="AA117">
        <v>0</v>
      </c>
      <c r="AB117" s="4" t="s">
        <v>1895</v>
      </c>
      <c r="AC117" s="4" t="s">
        <v>190</v>
      </c>
      <c r="AD117" s="4" t="s">
        <v>190</v>
      </c>
      <c r="AE117" s="4" t="s">
        <v>190</v>
      </c>
      <c r="AF117" s="4" t="s">
        <v>190</v>
      </c>
    </row>
    <row r="118" spans="1:32" ht="16.5" customHeight="1">
      <c r="A118" s="3" t="s">
        <v>19</v>
      </c>
      <c r="B118" s="3" t="s">
        <v>2017</v>
      </c>
      <c r="C118" s="3" t="s">
        <v>2029</v>
      </c>
      <c r="D118" s="3" t="s">
        <v>25</v>
      </c>
      <c r="E118" s="3" t="s">
        <v>2279</v>
      </c>
      <c r="F118" s="3" t="s">
        <v>2280</v>
      </c>
      <c r="G118" s="3" t="s">
        <v>23</v>
      </c>
      <c r="H118" s="5">
        <v>46077</v>
      </c>
      <c r="I118" s="5">
        <v>46080.573263888888</v>
      </c>
      <c r="J118" s="3" t="s">
        <v>2281</v>
      </c>
      <c r="K118" s="3" t="s">
        <v>1892</v>
      </c>
      <c r="L118">
        <v>6</v>
      </c>
      <c r="M118" s="5"/>
      <c r="N118" s="3" t="s">
        <v>190</v>
      </c>
      <c r="O118">
        <v>0</v>
      </c>
      <c r="P118" s="3" t="s">
        <v>24</v>
      </c>
      <c r="Q118" s="3" t="s">
        <v>190</v>
      </c>
      <c r="R118" s="5">
        <v>46118</v>
      </c>
      <c r="S118" s="3" t="s">
        <v>190</v>
      </c>
      <c r="T118" s="3" t="s">
        <v>190</v>
      </c>
      <c r="U118">
        <v>0</v>
      </c>
      <c r="V118" s="3" t="s">
        <v>1901</v>
      </c>
      <c r="W118" s="3" t="s">
        <v>190</v>
      </c>
      <c r="X118" s="5">
        <v>46132</v>
      </c>
      <c r="Y118" s="3" t="s">
        <v>190</v>
      </c>
      <c r="Z118" s="3" t="s">
        <v>190</v>
      </c>
      <c r="AA118">
        <v>0</v>
      </c>
      <c r="AB118" s="3" t="s">
        <v>1895</v>
      </c>
      <c r="AC118" s="3" t="s">
        <v>190</v>
      </c>
      <c r="AD118" s="3" t="s">
        <v>190</v>
      </c>
      <c r="AE118" s="3" t="s">
        <v>190</v>
      </c>
      <c r="AF118" s="3" t="s">
        <v>190</v>
      </c>
    </row>
    <row r="119" spans="1:32" ht="16.5" customHeight="1">
      <c r="A119" s="4" t="s">
        <v>19</v>
      </c>
      <c r="B119" s="4" t="s">
        <v>2045</v>
      </c>
      <c r="C119" s="4" t="s">
        <v>2046</v>
      </c>
      <c r="D119" s="4" t="s">
        <v>25</v>
      </c>
      <c r="E119" s="4" t="s">
        <v>2282</v>
      </c>
      <c r="F119" s="4" t="s">
        <v>2283</v>
      </c>
      <c r="G119" s="4" t="s">
        <v>23</v>
      </c>
      <c r="H119" s="6">
        <v>46031</v>
      </c>
      <c r="I119" s="6">
        <v>46059</v>
      </c>
      <c r="J119" s="4" t="s">
        <v>2284</v>
      </c>
      <c r="K119" s="4" t="s">
        <v>1892</v>
      </c>
      <c r="L119">
        <v>6</v>
      </c>
      <c r="M119" s="6">
        <v>46106</v>
      </c>
      <c r="N119" s="4" t="s">
        <v>1893</v>
      </c>
      <c r="O119">
        <v>0</v>
      </c>
      <c r="P119" s="4" t="s">
        <v>24</v>
      </c>
      <c r="Q119" s="4" t="s">
        <v>1893</v>
      </c>
      <c r="R119" s="6">
        <v>46118</v>
      </c>
      <c r="S119" s="4" t="s">
        <v>190</v>
      </c>
      <c r="T119" s="4" t="s">
        <v>190</v>
      </c>
      <c r="U119">
        <v>0</v>
      </c>
      <c r="V119" s="4" t="s">
        <v>1901</v>
      </c>
      <c r="W119" s="4" t="s">
        <v>190</v>
      </c>
      <c r="X119" s="6">
        <v>46132</v>
      </c>
      <c r="Y119" s="4" t="s">
        <v>190</v>
      </c>
      <c r="Z119" s="4" t="s">
        <v>190</v>
      </c>
      <c r="AA119">
        <v>0</v>
      </c>
      <c r="AB119" s="4" t="s">
        <v>1895</v>
      </c>
      <c r="AC119" s="4" t="s">
        <v>190</v>
      </c>
      <c r="AD119" s="4" t="s">
        <v>190</v>
      </c>
      <c r="AE119" s="4" t="s">
        <v>190</v>
      </c>
      <c r="AF119" s="4" t="s">
        <v>190</v>
      </c>
    </row>
    <row r="120" spans="1:32" ht="16.5" customHeight="1">
      <c r="A120" s="3" t="s">
        <v>19</v>
      </c>
      <c r="B120" s="3" t="s">
        <v>2045</v>
      </c>
      <c r="C120" s="3" t="s">
        <v>2046</v>
      </c>
      <c r="D120" s="3" t="s">
        <v>25</v>
      </c>
      <c r="E120" s="3" t="s">
        <v>2285</v>
      </c>
      <c r="F120" s="3" t="s">
        <v>2286</v>
      </c>
      <c r="G120" s="3" t="s">
        <v>50</v>
      </c>
      <c r="H120" s="5">
        <v>46031</v>
      </c>
      <c r="I120" s="5">
        <v>46059</v>
      </c>
      <c r="J120" s="3" t="s">
        <v>2287</v>
      </c>
      <c r="K120" s="3" t="s">
        <v>1892</v>
      </c>
      <c r="L120">
        <v>6</v>
      </c>
      <c r="M120" s="5">
        <v>46106</v>
      </c>
      <c r="N120" s="3" t="s">
        <v>1893</v>
      </c>
      <c r="O120">
        <v>0</v>
      </c>
      <c r="P120" s="3" t="s">
        <v>24</v>
      </c>
      <c r="Q120" s="3" t="s">
        <v>1893</v>
      </c>
      <c r="R120" s="5">
        <v>46118</v>
      </c>
      <c r="S120" s="3" t="s">
        <v>190</v>
      </c>
      <c r="T120" s="3" t="s">
        <v>190</v>
      </c>
      <c r="U120">
        <v>0</v>
      </c>
      <c r="V120" s="3" t="s">
        <v>1901</v>
      </c>
      <c r="W120" s="3" t="s">
        <v>190</v>
      </c>
      <c r="X120" s="5">
        <v>46132</v>
      </c>
      <c r="Y120" s="3" t="s">
        <v>190</v>
      </c>
      <c r="Z120" s="3" t="s">
        <v>190</v>
      </c>
      <c r="AA120">
        <v>0</v>
      </c>
      <c r="AB120" s="3" t="s">
        <v>1895</v>
      </c>
      <c r="AC120" s="3" t="s">
        <v>190</v>
      </c>
      <c r="AD120" s="3" t="s">
        <v>190</v>
      </c>
      <c r="AE120" s="3" t="s">
        <v>190</v>
      </c>
      <c r="AF120" s="3" t="s">
        <v>190</v>
      </c>
    </row>
    <row r="121" spans="1:32" ht="16.5" customHeight="1">
      <c r="A121" s="4" t="s">
        <v>19</v>
      </c>
      <c r="B121" s="4" t="s">
        <v>2045</v>
      </c>
      <c r="C121" s="4" t="s">
        <v>2046</v>
      </c>
      <c r="D121" s="4" t="s">
        <v>25</v>
      </c>
      <c r="E121" s="4" t="s">
        <v>2288</v>
      </c>
      <c r="F121" s="4" t="s">
        <v>2289</v>
      </c>
      <c r="G121" s="4" t="s">
        <v>50</v>
      </c>
      <c r="H121" s="6">
        <v>46031</v>
      </c>
      <c r="I121" s="6">
        <v>46059</v>
      </c>
      <c r="J121" s="4" t="s">
        <v>2290</v>
      </c>
      <c r="K121" s="4" t="s">
        <v>1892</v>
      </c>
      <c r="L121">
        <v>6</v>
      </c>
      <c r="M121" s="6">
        <v>46106</v>
      </c>
      <c r="N121" s="4" t="s">
        <v>1893</v>
      </c>
      <c r="O121">
        <v>0</v>
      </c>
      <c r="P121" s="4" t="s">
        <v>24</v>
      </c>
      <c r="Q121" s="4" t="s">
        <v>1893</v>
      </c>
      <c r="R121" s="6">
        <v>46118</v>
      </c>
      <c r="S121" s="4" t="s">
        <v>190</v>
      </c>
      <c r="T121" s="4" t="s">
        <v>190</v>
      </c>
      <c r="U121">
        <v>0</v>
      </c>
      <c r="V121" s="4" t="s">
        <v>1901</v>
      </c>
      <c r="W121" s="4" t="s">
        <v>190</v>
      </c>
      <c r="X121" s="6">
        <v>46132</v>
      </c>
      <c r="Y121" s="4" t="s">
        <v>190</v>
      </c>
      <c r="Z121" s="4" t="s">
        <v>190</v>
      </c>
      <c r="AA121">
        <v>0</v>
      </c>
      <c r="AB121" s="4" t="s">
        <v>1895</v>
      </c>
      <c r="AC121" s="4" t="s">
        <v>190</v>
      </c>
      <c r="AD121" s="4" t="s">
        <v>190</v>
      </c>
      <c r="AE121" s="4" t="s">
        <v>190</v>
      </c>
      <c r="AF121" s="4" t="s">
        <v>190</v>
      </c>
    </row>
    <row r="122" spans="1:32" ht="16.5" customHeight="1">
      <c r="A122" s="3" t="s">
        <v>19</v>
      </c>
      <c r="B122" s="3" t="s">
        <v>2045</v>
      </c>
      <c r="C122" s="3" t="s">
        <v>2056</v>
      </c>
      <c r="D122" s="3" t="s">
        <v>25</v>
      </c>
      <c r="E122" s="3" t="s">
        <v>2291</v>
      </c>
      <c r="F122" s="3" t="s">
        <v>2292</v>
      </c>
      <c r="G122" s="3" t="s">
        <v>23</v>
      </c>
      <c r="H122" s="5">
        <v>46038</v>
      </c>
      <c r="I122" s="5">
        <v>46059</v>
      </c>
      <c r="J122" s="3" t="s">
        <v>2293</v>
      </c>
      <c r="K122" s="3" t="s">
        <v>1892</v>
      </c>
      <c r="L122">
        <v>6</v>
      </c>
      <c r="M122" s="5">
        <v>46106</v>
      </c>
      <c r="N122" s="3" t="s">
        <v>1893</v>
      </c>
      <c r="O122">
        <v>0</v>
      </c>
      <c r="P122" s="3" t="s">
        <v>24</v>
      </c>
      <c r="Q122" s="3" t="s">
        <v>1893</v>
      </c>
      <c r="R122" s="5">
        <v>46118</v>
      </c>
      <c r="S122" s="3" t="s">
        <v>190</v>
      </c>
      <c r="T122" s="3" t="s">
        <v>190</v>
      </c>
      <c r="U122">
        <v>0</v>
      </c>
      <c r="V122" s="3" t="s">
        <v>1901</v>
      </c>
      <c r="W122" s="3" t="s">
        <v>190</v>
      </c>
      <c r="X122" s="5">
        <v>46132</v>
      </c>
      <c r="Y122" s="3" t="s">
        <v>190</v>
      </c>
      <c r="Z122" s="3" t="s">
        <v>190</v>
      </c>
      <c r="AA122">
        <v>0</v>
      </c>
      <c r="AB122" s="3" t="s">
        <v>1895</v>
      </c>
      <c r="AC122" s="3" t="s">
        <v>190</v>
      </c>
      <c r="AD122" s="3" t="s">
        <v>190</v>
      </c>
      <c r="AE122" s="3" t="s">
        <v>190</v>
      </c>
      <c r="AF122" s="3" t="s">
        <v>190</v>
      </c>
    </row>
    <row r="123" spans="1:32" ht="16.5" customHeight="1">
      <c r="A123" s="4" t="s">
        <v>19</v>
      </c>
      <c r="B123" s="4" t="s">
        <v>2045</v>
      </c>
      <c r="C123" s="4" t="s">
        <v>2056</v>
      </c>
      <c r="D123" s="4" t="s">
        <v>25</v>
      </c>
      <c r="E123" s="4" t="s">
        <v>2294</v>
      </c>
      <c r="F123" s="4" t="s">
        <v>2295</v>
      </c>
      <c r="G123" s="4" t="s">
        <v>23</v>
      </c>
      <c r="H123" s="6">
        <v>46038</v>
      </c>
      <c r="I123" s="6">
        <v>46059</v>
      </c>
      <c r="J123" s="4" t="s">
        <v>2296</v>
      </c>
      <c r="K123" s="4" t="s">
        <v>1892</v>
      </c>
      <c r="L123">
        <v>6</v>
      </c>
      <c r="M123" s="6">
        <v>46106</v>
      </c>
      <c r="N123" s="4" t="s">
        <v>1893</v>
      </c>
      <c r="O123">
        <v>0</v>
      </c>
      <c r="P123" s="4" t="s">
        <v>24</v>
      </c>
      <c r="Q123" s="4" t="s">
        <v>1893</v>
      </c>
      <c r="R123" s="6">
        <v>46118</v>
      </c>
      <c r="S123" s="4" t="s">
        <v>190</v>
      </c>
      <c r="T123" s="4" t="s">
        <v>190</v>
      </c>
      <c r="U123">
        <v>0</v>
      </c>
      <c r="V123" s="4" t="s">
        <v>1901</v>
      </c>
      <c r="W123" s="4" t="s">
        <v>190</v>
      </c>
      <c r="X123" s="6">
        <v>46132</v>
      </c>
      <c r="Y123" s="4" t="s">
        <v>190</v>
      </c>
      <c r="Z123" s="4" t="s">
        <v>190</v>
      </c>
      <c r="AA123">
        <v>0</v>
      </c>
      <c r="AB123" s="4" t="s">
        <v>1895</v>
      </c>
      <c r="AC123" s="4" t="s">
        <v>190</v>
      </c>
      <c r="AD123" s="4" t="s">
        <v>190</v>
      </c>
      <c r="AE123" s="4" t="s">
        <v>190</v>
      </c>
      <c r="AF123" s="4" t="s">
        <v>190</v>
      </c>
    </row>
    <row r="124" spans="1:32" ht="16.5" customHeight="1">
      <c r="A124" s="3" t="s">
        <v>19</v>
      </c>
      <c r="B124" s="3" t="s">
        <v>2045</v>
      </c>
      <c r="C124" s="3" t="s">
        <v>2069</v>
      </c>
      <c r="D124" s="3" t="s">
        <v>25</v>
      </c>
      <c r="E124" s="3" t="s">
        <v>2297</v>
      </c>
      <c r="F124" s="3" t="s">
        <v>2298</v>
      </c>
      <c r="G124" s="3" t="s">
        <v>23</v>
      </c>
      <c r="H124" s="5">
        <v>46045</v>
      </c>
      <c r="I124" s="5">
        <v>46059</v>
      </c>
      <c r="J124" s="3" t="s">
        <v>2299</v>
      </c>
      <c r="K124" s="3" t="s">
        <v>1892</v>
      </c>
      <c r="L124">
        <v>6</v>
      </c>
      <c r="M124" s="5">
        <v>46106</v>
      </c>
      <c r="N124" s="3" t="s">
        <v>1893</v>
      </c>
      <c r="O124">
        <v>0</v>
      </c>
      <c r="P124" s="3" t="s">
        <v>24</v>
      </c>
      <c r="Q124" s="3" t="s">
        <v>1893</v>
      </c>
      <c r="R124" s="5">
        <v>46118</v>
      </c>
      <c r="S124" s="3" t="s">
        <v>190</v>
      </c>
      <c r="T124" s="3" t="s">
        <v>190</v>
      </c>
      <c r="U124">
        <v>0</v>
      </c>
      <c r="V124" s="3" t="s">
        <v>1901</v>
      </c>
      <c r="W124" s="3" t="s">
        <v>190</v>
      </c>
      <c r="X124" s="5">
        <v>46132</v>
      </c>
      <c r="Y124" s="3" t="s">
        <v>190</v>
      </c>
      <c r="Z124" s="3" t="s">
        <v>190</v>
      </c>
      <c r="AA124">
        <v>0</v>
      </c>
      <c r="AB124" s="3" t="s">
        <v>1895</v>
      </c>
      <c r="AC124" s="3" t="s">
        <v>190</v>
      </c>
      <c r="AD124" s="3" t="s">
        <v>190</v>
      </c>
      <c r="AE124" s="3" t="s">
        <v>190</v>
      </c>
      <c r="AF124" s="3" t="s">
        <v>190</v>
      </c>
    </row>
    <row r="125" spans="1:32" ht="16.5" customHeight="1">
      <c r="A125" s="4" t="s">
        <v>19</v>
      </c>
      <c r="B125" s="4" t="s">
        <v>2045</v>
      </c>
      <c r="C125" s="4" t="s">
        <v>2069</v>
      </c>
      <c r="D125" s="4" t="s">
        <v>25</v>
      </c>
      <c r="E125" s="4" t="s">
        <v>2300</v>
      </c>
      <c r="F125" s="4" t="s">
        <v>2301</v>
      </c>
      <c r="G125" s="4" t="s">
        <v>50</v>
      </c>
      <c r="H125" s="6">
        <v>46045</v>
      </c>
      <c r="I125" s="6">
        <v>46059</v>
      </c>
      <c r="J125" s="4" t="s">
        <v>2302</v>
      </c>
      <c r="K125" s="4" t="s">
        <v>1892</v>
      </c>
      <c r="L125">
        <v>6</v>
      </c>
      <c r="M125" s="6">
        <v>46107</v>
      </c>
      <c r="N125" s="4" t="s">
        <v>1893</v>
      </c>
      <c r="O125">
        <v>0</v>
      </c>
      <c r="P125" s="4" t="s">
        <v>24</v>
      </c>
      <c r="Q125" s="4" t="s">
        <v>1893</v>
      </c>
      <c r="R125" s="6">
        <v>46118</v>
      </c>
      <c r="S125" s="4" t="s">
        <v>190</v>
      </c>
      <c r="T125" s="4" t="s">
        <v>190</v>
      </c>
      <c r="U125">
        <v>0</v>
      </c>
      <c r="V125" s="4" t="s">
        <v>1901</v>
      </c>
      <c r="W125" s="4" t="s">
        <v>190</v>
      </c>
      <c r="X125" s="6">
        <v>46132</v>
      </c>
      <c r="Y125" s="4" t="s">
        <v>190</v>
      </c>
      <c r="Z125" s="4" t="s">
        <v>190</v>
      </c>
      <c r="AA125">
        <v>0</v>
      </c>
      <c r="AB125" s="4" t="s">
        <v>1895</v>
      </c>
      <c r="AC125" s="4" t="s">
        <v>190</v>
      </c>
      <c r="AD125" s="4" t="s">
        <v>190</v>
      </c>
      <c r="AE125" s="4" t="s">
        <v>190</v>
      </c>
      <c r="AF125" s="4" t="s">
        <v>190</v>
      </c>
    </row>
    <row r="126" spans="1:32" ht="16.5" customHeight="1">
      <c r="A126" s="3" t="s">
        <v>19</v>
      </c>
      <c r="B126" s="3" t="s">
        <v>2045</v>
      </c>
      <c r="C126" s="3" t="s">
        <v>2069</v>
      </c>
      <c r="D126" s="3" t="s">
        <v>25</v>
      </c>
      <c r="E126" s="3" t="s">
        <v>2303</v>
      </c>
      <c r="F126" s="3" t="s">
        <v>2304</v>
      </c>
      <c r="G126" s="3" t="s">
        <v>50</v>
      </c>
      <c r="H126" s="5">
        <v>46052</v>
      </c>
      <c r="I126" s="5">
        <v>46059</v>
      </c>
      <c r="J126" s="3" t="s">
        <v>2305</v>
      </c>
      <c r="K126" s="3" t="s">
        <v>1892</v>
      </c>
      <c r="L126">
        <v>6</v>
      </c>
      <c r="M126" s="5">
        <v>46107</v>
      </c>
      <c r="N126" s="3" t="s">
        <v>1893</v>
      </c>
      <c r="O126">
        <v>0</v>
      </c>
      <c r="P126" s="3" t="s">
        <v>24</v>
      </c>
      <c r="Q126" s="3" t="s">
        <v>1893</v>
      </c>
      <c r="R126" s="5">
        <v>46118</v>
      </c>
      <c r="S126" s="3" t="s">
        <v>190</v>
      </c>
      <c r="T126" s="3" t="s">
        <v>190</v>
      </c>
      <c r="U126">
        <v>0</v>
      </c>
      <c r="V126" s="3" t="s">
        <v>1901</v>
      </c>
      <c r="W126" s="3" t="s">
        <v>190</v>
      </c>
      <c r="X126" s="5">
        <v>46132</v>
      </c>
      <c r="Y126" s="3" t="s">
        <v>190</v>
      </c>
      <c r="Z126" s="3" t="s">
        <v>190</v>
      </c>
      <c r="AA126">
        <v>0</v>
      </c>
      <c r="AB126" s="3" t="s">
        <v>1895</v>
      </c>
      <c r="AC126" s="3" t="s">
        <v>190</v>
      </c>
      <c r="AD126" s="3" t="s">
        <v>190</v>
      </c>
      <c r="AE126" s="3" t="s">
        <v>190</v>
      </c>
      <c r="AF126" s="3" t="s">
        <v>190</v>
      </c>
    </row>
    <row r="127" spans="1:32" ht="16.5" customHeight="1">
      <c r="A127" s="4" t="s">
        <v>19</v>
      </c>
      <c r="B127" s="4" t="s">
        <v>56</v>
      </c>
      <c r="C127" s="4" t="s">
        <v>190</v>
      </c>
      <c r="D127" s="4" t="s">
        <v>116</v>
      </c>
      <c r="E127" s="4" t="s">
        <v>2306</v>
      </c>
      <c r="F127" s="4" t="s">
        <v>2307</v>
      </c>
      <c r="G127" s="4" t="s">
        <v>50</v>
      </c>
      <c r="H127" s="6">
        <v>46059</v>
      </c>
      <c r="I127" s="6">
        <v>46063.660393518519</v>
      </c>
      <c r="J127" s="4" t="s">
        <v>2308</v>
      </c>
      <c r="K127" s="4" t="s">
        <v>1892</v>
      </c>
      <c r="L127">
        <v>6</v>
      </c>
      <c r="M127" s="6">
        <v>46108</v>
      </c>
      <c r="N127" s="4" t="s">
        <v>1893</v>
      </c>
      <c r="O127">
        <v>0</v>
      </c>
      <c r="P127" s="4" t="s">
        <v>24</v>
      </c>
      <c r="Q127" s="4" t="s">
        <v>1893</v>
      </c>
      <c r="R127" s="6">
        <v>46118</v>
      </c>
      <c r="S127" s="4" t="s">
        <v>190</v>
      </c>
      <c r="T127" s="4" t="s">
        <v>190</v>
      </c>
      <c r="U127">
        <v>0</v>
      </c>
      <c r="V127" s="4" t="s">
        <v>1901</v>
      </c>
      <c r="W127" s="4" t="s">
        <v>190</v>
      </c>
      <c r="X127" s="6">
        <v>46132</v>
      </c>
      <c r="Y127" s="4" t="s">
        <v>190</v>
      </c>
      <c r="Z127" s="4" t="s">
        <v>190</v>
      </c>
      <c r="AA127">
        <v>0</v>
      </c>
      <c r="AB127" s="4" t="s">
        <v>1895</v>
      </c>
      <c r="AC127" s="4" t="s">
        <v>190</v>
      </c>
      <c r="AD127" s="4" t="s">
        <v>190</v>
      </c>
      <c r="AE127" s="4" t="s">
        <v>190</v>
      </c>
      <c r="AF127" s="4" t="s">
        <v>190</v>
      </c>
    </row>
    <row r="128" spans="1:32" ht="16.5" customHeight="1">
      <c r="A128" s="3" t="s">
        <v>19</v>
      </c>
      <c r="B128" s="3" t="s">
        <v>56</v>
      </c>
      <c r="C128" s="3" t="s">
        <v>190</v>
      </c>
      <c r="D128" s="3" t="s">
        <v>116</v>
      </c>
      <c r="E128" s="3" t="s">
        <v>2309</v>
      </c>
      <c r="F128" s="3" t="s">
        <v>2310</v>
      </c>
      <c r="G128" s="3" t="s">
        <v>50</v>
      </c>
      <c r="H128" s="5">
        <v>46052</v>
      </c>
      <c r="I128" s="5">
        <v>46063.660231481481</v>
      </c>
      <c r="J128" s="3" t="s">
        <v>2311</v>
      </c>
      <c r="K128" s="3" t="s">
        <v>1892</v>
      </c>
      <c r="L128">
        <v>6</v>
      </c>
      <c r="M128" s="5">
        <v>46108</v>
      </c>
      <c r="N128" s="3" t="s">
        <v>1893</v>
      </c>
      <c r="O128">
        <v>0</v>
      </c>
      <c r="P128" s="3" t="s">
        <v>24</v>
      </c>
      <c r="Q128" s="3" t="s">
        <v>1893</v>
      </c>
      <c r="R128" s="5">
        <v>46118</v>
      </c>
      <c r="S128" s="3" t="s">
        <v>190</v>
      </c>
      <c r="T128" s="3" t="s">
        <v>190</v>
      </c>
      <c r="U128">
        <v>0</v>
      </c>
      <c r="V128" s="3" t="s">
        <v>1901</v>
      </c>
      <c r="W128" s="3" t="s">
        <v>190</v>
      </c>
      <c r="X128" s="5">
        <v>46132</v>
      </c>
      <c r="Y128" s="3" t="s">
        <v>190</v>
      </c>
      <c r="Z128" s="3" t="s">
        <v>190</v>
      </c>
      <c r="AA128">
        <v>0</v>
      </c>
      <c r="AB128" s="3" t="s">
        <v>1895</v>
      </c>
      <c r="AC128" s="3" t="s">
        <v>190</v>
      </c>
      <c r="AD128" s="3" t="s">
        <v>190</v>
      </c>
      <c r="AE128" s="3" t="s">
        <v>190</v>
      </c>
      <c r="AF128" s="3" t="s">
        <v>190</v>
      </c>
    </row>
    <row r="129" spans="1:32" ht="16.5" customHeight="1">
      <c r="A129" s="4" t="s">
        <v>19</v>
      </c>
      <c r="B129" s="4" t="s">
        <v>56</v>
      </c>
      <c r="C129" s="4" t="s">
        <v>190</v>
      </c>
      <c r="D129" s="4" t="s">
        <v>116</v>
      </c>
      <c r="E129" s="4" t="s">
        <v>2312</v>
      </c>
      <c r="F129" s="4" t="s">
        <v>2313</v>
      </c>
      <c r="G129" s="4" t="s">
        <v>23</v>
      </c>
      <c r="H129" s="6">
        <v>46059</v>
      </c>
      <c r="I129" s="6">
        <v>46063.660104166665</v>
      </c>
      <c r="J129" s="4" t="s">
        <v>2314</v>
      </c>
      <c r="K129" s="4" t="s">
        <v>1892</v>
      </c>
      <c r="L129">
        <v>6</v>
      </c>
      <c r="M129" s="6">
        <v>46108</v>
      </c>
      <c r="N129" s="4" t="s">
        <v>1893</v>
      </c>
      <c r="O129">
        <v>0</v>
      </c>
      <c r="P129" s="4" t="s">
        <v>24</v>
      </c>
      <c r="Q129" s="4" t="s">
        <v>1893</v>
      </c>
      <c r="R129" s="6">
        <v>46118</v>
      </c>
      <c r="S129" s="4" t="s">
        <v>190</v>
      </c>
      <c r="T129" s="4" t="s">
        <v>190</v>
      </c>
      <c r="U129">
        <v>0</v>
      </c>
      <c r="V129" s="4" t="s">
        <v>1901</v>
      </c>
      <c r="W129" s="4" t="s">
        <v>190</v>
      </c>
      <c r="X129" s="6">
        <v>46132</v>
      </c>
      <c r="Y129" s="4" t="s">
        <v>190</v>
      </c>
      <c r="Z129" s="4" t="s">
        <v>190</v>
      </c>
      <c r="AA129">
        <v>0</v>
      </c>
      <c r="AB129" s="4" t="s">
        <v>1895</v>
      </c>
      <c r="AC129" s="4" t="s">
        <v>190</v>
      </c>
      <c r="AD129" s="4" t="s">
        <v>190</v>
      </c>
      <c r="AE129" s="4" t="s">
        <v>190</v>
      </c>
      <c r="AF129" s="4" t="s">
        <v>190</v>
      </c>
    </row>
    <row r="130" spans="1:32" ht="16.5" customHeight="1">
      <c r="A130" s="3" t="s">
        <v>19</v>
      </c>
      <c r="B130" s="3" t="s">
        <v>56</v>
      </c>
      <c r="C130" s="3" t="s">
        <v>190</v>
      </c>
      <c r="D130" s="3" t="s">
        <v>116</v>
      </c>
      <c r="E130" s="3" t="s">
        <v>2315</v>
      </c>
      <c r="F130" s="3" t="s">
        <v>2316</v>
      </c>
      <c r="G130" s="3" t="s">
        <v>23</v>
      </c>
      <c r="H130" s="5">
        <v>46059</v>
      </c>
      <c r="I130" s="5">
        <v>46063.660150462965</v>
      </c>
      <c r="J130" s="3" t="s">
        <v>2317</v>
      </c>
      <c r="K130" s="3" t="s">
        <v>1892</v>
      </c>
      <c r="L130">
        <v>6</v>
      </c>
      <c r="M130" s="5">
        <v>46108</v>
      </c>
      <c r="N130" s="3" t="s">
        <v>1893</v>
      </c>
      <c r="O130">
        <v>0</v>
      </c>
      <c r="P130" s="3" t="s">
        <v>24</v>
      </c>
      <c r="Q130" s="3" t="s">
        <v>1893</v>
      </c>
      <c r="R130" s="5">
        <v>46118</v>
      </c>
      <c r="S130" s="3" t="s">
        <v>190</v>
      </c>
      <c r="T130" s="3" t="s">
        <v>190</v>
      </c>
      <c r="U130">
        <v>0</v>
      </c>
      <c r="V130" s="3" t="s">
        <v>1901</v>
      </c>
      <c r="W130" s="3" t="s">
        <v>190</v>
      </c>
      <c r="X130" s="5">
        <v>46132</v>
      </c>
      <c r="Y130" s="3" t="s">
        <v>190</v>
      </c>
      <c r="Z130" s="3" t="s">
        <v>190</v>
      </c>
      <c r="AA130">
        <v>0</v>
      </c>
      <c r="AB130" s="3" t="s">
        <v>1895</v>
      </c>
      <c r="AC130" s="3" t="s">
        <v>190</v>
      </c>
      <c r="AD130" s="3" t="s">
        <v>190</v>
      </c>
      <c r="AE130" s="3" t="s">
        <v>190</v>
      </c>
      <c r="AF130" s="3" t="s">
        <v>190</v>
      </c>
    </row>
    <row r="131" spans="1:32" ht="16.5" customHeight="1">
      <c r="A131" s="4" t="s">
        <v>216</v>
      </c>
      <c r="B131" s="4" t="s">
        <v>2088</v>
      </c>
      <c r="C131" s="4" t="s">
        <v>2318</v>
      </c>
      <c r="D131" s="4" t="s">
        <v>25</v>
      </c>
      <c r="E131" s="4" t="s">
        <v>2319</v>
      </c>
      <c r="F131" s="4" t="s">
        <v>2318</v>
      </c>
      <c r="G131" s="4" t="s">
        <v>220</v>
      </c>
      <c r="H131" s="6">
        <v>46031</v>
      </c>
      <c r="I131" s="6">
        <v>46029.371053240742</v>
      </c>
      <c r="J131" s="4" t="s">
        <v>1788</v>
      </c>
      <c r="K131" s="4" t="s">
        <v>1892</v>
      </c>
      <c r="L131">
        <v>6</v>
      </c>
      <c r="M131" s="6">
        <v>46105</v>
      </c>
      <c r="N131" s="4" t="s">
        <v>1900</v>
      </c>
      <c r="O131">
        <v>0</v>
      </c>
      <c r="P131" s="4" t="s">
        <v>24</v>
      </c>
      <c r="Q131" s="4" t="s">
        <v>1893</v>
      </c>
      <c r="R131" s="6">
        <v>46118</v>
      </c>
      <c r="S131" s="4" t="s">
        <v>190</v>
      </c>
      <c r="T131" s="4" t="s">
        <v>190</v>
      </c>
      <c r="U131">
        <v>0</v>
      </c>
      <c r="V131" s="4" t="s">
        <v>1901</v>
      </c>
      <c r="W131" s="4" t="s">
        <v>190</v>
      </c>
      <c r="X131" s="6">
        <v>46132</v>
      </c>
      <c r="Y131" s="4" t="s">
        <v>190</v>
      </c>
      <c r="Z131" s="4" t="s">
        <v>190</v>
      </c>
      <c r="AA131">
        <v>0</v>
      </c>
      <c r="AB131" s="4" t="s">
        <v>1895</v>
      </c>
      <c r="AC131" s="4" t="s">
        <v>190</v>
      </c>
      <c r="AD131" s="4" t="s">
        <v>190</v>
      </c>
      <c r="AE131" s="4" t="s">
        <v>190</v>
      </c>
      <c r="AF131" s="4" t="s">
        <v>190</v>
      </c>
    </row>
    <row r="132" spans="1:32" ht="16.5" customHeight="1">
      <c r="A132" s="3" t="s">
        <v>216</v>
      </c>
      <c r="B132" s="3" t="s">
        <v>56</v>
      </c>
      <c r="C132" s="3" t="s">
        <v>56</v>
      </c>
      <c r="D132" s="3" t="s">
        <v>116</v>
      </c>
      <c r="E132" s="3" t="s">
        <v>2320</v>
      </c>
      <c r="F132" s="3" t="s">
        <v>2321</v>
      </c>
      <c r="G132" s="3" t="s">
        <v>220</v>
      </c>
      <c r="H132" s="5">
        <v>45897</v>
      </c>
      <c r="I132" s="5">
        <v>46065.504178240742</v>
      </c>
      <c r="J132" s="3" t="s">
        <v>2322</v>
      </c>
      <c r="K132" s="3" t="s">
        <v>1892</v>
      </c>
      <c r="L132">
        <v>6</v>
      </c>
      <c r="M132" s="5">
        <v>46105</v>
      </c>
      <c r="N132" s="3" t="s">
        <v>1893</v>
      </c>
      <c r="O132">
        <v>0</v>
      </c>
      <c r="P132" s="3" t="s">
        <v>24</v>
      </c>
      <c r="Q132" s="3" t="s">
        <v>1893</v>
      </c>
      <c r="R132" s="5">
        <v>46118</v>
      </c>
      <c r="S132" s="3" t="s">
        <v>190</v>
      </c>
      <c r="T132" s="3" t="s">
        <v>190</v>
      </c>
      <c r="U132">
        <v>0</v>
      </c>
      <c r="V132" s="3" t="s">
        <v>1901</v>
      </c>
      <c r="W132" s="3" t="s">
        <v>190</v>
      </c>
      <c r="X132" s="5">
        <v>46132</v>
      </c>
      <c r="Y132" s="3" t="s">
        <v>190</v>
      </c>
      <c r="Z132" s="3" t="s">
        <v>190</v>
      </c>
      <c r="AA132">
        <v>0</v>
      </c>
      <c r="AB132" s="3" t="s">
        <v>1895</v>
      </c>
      <c r="AC132" s="3" t="s">
        <v>190</v>
      </c>
      <c r="AD132" s="3" t="s">
        <v>190</v>
      </c>
      <c r="AE132" s="3" t="s">
        <v>190</v>
      </c>
      <c r="AF132" s="3" t="s">
        <v>190</v>
      </c>
    </row>
    <row r="133" spans="1:32" ht="16.5" customHeight="1">
      <c r="A133" s="4" t="s">
        <v>216</v>
      </c>
      <c r="B133" s="4" t="s">
        <v>56</v>
      </c>
      <c r="C133" s="4" t="s">
        <v>56</v>
      </c>
      <c r="D133" s="4" t="s">
        <v>116</v>
      </c>
      <c r="E133" s="4" t="s">
        <v>2323</v>
      </c>
      <c r="F133" s="4" t="s">
        <v>2324</v>
      </c>
      <c r="G133" s="4" t="s">
        <v>220</v>
      </c>
      <c r="H133" s="6">
        <v>46051</v>
      </c>
      <c r="I133" s="6">
        <v>46050.596631944441</v>
      </c>
      <c r="J133" s="4" t="s">
        <v>2325</v>
      </c>
      <c r="K133" s="4" t="s">
        <v>1892</v>
      </c>
      <c r="L133">
        <v>6</v>
      </c>
      <c r="M133" s="6">
        <v>46105</v>
      </c>
      <c r="N133" s="4" t="s">
        <v>1893</v>
      </c>
      <c r="O133">
        <v>0</v>
      </c>
      <c r="P133" s="4" t="s">
        <v>24</v>
      </c>
      <c r="Q133" s="4" t="s">
        <v>1893</v>
      </c>
      <c r="R133" s="6">
        <v>46118</v>
      </c>
      <c r="S133" s="4" t="s">
        <v>190</v>
      </c>
      <c r="T133" s="4" t="s">
        <v>190</v>
      </c>
      <c r="U133">
        <v>0</v>
      </c>
      <c r="V133" s="4" t="s">
        <v>1901</v>
      </c>
      <c r="W133" s="4" t="s">
        <v>190</v>
      </c>
      <c r="X133" s="6">
        <v>46132</v>
      </c>
      <c r="Y133" s="4" t="s">
        <v>190</v>
      </c>
      <c r="Z133" s="4" t="s">
        <v>190</v>
      </c>
      <c r="AA133">
        <v>0</v>
      </c>
      <c r="AB133" s="4" t="s">
        <v>1895</v>
      </c>
      <c r="AC133" s="4" t="s">
        <v>190</v>
      </c>
      <c r="AD133" s="4" t="s">
        <v>190</v>
      </c>
      <c r="AE133" s="4" t="s">
        <v>190</v>
      </c>
      <c r="AF133" s="4" t="s">
        <v>190</v>
      </c>
    </row>
    <row r="134" spans="1:32" ht="16.5" customHeight="1">
      <c r="A134" s="3" t="s">
        <v>261</v>
      </c>
      <c r="B134" s="3" t="s">
        <v>56</v>
      </c>
      <c r="C134" s="3" t="s">
        <v>56</v>
      </c>
      <c r="D134" s="3" t="s">
        <v>1795</v>
      </c>
      <c r="E134" s="3" t="s">
        <v>2326</v>
      </c>
      <c r="F134" s="3" t="s">
        <v>2327</v>
      </c>
      <c r="G134" s="3" t="s">
        <v>219</v>
      </c>
      <c r="H134" s="5">
        <v>46066</v>
      </c>
      <c r="I134" s="5">
        <v>46065.498101851852</v>
      </c>
      <c r="J134" s="3" t="s">
        <v>2328</v>
      </c>
      <c r="K134" s="3" t="s">
        <v>1892</v>
      </c>
      <c r="L134">
        <v>6</v>
      </c>
      <c r="M134" s="5"/>
      <c r="N134" s="3" t="s">
        <v>190</v>
      </c>
      <c r="O134">
        <v>0</v>
      </c>
      <c r="P134" s="3" t="s">
        <v>24</v>
      </c>
      <c r="Q134" s="3" t="s">
        <v>190</v>
      </c>
      <c r="R134" s="5">
        <v>46118</v>
      </c>
      <c r="S134" s="3" t="s">
        <v>190</v>
      </c>
      <c r="T134" s="3" t="s">
        <v>190</v>
      </c>
      <c r="U134">
        <v>0</v>
      </c>
      <c r="V134" s="3" t="s">
        <v>1901</v>
      </c>
      <c r="W134" s="3" t="s">
        <v>190</v>
      </c>
      <c r="X134" s="5">
        <v>46132</v>
      </c>
      <c r="Y134" s="3" t="s">
        <v>190</v>
      </c>
      <c r="Z134" s="3" t="s">
        <v>190</v>
      </c>
      <c r="AA134">
        <v>0</v>
      </c>
      <c r="AB134" s="3" t="s">
        <v>1895</v>
      </c>
      <c r="AC134" s="3" t="s">
        <v>190</v>
      </c>
      <c r="AD134" s="3" t="s">
        <v>190</v>
      </c>
      <c r="AE134" s="3" t="s">
        <v>190</v>
      </c>
      <c r="AF134" s="3" t="s">
        <v>190</v>
      </c>
    </row>
    <row r="135" spans="1:32" ht="16.5" customHeight="1">
      <c r="A135" s="4" t="s">
        <v>261</v>
      </c>
      <c r="B135" s="4" t="s">
        <v>56</v>
      </c>
      <c r="C135" s="4" t="s">
        <v>56</v>
      </c>
      <c r="D135" s="4" t="s">
        <v>1795</v>
      </c>
      <c r="E135" s="4" t="s">
        <v>2329</v>
      </c>
      <c r="F135" s="4" t="s">
        <v>2330</v>
      </c>
      <c r="G135" s="4" t="s">
        <v>219</v>
      </c>
      <c r="H135" s="6">
        <v>46066</v>
      </c>
      <c r="I135" s="6">
        <v>46065.498171296298</v>
      </c>
      <c r="J135" s="4" t="s">
        <v>2331</v>
      </c>
      <c r="K135" s="4" t="s">
        <v>1892</v>
      </c>
      <c r="L135">
        <v>6</v>
      </c>
      <c r="M135" s="6"/>
      <c r="N135" s="4" t="s">
        <v>190</v>
      </c>
      <c r="O135">
        <v>0</v>
      </c>
      <c r="P135" s="4" t="s">
        <v>24</v>
      </c>
      <c r="Q135" s="4" t="s">
        <v>190</v>
      </c>
      <c r="R135" s="6">
        <v>46118</v>
      </c>
      <c r="S135" s="4" t="s">
        <v>190</v>
      </c>
      <c r="T135" s="4" t="s">
        <v>190</v>
      </c>
      <c r="U135">
        <v>0</v>
      </c>
      <c r="V135" s="4" t="s">
        <v>1901</v>
      </c>
      <c r="W135" s="4" t="s">
        <v>190</v>
      </c>
      <c r="X135" s="6">
        <v>46132</v>
      </c>
      <c r="Y135" s="4" t="s">
        <v>190</v>
      </c>
      <c r="Z135" s="4" t="s">
        <v>190</v>
      </c>
      <c r="AA135">
        <v>0</v>
      </c>
      <c r="AB135" s="4" t="s">
        <v>1895</v>
      </c>
      <c r="AC135" s="4" t="s">
        <v>190</v>
      </c>
      <c r="AD135" s="4" t="s">
        <v>190</v>
      </c>
      <c r="AE135" s="4" t="s">
        <v>190</v>
      </c>
      <c r="AF135" s="4" t="s">
        <v>190</v>
      </c>
    </row>
    <row r="136" spans="1:32" ht="16.5" customHeight="1">
      <c r="A136" s="3" t="s">
        <v>261</v>
      </c>
      <c r="B136" s="3" t="s">
        <v>2095</v>
      </c>
      <c r="C136" s="3" t="s">
        <v>2332</v>
      </c>
      <c r="D136" s="3" t="s">
        <v>25</v>
      </c>
      <c r="E136" s="3" t="s">
        <v>2333</v>
      </c>
      <c r="F136" s="3" t="s">
        <v>2332</v>
      </c>
      <c r="G136" s="3" t="s">
        <v>264</v>
      </c>
      <c r="H136" s="5">
        <v>46038</v>
      </c>
      <c r="I136" s="5">
        <v>46048.694340277776</v>
      </c>
      <c r="J136" s="3" t="s">
        <v>2334</v>
      </c>
      <c r="K136" s="3" t="s">
        <v>1892</v>
      </c>
      <c r="L136">
        <v>6</v>
      </c>
      <c r="M136" s="5">
        <v>46104</v>
      </c>
      <c r="N136" s="3" t="s">
        <v>1893</v>
      </c>
      <c r="O136">
        <v>0</v>
      </c>
      <c r="P136" s="3" t="s">
        <v>24</v>
      </c>
      <c r="Q136" s="3" t="s">
        <v>1893</v>
      </c>
      <c r="R136" s="5">
        <v>46118</v>
      </c>
      <c r="S136" s="3" t="s">
        <v>190</v>
      </c>
      <c r="T136" s="3" t="s">
        <v>190</v>
      </c>
      <c r="U136">
        <v>0</v>
      </c>
      <c r="V136" s="3" t="s">
        <v>1901</v>
      </c>
      <c r="W136" s="3" t="s">
        <v>190</v>
      </c>
      <c r="X136" s="5">
        <v>46132</v>
      </c>
      <c r="Y136" s="3" t="s">
        <v>190</v>
      </c>
      <c r="Z136" s="3" t="s">
        <v>190</v>
      </c>
      <c r="AA136">
        <v>0</v>
      </c>
      <c r="AB136" s="3" t="s">
        <v>1895</v>
      </c>
      <c r="AC136" s="3" t="s">
        <v>190</v>
      </c>
      <c r="AD136" s="3" t="s">
        <v>190</v>
      </c>
      <c r="AE136" s="3" t="s">
        <v>190</v>
      </c>
      <c r="AF136" s="3" t="s">
        <v>190</v>
      </c>
    </row>
    <row r="137" spans="1:32" ht="16.5" customHeight="1">
      <c r="A137" s="4" t="s">
        <v>261</v>
      </c>
      <c r="B137" s="4" t="s">
        <v>2092</v>
      </c>
      <c r="C137" s="4" t="s">
        <v>2335</v>
      </c>
      <c r="D137" s="4" t="s">
        <v>25</v>
      </c>
      <c r="E137" s="4" t="s">
        <v>2336</v>
      </c>
      <c r="F137" s="4" t="s">
        <v>2337</v>
      </c>
      <c r="G137" s="4" t="s">
        <v>264</v>
      </c>
      <c r="H137" s="6">
        <v>46010</v>
      </c>
      <c r="I137" s="6">
        <v>46037.585833333331</v>
      </c>
      <c r="J137" s="4" t="s">
        <v>2338</v>
      </c>
      <c r="K137" s="4" t="s">
        <v>1892</v>
      </c>
      <c r="L137">
        <v>6</v>
      </c>
      <c r="M137" s="6">
        <v>46104</v>
      </c>
      <c r="N137" s="4" t="s">
        <v>1893</v>
      </c>
      <c r="O137">
        <v>0</v>
      </c>
      <c r="P137" s="4" t="s">
        <v>24</v>
      </c>
      <c r="Q137" s="4" t="s">
        <v>1893</v>
      </c>
      <c r="R137" s="6">
        <v>46118</v>
      </c>
      <c r="S137" s="4" t="s">
        <v>190</v>
      </c>
      <c r="T137" s="4" t="s">
        <v>190</v>
      </c>
      <c r="U137">
        <v>0</v>
      </c>
      <c r="V137" s="4" t="s">
        <v>1901</v>
      </c>
      <c r="W137" s="4" t="s">
        <v>190</v>
      </c>
      <c r="X137" s="6">
        <v>46132</v>
      </c>
      <c r="Y137" s="4" t="s">
        <v>190</v>
      </c>
      <c r="Z137" s="4" t="s">
        <v>190</v>
      </c>
      <c r="AA137">
        <v>0</v>
      </c>
      <c r="AB137" s="4" t="s">
        <v>1895</v>
      </c>
      <c r="AC137" s="4" t="s">
        <v>190</v>
      </c>
      <c r="AD137" s="4" t="s">
        <v>190</v>
      </c>
      <c r="AE137" s="4" t="s">
        <v>190</v>
      </c>
      <c r="AF137" s="4" t="s">
        <v>190</v>
      </c>
    </row>
    <row r="138" spans="1:32" ht="16.5" customHeight="1">
      <c r="A138" s="3" t="s">
        <v>261</v>
      </c>
      <c r="B138" s="3" t="s">
        <v>2092</v>
      </c>
      <c r="C138" s="3" t="s">
        <v>2339</v>
      </c>
      <c r="D138" s="3" t="s">
        <v>25</v>
      </c>
      <c r="E138" s="3" t="s">
        <v>2340</v>
      </c>
      <c r="F138" s="3" t="s">
        <v>2341</v>
      </c>
      <c r="G138" s="3" t="s">
        <v>264</v>
      </c>
      <c r="H138" s="5">
        <v>46010</v>
      </c>
      <c r="I138" s="5">
        <v>46037.585879629631</v>
      </c>
      <c r="J138" s="3" t="s">
        <v>473</v>
      </c>
      <c r="K138" s="3" t="s">
        <v>1892</v>
      </c>
      <c r="L138">
        <v>6</v>
      </c>
      <c r="M138" s="5">
        <v>46104</v>
      </c>
      <c r="N138" s="3" t="s">
        <v>1900</v>
      </c>
      <c r="O138">
        <v>0</v>
      </c>
      <c r="P138" s="3" t="s">
        <v>24</v>
      </c>
      <c r="Q138" s="3" t="s">
        <v>1900</v>
      </c>
      <c r="R138" s="5">
        <v>46118</v>
      </c>
      <c r="S138" s="3" t="s">
        <v>190</v>
      </c>
      <c r="T138" s="3" t="s">
        <v>190</v>
      </c>
      <c r="U138">
        <v>0</v>
      </c>
      <c r="V138" s="3" t="s">
        <v>1901</v>
      </c>
      <c r="W138" s="3" t="s">
        <v>190</v>
      </c>
      <c r="X138" s="5">
        <v>46132</v>
      </c>
      <c r="Y138" s="3" t="s">
        <v>190</v>
      </c>
      <c r="Z138" s="3" t="s">
        <v>190</v>
      </c>
      <c r="AA138">
        <v>0</v>
      </c>
      <c r="AB138" s="3" t="s">
        <v>1895</v>
      </c>
      <c r="AC138" s="3" t="s">
        <v>190</v>
      </c>
      <c r="AD138" s="3" t="s">
        <v>190</v>
      </c>
      <c r="AE138" s="3" t="s">
        <v>190</v>
      </c>
      <c r="AF138" s="3" t="s">
        <v>190</v>
      </c>
    </row>
    <row r="139" spans="1:32" ht="16.5" customHeight="1">
      <c r="A139" s="4" t="s">
        <v>261</v>
      </c>
      <c r="B139" s="4" t="s">
        <v>2095</v>
      </c>
      <c r="C139" s="4" t="s">
        <v>2342</v>
      </c>
      <c r="D139" s="4" t="s">
        <v>25</v>
      </c>
      <c r="E139" s="4" t="s">
        <v>2343</v>
      </c>
      <c r="F139" s="4" t="s">
        <v>2342</v>
      </c>
      <c r="G139" s="4" t="s">
        <v>219</v>
      </c>
      <c r="H139" s="6">
        <v>45786</v>
      </c>
      <c r="I139" s="6">
        <v>45793</v>
      </c>
      <c r="J139" s="4" t="s">
        <v>2344</v>
      </c>
      <c r="K139" s="4" t="s">
        <v>1892</v>
      </c>
      <c r="L139">
        <v>6</v>
      </c>
      <c r="M139" s="6">
        <v>45821</v>
      </c>
      <c r="N139" s="4" t="s">
        <v>1893</v>
      </c>
      <c r="O139">
        <v>0</v>
      </c>
      <c r="P139" s="4" t="s">
        <v>221</v>
      </c>
      <c r="Q139" s="4" t="s">
        <v>1893</v>
      </c>
      <c r="R139" s="6">
        <v>46118</v>
      </c>
      <c r="S139" s="4" t="s">
        <v>190</v>
      </c>
      <c r="T139" s="4" t="s">
        <v>190</v>
      </c>
      <c r="U139">
        <v>0</v>
      </c>
      <c r="V139" s="4" t="s">
        <v>1894</v>
      </c>
      <c r="W139" s="4" t="s">
        <v>190</v>
      </c>
      <c r="X139" s="6">
        <v>46132</v>
      </c>
      <c r="Y139" s="4" t="s">
        <v>190</v>
      </c>
      <c r="Z139" s="4" t="s">
        <v>190</v>
      </c>
      <c r="AA139">
        <v>0</v>
      </c>
      <c r="AB139" s="4" t="s">
        <v>1895</v>
      </c>
      <c r="AC139" s="4" t="s">
        <v>190</v>
      </c>
      <c r="AD139" s="4" t="s">
        <v>190</v>
      </c>
      <c r="AE139" s="4" t="s">
        <v>190</v>
      </c>
      <c r="AF139" s="4" t="s">
        <v>190</v>
      </c>
    </row>
    <row r="140" spans="1:32" ht="16.5" customHeight="1">
      <c r="A140" s="3" t="s">
        <v>261</v>
      </c>
      <c r="B140" s="3" t="s">
        <v>2095</v>
      </c>
      <c r="C140" s="3" t="s">
        <v>2345</v>
      </c>
      <c r="D140" s="3" t="s">
        <v>25</v>
      </c>
      <c r="E140" s="3" t="s">
        <v>2346</v>
      </c>
      <c r="F140" s="3" t="s">
        <v>2345</v>
      </c>
      <c r="G140" s="3" t="s">
        <v>225</v>
      </c>
      <c r="H140" s="5">
        <v>45807</v>
      </c>
      <c r="I140" s="5">
        <v>45813</v>
      </c>
      <c r="J140" s="3" t="s">
        <v>2347</v>
      </c>
      <c r="K140" s="3" t="s">
        <v>1892</v>
      </c>
      <c r="L140">
        <v>6</v>
      </c>
      <c r="M140" s="5">
        <v>45860</v>
      </c>
      <c r="N140" s="3" t="s">
        <v>1893</v>
      </c>
      <c r="O140">
        <v>0</v>
      </c>
      <c r="P140" s="3" t="s">
        <v>221</v>
      </c>
      <c r="Q140" s="3" t="s">
        <v>1893</v>
      </c>
      <c r="R140" s="5">
        <v>46118</v>
      </c>
      <c r="S140" s="3" t="s">
        <v>190</v>
      </c>
      <c r="T140" s="3" t="s">
        <v>190</v>
      </c>
      <c r="U140">
        <v>0</v>
      </c>
      <c r="V140" s="3" t="s">
        <v>1956</v>
      </c>
      <c r="W140" s="3" t="s">
        <v>190</v>
      </c>
      <c r="X140" s="5">
        <v>46132</v>
      </c>
      <c r="Y140" s="3" t="s">
        <v>190</v>
      </c>
      <c r="Z140" s="3" t="s">
        <v>190</v>
      </c>
      <c r="AA140">
        <v>0</v>
      </c>
      <c r="AB140" s="3" t="s">
        <v>1895</v>
      </c>
      <c r="AC140" s="3" t="s">
        <v>190</v>
      </c>
      <c r="AD140" s="3" t="s">
        <v>190</v>
      </c>
      <c r="AE140" s="3" t="s">
        <v>190</v>
      </c>
      <c r="AF140" s="3" t="s">
        <v>190</v>
      </c>
    </row>
    <row r="141" spans="1:32" ht="16.5" customHeight="1">
      <c r="A141" s="4" t="s">
        <v>261</v>
      </c>
      <c r="B141" s="4" t="s">
        <v>2095</v>
      </c>
      <c r="C141" s="4" t="s">
        <v>2348</v>
      </c>
      <c r="D141" s="4" t="s">
        <v>25</v>
      </c>
      <c r="E141" s="4" t="s">
        <v>2349</v>
      </c>
      <c r="F141" s="4" t="s">
        <v>2348</v>
      </c>
      <c r="G141" s="4" t="s">
        <v>225</v>
      </c>
      <c r="H141" s="6">
        <v>45835</v>
      </c>
      <c r="I141" s="6">
        <v>45828</v>
      </c>
      <c r="J141" s="4" t="s">
        <v>2350</v>
      </c>
      <c r="K141" s="4" t="s">
        <v>1892</v>
      </c>
      <c r="L141">
        <v>6</v>
      </c>
      <c r="M141" s="6">
        <v>45860</v>
      </c>
      <c r="N141" s="4" t="s">
        <v>1893</v>
      </c>
      <c r="O141">
        <v>0</v>
      </c>
      <c r="P141" s="4" t="s">
        <v>221</v>
      </c>
      <c r="Q141" s="4" t="s">
        <v>1893</v>
      </c>
      <c r="R141" s="6">
        <v>46118</v>
      </c>
      <c r="S141" s="4" t="s">
        <v>190</v>
      </c>
      <c r="T141" s="4" t="s">
        <v>190</v>
      </c>
      <c r="U141">
        <v>0</v>
      </c>
      <c r="V141" s="4" t="s">
        <v>1956</v>
      </c>
      <c r="W141" s="4" t="s">
        <v>190</v>
      </c>
      <c r="X141" s="6">
        <v>46132</v>
      </c>
      <c r="Y141" s="4" t="s">
        <v>190</v>
      </c>
      <c r="Z141" s="4" t="s">
        <v>190</v>
      </c>
      <c r="AA141">
        <v>0</v>
      </c>
      <c r="AB141" s="4" t="s">
        <v>1895</v>
      </c>
      <c r="AC141" s="4" t="s">
        <v>190</v>
      </c>
      <c r="AD141" s="4" t="s">
        <v>190</v>
      </c>
      <c r="AE141" s="4" t="s">
        <v>190</v>
      </c>
      <c r="AF141" s="4" t="s">
        <v>190</v>
      </c>
    </row>
    <row r="142" spans="1:32" ht="16.5" customHeight="1">
      <c r="A142" s="3" t="s">
        <v>261</v>
      </c>
      <c r="B142" s="3" t="s">
        <v>2095</v>
      </c>
      <c r="C142" s="3" t="s">
        <v>2351</v>
      </c>
      <c r="D142" s="3" t="s">
        <v>25</v>
      </c>
      <c r="E142" s="3" t="s">
        <v>2352</v>
      </c>
      <c r="F142" s="3" t="s">
        <v>2351</v>
      </c>
      <c r="G142" s="3" t="s">
        <v>219</v>
      </c>
      <c r="H142" s="5">
        <v>45800</v>
      </c>
      <c r="I142" s="5">
        <v>45793</v>
      </c>
      <c r="J142" s="3" t="s">
        <v>2353</v>
      </c>
      <c r="K142" s="3" t="s">
        <v>1892</v>
      </c>
      <c r="L142">
        <v>6</v>
      </c>
      <c r="M142" s="5">
        <v>45821</v>
      </c>
      <c r="N142" s="3" t="s">
        <v>1893</v>
      </c>
      <c r="O142">
        <v>0</v>
      </c>
      <c r="P142" s="3" t="s">
        <v>221</v>
      </c>
      <c r="Q142" s="3" t="s">
        <v>1893</v>
      </c>
      <c r="R142" s="5">
        <v>46118</v>
      </c>
      <c r="S142" s="3" t="s">
        <v>190</v>
      </c>
      <c r="T142" s="3" t="s">
        <v>190</v>
      </c>
      <c r="U142">
        <v>0</v>
      </c>
      <c r="V142" s="3" t="s">
        <v>1894</v>
      </c>
      <c r="W142" s="3" t="s">
        <v>190</v>
      </c>
      <c r="X142" s="5">
        <v>46132</v>
      </c>
      <c r="Y142" s="3" t="s">
        <v>190</v>
      </c>
      <c r="Z142" s="3" t="s">
        <v>190</v>
      </c>
      <c r="AA142">
        <v>0</v>
      </c>
      <c r="AB142" s="3" t="s">
        <v>1895</v>
      </c>
      <c r="AC142" s="3" t="s">
        <v>190</v>
      </c>
      <c r="AD142" s="3" t="s">
        <v>190</v>
      </c>
      <c r="AE142" s="3" t="s">
        <v>190</v>
      </c>
      <c r="AF142" s="3" t="s">
        <v>190</v>
      </c>
    </row>
    <row r="143" spans="1:32" ht="16.5" customHeight="1">
      <c r="A143" s="4" t="s">
        <v>111</v>
      </c>
      <c r="B143" s="4" t="s">
        <v>2117</v>
      </c>
      <c r="C143" s="4" t="s">
        <v>2118</v>
      </c>
      <c r="D143" s="4" t="s">
        <v>25</v>
      </c>
      <c r="E143" s="4" t="s">
        <v>2354</v>
      </c>
      <c r="F143" s="4" t="s">
        <v>2355</v>
      </c>
      <c r="G143" s="4" t="s">
        <v>386</v>
      </c>
      <c r="H143" s="6">
        <v>46036</v>
      </c>
      <c r="I143" s="6">
        <v>46037.35833333333</v>
      </c>
      <c r="J143" s="4" t="s">
        <v>2356</v>
      </c>
      <c r="K143" s="4" t="s">
        <v>1892</v>
      </c>
      <c r="L143">
        <v>6</v>
      </c>
      <c r="M143" s="6">
        <v>46104</v>
      </c>
      <c r="N143" s="4" t="s">
        <v>1893</v>
      </c>
      <c r="O143">
        <v>0</v>
      </c>
      <c r="P143" s="4" t="s">
        <v>24</v>
      </c>
      <c r="Q143" s="4" t="s">
        <v>1893</v>
      </c>
      <c r="R143" s="6">
        <v>46118</v>
      </c>
      <c r="S143" s="4" t="s">
        <v>190</v>
      </c>
      <c r="T143" s="4" t="s">
        <v>190</v>
      </c>
      <c r="U143">
        <v>0</v>
      </c>
      <c r="V143" s="4" t="s">
        <v>1794</v>
      </c>
      <c r="W143" s="4" t="s">
        <v>190</v>
      </c>
      <c r="X143" s="6">
        <v>46132</v>
      </c>
      <c r="Y143" s="4" t="s">
        <v>190</v>
      </c>
      <c r="Z143" s="4" t="s">
        <v>190</v>
      </c>
      <c r="AA143">
        <v>0</v>
      </c>
      <c r="AB143" s="4" t="s">
        <v>1895</v>
      </c>
      <c r="AC143" s="4" t="s">
        <v>190</v>
      </c>
      <c r="AD143" s="4" t="s">
        <v>190</v>
      </c>
      <c r="AE143" s="4" t="s">
        <v>190</v>
      </c>
      <c r="AF143" s="4" t="s">
        <v>190</v>
      </c>
    </row>
    <row r="144" spans="1:32" ht="16.5" customHeight="1">
      <c r="A144" s="3" t="s">
        <v>111</v>
      </c>
      <c r="B144" s="3" t="s">
        <v>56</v>
      </c>
      <c r="C144" s="3" t="s">
        <v>56</v>
      </c>
      <c r="D144" s="3" t="s">
        <v>116</v>
      </c>
      <c r="E144" s="3" t="s">
        <v>2357</v>
      </c>
      <c r="F144" s="3" t="s">
        <v>2358</v>
      </c>
      <c r="G144" s="3" t="s">
        <v>115</v>
      </c>
      <c r="H144" s="5">
        <v>46052</v>
      </c>
      <c r="I144" s="5">
        <v>46048.432002314818</v>
      </c>
      <c r="J144" s="3" t="s">
        <v>128</v>
      </c>
      <c r="K144" s="3" t="s">
        <v>1892</v>
      </c>
      <c r="L144">
        <v>6</v>
      </c>
      <c r="M144" s="5">
        <v>46104</v>
      </c>
      <c r="N144" s="3" t="s">
        <v>1900</v>
      </c>
      <c r="O144">
        <v>0</v>
      </c>
      <c r="P144" s="3" t="s">
        <v>24</v>
      </c>
      <c r="Q144" s="3" t="s">
        <v>1900</v>
      </c>
      <c r="R144" s="5">
        <v>46118</v>
      </c>
      <c r="S144" s="3" t="s">
        <v>190</v>
      </c>
      <c r="T144" s="3" t="s">
        <v>190</v>
      </c>
      <c r="U144">
        <v>0</v>
      </c>
      <c r="V144" s="3" t="s">
        <v>1901</v>
      </c>
      <c r="W144" s="3" t="s">
        <v>190</v>
      </c>
      <c r="X144" s="5">
        <v>46132</v>
      </c>
      <c r="Y144" s="3" t="s">
        <v>190</v>
      </c>
      <c r="Z144" s="3" t="s">
        <v>190</v>
      </c>
      <c r="AA144">
        <v>0</v>
      </c>
      <c r="AB144" s="3" t="s">
        <v>1895</v>
      </c>
      <c r="AC144" s="3" t="s">
        <v>190</v>
      </c>
      <c r="AD144" s="3" t="s">
        <v>190</v>
      </c>
      <c r="AE144" s="3" t="s">
        <v>190</v>
      </c>
      <c r="AF144" s="3" t="s">
        <v>190</v>
      </c>
    </row>
    <row r="145" spans="1:32" ht="16.5" customHeight="1">
      <c r="A145" s="4" t="s">
        <v>301</v>
      </c>
      <c r="B145" s="4" t="s">
        <v>56</v>
      </c>
      <c r="C145" s="4" t="s">
        <v>56</v>
      </c>
      <c r="D145" s="4" t="s">
        <v>116</v>
      </c>
      <c r="E145" s="4" t="s">
        <v>2359</v>
      </c>
      <c r="F145" s="4" t="s">
        <v>2360</v>
      </c>
      <c r="G145" s="4" t="s">
        <v>273</v>
      </c>
      <c r="H145" s="6">
        <v>46106</v>
      </c>
      <c r="I145" s="6">
        <v>46106.551620370374</v>
      </c>
      <c r="J145" s="4" t="s">
        <v>1384</v>
      </c>
      <c r="K145" s="4" t="s">
        <v>1892</v>
      </c>
      <c r="L145">
        <v>6</v>
      </c>
      <c r="M145" s="6">
        <v>46108</v>
      </c>
      <c r="N145" s="4" t="s">
        <v>1893</v>
      </c>
      <c r="O145">
        <v>0</v>
      </c>
      <c r="P145" s="4" t="s">
        <v>24</v>
      </c>
      <c r="Q145" s="4" t="s">
        <v>1893</v>
      </c>
      <c r="R145" s="6">
        <v>46112</v>
      </c>
      <c r="S145" s="4" t="s">
        <v>190</v>
      </c>
      <c r="T145" s="4" t="s">
        <v>190</v>
      </c>
      <c r="U145">
        <v>0</v>
      </c>
      <c r="V145" s="4" t="s">
        <v>1894</v>
      </c>
      <c r="W145" s="4" t="s">
        <v>190</v>
      </c>
      <c r="X145" s="6">
        <v>46112</v>
      </c>
      <c r="Y145" s="4" t="s">
        <v>190</v>
      </c>
      <c r="Z145" s="4" t="s">
        <v>190</v>
      </c>
      <c r="AA145">
        <v>0</v>
      </c>
      <c r="AB145" s="4" t="s">
        <v>1895</v>
      </c>
      <c r="AC145" s="4" t="s">
        <v>190</v>
      </c>
      <c r="AD145" s="4" t="s">
        <v>190</v>
      </c>
      <c r="AE145" s="4" t="s">
        <v>190</v>
      </c>
      <c r="AF145" s="4" t="s">
        <v>190</v>
      </c>
    </row>
    <row r="146" spans="1:32" ht="16.5" customHeight="1">
      <c r="A146" s="3" t="s">
        <v>229</v>
      </c>
      <c r="B146" s="3" t="s">
        <v>2172</v>
      </c>
      <c r="C146" s="3" t="s">
        <v>2361</v>
      </c>
      <c r="D146" s="3" t="s">
        <v>25</v>
      </c>
      <c r="E146" s="3" t="s">
        <v>2362</v>
      </c>
      <c r="F146" s="3" t="s">
        <v>2363</v>
      </c>
      <c r="G146" s="3" t="s">
        <v>233</v>
      </c>
      <c r="H146" s="5">
        <v>46073</v>
      </c>
      <c r="I146" s="5">
        <v>46064.374039351853</v>
      </c>
      <c r="J146" s="3" t="s">
        <v>2364</v>
      </c>
      <c r="K146" s="3" t="s">
        <v>1892</v>
      </c>
      <c r="L146">
        <v>6</v>
      </c>
      <c r="M146" s="5">
        <v>46104</v>
      </c>
      <c r="N146" s="3" t="s">
        <v>1893</v>
      </c>
      <c r="O146">
        <v>0</v>
      </c>
      <c r="P146" s="3" t="s">
        <v>24</v>
      </c>
      <c r="Q146" s="3" t="s">
        <v>1893</v>
      </c>
      <c r="R146" s="5">
        <v>46118</v>
      </c>
      <c r="S146" s="3" t="s">
        <v>190</v>
      </c>
      <c r="T146" s="3" t="s">
        <v>190</v>
      </c>
      <c r="U146">
        <v>0</v>
      </c>
      <c r="V146" s="3" t="s">
        <v>1794</v>
      </c>
      <c r="W146" s="3" t="s">
        <v>190</v>
      </c>
      <c r="X146" s="5">
        <v>46132</v>
      </c>
      <c r="Y146" s="3" t="s">
        <v>190</v>
      </c>
      <c r="Z146" s="3" t="s">
        <v>190</v>
      </c>
      <c r="AA146">
        <v>0</v>
      </c>
      <c r="AB146" s="3" t="s">
        <v>1895</v>
      </c>
      <c r="AC146" s="3" t="s">
        <v>190</v>
      </c>
      <c r="AD146" s="3" t="s">
        <v>190</v>
      </c>
      <c r="AE146" s="3" t="s">
        <v>190</v>
      </c>
      <c r="AF146" s="3" t="s">
        <v>190</v>
      </c>
    </row>
    <row r="147" spans="1:32" ht="16.5" customHeight="1">
      <c r="A147" s="4" t="s">
        <v>229</v>
      </c>
      <c r="B147" s="4" t="s">
        <v>56</v>
      </c>
      <c r="C147" s="4" t="s">
        <v>56</v>
      </c>
      <c r="D147" s="4" t="s">
        <v>116</v>
      </c>
      <c r="E147" s="4" t="s">
        <v>2365</v>
      </c>
      <c r="F147" s="4" t="s">
        <v>2366</v>
      </c>
      <c r="G147" s="4" t="s">
        <v>250</v>
      </c>
      <c r="H147" s="6">
        <v>46059</v>
      </c>
      <c r="I147" s="6">
        <v>46051.458298611113</v>
      </c>
      <c r="J147" s="4" t="s">
        <v>2367</v>
      </c>
      <c r="K147" s="4" t="s">
        <v>1892</v>
      </c>
      <c r="L147">
        <v>6</v>
      </c>
      <c r="M147" s="6">
        <v>46105</v>
      </c>
      <c r="N147" s="4" t="s">
        <v>1893</v>
      </c>
      <c r="O147">
        <v>0</v>
      </c>
      <c r="P147" s="4" t="s">
        <v>24</v>
      </c>
      <c r="Q147" s="4" t="s">
        <v>1893</v>
      </c>
      <c r="R147" s="6">
        <v>46118</v>
      </c>
      <c r="S147" s="4" t="s">
        <v>190</v>
      </c>
      <c r="T147" s="4" t="s">
        <v>190</v>
      </c>
      <c r="U147">
        <v>0</v>
      </c>
      <c r="V147" s="4" t="s">
        <v>1794</v>
      </c>
      <c r="W147" s="4" t="s">
        <v>190</v>
      </c>
      <c r="X147" s="6">
        <v>46132</v>
      </c>
      <c r="Y147" s="4" t="s">
        <v>190</v>
      </c>
      <c r="Z147" s="4" t="s">
        <v>190</v>
      </c>
      <c r="AA147">
        <v>0</v>
      </c>
      <c r="AB147" s="4" t="s">
        <v>1895</v>
      </c>
      <c r="AC147" s="4" t="s">
        <v>190</v>
      </c>
      <c r="AD147" s="4" t="s">
        <v>190</v>
      </c>
      <c r="AE147" s="4" t="s">
        <v>190</v>
      </c>
      <c r="AF147" s="4" t="s">
        <v>190</v>
      </c>
    </row>
    <row r="148" spans="1:32" ht="16.5" customHeight="1">
      <c r="A148" s="3" t="s">
        <v>229</v>
      </c>
      <c r="B148" s="3" t="s">
        <v>56</v>
      </c>
      <c r="C148" s="3" t="s">
        <v>56</v>
      </c>
      <c r="D148" s="3" t="s">
        <v>116</v>
      </c>
      <c r="E148" s="3" t="s">
        <v>2368</v>
      </c>
      <c r="F148" s="3" t="s">
        <v>2369</v>
      </c>
      <c r="G148" s="3" t="s">
        <v>250</v>
      </c>
      <c r="H148" s="5">
        <v>46059</v>
      </c>
      <c r="I148" s="5">
        <v>46051.46056712963</v>
      </c>
      <c r="J148" s="3" t="s">
        <v>2370</v>
      </c>
      <c r="K148" s="3" t="s">
        <v>1892</v>
      </c>
      <c r="L148">
        <v>6</v>
      </c>
      <c r="M148" s="5">
        <v>46105</v>
      </c>
      <c r="N148" s="3" t="s">
        <v>1893</v>
      </c>
      <c r="O148">
        <v>0</v>
      </c>
      <c r="P148" s="3" t="s">
        <v>24</v>
      </c>
      <c r="Q148" s="3" t="s">
        <v>1893</v>
      </c>
      <c r="R148" s="5">
        <v>46118</v>
      </c>
      <c r="S148" s="3" t="s">
        <v>190</v>
      </c>
      <c r="T148" s="3" t="s">
        <v>190</v>
      </c>
      <c r="U148">
        <v>0</v>
      </c>
      <c r="V148" s="3" t="s">
        <v>1794</v>
      </c>
      <c r="W148" s="3" t="s">
        <v>190</v>
      </c>
      <c r="X148" s="5">
        <v>46132</v>
      </c>
      <c r="Y148" s="3" t="s">
        <v>190</v>
      </c>
      <c r="Z148" s="3" t="s">
        <v>190</v>
      </c>
      <c r="AA148">
        <v>0</v>
      </c>
      <c r="AB148" s="3" t="s">
        <v>1895</v>
      </c>
      <c r="AC148" s="3" t="s">
        <v>190</v>
      </c>
      <c r="AD148" s="3" t="s">
        <v>190</v>
      </c>
      <c r="AE148" s="3" t="s">
        <v>190</v>
      </c>
      <c r="AF148" s="3" t="s">
        <v>190</v>
      </c>
    </row>
    <row r="149" spans="1:32" ht="16.5" customHeight="1">
      <c r="A149" s="4" t="s">
        <v>229</v>
      </c>
      <c r="B149" s="4" t="s">
        <v>56</v>
      </c>
      <c r="C149" s="4" t="s">
        <v>56</v>
      </c>
      <c r="D149" s="4" t="s">
        <v>116</v>
      </c>
      <c r="E149" s="4" t="s">
        <v>2371</v>
      </c>
      <c r="F149" s="4" t="s">
        <v>2372</v>
      </c>
      <c r="G149" s="4" t="s">
        <v>250</v>
      </c>
      <c r="H149" s="6">
        <v>46059</v>
      </c>
      <c r="I149" s="6">
        <v>46051.460185185184</v>
      </c>
      <c r="J149" s="4" t="s">
        <v>2373</v>
      </c>
      <c r="K149" s="4" t="s">
        <v>1892</v>
      </c>
      <c r="L149">
        <v>6</v>
      </c>
      <c r="M149" s="6">
        <v>46107</v>
      </c>
      <c r="N149" s="4" t="s">
        <v>1893</v>
      </c>
      <c r="O149">
        <v>0</v>
      </c>
      <c r="P149" s="4" t="s">
        <v>24</v>
      </c>
      <c r="Q149" s="4" t="s">
        <v>1893</v>
      </c>
      <c r="R149" s="6">
        <v>46118</v>
      </c>
      <c r="S149" s="4" t="s">
        <v>190</v>
      </c>
      <c r="T149" s="4" t="s">
        <v>190</v>
      </c>
      <c r="U149">
        <v>0</v>
      </c>
      <c r="V149" s="4" t="s">
        <v>1794</v>
      </c>
      <c r="W149" s="4" t="s">
        <v>190</v>
      </c>
      <c r="X149" s="6">
        <v>46132</v>
      </c>
      <c r="Y149" s="4" t="s">
        <v>190</v>
      </c>
      <c r="Z149" s="4" t="s">
        <v>190</v>
      </c>
      <c r="AA149">
        <v>0</v>
      </c>
      <c r="AB149" s="4" t="s">
        <v>1895</v>
      </c>
      <c r="AC149" s="4" t="s">
        <v>190</v>
      </c>
      <c r="AD149" s="4" t="s">
        <v>190</v>
      </c>
      <c r="AE149" s="4" t="s">
        <v>190</v>
      </c>
      <c r="AF149" s="4" t="s">
        <v>190</v>
      </c>
    </row>
    <row r="150" spans="1:32" ht="16.5" customHeight="1">
      <c r="A150" s="3" t="s">
        <v>229</v>
      </c>
      <c r="B150" s="3" t="s">
        <v>56</v>
      </c>
      <c r="C150" s="3" t="s">
        <v>56</v>
      </c>
      <c r="D150" s="3" t="s">
        <v>116</v>
      </c>
      <c r="E150" s="3" t="s">
        <v>2374</v>
      </c>
      <c r="F150" s="3" t="s">
        <v>2375</v>
      </c>
      <c r="G150" s="3" t="s">
        <v>250</v>
      </c>
      <c r="H150" s="5">
        <v>46066</v>
      </c>
      <c r="I150" s="5">
        <v>46058.553854166668</v>
      </c>
      <c r="J150" s="3" t="s">
        <v>2376</v>
      </c>
      <c r="K150" s="3" t="s">
        <v>1892</v>
      </c>
      <c r="L150">
        <v>6</v>
      </c>
      <c r="M150" s="5">
        <v>46106</v>
      </c>
      <c r="N150" s="3" t="s">
        <v>1893</v>
      </c>
      <c r="O150">
        <v>0</v>
      </c>
      <c r="P150" s="3" t="s">
        <v>24</v>
      </c>
      <c r="Q150" s="3" t="s">
        <v>1893</v>
      </c>
      <c r="R150" s="5">
        <v>46118</v>
      </c>
      <c r="S150" s="3" t="s">
        <v>190</v>
      </c>
      <c r="T150" s="3" t="s">
        <v>190</v>
      </c>
      <c r="U150">
        <v>0</v>
      </c>
      <c r="V150" s="3" t="s">
        <v>1794</v>
      </c>
      <c r="W150" s="3" t="s">
        <v>190</v>
      </c>
      <c r="X150" s="5">
        <v>46132</v>
      </c>
      <c r="Y150" s="3" t="s">
        <v>190</v>
      </c>
      <c r="Z150" s="3" t="s">
        <v>190</v>
      </c>
      <c r="AA150">
        <v>0</v>
      </c>
      <c r="AB150" s="3" t="s">
        <v>1895</v>
      </c>
      <c r="AC150" s="3" t="s">
        <v>190</v>
      </c>
      <c r="AD150" s="3" t="s">
        <v>190</v>
      </c>
      <c r="AE150" s="3" t="s">
        <v>190</v>
      </c>
      <c r="AF150" s="3" t="s">
        <v>190</v>
      </c>
    </row>
    <row r="151" spans="1:32" ht="16.5" customHeight="1">
      <c r="A151" s="4" t="s">
        <v>229</v>
      </c>
      <c r="B151" s="4" t="s">
        <v>56</v>
      </c>
      <c r="C151" s="4" t="s">
        <v>56</v>
      </c>
      <c r="D151" s="4" t="s">
        <v>116</v>
      </c>
      <c r="E151" s="4" t="s">
        <v>2377</v>
      </c>
      <c r="F151" s="4" t="s">
        <v>2378</v>
      </c>
      <c r="G151" s="4" t="s">
        <v>250</v>
      </c>
      <c r="H151" s="6">
        <v>46066</v>
      </c>
      <c r="I151" s="6">
        <v>46058.554398148146</v>
      </c>
      <c r="J151" s="4" t="s">
        <v>1802</v>
      </c>
      <c r="K151" s="4" t="s">
        <v>1892</v>
      </c>
      <c r="L151">
        <v>6</v>
      </c>
      <c r="M151" s="6">
        <v>46106</v>
      </c>
      <c r="N151" s="4" t="s">
        <v>1900</v>
      </c>
      <c r="O151">
        <v>0</v>
      </c>
      <c r="P151" s="4" t="s">
        <v>24</v>
      </c>
      <c r="Q151" s="4" t="s">
        <v>1900</v>
      </c>
      <c r="R151" s="6">
        <v>46118</v>
      </c>
      <c r="S151" s="4" t="s">
        <v>190</v>
      </c>
      <c r="T151" s="4" t="s">
        <v>190</v>
      </c>
      <c r="U151">
        <v>0</v>
      </c>
      <c r="V151" s="4" t="s">
        <v>1794</v>
      </c>
      <c r="W151" s="4" t="s">
        <v>190</v>
      </c>
      <c r="X151" s="6">
        <v>46132</v>
      </c>
      <c r="Y151" s="4" t="s">
        <v>190</v>
      </c>
      <c r="Z151" s="4" t="s">
        <v>190</v>
      </c>
      <c r="AA151">
        <v>0</v>
      </c>
      <c r="AB151" s="4" t="s">
        <v>1895</v>
      </c>
      <c r="AC151" s="4" t="s">
        <v>190</v>
      </c>
      <c r="AD151" s="4" t="s">
        <v>190</v>
      </c>
      <c r="AE151" s="4" t="s">
        <v>190</v>
      </c>
      <c r="AF151" s="4" t="s">
        <v>190</v>
      </c>
    </row>
    <row r="152" spans="1:32" ht="16.5" customHeight="1">
      <c r="A152" s="3" t="s">
        <v>229</v>
      </c>
      <c r="B152" s="3" t="s">
        <v>56</v>
      </c>
      <c r="C152" s="3" t="s">
        <v>56</v>
      </c>
      <c r="D152" s="3" t="s">
        <v>116</v>
      </c>
      <c r="E152" s="3" t="s">
        <v>2379</v>
      </c>
      <c r="F152" s="3" t="s">
        <v>2380</v>
      </c>
      <c r="G152" s="3" t="s">
        <v>250</v>
      </c>
      <c r="H152" s="5">
        <v>46066</v>
      </c>
      <c r="I152" s="5">
        <v>46058.555231481485</v>
      </c>
      <c r="J152" s="3" t="s">
        <v>2381</v>
      </c>
      <c r="K152" s="3" t="s">
        <v>1892</v>
      </c>
      <c r="L152">
        <v>6</v>
      </c>
      <c r="M152" s="5">
        <v>46106</v>
      </c>
      <c r="N152" s="3" t="s">
        <v>1893</v>
      </c>
      <c r="O152">
        <v>0</v>
      </c>
      <c r="P152" s="3" t="s">
        <v>24</v>
      </c>
      <c r="Q152" s="3" t="s">
        <v>1893</v>
      </c>
      <c r="R152" s="5">
        <v>46118</v>
      </c>
      <c r="S152" s="3" t="s">
        <v>190</v>
      </c>
      <c r="T152" s="3" t="s">
        <v>190</v>
      </c>
      <c r="U152">
        <v>0</v>
      </c>
      <c r="V152" s="3" t="s">
        <v>1794</v>
      </c>
      <c r="W152" s="3" t="s">
        <v>190</v>
      </c>
      <c r="X152" s="5">
        <v>46132</v>
      </c>
      <c r="Y152" s="3" t="s">
        <v>190</v>
      </c>
      <c r="Z152" s="3" t="s">
        <v>190</v>
      </c>
      <c r="AA152">
        <v>0</v>
      </c>
      <c r="AB152" s="3" t="s">
        <v>1895</v>
      </c>
      <c r="AC152" s="3" t="s">
        <v>190</v>
      </c>
      <c r="AD152" s="3" t="s">
        <v>190</v>
      </c>
      <c r="AE152" s="3" t="s">
        <v>190</v>
      </c>
      <c r="AF152" s="3" t="s">
        <v>190</v>
      </c>
    </row>
    <row r="153" spans="1:32" ht="16.5" customHeight="1">
      <c r="A153" s="4" t="s">
        <v>229</v>
      </c>
      <c r="B153" s="4" t="s">
        <v>56</v>
      </c>
      <c r="C153" s="4" t="s">
        <v>56</v>
      </c>
      <c r="D153" s="4" t="s">
        <v>116</v>
      </c>
      <c r="E153" s="4" t="s">
        <v>2382</v>
      </c>
      <c r="F153" s="4" t="s">
        <v>2383</v>
      </c>
      <c r="G153" s="4" t="s">
        <v>250</v>
      </c>
      <c r="H153" s="6">
        <v>46073</v>
      </c>
      <c r="I153" s="6">
        <v>46059.395289351851</v>
      </c>
      <c r="J153" s="4" t="s">
        <v>2384</v>
      </c>
      <c r="K153" s="4" t="s">
        <v>1892</v>
      </c>
      <c r="L153">
        <v>6</v>
      </c>
      <c r="M153" s="6">
        <v>46106</v>
      </c>
      <c r="N153" s="4" t="s">
        <v>1893</v>
      </c>
      <c r="O153">
        <v>0</v>
      </c>
      <c r="P153" s="4" t="s">
        <v>24</v>
      </c>
      <c r="Q153" s="4" t="s">
        <v>1893</v>
      </c>
      <c r="R153" s="6">
        <v>46118</v>
      </c>
      <c r="S153" s="4" t="s">
        <v>190</v>
      </c>
      <c r="T153" s="4" t="s">
        <v>190</v>
      </c>
      <c r="U153">
        <v>0</v>
      </c>
      <c r="V153" s="4" t="s">
        <v>1794</v>
      </c>
      <c r="W153" s="4" t="s">
        <v>190</v>
      </c>
      <c r="X153" s="6">
        <v>46132</v>
      </c>
      <c r="Y153" s="4" t="s">
        <v>190</v>
      </c>
      <c r="Z153" s="4" t="s">
        <v>190</v>
      </c>
      <c r="AA153">
        <v>0</v>
      </c>
      <c r="AB153" s="4" t="s">
        <v>1895</v>
      </c>
      <c r="AC153" s="4" t="s">
        <v>190</v>
      </c>
      <c r="AD153" s="4" t="s">
        <v>190</v>
      </c>
      <c r="AE153" s="4" t="s">
        <v>190</v>
      </c>
      <c r="AF153" s="4" t="s">
        <v>190</v>
      </c>
    </row>
    <row r="154" spans="1:32" ht="16.5" customHeight="1">
      <c r="A154" s="3" t="s">
        <v>229</v>
      </c>
      <c r="B154" s="3" t="s">
        <v>56</v>
      </c>
      <c r="C154" s="3" t="s">
        <v>56</v>
      </c>
      <c r="D154" s="3" t="s">
        <v>116</v>
      </c>
      <c r="E154" s="3" t="s">
        <v>2385</v>
      </c>
      <c r="F154" s="3" t="s">
        <v>2386</v>
      </c>
      <c r="G154" s="3" t="s">
        <v>250</v>
      </c>
      <c r="H154" s="5">
        <v>46073</v>
      </c>
      <c r="I154" s="5">
        <v>46059.395543981482</v>
      </c>
      <c r="J154" s="3" t="s">
        <v>2387</v>
      </c>
      <c r="K154" s="3" t="s">
        <v>1892</v>
      </c>
      <c r="L154">
        <v>6</v>
      </c>
      <c r="M154" s="5">
        <v>46106</v>
      </c>
      <c r="N154" s="3" t="s">
        <v>1893</v>
      </c>
      <c r="O154">
        <v>0</v>
      </c>
      <c r="P154" s="3" t="s">
        <v>24</v>
      </c>
      <c r="Q154" s="3" t="s">
        <v>1893</v>
      </c>
      <c r="R154" s="5">
        <v>46118</v>
      </c>
      <c r="S154" s="3" t="s">
        <v>190</v>
      </c>
      <c r="T154" s="3" t="s">
        <v>190</v>
      </c>
      <c r="U154">
        <v>0</v>
      </c>
      <c r="V154" s="3" t="s">
        <v>1794</v>
      </c>
      <c r="W154" s="3" t="s">
        <v>190</v>
      </c>
      <c r="X154" s="5">
        <v>46132</v>
      </c>
      <c r="Y154" s="3" t="s">
        <v>190</v>
      </c>
      <c r="Z154" s="3" t="s">
        <v>190</v>
      </c>
      <c r="AA154">
        <v>0</v>
      </c>
      <c r="AB154" s="3" t="s">
        <v>1895</v>
      </c>
      <c r="AC154" s="3" t="s">
        <v>190</v>
      </c>
      <c r="AD154" s="3" t="s">
        <v>190</v>
      </c>
      <c r="AE154" s="3" t="s">
        <v>190</v>
      </c>
      <c r="AF154" s="3" t="s">
        <v>190</v>
      </c>
    </row>
    <row r="155" spans="1:32" ht="16.5" customHeight="1">
      <c r="A155" s="4" t="s">
        <v>229</v>
      </c>
      <c r="B155" s="4" t="s">
        <v>56</v>
      </c>
      <c r="C155" s="4" t="s">
        <v>56</v>
      </c>
      <c r="D155" s="4" t="s">
        <v>116</v>
      </c>
      <c r="E155" s="4" t="s">
        <v>2388</v>
      </c>
      <c r="F155" s="4" t="s">
        <v>2389</v>
      </c>
      <c r="G155" s="4" t="s">
        <v>250</v>
      </c>
      <c r="H155" s="6">
        <v>46038</v>
      </c>
      <c r="I155" s="6">
        <v>46042.416319444441</v>
      </c>
      <c r="J155" s="4" t="s">
        <v>2390</v>
      </c>
      <c r="K155" s="4" t="s">
        <v>1892</v>
      </c>
      <c r="L155">
        <v>6</v>
      </c>
      <c r="M155" s="6">
        <v>46105</v>
      </c>
      <c r="N155" s="4" t="s">
        <v>1893</v>
      </c>
      <c r="O155">
        <v>0</v>
      </c>
      <c r="P155" s="4" t="s">
        <v>24</v>
      </c>
      <c r="Q155" s="4" t="s">
        <v>1893</v>
      </c>
      <c r="R155" s="6">
        <v>46118</v>
      </c>
      <c r="S155" s="4" t="s">
        <v>190</v>
      </c>
      <c r="T155" s="4" t="s">
        <v>190</v>
      </c>
      <c r="U155">
        <v>0</v>
      </c>
      <c r="V155" s="4" t="s">
        <v>1901</v>
      </c>
      <c r="W155" s="4" t="s">
        <v>190</v>
      </c>
      <c r="X155" s="6">
        <v>46132</v>
      </c>
      <c r="Y155" s="4" t="s">
        <v>190</v>
      </c>
      <c r="Z155" s="4" t="s">
        <v>190</v>
      </c>
      <c r="AA155">
        <v>0</v>
      </c>
      <c r="AB155" s="4" t="s">
        <v>1895</v>
      </c>
      <c r="AC155" s="4" t="s">
        <v>190</v>
      </c>
      <c r="AD155" s="4" t="s">
        <v>190</v>
      </c>
      <c r="AE155" s="4" t="s">
        <v>190</v>
      </c>
      <c r="AF155" s="4" t="s">
        <v>190</v>
      </c>
    </row>
    <row r="156" spans="1:32" ht="16.5" customHeight="1">
      <c r="A156" s="3" t="s">
        <v>229</v>
      </c>
      <c r="B156" s="3" t="s">
        <v>56</v>
      </c>
      <c r="C156" s="3" t="s">
        <v>56</v>
      </c>
      <c r="D156" s="3" t="s">
        <v>116</v>
      </c>
      <c r="E156" s="3" t="s">
        <v>2391</v>
      </c>
      <c r="F156" s="3" t="s">
        <v>2392</v>
      </c>
      <c r="G156" s="3" t="s">
        <v>250</v>
      </c>
      <c r="H156" s="5">
        <v>46038</v>
      </c>
      <c r="I156" s="5">
        <v>46042.415995370371</v>
      </c>
      <c r="J156" s="3" t="s">
        <v>2393</v>
      </c>
      <c r="K156" s="3" t="s">
        <v>1892</v>
      </c>
      <c r="L156">
        <v>6</v>
      </c>
      <c r="M156" s="5">
        <v>46106</v>
      </c>
      <c r="N156" s="3" t="s">
        <v>1893</v>
      </c>
      <c r="O156">
        <v>0</v>
      </c>
      <c r="P156" s="3" t="s">
        <v>24</v>
      </c>
      <c r="Q156" s="3" t="s">
        <v>1893</v>
      </c>
      <c r="R156" s="5">
        <v>46118</v>
      </c>
      <c r="S156" s="3" t="s">
        <v>190</v>
      </c>
      <c r="T156" s="3" t="s">
        <v>190</v>
      </c>
      <c r="U156">
        <v>0</v>
      </c>
      <c r="V156" s="3" t="s">
        <v>1901</v>
      </c>
      <c r="W156" s="3" t="s">
        <v>190</v>
      </c>
      <c r="X156" s="5">
        <v>46132</v>
      </c>
      <c r="Y156" s="3" t="s">
        <v>190</v>
      </c>
      <c r="Z156" s="3" t="s">
        <v>190</v>
      </c>
      <c r="AA156">
        <v>0</v>
      </c>
      <c r="AB156" s="3" t="s">
        <v>1895</v>
      </c>
      <c r="AC156" s="3" t="s">
        <v>190</v>
      </c>
      <c r="AD156" s="3" t="s">
        <v>190</v>
      </c>
      <c r="AE156" s="3" t="s">
        <v>190</v>
      </c>
      <c r="AF156" s="3" t="s">
        <v>190</v>
      </c>
    </row>
    <row r="157" spans="1:32" ht="16.5" customHeight="1">
      <c r="A157" s="4" t="s">
        <v>229</v>
      </c>
      <c r="B157" s="4" t="s">
        <v>56</v>
      </c>
      <c r="C157" s="4" t="s">
        <v>56</v>
      </c>
      <c r="D157" s="4" t="s">
        <v>116</v>
      </c>
      <c r="E157" s="4" t="s">
        <v>2394</v>
      </c>
      <c r="F157" s="4" t="s">
        <v>2395</v>
      </c>
      <c r="G157" s="4" t="s">
        <v>250</v>
      </c>
      <c r="H157" s="6">
        <v>46038</v>
      </c>
      <c r="I157" s="6">
        <v>46042.415532407409</v>
      </c>
      <c r="J157" s="4" t="s">
        <v>2396</v>
      </c>
      <c r="K157" s="4" t="s">
        <v>1892</v>
      </c>
      <c r="L157">
        <v>6</v>
      </c>
      <c r="M157" s="6">
        <v>46106</v>
      </c>
      <c r="N157" s="4" t="s">
        <v>1893</v>
      </c>
      <c r="O157">
        <v>0</v>
      </c>
      <c r="P157" s="4" t="s">
        <v>24</v>
      </c>
      <c r="Q157" s="4" t="s">
        <v>1893</v>
      </c>
      <c r="R157" s="6">
        <v>46118</v>
      </c>
      <c r="S157" s="4" t="s">
        <v>190</v>
      </c>
      <c r="T157" s="4" t="s">
        <v>190</v>
      </c>
      <c r="U157">
        <v>0</v>
      </c>
      <c r="V157" s="4" t="s">
        <v>1901</v>
      </c>
      <c r="W157" s="4" t="s">
        <v>190</v>
      </c>
      <c r="X157" s="6">
        <v>46132</v>
      </c>
      <c r="Y157" s="4" t="s">
        <v>190</v>
      </c>
      <c r="Z157" s="4" t="s">
        <v>190</v>
      </c>
      <c r="AA157">
        <v>0</v>
      </c>
      <c r="AB157" s="4" t="s">
        <v>1895</v>
      </c>
      <c r="AC157" s="4" t="s">
        <v>190</v>
      </c>
      <c r="AD157" s="4" t="s">
        <v>190</v>
      </c>
      <c r="AE157" s="4" t="s">
        <v>190</v>
      </c>
      <c r="AF157" s="4" t="s">
        <v>190</v>
      </c>
    </row>
    <row r="158" spans="1:32" ht="16.5" customHeight="1">
      <c r="A158" s="3" t="s">
        <v>229</v>
      </c>
      <c r="B158" s="3" t="s">
        <v>56</v>
      </c>
      <c r="C158" s="3" t="s">
        <v>56</v>
      </c>
      <c r="D158" s="3" t="s">
        <v>116</v>
      </c>
      <c r="E158" s="3" t="s">
        <v>2397</v>
      </c>
      <c r="F158" s="3" t="s">
        <v>2398</v>
      </c>
      <c r="G158" s="3" t="s">
        <v>250</v>
      </c>
      <c r="H158" s="5">
        <v>46080</v>
      </c>
      <c r="I158" s="5">
        <v>46064.386678240742</v>
      </c>
      <c r="J158" s="3" t="s">
        <v>2399</v>
      </c>
      <c r="K158" s="3" t="s">
        <v>1892</v>
      </c>
      <c r="L158">
        <v>6</v>
      </c>
      <c r="M158" s="5">
        <v>46107</v>
      </c>
      <c r="N158" s="3" t="s">
        <v>1893</v>
      </c>
      <c r="O158">
        <v>0</v>
      </c>
      <c r="P158" s="3" t="s">
        <v>24</v>
      </c>
      <c r="Q158" s="3" t="s">
        <v>1893</v>
      </c>
      <c r="R158" s="5">
        <v>46118</v>
      </c>
      <c r="S158" s="3" t="s">
        <v>190</v>
      </c>
      <c r="T158" s="3" t="s">
        <v>190</v>
      </c>
      <c r="U158">
        <v>0</v>
      </c>
      <c r="V158" s="3" t="s">
        <v>1794</v>
      </c>
      <c r="W158" s="3" t="s">
        <v>190</v>
      </c>
      <c r="X158" s="5">
        <v>46132</v>
      </c>
      <c r="Y158" s="3" t="s">
        <v>190</v>
      </c>
      <c r="Z158" s="3" t="s">
        <v>190</v>
      </c>
      <c r="AA158">
        <v>0</v>
      </c>
      <c r="AB158" s="3" t="s">
        <v>1895</v>
      </c>
      <c r="AC158" s="3" t="s">
        <v>190</v>
      </c>
      <c r="AD158" s="3" t="s">
        <v>190</v>
      </c>
      <c r="AE158" s="3" t="s">
        <v>190</v>
      </c>
      <c r="AF158" s="3" t="s">
        <v>190</v>
      </c>
    </row>
    <row r="159" spans="1:32" ht="16.5" customHeight="1">
      <c r="A159" s="4" t="s">
        <v>229</v>
      </c>
      <c r="B159" s="4" t="s">
        <v>56</v>
      </c>
      <c r="C159" s="4" t="s">
        <v>56</v>
      </c>
      <c r="D159" s="4" t="s">
        <v>116</v>
      </c>
      <c r="E159" s="4" t="s">
        <v>2400</v>
      </c>
      <c r="F159" s="4" t="s">
        <v>2401</v>
      </c>
      <c r="G159" s="4" t="s">
        <v>250</v>
      </c>
      <c r="H159" s="6">
        <v>46094</v>
      </c>
      <c r="I159" s="6">
        <v>46093.655486111114</v>
      </c>
      <c r="J159" s="4" t="s">
        <v>2402</v>
      </c>
      <c r="K159" s="4" t="s">
        <v>1892</v>
      </c>
      <c r="L159">
        <v>6</v>
      </c>
      <c r="M159" s="6">
        <v>46106</v>
      </c>
      <c r="N159" s="4" t="s">
        <v>1893</v>
      </c>
      <c r="O159">
        <v>0</v>
      </c>
      <c r="P159" s="4" t="s">
        <v>24</v>
      </c>
      <c r="Q159" s="4" t="s">
        <v>1893</v>
      </c>
      <c r="R159" s="6">
        <v>46118</v>
      </c>
      <c r="S159" s="4" t="s">
        <v>190</v>
      </c>
      <c r="T159" s="4" t="s">
        <v>190</v>
      </c>
      <c r="U159">
        <v>0</v>
      </c>
      <c r="V159" s="4" t="s">
        <v>1794</v>
      </c>
      <c r="W159" s="4" t="s">
        <v>190</v>
      </c>
      <c r="X159" s="6">
        <v>46132</v>
      </c>
      <c r="Y159" s="4" t="s">
        <v>190</v>
      </c>
      <c r="Z159" s="4" t="s">
        <v>190</v>
      </c>
      <c r="AA159">
        <v>0</v>
      </c>
      <c r="AB159" s="4" t="s">
        <v>1895</v>
      </c>
      <c r="AC159" s="4" t="s">
        <v>190</v>
      </c>
      <c r="AD159" s="4" t="s">
        <v>190</v>
      </c>
      <c r="AE159" s="4" t="s">
        <v>190</v>
      </c>
      <c r="AF159" s="4" t="s">
        <v>190</v>
      </c>
    </row>
    <row r="160" spans="1:32" ht="16.5" customHeight="1">
      <c r="A160" s="3" t="s">
        <v>229</v>
      </c>
      <c r="B160" s="3" t="s">
        <v>56</v>
      </c>
      <c r="C160" s="3" t="s">
        <v>56</v>
      </c>
      <c r="D160" s="3" t="s">
        <v>116</v>
      </c>
      <c r="E160" s="3" t="s">
        <v>2403</v>
      </c>
      <c r="F160" s="3" t="s">
        <v>2404</v>
      </c>
      <c r="G160" s="3" t="s">
        <v>250</v>
      </c>
      <c r="H160" s="5">
        <v>46094</v>
      </c>
      <c r="I160" s="5">
        <v>46093.655671296299</v>
      </c>
      <c r="J160" s="3" t="s">
        <v>2405</v>
      </c>
      <c r="K160" s="3" t="s">
        <v>1892</v>
      </c>
      <c r="L160">
        <v>6</v>
      </c>
      <c r="M160" s="5">
        <v>46106</v>
      </c>
      <c r="N160" s="3" t="s">
        <v>1893</v>
      </c>
      <c r="O160">
        <v>0</v>
      </c>
      <c r="P160" s="3" t="s">
        <v>24</v>
      </c>
      <c r="Q160" s="3" t="s">
        <v>1893</v>
      </c>
      <c r="R160" s="5">
        <v>46118</v>
      </c>
      <c r="S160" s="3" t="s">
        <v>190</v>
      </c>
      <c r="T160" s="3" t="s">
        <v>190</v>
      </c>
      <c r="U160">
        <v>0</v>
      </c>
      <c r="V160" s="3" t="s">
        <v>1794</v>
      </c>
      <c r="W160" s="3" t="s">
        <v>190</v>
      </c>
      <c r="X160" s="5">
        <v>46132</v>
      </c>
      <c r="Y160" s="3" t="s">
        <v>190</v>
      </c>
      <c r="Z160" s="3" t="s">
        <v>190</v>
      </c>
      <c r="AA160">
        <v>0</v>
      </c>
      <c r="AB160" s="3" t="s">
        <v>1895</v>
      </c>
      <c r="AC160" s="3" t="s">
        <v>190</v>
      </c>
      <c r="AD160" s="3" t="s">
        <v>190</v>
      </c>
      <c r="AE160" s="3" t="s">
        <v>190</v>
      </c>
      <c r="AF160" s="3" t="s">
        <v>190</v>
      </c>
    </row>
    <row r="161" spans="1:32" ht="16.5" customHeight="1">
      <c r="A161" s="4" t="s">
        <v>229</v>
      </c>
      <c r="B161" s="4" t="s">
        <v>56</v>
      </c>
      <c r="C161" s="4" t="s">
        <v>56</v>
      </c>
      <c r="D161" s="4" t="s">
        <v>116</v>
      </c>
      <c r="E161" s="4" t="s">
        <v>2406</v>
      </c>
      <c r="F161" s="4" t="s">
        <v>2407</v>
      </c>
      <c r="G161" s="4" t="s">
        <v>250</v>
      </c>
      <c r="H161" s="6">
        <v>46094</v>
      </c>
      <c r="I161" s="6">
        <v>46093.655925925923</v>
      </c>
      <c r="J161" s="4" t="s">
        <v>2408</v>
      </c>
      <c r="K161" s="4" t="s">
        <v>1892</v>
      </c>
      <c r="L161">
        <v>6</v>
      </c>
      <c r="M161" s="6">
        <v>46106</v>
      </c>
      <c r="N161" s="4" t="s">
        <v>1893</v>
      </c>
      <c r="O161">
        <v>0</v>
      </c>
      <c r="P161" s="4" t="s">
        <v>24</v>
      </c>
      <c r="Q161" s="4" t="s">
        <v>1893</v>
      </c>
      <c r="R161" s="6">
        <v>46118</v>
      </c>
      <c r="S161" s="4" t="s">
        <v>190</v>
      </c>
      <c r="T161" s="4" t="s">
        <v>190</v>
      </c>
      <c r="U161">
        <v>0</v>
      </c>
      <c r="V161" s="4" t="s">
        <v>1794</v>
      </c>
      <c r="W161" s="4" t="s">
        <v>190</v>
      </c>
      <c r="X161" s="6">
        <v>46132</v>
      </c>
      <c r="Y161" s="4" t="s">
        <v>190</v>
      </c>
      <c r="Z161" s="4" t="s">
        <v>190</v>
      </c>
      <c r="AA161">
        <v>0</v>
      </c>
      <c r="AB161" s="4" t="s">
        <v>1895</v>
      </c>
      <c r="AC161" s="4" t="s">
        <v>190</v>
      </c>
      <c r="AD161" s="4" t="s">
        <v>190</v>
      </c>
      <c r="AE161" s="4" t="s">
        <v>190</v>
      </c>
      <c r="AF161" s="4" t="s">
        <v>190</v>
      </c>
    </row>
    <row r="162" spans="1:32" ht="16.5" customHeight="1">
      <c r="A162" s="3" t="s">
        <v>229</v>
      </c>
      <c r="B162" s="3" t="s">
        <v>2180</v>
      </c>
      <c r="C162" s="3" t="s">
        <v>2181</v>
      </c>
      <c r="D162" s="3" t="s">
        <v>25</v>
      </c>
      <c r="E162" s="3" t="s">
        <v>2409</v>
      </c>
      <c r="F162" s="3" t="s">
        <v>2410</v>
      </c>
      <c r="G162" s="3" t="s">
        <v>233</v>
      </c>
      <c r="H162" s="5">
        <v>46073</v>
      </c>
      <c r="I162" s="5">
        <v>46064.374560185184</v>
      </c>
      <c r="J162" s="3" t="s">
        <v>2411</v>
      </c>
      <c r="K162" s="3" t="s">
        <v>1892</v>
      </c>
      <c r="L162">
        <v>6</v>
      </c>
      <c r="M162" s="5">
        <v>46105</v>
      </c>
      <c r="N162" s="3" t="s">
        <v>1893</v>
      </c>
      <c r="O162">
        <v>0</v>
      </c>
      <c r="P162" s="3" t="s">
        <v>24</v>
      </c>
      <c r="Q162" s="3" t="s">
        <v>1893</v>
      </c>
      <c r="R162" s="5">
        <v>46118</v>
      </c>
      <c r="S162" s="3" t="s">
        <v>190</v>
      </c>
      <c r="T162" s="3" t="s">
        <v>190</v>
      </c>
      <c r="U162">
        <v>0</v>
      </c>
      <c r="V162" s="3" t="s">
        <v>1794</v>
      </c>
      <c r="W162" s="3" t="s">
        <v>190</v>
      </c>
      <c r="X162" s="5">
        <v>46132</v>
      </c>
      <c r="Y162" s="3" t="s">
        <v>190</v>
      </c>
      <c r="Z162" s="3" t="s">
        <v>190</v>
      </c>
      <c r="AA162">
        <v>0</v>
      </c>
      <c r="AB162" s="3" t="s">
        <v>1895</v>
      </c>
      <c r="AC162" s="3" t="s">
        <v>190</v>
      </c>
      <c r="AD162" s="3" t="s">
        <v>190</v>
      </c>
      <c r="AE162" s="3" t="s">
        <v>190</v>
      </c>
      <c r="AF162" s="3" t="s">
        <v>190</v>
      </c>
    </row>
    <row r="163" spans="1:32" ht="16.5" customHeight="1">
      <c r="A163" s="4" t="s">
        <v>229</v>
      </c>
      <c r="B163" s="4" t="s">
        <v>2180</v>
      </c>
      <c r="C163" s="4" t="s">
        <v>2412</v>
      </c>
      <c r="D163" s="4" t="s">
        <v>25</v>
      </c>
      <c r="E163" s="4" t="s">
        <v>2413</v>
      </c>
      <c r="F163" s="4" t="s">
        <v>2414</v>
      </c>
      <c r="G163" s="4" t="s">
        <v>233</v>
      </c>
      <c r="H163" s="6">
        <v>46045</v>
      </c>
      <c r="I163" s="6">
        <v>46045.623692129629</v>
      </c>
      <c r="J163" s="4" t="s">
        <v>228</v>
      </c>
      <c r="K163" s="4" t="s">
        <v>1892</v>
      </c>
      <c r="L163">
        <v>6</v>
      </c>
      <c r="M163" s="6">
        <v>46105</v>
      </c>
      <c r="N163" s="4" t="s">
        <v>1900</v>
      </c>
      <c r="O163">
        <v>0</v>
      </c>
      <c r="P163" s="4" t="s">
        <v>24</v>
      </c>
      <c r="Q163" s="4" t="s">
        <v>1893</v>
      </c>
      <c r="R163" s="6">
        <v>46118</v>
      </c>
      <c r="S163" s="4" t="s">
        <v>190</v>
      </c>
      <c r="T163" s="4" t="s">
        <v>190</v>
      </c>
      <c r="U163">
        <v>0</v>
      </c>
      <c r="V163" s="4" t="s">
        <v>1794</v>
      </c>
      <c r="W163" s="4" t="s">
        <v>190</v>
      </c>
      <c r="X163" s="6">
        <v>46132</v>
      </c>
      <c r="Y163" s="4" t="s">
        <v>190</v>
      </c>
      <c r="Z163" s="4" t="s">
        <v>190</v>
      </c>
      <c r="AA163">
        <v>0</v>
      </c>
      <c r="AB163" s="4" t="s">
        <v>1895</v>
      </c>
      <c r="AC163" s="4" t="s">
        <v>190</v>
      </c>
      <c r="AD163" s="4" t="s">
        <v>190</v>
      </c>
      <c r="AE163" s="4" t="s">
        <v>190</v>
      </c>
      <c r="AF163" s="4" t="s">
        <v>190</v>
      </c>
    </row>
    <row r="164" spans="1:32" ht="16.5" customHeight="1">
      <c r="A164" s="3" t="s">
        <v>229</v>
      </c>
      <c r="B164" s="3" t="s">
        <v>2180</v>
      </c>
      <c r="C164" s="3" t="s">
        <v>2412</v>
      </c>
      <c r="D164" s="3" t="s">
        <v>25</v>
      </c>
      <c r="E164" s="3" t="s">
        <v>2415</v>
      </c>
      <c r="F164" s="3" t="s">
        <v>2416</v>
      </c>
      <c r="G164" s="3" t="s">
        <v>233</v>
      </c>
      <c r="H164" s="5">
        <v>46052</v>
      </c>
      <c r="I164" s="5">
        <v>46055.371712962966</v>
      </c>
      <c r="J164" s="3" t="s">
        <v>588</v>
      </c>
      <c r="K164" s="3" t="s">
        <v>1892</v>
      </c>
      <c r="L164">
        <v>6</v>
      </c>
      <c r="M164" s="5">
        <v>46105</v>
      </c>
      <c r="N164" s="3" t="s">
        <v>1900</v>
      </c>
      <c r="O164">
        <v>0</v>
      </c>
      <c r="P164" s="3" t="s">
        <v>24</v>
      </c>
      <c r="Q164" s="3" t="s">
        <v>1893</v>
      </c>
      <c r="R164" s="5">
        <v>46118</v>
      </c>
      <c r="S164" s="3" t="s">
        <v>190</v>
      </c>
      <c r="T164" s="3" t="s">
        <v>190</v>
      </c>
      <c r="U164">
        <v>0</v>
      </c>
      <c r="V164" s="3" t="s">
        <v>1794</v>
      </c>
      <c r="W164" s="3" t="s">
        <v>190</v>
      </c>
      <c r="X164" s="5">
        <v>46132</v>
      </c>
      <c r="Y164" s="3" t="s">
        <v>190</v>
      </c>
      <c r="Z164" s="3" t="s">
        <v>190</v>
      </c>
      <c r="AA164">
        <v>0</v>
      </c>
      <c r="AB164" s="3" t="s">
        <v>1895</v>
      </c>
      <c r="AC164" s="3" t="s">
        <v>190</v>
      </c>
      <c r="AD164" s="3" t="s">
        <v>190</v>
      </c>
      <c r="AE164" s="3" t="s">
        <v>190</v>
      </c>
      <c r="AF164" s="3" t="s">
        <v>190</v>
      </c>
    </row>
    <row r="165" spans="1:32" ht="16.5" customHeight="1">
      <c r="A165" s="4" t="s">
        <v>306</v>
      </c>
      <c r="B165" s="4" t="s">
        <v>2189</v>
      </c>
      <c r="C165" s="4" t="s">
        <v>2417</v>
      </c>
      <c r="D165" s="4" t="s">
        <v>25</v>
      </c>
      <c r="E165" s="4" t="s">
        <v>2418</v>
      </c>
      <c r="F165" s="4" t="s">
        <v>2419</v>
      </c>
      <c r="G165" s="4" t="s">
        <v>309</v>
      </c>
      <c r="H165" s="6">
        <v>46031</v>
      </c>
      <c r="I165" s="6">
        <v>46031.661874999998</v>
      </c>
      <c r="J165" s="4" t="s">
        <v>2420</v>
      </c>
      <c r="K165" s="4" t="s">
        <v>1892</v>
      </c>
      <c r="L165">
        <v>6</v>
      </c>
      <c r="M165" s="6">
        <v>46105</v>
      </c>
      <c r="N165" s="4" t="s">
        <v>1893</v>
      </c>
      <c r="O165">
        <v>0</v>
      </c>
      <c r="P165" s="4" t="s">
        <v>24</v>
      </c>
      <c r="Q165" s="4" t="s">
        <v>1893</v>
      </c>
      <c r="R165" s="6">
        <v>46118</v>
      </c>
      <c r="S165" s="4" t="s">
        <v>190</v>
      </c>
      <c r="T165" s="4" t="s">
        <v>190</v>
      </c>
      <c r="U165">
        <v>0</v>
      </c>
      <c r="V165" s="4" t="s">
        <v>1901</v>
      </c>
      <c r="W165" s="4" t="s">
        <v>190</v>
      </c>
      <c r="X165" s="6">
        <v>46132</v>
      </c>
      <c r="Y165" s="4" t="s">
        <v>190</v>
      </c>
      <c r="Z165" s="4" t="s">
        <v>190</v>
      </c>
      <c r="AA165">
        <v>0</v>
      </c>
      <c r="AB165" s="4" t="s">
        <v>1895</v>
      </c>
      <c r="AC165" s="4" t="s">
        <v>190</v>
      </c>
      <c r="AD165" s="4" t="s">
        <v>190</v>
      </c>
      <c r="AE165" s="4" t="s">
        <v>190</v>
      </c>
      <c r="AF165" s="4" t="s">
        <v>190</v>
      </c>
    </row>
    <row r="166" spans="1:32" ht="16.5" customHeight="1">
      <c r="A166" s="3" t="s">
        <v>306</v>
      </c>
      <c r="B166" s="3" t="s">
        <v>56</v>
      </c>
      <c r="C166" s="3" t="s">
        <v>56</v>
      </c>
      <c r="D166" s="3" t="s">
        <v>116</v>
      </c>
      <c r="E166" s="3" t="s">
        <v>2421</v>
      </c>
      <c r="F166" s="3" t="s">
        <v>2422</v>
      </c>
      <c r="G166" s="3" t="s">
        <v>250</v>
      </c>
      <c r="H166" s="5">
        <v>46094</v>
      </c>
      <c r="I166" s="5">
        <v>46093.655173611114</v>
      </c>
      <c r="J166" s="3" t="s">
        <v>2423</v>
      </c>
      <c r="K166" s="3" t="s">
        <v>1892</v>
      </c>
      <c r="L166">
        <v>6</v>
      </c>
      <c r="M166" s="5">
        <v>46105</v>
      </c>
      <c r="N166" s="3" t="s">
        <v>1893</v>
      </c>
      <c r="O166">
        <v>0</v>
      </c>
      <c r="P166" s="3" t="s">
        <v>24</v>
      </c>
      <c r="Q166" s="3" t="s">
        <v>1893</v>
      </c>
      <c r="R166" s="5">
        <v>46118</v>
      </c>
      <c r="S166" s="3" t="s">
        <v>190</v>
      </c>
      <c r="T166" s="3" t="s">
        <v>190</v>
      </c>
      <c r="U166">
        <v>0</v>
      </c>
      <c r="V166" s="3" t="s">
        <v>1901</v>
      </c>
      <c r="W166" s="3" t="s">
        <v>190</v>
      </c>
      <c r="X166" s="5">
        <v>46132</v>
      </c>
      <c r="Y166" s="3" t="s">
        <v>190</v>
      </c>
      <c r="Z166" s="3" t="s">
        <v>190</v>
      </c>
      <c r="AA166">
        <v>0</v>
      </c>
      <c r="AB166" s="3" t="s">
        <v>1895</v>
      </c>
      <c r="AC166" s="3" t="s">
        <v>190</v>
      </c>
      <c r="AD166" s="3" t="s">
        <v>190</v>
      </c>
      <c r="AE166" s="3" t="s">
        <v>190</v>
      </c>
      <c r="AF166" s="3" t="s">
        <v>190</v>
      </c>
    </row>
    <row r="167" spans="1:32" ht="16.5" customHeight="1">
      <c r="A167" s="4" t="s">
        <v>306</v>
      </c>
      <c r="B167" s="4" t="s">
        <v>2424</v>
      </c>
      <c r="C167" s="4" t="s">
        <v>2424</v>
      </c>
      <c r="D167" s="4" t="s">
        <v>25</v>
      </c>
      <c r="E167" s="4" t="s">
        <v>2425</v>
      </c>
      <c r="F167" s="4" t="s">
        <v>2426</v>
      </c>
      <c r="G167" s="4" t="s">
        <v>309</v>
      </c>
      <c r="H167" s="6">
        <v>46101</v>
      </c>
      <c r="I167" s="6"/>
      <c r="J167" s="4" t="s">
        <v>2427</v>
      </c>
      <c r="K167" s="4" t="s">
        <v>1892</v>
      </c>
      <c r="L167">
        <v>6</v>
      </c>
      <c r="M167" s="6"/>
      <c r="N167" s="4" t="s">
        <v>190</v>
      </c>
      <c r="O167">
        <v>0</v>
      </c>
      <c r="P167" s="4" t="s">
        <v>24</v>
      </c>
      <c r="Q167" s="4" t="s">
        <v>190</v>
      </c>
      <c r="R167" s="6">
        <v>46118</v>
      </c>
      <c r="S167" s="4" t="s">
        <v>190</v>
      </c>
      <c r="T167" s="4" t="s">
        <v>190</v>
      </c>
      <c r="U167">
        <v>0</v>
      </c>
      <c r="V167" s="4" t="s">
        <v>1901</v>
      </c>
      <c r="W167" s="4" t="s">
        <v>190</v>
      </c>
      <c r="X167" s="6">
        <v>46132</v>
      </c>
      <c r="Y167" s="4" t="s">
        <v>190</v>
      </c>
      <c r="Z167" s="4" t="s">
        <v>190</v>
      </c>
      <c r="AA167">
        <v>0</v>
      </c>
      <c r="AB167" s="4" t="s">
        <v>1895</v>
      </c>
      <c r="AC167" s="4" t="s">
        <v>190</v>
      </c>
      <c r="AD167" s="4" t="s">
        <v>190</v>
      </c>
      <c r="AE167" s="4" t="s">
        <v>190</v>
      </c>
      <c r="AF167" s="4" t="s">
        <v>190</v>
      </c>
    </row>
    <row r="168" spans="1:32" ht="16.5" customHeight="1">
      <c r="A168" s="3" t="s">
        <v>580</v>
      </c>
      <c r="B168" s="3" t="s">
        <v>56</v>
      </c>
      <c r="C168" s="3" t="s">
        <v>56</v>
      </c>
      <c r="D168" s="3" t="s">
        <v>116</v>
      </c>
      <c r="E168" s="3" t="s">
        <v>2428</v>
      </c>
      <c r="F168" s="3" t="s">
        <v>2429</v>
      </c>
      <c r="G168" s="3" t="s">
        <v>279</v>
      </c>
      <c r="H168" s="5">
        <v>46066</v>
      </c>
      <c r="I168" s="5">
        <v>46020.438761574071</v>
      </c>
      <c r="J168" s="3" t="s">
        <v>2430</v>
      </c>
      <c r="K168" s="3" t="s">
        <v>1892</v>
      </c>
      <c r="L168">
        <v>6</v>
      </c>
      <c r="M168" s="5">
        <v>46106</v>
      </c>
      <c r="N168" s="3" t="s">
        <v>1893</v>
      </c>
      <c r="O168">
        <v>0</v>
      </c>
      <c r="P168" s="3" t="s">
        <v>24</v>
      </c>
      <c r="Q168" s="3" t="s">
        <v>1893</v>
      </c>
      <c r="R168" s="5">
        <v>46118</v>
      </c>
      <c r="S168" s="3" t="s">
        <v>190</v>
      </c>
      <c r="T168" s="3" t="s">
        <v>190</v>
      </c>
      <c r="U168">
        <v>0</v>
      </c>
      <c r="V168" s="3" t="s">
        <v>1956</v>
      </c>
      <c r="W168" s="3" t="s">
        <v>190</v>
      </c>
      <c r="X168" s="5">
        <v>46132</v>
      </c>
      <c r="Y168" s="3" t="s">
        <v>190</v>
      </c>
      <c r="Z168" s="3" t="s">
        <v>190</v>
      </c>
      <c r="AA168">
        <v>0</v>
      </c>
      <c r="AB168" s="3" t="s">
        <v>1895</v>
      </c>
      <c r="AC168" s="3" t="s">
        <v>190</v>
      </c>
      <c r="AD168" s="3" t="s">
        <v>190</v>
      </c>
      <c r="AE168" s="3" t="s">
        <v>190</v>
      </c>
      <c r="AF168" s="3" t="s">
        <v>190</v>
      </c>
    </row>
    <row r="169" spans="1:32" ht="16.5" customHeight="1">
      <c r="A169" s="4" t="s">
        <v>580</v>
      </c>
      <c r="B169" s="4" t="s">
        <v>56</v>
      </c>
      <c r="C169" s="4" t="s">
        <v>56</v>
      </c>
      <c r="D169" s="4" t="s">
        <v>1795</v>
      </c>
      <c r="E169" s="4" t="s">
        <v>2431</v>
      </c>
      <c r="F169" s="4" t="s">
        <v>2432</v>
      </c>
      <c r="G169" s="4" t="s">
        <v>584</v>
      </c>
      <c r="H169" s="6">
        <v>46081</v>
      </c>
      <c r="I169" s="6">
        <v>46006.711597222224</v>
      </c>
      <c r="J169" s="4" t="s">
        <v>2433</v>
      </c>
      <c r="K169" s="4" t="s">
        <v>1892</v>
      </c>
      <c r="L169">
        <v>6</v>
      </c>
      <c r="M169" s="6"/>
      <c r="N169" s="4" t="s">
        <v>190</v>
      </c>
      <c r="O169">
        <v>0</v>
      </c>
      <c r="P169" s="4" t="s">
        <v>24</v>
      </c>
      <c r="Q169" s="4" t="s">
        <v>190</v>
      </c>
      <c r="R169" s="6">
        <v>46118</v>
      </c>
      <c r="S169" s="4" t="s">
        <v>190</v>
      </c>
      <c r="T169" s="4" t="s">
        <v>190</v>
      </c>
      <c r="U169">
        <v>0</v>
      </c>
      <c r="V169" s="4" t="s">
        <v>1956</v>
      </c>
      <c r="W169" s="4" t="s">
        <v>190</v>
      </c>
      <c r="X169" s="6">
        <v>46132</v>
      </c>
      <c r="Y169" s="4" t="s">
        <v>190</v>
      </c>
      <c r="Z169" s="4" t="s">
        <v>190</v>
      </c>
      <c r="AA169">
        <v>0</v>
      </c>
      <c r="AB169" s="4" t="s">
        <v>1895</v>
      </c>
      <c r="AC169" s="4" t="s">
        <v>190</v>
      </c>
      <c r="AD169" s="4" t="s">
        <v>190</v>
      </c>
      <c r="AE169" s="4" t="s">
        <v>190</v>
      </c>
      <c r="AF169" s="4" t="s">
        <v>190</v>
      </c>
    </row>
    <row r="170" spans="1:32" ht="16.5" customHeight="1">
      <c r="A170" s="3" t="s">
        <v>580</v>
      </c>
      <c r="B170" s="3" t="s">
        <v>56</v>
      </c>
      <c r="C170" s="3" t="s">
        <v>56</v>
      </c>
      <c r="D170" s="3" t="s">
        <v>1795</v>
      </c>
      <c r="E170" s="3" t="s">
        <v>2434</v>
      </c>
      <c r="F170" s="3" t="s">
        <v>2435</v>
      </c>
      <c r="G170" s="3" t="s">
        <v>584</v>
      </c>
      <c r="H170" s="5">
        <v>46081</v>
      </c>
      <c r="I170" s="5">
        <v>46006.711759259262</v>
      </c>
      <c r="J170" s="3" t="s">
        <v>2436</v>
      </c>
      <c r="K170" s="3" t="s">
        <v>1892</v>
      </c>
      <c r="L170">
        <v>6</v>
      </c>
      <c r="M170" s="5">
        <v>46104</v>
      </c>
      <c r="N170" s="3" t="s">
        <v>1893</v>
      </c>
      <c r="O170">
        <v>0</v>
      </c>
      <c r="P170" s="3" t="s">
        <v>24</v>
      </c>
      <c r="Q170" s="3" t="s">
        <v>1893</v>
      </c>
      <c r="R170" s="5">
        <v>46118</v>
      </c>
      <c r="S170" s="3" t="s">
        <v>190</v>
      </c>
      <c r="T170" s="3" t="s">
        <v>190</v>
      </c>
      <c r="U170">
        <v>0</v>
      </c>
      <c r="V170" s="3" t="s">
        <v>1956</v>
      </c>
      <c r="W170" s="3" t="s">
        <v>190</v>
      </c>
      <c r="X170" s="5">
        <v>46132</v>
      </c>
      <c r="Y170" s="3" t="s">
        <v>190</v>
      </c>
      <c r="Z170" s="3" t="s">
        <v>190</v>
      </c>
      <c r="AA170">
        <v>0</v>
      </c>
      <c r="AB170" s="3" t="s">
        <v>1895</v>
      </c>
      <c r="AC170" s="3" t="s">
        <v>190</v>
      </c>
      <c r="AD170" s="3" t="s">
        <v>190</v>
      </c>
      <c r="AE170" s="3" t="s">
        <v>190</v>
      </c>
      <c r="AF170" s="3" t="s">
        <v>190</v>
      </c>
    </row>
    <row r="171" spans="1:32" ht="16.5" customHeight="1">
      <c r="A171" s="4" t="s">
        <v>580</v>
      </c>
      <c r="B171" s="4" t="s">
        <v>56</v>
      </c>
      <c r="C171" s="4" t="s">
        <v>56</v>
      </c>
      <c r="D171" s="4" t="s">
        <v>1795</v>
      </c>
      <c r="E171" s="4" t="s">
        <v>2437</v>
      </c>
      <c r="F171" s="4" t="s">
        <v>2438</v>
      </c>
      <c r="G171" s="4" t="s">
        <v>584</v>
      </c>
      <c r="H171" s="6">
        <v>46081</v>
      </c>
      <c r="I171" s="6">
        <v>46006.711875000001</v>
      </c>
      <c r="J171" s="4" t="s">
        <v>2439</v>
      </c>
      <c r="K171" s="4" t="s">
        <v>1892</v>
      </c>
      <c r="L171">
        <v>6</v>
      </c>
      <c r="M171" s="6">
        <v>46104</v>
      </c>
      <c r="N171" s="4" t="s">
        <v>1893</v>
      </c>
      <c r="O171">
        <v>0</v>
      </c>
      <c r="P171" s="4" t="s">
        <v>24</v>
      </c>
      <c r="Q171" s="4" t="s">
        <v>1893</v>
      </c>
      <c r="R171" s="6">
        <v>46118</v>
      </c>
      <c r="S171" s="4" t="s">
        <v>190</v>
      </c>
      <c r="T171" s="4" t="s">
        <v>190</v>
      </c>
      <c r="U171">
        <v>0</v>
      </c>
      <c r="V171" s="4" t="s">
        <v>1956</v>
      </c>
      <c r="W171" s="4" t="s">
        <v>190</v>
      </c>
      <c r="X171" s="6">
        <v>46132</v>
      </c>
      <c r="Y171" s="4" t="s">
        <v>190</v>
      </c>
      <c r="Z171" s="4" t="s">
        <v>190</v>
      </c>
      <c r="AA171">
        <v>0</v>
      </c>
      <c r="AB171" s="4" t="s">
        <v>1895</v>
      </c>
      <c r="AC171" s="4" t="s">
        <v>190</v>
      </c>
      <c r="AD171" s="4" t="s">
        <v>190</v>
      </c>
      <c r="AE171" s="4" t="s">
        <v>190</v>
      </c>
      <c r="AF171" s="4" t="s">
        <v>190</v>
      </c>
    </row>
    <row r="172" spans="1:32" ht="16.5" customHeight="1">
      <c r="A172" s="3" t="s">
        <v>580</v>
      </c>
      <c r="B172" s="3" t="s">
        <v>56</v>
      </c>
      <c r="C172" s="3" t="s">
        <v>56</v>
      </c>
      <c r="D172" s="3" t="s">
        <v>116</v>
      </c>
      <c r="E172" s="3" t="s">
        <v>2440</v>
      </c>
      <c r="F172" s="3" t="s">
        <v>2441</v>
      </c>
      <c r="G172" s="3" t="s">
        <v>279</v>
      </c>
      <c r="H172" s="5">
        <v>46081</v>
      </c>
      <c r="I172" s="5">
        <v>46020.438784722224</v>
      </c>
      <c r="J172" s="3" t="s">
        <v>2442</v>
      </c>
      <c r="K172" s="3" t="s">
        <v>1892</v>
      </c>
      <c r="L172">
        <v>6</v>
      </c>
      <c r="M172" s="5">
        <v>46105</v>
      </c>
      <c r="N172" s="3" t="s">
        <v>1893</v>
      </c>
      <c r="O172">
        <v>0</v>
      </c>
      <c r="P172" s="3" t="s">
        <v>24</v>
      </c>
      <c r="Q172" s="3" t="s">
        <v>1893</v>
      </c>
      <c r="R172" s="5">
        <v>46118</v>
      </c>
      <c r="S172" s="3" t="s">
        <v>190</v>
      </c>
      <c r="T172" s="3" t="s">
        <v>190</v>
      </c>
      <c r="U172">
        <v>0</v>
      </c>
      <c r="V172" s="3" t="s">
        <v>1956</v>
      </c>
      <c r="W172" s="3" t="s">
        <v>190</v>
      </c>
      <c r="X172" s="5">
        <v>46132</v>
      </c>
      <c r="Y172" s="3" t="s">
        <v>190</v>
      </c>
      <c r="Z172" s="3" t="s">
        <v>190</v>
      </c>
      <c r="AA172">
        <v>0</v>
      </c>
      <c r="AB172" s="3" t="s">
        <v>1895</v>
      </c>
      <c r="AC172" s="3" t="s">
        <v>190</v>
      </c>
      <c r="AD172" s="3" t="s">
        <v>190</v>
      </c>
      <c r="AE172" s="3" t="s">
        <v>190</v>
      </c>
      <c r="AF172" s="3" t="s">
        <v>190</v>
      </c>
    </row>
    <row r="173" spans="1:32" ht="16.5" customHeight="1">
      <c r="A173" s="4" t="s">
        <v>580</v>
      </c>
      <c r="B173" s="4" t="s">
        <v>56</v>
      </c>
      <c r="C173" s="4" t="s">
        <v>56</v>
      </c>
      <c r="D173" s="4" t="s">
        <v>1923</v>
      </c>
      <c r="E173" s="4" t="s">
        <v>2443</v>
      </c>
      <c r="F173" s="4" t="s">
        <v>2444</v>
      </c>
      <c r="G173" s="4" t="s">
        <v>584</v>
      </c>
      <c r="H173" s="6">
        <v>46045</v>
      </c>
      <c r="I173" s="6">
        <v>46062.642743055556</v>
      </c>
      <c r="J173" s="4" t="s">
        <v>2445</v>
      </c>
      <c r="K173" s="4" t="s">
        <v>1892</v>
      </c>
      <c r="L173">
        <v>6</v>
      </c>
      <c r="M173" s="6"/>
      <c r="N173" s="4" t="s">
        <v>190</v>
      </c>
      <c r="O173">
        <v>0</v>
      </c>
      <c r="P173" s="4" t="s">
        <v>24</v>
      </c>
      <c r="Q173" s="4" t="s">
        <v>190</v>
      </c>
      <c r="R173" s="6">
        <v>46118</v>
      </c>
      <c r="S173" s="4" t="s">
        <v>190</v>
      </c>
      <c r="T173" s="4" t="s">
        <v>190</v>
      </c>
      <c r="U173">
        <v>0</v>
      </c>
      <c r="V173" s="4" t="s">
        <v>1901</v>
      </c>
      <c r="W173" s="4" t="s">
        <v>190</v>
      </c>
      <c r="X173" s="6">
        <v>46132</v>
      </c>
      <c r="Y173" s="4" t="s">
        <v>190</v>
      </c>
      <c r="Z173" s="4" t="s">
        <v>190</v>
      </c>
      <c r="AA173">
        <v>0</v>
      </c>
      <c r="AB173" s="4" t="s">
        <v>1895</v>
      </c>
      <c r="AC173" s="4" t="s">
        <v>190</v>
      </c>
      <c r="AD173" s="4" t="s">
        <v>190</v>
      </c>
      <c r="AE173" s="4" t="s">
        <v>190</v>
      </c>
      <c r="AF173" s="4" t="s">
        <v>190</v>
      </c>
    </row>
    <row r="174" spans="1:32" ht="16.5" customHeight="1">
      <c r="A174" s="3" t="s">
        <v>580</v>
      </c>
      <c r="B174" s="3" t="s">
        <v>56</v>
      </c>
      <c r="C174" s="3" t="s">
        <v>56</v>
      </c>
      <c r="D174" s="3" t="s">
        <v>116</v>
      </c>
      <c r="E174" s="3" t="s">
        <v>2446</v>
      </c>
      <c r="F174" s="3" t="s">
        <v>2447</v>
      </c>
      <c r="G174" s="3" t="s">
        <v>279</v>
      </c>
      <c r="H174" s="5">
        <v>46080</v>
      </c>
      <c r="I174" s="5">
        <v>46055</v>
      </c>
      <c r="J174" s="3" t="s">
        <v>2448</v>
      </c>
      <c r="K174" s="3" t="s">
        <v>1892</v>
      </c>
      <c r="L174">
        <v>6</v>
      </c>
      <c r="M174" s="5">
        <v>46104</v>
      </c>
      <c r="N174" s="3" t="s">
        <v>1893</v>
      </c>
      <c r="O174">
        <v>0</v>
      </c>
      <c r="P174" s="3" t="s">
        <v>24</v>
      </c>
      <c r="Q174" s="3" t="s">
        <v>1893</v>
      </c>
      <c r="R174" s="5">
        <v>46118</v>
      </c>
      <c r="S174" s="3" t="s">
        <v>190</v>
      </c>
      <c r="T174" s="3" t="s">
        <v>190</v>
      </c>
      <c r="U174">
        <v>0</v>
      </c>
      <c r="V174" s="3" t="s">
        <v>1956</v>
      </c>
      <c r="W174" s="3" t="s">
        <v>190</v>
      </c>
      <c r="X174" s="5">
        <v>46132</v>
      </c>
      <c r="Y174" s="3" t="s">
        <v>190</v>
      </c>
      <c r="Z174" s="3" t="s">
        <v>190</v>
      </c>
      <c r="AA174">
        <v>0</v>
      </c>
      <c r="AB174" s="3" t="s">
        <v>1895</v>
      </c>
      <c r="AC174" s="3" t="s">
        <v>190</v>
      </c>
      <c r="AD174" s="3" t="s">
        <v>190</v>
      </c>
      <c r="AE174" s="3" t="s">
        <v>190</v>
      </c>
      <c r="AF174" s="3" t="s">
        <v>190</v>
      </c>
    </row>
    <row r="175" spans="1:32" ht="16.5" customHeight="1">
      <c r="A175" s="4" t="s">
        <v>580</v>
      </c>
      <c r="B175" s="4" t="s">
        <v>2449</v>
      </c>
      <c r="C175" s="4" t="s">
        <v>2450</v>
      </c>
      <c r="D175" s="4" t="s">
        <v>25</v>
      </c>
      <c r="E175" s="4" t="s">
        <v>2451</v>
      </c>
      <c r="F175" s="4" t="s">
        <v>2452</v>
      </c>
      <c r="G175" s="4" t="s">
        <v>583</v>
      </c>
      <c r="H175" s="6">
        <v>46066</v>
      </c>
      <c r="I175" s="6">
        <v>46063.643796296295</v>
      </c>
      <c r="J175" s="4" t="s">
        <v>2453</v>
      </c>
      <c r="K175" s="4" t="s">
        <v>1892</v>
      </c>
      <c r="L175">
        <v>6</v>
      </c>
      <c r="M175" s="6">
        <v>46104</v>
      </c>
      <c r="N175" s="4" t="s">
        <v>1893</v>
      </c>
      <c r="O175">
        <v>0</v>
      </c>
      <c r="P175" s="4" t="s">
        <v>24</v>
      </c>
      <c r="Q175" s="4" t="s">
        <v>1893</v>
      </c>
      <c r="R175" s="6">
        <v>46118</v>
      </c>
      <c r="S175" s="4" t="s">
        <v>190</v>
      </c>
      <c r="T175" s="4" t="s">
        <v>190</v>
      </c>
      <c r="U175">
        <v>0</v>
      </c>
      <c r="V175" s="4" t="s">
        <v>1956</v>
      </c>
      <c r="W175" s="4" t="s">
        <v>190</v>
      </c>
      <c r="X175" s="6">
        <v>46132</v>
      </c>
      <c r="Y175" s="4" t="s">
        <v>190</v>
      </c>
      <c r="Z175" s="4" t="s">
        <v>190</v>
      </c>
      <c r="AA175">
        <v>0</v>
      </c>
      <c r="AB175" s="4" t="s">
        <v>1895</v>
      </c>
      <c r="AC175" s="4" t="s">
        <v>190</v>
      </c>
      <c r="AD175" s="4" t="s">
        <v>190</v>
      </c>
      <c r="AE175" s="4" t="s">
        <v>190</v>
      </c>
      <c r="AF175" s="4" t="s">
        <v>190</v>
      </c>
    </row>
    <row r="176" spans="1:32" ht="16.5" customHeight="1">
      <c r="A176" s="3" t="s">
        <v>275</v>
      </c>
      <c r="B176" s="3" t="s">
        <v>1985</v>
      </c>
      <c r="C176" s="3" t="s">
        <v>1986</v>
      </c>
      <c r="D176" s="3" t="s">
        <v>25</v>
      </c>
      <c r="E176" s="3" t="s">
        <v>2454</v>
      </c>
      <c r="F176" s="3" t="s">
        <v>2455</v>
      </c>
      <c r="G176" s="3" t="s">
        <v>512</v>
      </c>
      <c r="H176" s="5">
        <v>46080</v>
      </c>
      <c r="I176" s="5">
        <v>45982.720219907409</v>
      </c>
      <c r="J176" s="3" t="s">
        <v>701</v>
      </c>
      <c r="K176" s="3" t="s">
        <v>1892</v>
      </c>
      <c r="L176">
        <v>6</v>
      </c>
      <c r="M176" s="5">
        <v>46107</v>
      </c>
      <c r="N176" s="3" t="s">
        <v>1900</v>
      </c>
      <c r="O176">
        <v>0</v>
      </c>
      <c r="P176" s="3" t="s">
        <v>24</v>
      </c>
      <c r="Q176" s="3" t="s">
        <v>1900</v>
      </c>
      <c r="R176" s="5">
        <v>46118</v>
      </c>
      <c r="S176" s="3" t="s">
        <v>190</v>
      </c>
      <c r="T176" s="3" t="s">
        <v>190</v>
      </c>
      <c r="U176">
        <v>1</v>
      </c>
      <c r="V176" s="3" t="s">
        <v>1983</v>
      </c>
      <c r="W176" s="3" t="s">
        <v>190</v>
      </c>
      <c r="X176" s="5">
        <v>46132</v>
      </c>
      <c r="Y176" s="3" t="s">
        <v>190</v>
      </c>
      <c r="Z176" s="3" t="s">
        <v>190</v>
      </c>
      <c r="AA176">
        <v>0</v>
      </c>
      <c r="AB176" s="3" t="s">
        <v>1984</v>
      </c>
      <c r="AC176" s="3" t="s">
        <v>190</v>
      </c>
      <c r="AD176" s="3" t="s">
        <v>190</v>
      </c>
      <c r="AE176" s="3" t="s">
        <v>190</v>
      </c>
      <c r="AF176" s="3" t="s">
        <v>190</v>
      </c>
    </row>
    <row r="177" spans="1:32" ht="16.5" customHeight="1">
      <c r="A177" s="4" t="s">
        <v>184</v>
      </c>
      <c r="B177" s="4" t="s">
        <v>1989</v>
      </c>
      <c r="C177" s="4" t="s">
        <v>2241</v>
      </c>
      <c r="D177" s="4" t="s">
        <v>25</v>
      </c>
      <c r="E177" s="4" t="s">
        <v>2456</v>
      </c>
      <c r="F177" s="4" t="s">
        <v>2457</v>
      </c>
      <c r="G177" s="4" t="s">
        <v>496</v>
      </c>
      <c r="H177" s="6">
        <v>46031</v>
      </c>
      <c r="I177" s="6">
        <v>45999</v>
      </c>
      <c r="J177" s="4" t="s">
        <v>1762</v>
      </c>
      <c r="K177" s="4" t="s">
        <v>1892</v>
      </c>
      <c r="L177">
        <v>6</v>
      </c>
      <c r="M177" s="6">
        <v>46107</v>
      </c>
      <c r="N177" s="4" t="s">
        <v>1900</v>
      </c>
      <c r="O177">
        <v>0</v>
      </c>
      <c r="P177" s="4" t="s">
        <v>24</v>
      </c>
      <c r="Q177" s="4" t="s">
        <v>1900</v>
      </c>
      <c r="R177" s="6">
        <v>46118</v>
      </c>
      <c r="S177" s="4" t="s">
        <v>190</v>
      </c>
      <c r="T177" s="4" t="s">
        <v>190</v>
      </c>
      <c r="U177">
        <v>0</v>
      </c>
      <c r="V177" s="4" t="s">
        <v>1901</v>
      </c>
      <c r="W177" s="4" t="s">
        <v>190</v>
      </c>
      <c r="X177" s="6">
        <v>46132</v>
      </c>
      <c r="Y177" s="4" t="s">
        <v>190</v>
      </c>
      <c r="Z177" s="4" t="s">
        <v>190</v>
      </c>
      <c r="AA177">
        <v>0</v>
      </c>
      <c r="AB177" s="4" t="s">
        <v>1895</v>
      </c>
      <c r="AC177" s="4" t="s">
        <v>190</v>
      </c>
      <c r="AD177" s="4" t="s">
        <v>190</v>
      </c>
      <c r="AE177" s="4" t="s">
        <v>190</v>
      </c>
      <c r="AF177" s="4" t="s">
        <v>190</v>
      </c>
    </row>
    <row r="178" spans="1:32" ht="16.5" customHeight="1">
      <c r="A178" s="3" t="s">
        <v>184</v>
      </c>
      <c r="B178" s="3" t="s">
        <v>1989</v>
      </c>
      <c r="C178" s="3" t="s">
        <v>1990</v>
      </c>
      <c r="D178" s="3" t="s">
        <v>25</v>
      </c>
      <c r="E178" s="3" t="s">
        <v>2458</v>
      </c>
      <c r="F178" s="3" t="s">
        <v>2459</v>
      </c>
      <c r="G178" s="3" t="s">
        <v>493</v>
      </c>
      <c r="H178" s="5">
        <v>46045</v>
      </c>
      <c r="I178" s="5">
        <v>46108.416481481479</v>
      </c>
      <c r="J178" s="3" t="s">
        <v>2460</v>
      </c>
      <c r="K178" s="3" t="s">
        <v>1892</v>
      </c>
      <c r="L178">
        <v>6</v>
      </c>
      <c r="M178" s="5">
        <v>46108</v>
      </c>
      <c r="N178" s="3" t="s">
        <v>1893</v>
      </c>
      <c r="O178">
        <v>0</v>
      </c>
      <c r="P178" s="3" t="s">
        <v>24</v>
      </c>
      <c r="Q178" s="3" t="s">
        <v>1893</v>
      </c>
      <c r="R178" s="5">
        <v>46118</v>
      </c>
      <c r="S178" s="3" t="s">
        <v>190</v>
      </c>
      <c r="T178" s="3" t="s">
        <v>190</v>
      </c>
      <c r="U178">
        <v>0</v>
      </c>
      <c r="V178" s="3" t="s">
        <v>1901</v>
      </c>
      <c r="W178" s="3" t="s">
        <v>190</v>
      </c>
      <c r="X178" s="5">
        <v>46132</v>
      </c>
      <c r="Y178" s="3" t="s">
        <v>190</v>
      </c>
      <c r="Z178" s="3" t="s">
        <v>190</v>
      </c>
      <c r="AA178">
        <v>0</v>
      </c>
      <c r="AB178" s="3" t="s">
        <v>1895</v>
      </c>
      <c r="AC178" s="3" t="s">
        <v>190</v>
      </c>
      <c r="AD178" s="3" t="s">
        <v>190</v>
      </c>
      <c r="AE178" s="3" t="s">
        <v>190</v>
      </c>
      <c r="AF178" s="3" t="s">
        <v>190</v>
      </c>
    </row>
    <row r="179" spans="1:32" ht="16.5" customHeight="1">
      <c r="A179" s="4" t="s">
        <v>184</v>
      </c>
      <c r="B179" s="4" t="s">
        <v>1989</v>
      </c>
      <c r="C179" s="4" t="s">
        <v>2244</v>
      </c>
      <c r="D179" s="4" t="s">
        <v>25</v>
      </c>
      <c r="E179" s="4" t="s">
        <v>2461</v>
      </c>
      <c r="F179" s="4" t="s">
        <v>2462</v>
      </c>
      <c r="G179" s="4" t="s">
        <v>496</v>
      </c>
      <c r="H179" s="6">
        <v>46059</v>
      </c>
      <c r="I179" s="6">
        <v>45999</v>
      </c>
      <c r="J179" s="4" t="s">
        <v>2463</v>
      </c>
      <c r="K179" s="4" t="s">
        <v>1892</v>
      </c>
      <c r="L179">
        <v>6</v>
      </c>
      <c r="M179" s="6">
        <v>46107</v>
      </c>
      <c r="N179" s="4" t="s">
        <v>1893</v>
      </c>
      <c r="O179">
        <v>0</v>
      </c>
      <c r="P179" s="4" t="s">
        <v>24</v>
      </c>
      <c r="Q179" s="4" t="s">
        <v>1893</v>
      </c>
      <c r="R179" s="6">
        <v>46118</v>
      </c>
      <c r="S179" s="4" t="s">
        <v>190</v>
      </c>
      <c r="T179" s="4" t="s">
        <v>190</v>
      </c>
      <c r="U179">
        <v>0</v>
      </c>
      <c r="V179" s="4" t="s">
        <v>1901</v>
      </c>
      <c r="W179" s="4" t="s">
        <v>190</v>
      </c>
      <c r="X179" s="6">
        <v>46132</v>
      </c>
      <c r="Y179" s="4" t="s">
        <v>190</v>
      </c>
      <c r="Z179" s="4" t="s">
        <v>190</v>
      </c>
      <c r="AA179">
        <v>0</v>
      </c>
      <c r="AB179" s="4" t="s">
        <v>1895</v>
      </c>
      <c r="AC179" s="4" t="s">
        <v>190</v>
      </c>
      <c r="AD179" s="4" t="s">
        <v>190</v>
      </c>
      <c r="AE179" s="4" t="s">
        <v>190</v>
      </c>
      <c r="AF179" s="4" t="s">
        <v>190</v>
      </c>
    </row>
    <row r="180" spans="1:32" ht="16.5" customHeight="1">
      <c r="A180" s="3" t="s">
        <v>184</v>
      </c>
      <c r="B180" s="3" t="s">
        <v>1989</v>
      </c>
      <c r="C180" s="3" t="s">
        <v>2244</v>
      </c>
      <c r="D180" s="3" t="s">
        <v>25</v>
      </c>
      <c r="E180" s="3" t="s">
        <v>2464</v>
      </c>
      <c r="F180" s="3" t="s">
        <v>2465</v>
      </c>
      <c r="G180" s="3" t="s">
        <v>1291</v>
      </c>
      <c r="H180" s="5">
        <v>46073</v>
      </c>
      <c r="I180" s="5">
        <v>45999</v>
      </c>
      <c r="J180" s="3" t="s">
        <v>2466</v>
      </c>
      <c r="K180" s="3" t="s">
        <v>1892</v>
      </c>
      <c r="L180">
        <v>6</v>
      </c>
      <c r="M180" s="5">
        <v>46107</v>
      </c>
      <c r="N180" s="3" t="s">
        <v>1893</v>
      </c>
      <c r="O180">
        <v>0</v>
      </c>
      <c r="P180" s="3" t="s">
        <v>24</v>
      </c>
      <c r="Q180" s="3" t="s">
        <v>1893</v>
      </c>
      <c r="R180" s="5">
        <v>46118</v>
      </c>
      <c r="S180" s="3" t="s">
        <v>190</v>
      </c>
      <c r="T180" s="3" t="s">
        <v>190</v>
      </c>
      <c r="U180">
        <v>0</v>
      </c>
      <c r="V180" s="3" t="s">
        <v>1901</v>
      </c>
      <c r="W180" s="3" t="s">
        <v>190</v>
      </c>
      <c r="X180" s="5">
        <v>46132</v>
      </c>
      <c r="Y180" s="3" t="s">
        <v>190</v>
      </c>
      <c r="Z180" s="3" t="s">
        <v>190</v>
      </c>
      <c r="AA180">
        <v>0</v>
      </c>
      <c r="AB180" s="3" t="s">
        <v>1895</v>
      </c>
      <c r="AC180" s="3" t="s">
        <v>190</v>
      </c>
      <c r="AD180" s="3" t="s">
        <v>190</v>
      </c>
      <c r="AE180" s="3" t="s">
        <v>190</v>
      </c>
      <c r="AF180" s="3" t="s">
        <v>190</v>
      </c>
    </row>
    <row r="181" spans="1:32" ht="16.5" customHeight="1">
      <c r="A181" s="4" t="s">
        <v>974</v>
      </c>
      <c r="B181" s="4" t="s">
        <v>2003</v>
      </c>
      <c r="C181" s="4" t="s">
        <v>2004</v>
      </c>
      <c r="D181" s="4" t="s">
        <v>25</v>
      </c>
      <c r="E181" s="4" t="s">
        <v>2467</v>
      </c>
      <c r="F181" s="4" t="s">
        <v>2468</v>
      </c>
      <c r="G181" s="4" t="s">
        <v>23</v>
      </c>
      <c r="H181" s="6">
        <v>46115</v>
      </c>
      <c r="I181" s="6"/>
      <c r="J181" s="4" t="s">
        <v>2469</v>
      </c>
      <c r="K181" s="4" t="s">
        <v>1892</v>
      </c>
      <c r="L181">
        <v>6</v>
      </c>
      <c r="M181" s="6"/>
      <c r="N181" s="4" t="s">
        <v>190</v>
      </c>
      <c r="O181">
        <v>0</v>
      </c>
      <c r="P181" s="4" t="s">
        <v>24</v>
      </c>
      <c r="Q181" s="4" t="s">
        <v>190</v>
      </c>
      <c r="R181" s="6">
        <v>46120</v>
      </c>
      <c r="S181" s="4" t="s">
        <v>190</v>
      </c>
      <c r="T181" s="4" t="s">
        <v>190</v>
      </c>
      <c r="U181">
        <v>0</v>
      </c>
      <c r="V181" s="4" t="s">
        <v>1894</v>
      </c>
      <c r="W181" s="4" t="s">
        <v>190</v>
      </c>
      <c r="X181" s="6">
        <v>46121</v>
      </c>
      <c r="Y181" s="4" t="s">
        <v>190</v>
      </c>
      <c r="Z181" s="4" t="s">
        <v>190</v>
      </c>
      <c r="AA181">
        <v>0</v>
      </c>
      <c r="AB181" s="4" t="s">
        <v>1895</v>
      </c>
      <c r="AC181" s="4" t="s">
        <v>190</v>
      </c>
      <c r="AD181" s="4" t="s">
        <v>190</v>
      </c>
      <c r="AE181" s="4" t="s">
        <v>190</v>
      </c>
      <c r="AF181" s="4" t="s">
        <v>190</v>
      </c>
    </row>
    <row r="182" spans="1:32" ht="16.5" customHeight="1">
      <c r="A182" s="3" t="s">
        <v>46</v>
      </c>
      <c r="B182" s="3" t="s">
        <v>2008</v>
      </c>
      <c r="C182" s="3" t="s">
        <v>2256</v>
      </c>
      <c r="D182" s="3" t="s">
        <v>25</v>
      </c>
      <c r="E182" s="3" t="s">
        <v>2470</v>
      </c>
      <c r="F182" s="3" t="s">
        <v>2471</v>
      </c>
      <c r="G182" s="3" t="s">
        <v>49</v>
      </c>
      <c r="H182" s="5">
        <v>46045</v>
      </c>
      <c r="I182" s="5">
        <v>46043.592870370368</v>
      </c>
      <c r="J182" s="3" t="s">
        <v>158</v>
      </c>
      <c r="K182" s="3" t="s">
        <v>1892</v>
      </c>
      <c r="L182">
        <v>6</v>
      </c>
      <c r="M182" s="5">
        <v>46105</v>
      </c>
      <c r="N182" s="3" t="s">
        <v>1900</v>
      </c>
      <c r="O182">
        <v>0</v>
      </c>
      <c r="P182" s="3" t="s">
        <v>24</v>
      </c>
      <c r="Q182" s="3" t="s">
        <v>1900</v>
      </c>
      <c r="R182" s="5">
        <v>46118</v>
      </c>
      <c r="S182" s="3" t="s">
        <v>190</v>
      </c>
      <c r="T182" s="3" t="s">
        <v>190</v>
      </c>
      <c r="U182">
        <v>0</v>
      </c>
      <c r="V182" s="3" t="s">
        <v>2013</v>
      </c>
      <c r="W182" s="3" t="s">
        <v>190</v>
      </c>
      <c r="X182" s="5">
        <v>46132</v>
      </c>
      <c r="Y182" s="3" t="s">
        <v>190</v>
      </c>
      <c r="Z182" s="3" t="s">
        <v>190</v>
      </c>
      <c r="AA182">
        <v>0</v>
      </c>
      <c r="AB182" s="3" t="s">
        <v>1895</v>
      </c>
      <c r="AC182" s="3" t="s">
        <v>190</v>
      </c>
      <c r="AD182" s="3" t="s">
        <v>190</v>
      </c>
      <c r="AE182" s="3" t="s">
        <v>190</v>
      </c>
      <c r="AF182" s="3" t="s">
        <v>190</v>
      </c>
    </row>
    <row r="183" spans="1:32" ht="16.5" customHeight="1">
      <c r="A183" s="4" t="s">
        <v>46</v>
      </c>
      <c r="B183" s="4" t="s">
        <v>2008</v>
      </c>
      <c r="C183" s="4" t="s">
        <v>2472</v>
      </c>
      <c r="D183" s="4" t="s">
        <v>25</v>
      </c>
      <c r="E183" s="4" t="s">
        <v>2473</v>
      </c>
      <c r="F183" s="4" t="s">
        <v>2474</v>
      </c>
      <c r="G183" s="4" t="s">
        <v>50</v>
      </c>
      <c r="H183" s="6">
        <v>46052</v>
      </c>
      <c r="I183" s="6">
        <v>46052.600729166668</v>
      </c>
      <c r="J183" s="4" t="s">
        <v>45</v>
      </c>
      <c r="K183" s="4" t="s">
        <v>1892</v>
      </c>
      <c r="L183">
        <v>6</v>
      </c>
      <c r="M183" s="6">
        <v>46104</v>
      </c>
      <c r="N183" s="4" t="s">
        <v>1900</v>
      </c>
      <c r="O183">
        <v>0</v>
      </c>
      <c r="P183" s="4" t="s">
        <v>24</v>
      </c>
      <c r="Q183" s="4" t="s">
        <v>1900</v>
      </c>
      <c r="R183" s="6">
        <v>46142</v>
      </c>
      <c r="S183" s="4" t="s">
        <v>190</v>
      </c>
      <c r="T183" s="4" t="s">
        <v>190</v>
      </c>
      <c r="U183">
        <v>0</v>
      </c>
      <c r="V183" s="4" t="s">
        <v>2013</v>
      </c>
      <c r="W183" s="4" t="s">
        <v>190</v>
      </c>
      <c r="X183" s="6">
        <v>46157</v>
      </c>
      <c r="Y183" s="4" t="s">
        <v>190</v>
      </c>
      <c r="Z183" s="4" t="s">
        <v>190</v>
      </c>
      <c r="AA183">
        <v>0</v>
      </c>
      <c r="AB183" s="4" t="s">
        <v>1895</v>
      </c>
      <c r="AC183" s="4" t="s">
        <v>190</v>
      </c>
      <c r="AD183" s="4" t="s">
        <v>190</v>
      </c>
      <c r="AE183" s="4" t="s">
        <v>190</v>
      </c>
      <c r="AF183" s="4" t="s">
        <v>190</v>
      </c>
    </row>
    <row r="184" spans="1:32" ht="16.5" customHeight="1">
      <c r="A184" s="3" t="s">
        <v>46</v>
      </c>
      <c r="B184" s="3" t="s">
        <v>2008</v>
      </c>
      <c r="C184" s="3" t="s">
        <v>2475</v>
      </c>
      <c r="D184" s="3" t="s">
        <v>25</v>
      </c>
      <c r="E184" s="3" t="s">
        <v>2476</v>
      </c>
      <c r="F184" s="3" t="s">
        <v>2477</v>
      </c>
      <c r="G184" s="3" t="s">
        <v>49</v>
      </c>
      <c r="H184" s="5">
        <v>46031</v>
      </c>
      <c r="I184" s="5">
        <v>46029.681134259263</v>
      </c>
      <c r="J184" s="3" t="s">
        <v>2478</v>
      </c>
      <c r="K184" s="3" t="s">
        <v>1892</v>
      </c>
      <c r="L184">
        <v>6</v>
      </c>
      <c r="M184" s="5">
        <v>46105</v>
      </c>
      <c r="N184" s="3" t="s">
        <v>1893</v>
      </c>
      <c r="O184">
        <v>0</v>
      </c>
      <c r="P184" s="3" t="s">
        <v>24</v>
      </c>
      <c r="Q184" s="3" t="s">
        <v>1893</v>
      </c>
      <c r="R184" s="5">
        <v>46118</v>
      </c>
      <c r="S184" s="3" t="s">
        <v>190</v>
      </c>
      <c r="T184" s="3" t="s">
        <v>190</v>
      </c>
      <c r="U184">
        <v>0</v>
      </c>
      <c r="V184" s="3" t="s">
        <v>2013</v>
      </c>
      <c r="W184" s="3" t="s">
        <v>190</v>
      </c>
      <c r="X184" s="5">
        <v>46132</v>
      </c>
      <c r="Y184" s="3" t="s">
        <v>190</v>
      </c>
      <c r="Z184" s="3" t="s">
        <v>190</v>
      </c>
      <c r="AA184">
        <v>0</v>
      </c>
      <c r="AB184" s="3" t="s">
        <v>1895</v>
      </c>
      <c r="AC184" s="3" t="s">
        <v>190</v>
      </c>
      <c r="AD184" s="3" t="s">
        <v>190</v>
      </c>
      <c r="AE184" s="3" t="s">
        <v>190</v>
      </c>
      <c r="AF184" s="3" t="s">
        <v>190</v>
      </c>
    </row>
    <row r="185" spans="1:32" ht="16.5" customHeight="1">
      <c r="A185" s="4" t="s">
        <v>46</v>
      </c>
      <c r="B185" s="4" t="s">
        <v>2008</v>
      </c>
      <c r="C185" s="4" t="s">
        <v>2479</v>
      </c>
      <c r="D185" s="4" t="s">
        <v>25</v>
      </c>
      <c r="E185" s="4" t="s">
        <v>2480</v>
      </c>
      <c r="F185" s="4" t="s">
        <v>2481</v>
      </c>
      <c r="G185" s="4" t="s">
        <v>50</v>
      </c>
      <c r="H185" s="6">
        <v>46108</v>
      </c>
      <c r="I185" s="6"/>
      <c r="J185" s="4" t="s">
        <v>2482</v>
      </c>
      <c r="K185" s="4" t="s">
        <v>1892</v>
      </c>
      <c r="L185">
        <v>6</v>
      </c>
      <c r="M185" s="6">
        <v>46105</v>
      </c>
      <c r="N185" s="4" t="s">
        <v>1900</v>
      </c>
      <c r="O185">
        <v>0</v>
      </c>
      <c r="P185" s="4" t="s">
        <v>24</v>
      </c>
      <c r="Q185" s="4" t="s">
        <v>1893</v>
      </c>
      <c r="R185" s="6">
        <v>46118</v>
      </c>
      <c r="S185" s="4" t="s">
        <v>190</v>
      </c>
      <c r="T185" s="4" t="s">
        <v>190</v>
      </c>
      <c r="U185">
        <v>0</v>
      </c>
      <c r="V185" s="4" t="s">
        <v>2013</v>
      </c>
      <c r="W185" s="4" t="s">
        <v>190</v>
      </c>
      <c r="X185" s="6">
        <v>46132</v>
      </c>
      <c r="Y185" s="4" t="s">
        <v>190</v>
      </c>
      <c r="Z185" s="4" t="s">
        <v>190</v>
      </c>
      <c r="AA185">
        <v>0</v>
      </c>
      <c r="AB185" s="4" t="s">
        <v>1895</v>
      </c>
      <c r="AC185" s="4" t="s">
        <v>190</v>
      </c>
      <c r="AD185" s="4" t="s">
        <v>190</v>
      </c>
      <c r="AE185" s="4" t="s">
        <v>190</v>
      </c>
      <c r="AF185" s="4" t="s">
        <v>190</v>
      </c>
    </row>
    <row r="186" spans="1:32" ht="16.5" customHeight="1">
      <c r="A186" s="3" t="s">
        <v>19</v>
      </c>
      <c r="B186" s="3" t="s">
        <v>2017</v>
      </c>
      <c r="C186" s="3" t="s">
        <v>2018</v>
      </c>
      <c r="D186" s="3" t="s">
        <v>25</v>
      </c>
      <c r="E186" s="3" t="s">
        <v>2483</v>
      </c>
      <c r="F186" s="3" t="s">
        <v>2484</v>
      </c>
      <c r="G186" s="3" t="s">
        <v>50</v>
      </c>
      <c r="H186" s="5">
        <v>46059</v>
      </c>
      <c r="I186" s="5">
        <v>46059</v>
      </c>
      <c r="J186" s="3" t="s">
        <v>2485</v>
      </c>
      <c r="K186" s="3" t="s">
        <v>1892</v>
      </c>
      <c r="L186">
        <v>6</v>
      </c>
      <c r="M186" s="5"/>
      <c r="N186" s="3" t="s">
        <v>190</v>
      </c>
      <c r="O186">
        <v>0</v>
      </c>
      <c r="P186" s="3" t="s">
        <v>24</v>
      </c>
      <c r="Q186" s="3" t="s">
        <v>190</v>
      </c>
      <c r="R186" s="5">
        <v>46118</v>
      </c>
      <c r="S186" s="3" t="s">
        <v>190</v>
      </c>
      <c r="T186" s="3" t="s">
        <v>190</v>
      </c>
      <c r="U186">
        <v>0</v>
      </c>
      <c r="V186" s="3" t="s">
        <v>1901</v>
      </c>
      <c r="W186" s="3" t="s">
        <v>190</v>
      </c>
      <c r="X186" s="5">
        <v>46132</v>
      </c>
      <c r="Y186" s="3" t="s">
        <v>190</v>
      </c>
      <c r="Z186" s="3" t="s">
        <v>190</v>
      </c>
      <c r="AA186">
        <v>0</v>
      </c>
      <c r="AB186" s="3" t="s">
        <v>1895</v>
      </c>
      <c r="AC186" s="3" t="s">
        <v>190</v>
      </c>
      <c r="AD186" s="3" t="s">
        <v>190</v>
      </c>
      <c r="AE186" s="3" t="s">
        <v>190</v>
      </c>
      <c r="AF186" s="3" t="s">
        <v>190</v>
      </c>
    </row>
    <row r="187" spans="1:32" ht="16.5" customHeight="1">
      <c r="A187" s="4" t="s">
        <v>19</v>
      </c>
      <c r="B187" s="4" t="s">
        <v>2017</v>
      </c>
      <c r="C187" s="4" t="s">
        <v>2025</v>
      </c>
      <c r="D187" s="4" t="s">
        <v>25</v>
      </c>
      <c r="E187" s="4" t="s">
        <v>2486</v>
      </c>
      <c r="F187" s="4" t="s">
        <v>2487</v>
      </c>
      <c r="G187" s="4" t="s">
        <v>23</v>
      </c>
      <c r="H187" s="6">
        <v>46059</v>
      </c>
      <c r="I187" s="6">
        <v>46059</v>
      </c>
      <c r="J187" s="4" t="s">
        <v>2488</v>
      </c>
      <c r="K187" s="4" t="s">
        <v>1892</v>
      </c>
      <c r="L187">
        <v>6</v>
      </c>
      <c r="M187" s="6"/>
      <c r="N187" s="4" t="s">
        <v>190</v>
      </c>
      <c r="O187">
        <v>0</v>
      </c>
      <c r="P187" s="4" t="s">
        <v>24</v>
      </c>
      <c r="Q187" s="4" t="s">
        <v>190</v>
      </c>
      <c r="R187" s="6">
        <v>46118</v>
      </c>
      <c r="S187" s="4" t="s">
        <v>190</v>
      </c>
      <c r="T187" s="4" t="s">
        <v>190</v>
      </c>
      <c r="U187">
        <v>0</v>
      </c>
      <c r="V187" s="4" t="s">
        <v>1901</v>
      </c>
      <c r="W187" s="4" t="s">
        <v>190</v>
      </c>
      <c r="X187" s="6">
        <v>46132</v>
      </c>
      <c r="Y187" s="4" t="s">
        <v>190</v>
      </c>
      <c r="Z187" s="4" t="s">
        <v>190</v>
      </c>
      <c r="AA187">
        <v>0</v>
      </c>
      <c r="AB187" s="4" t="s">
        <v>1895</v>
      </c>
      <c r="AC187" s="4" t="s">
        <v>190</v>
      </c>
      <c r="AD187" s="4" t="s">
        <v>190</v>
      </c>
      <c r="AE187" s="4" t="s">
        <v>190</v>
      </c>
      <c r="AF187" s="4" t="s">
        <v>190</v>
      </c>
    </row>
    <row r="188" spans="1:32" ht="16.5" customHeight="1">
      <c r="A188" s="3" t="s">
        <v>19</v>
      </c>
      <c r="B188" s="3" t="s">
        <v>2017</v>
      </c>
      <c r="C188" s="3" t="s">
        <v>2029</v>
      </c>
      <c r="D188" s="3" t="s">
        <v>25</v>
      </c>
      <c r="E188" s="3" t="s">
        <v>2489</v>
      </c>
      <c r="F188" s="3" t="s">
        <v>2490</v>
      </c>
      <c r="G188" s="3" t="s">
        <v>50</v>
      </c>
      <c r="H188" s="5">
        <v>46077</v>
      </c>
      <c r="I188" s="5">
        <v>46080.570613425924</v>
      </c>
      <c r="J188" s="3" t="s">
        <v>2491</v>
      </c>
      <c r="K188" s="3" t="s">
        <v>1892</v>
      </c>
      <c r="L188">
        <v>6</v>
      </c>
      <c r="M188" s="5"/>
      <c r="N188" s="3" t="s">
        <v>190</v>
      </c>
      <c r="O188">
        <v>0</v>
      </c>
      <c r="P188" s="3" t="s">
        <v>24</v>
      </c>
      <c r="Q188" s="3" t="s">
        <v>190</v>
      </c>
      <c r="R188" s="5">
        <v>46118</v>
      </c>
      <c r="S188" s="3" t="s">
        <v>190</v>
      </c>
      <c r="T188" s="3" t="s">
        <v>190</v>
      </c>
      <c r="U188">
        <v>0</v>
      </c>
      <c r="V188" s="3" t="s">
        <v>1901</v>
      </c>
      <c r="W188" s="3" t="s">
        <v>190</v>
      </c>
      <c r="X188" s="5">
        <v>46132</v>
      </c>
      <c r="Y188" s="3" t="s">
        <v>190</v>
      </c>
      <c r="Z188" s="3" t="s">
        <v>190</v>
      </c>
      <c r="AA188">
        <v>0</v>
      </c>
      <c r="AB188" s="3" t="s">
        <v>1895</v>
      </c>
      <c r="AC188" s="3" t="s">
        <v>190</v>
      </c>
      <c r="AD188" s="3" t="s">
        <v>190</v>
      </c>
      <c r="AE188" s="3" t="s">
        <v>190</v>
      </c>
      <c r="AF188" s="3" t="s">
        <v>190</v>
      </c>
    </row>
    <row r="189" spans="1:32" ht="16.5" customHeight="1">
      <c r="A189" s="4" t="s">
        <v>19</v>
      </c>
      <c r="B189" s="4" t="s">
        <v>2017</v>
      </c>
      <c r="C189" s="4" t="s">
        <v>2029</v>
      </c>
      <c r="D189" s="4" t="s">
        <v>25</v>
      </c>
      <c r="E189" s="4" t="s">
        <v>2492</v>
      </c>
      <c r="F189" s="4" t="s">
        <v>2493</v>
      </c>
      <c r="G189" s="4" t="s">
        <v>50</v>
      </c>
      <c r="H189" s="6">
        <v>46066</v>
      </c>
      <c r="I189" s="6">
        <v>46059</v>
      </c>
      <c r="J189" s="4" t="s">
        <v>2494</v>
      </c>
      <c r="K189" s="4" t="s">
        <v>1892</v>
      </c>
      <c r="L189">
        <v>6</v>
      </c>
      <c r="M189" s="6"/>
      <c r="N189" s="4" t="s">
        <v>190</v>
      </c>
      <c r="O189">
        <v>0</v>
      </c>
      <c r="P189" s="4" t="s">
        <v>24</v>
      </c>
      <c r="Q189" s="4" t="s">
        <v>190</v>
      </c>
      <c r="R189" s="6">
        <v>46118</v>
      </c>
      <c r="S189" s="4" t="s">
        <v>190</v>
      </c>
      <c r="T189" s="4" t="s">
        <v>190</v>
      </c>
      <c r="U189">
        <v>0</v>
      </c>
      <c r="V189" s="4" t="s">
        <v>1901</v>
      </c>
      <c r="W189" s="4" t="s">
        <v>190</v>
      </c>
      <c r="X189" s="6">
        <v>46132</v>
      </c>
      <c r="Y189" s="4" t="s">
        <v>190</v>
      </c>
      <c r="Z189" s="4" t="s">
        <v>190</v>
      </c>
      <c r="AA189">
        <v>0</v>
      </c>
      <c r="AB189" s="4" t="s">
        <v>1895</v>
      </c>
      <c r="AC189" s="4" t="s">
        <v>190</v>
      </c>
      <c r="AD189" s="4" t="s">
        <v>190</v>
      </c>
      <c r="AE189" s="4" t="s">
        <v>190</v>
      </c>
      <c r="AF189" s="4" t="s">
        <v>190</v>
      </c>
    </row>
    <row r="190" spans="1:32" ht="16.5" customHeight="1">
      <c r="A190" s="3" t="s">
        <v>19</v>
      </c>
      <c r="B190" s="3" t="s">
        <v>2017</v>
      </c>
      <c r="C190" s="3" t="s">
        <v>2029</v>
      </c>
      <c r="D190" s="3" t="s">
        <v>25</v>
      </c>
      <c r="E190" s="3" t="s">
        <v>2495</v>
      </c>
      <c r="F190" s="3" t="s">
        <v>2496</v>
      </c>
      <c r="G190" s="3" t="s">
        <v>50</v>
      </c>
      <c r="H190" s="5">
        <v>46077</v>
      </c>
      <c r="I190" s="5"/>
      <c r="J190" s="3" t="s">
        <v>2497</v>
      </c>
      <c r="K190" s="3" t="s">
        <v>1892</v>
      </c>
      <c r="L190">
        <v>6</v>
      </c>
      <c r="M190" s="5"/>
      <c r="N190" s="3" t="s">
        <v>190</v>
      </c>
      <c r="O190">
        <v>0</v>
      </c>
      <c r="P190" s="3" t="s">
        <v>24</v>
      </c>
      <c r="Q190" s="3" t="s">
        <v>190</v>
      </c>
      <c r="R190" s="5">
        <v>46118</v>
      </c>
      <c r="S190" s="3" t="s">
        <v>190</v>
      </c>
      <c r="T190" s="3" t="s">
        <v>190</v>
      </c>
      <c r="U190">
        <v>0</v>
      </c>
      <c r="V190" s="3" t="s">
        <v>1901</v>
      </c>
      <c r="W190" s="3" t="s">
        <v>190</v>
      </c>
      <c r="X190" s="5">
        <v>46132</v>
      </c>
      <c r="Y190" s="3" t="s">
        <v>190</v>
      </c>
      <c r="Z190" s="3" t="s">
        <v>190</v>
      </c>
      <c r="AA190">
        <v>0</v>
      </c>
      <c r="AB190" s="3" t="s">
        <v>1895</v>
      </c>
      <c r="AC190" s="3" t="s">
        <v>190</v>
      </c>
      <c r="AD190" s="3" t="s">
        <v>190</v>
      </c>
      <c r="AE190" s="3" t="s">
        <v>190</v>
      </c>
      <c r="AF190" s="3" t="s">
        <v>190</v>
      </c>
    </row>
    <row r="191" spans="1:32" ht="16.5" customHeight="1">
      <c r="A191" s="4" t="s">
        <v>19</v>
      </c>
      <c r="B191" s="4" t="s">
        <v>2045</v>
      </c>
      <c r="C191" s="4" t="s">
        <v>2046</v>
      </c>
      <c r="D191" s="4" t="s">
        <v>25</v>
      </c>
      <c r="E191" s="4" t="s">
        <v>2498</v>
      </c>
      <c r="F191" s="4" t="s">
        <v>2499</v>
      </c>
      <c r="G191" s="4" t="s">
        <v>23</v>
      </c>
      <c r="H191" s="6">
        <v>46031</v>
      </c>
      <c r="I191" s="6">
        <v>46059</v>
      </c>
      <c r="J191" s="4" t="s">
        <v>63</v>
      </c>
      <c r="K191" s="4" t="s">
        <v>1892</v>
      </c>
      <c r="L191">
        <v>6</v>
      </c>
      <c r="M191" s="6">
        <v>46106</v>
      </c>
      <c r="N191" s="4" t="s">
        <v>1900</v>
      </c>
      <c r="O191">
        <v>0</v>
      </c>
      <c r="P191" s="4" t="s">
        <v>24</v>
      </c>
      <c r="Q191" s="4" t="s">
        <v>1900</v>
      </c>
      <c r="R191" s="6">
        <v>46118</v>
      </c>
      <c r="S191" s="4" t="s">
        <v>190</v>
      </c>
      <c r="T191" s="4" t="s">
        <v>190</v>
      </c>
      <c r="U191">
        <v>0</v>
      </c>
      <c r="V191" s="4" t="s">
        <v>1901</v>
      </c>
      <c r="W191" s="4" t="s">
        <v>190</v>
      </c>
      <c r="X191" s="6">
        <v>46132</v>
      </c>
      <c r="Y191" s="4" t="s">
        <v>190</v>
      </c>
      <c r="Z191" s="4" t="s">
        <v>190</v>
      </c>
      <c r="AA191">
        <v>0</v>
      </c>
      <c r="AB191" s="4" t="s">
        <v>1895</v>
      </c>
      <c r="AC191" s="4" t="s">
        <v>190</v>
      </c>
      <c r="AD191" s="4" t="s">
        <v>190</v>
      </c>
      <c r="AE191" s="4" t="s">
        <v>190</v>
      </c>
      <c r="AF191" s="4" t="s">
        <v>190</v>
      </c>
    </row>
    <row r="192" spans="1:32" ht="16.5" customHeight="1">
      <c r="A192" s="3" t="s">
        <v>19</v>
      </c>
      <c r="B192" s="3" t="s">
        <v>2045</v>
      </c>
      <c r="C192" s="3" t="s">
        <v>2046</v>
      </c>
      <c r="D192" s="3" t="s">
        <v>25</v>
      </c>
      <c r="E192" s="3" t="s">
        <v>2500</v>
      </c>
      <c r="F192" s="3" t="s">
        <v>2501</v>
      </c>
      <c r="G192" s="3" t="s">
        <v>23</v>
      </c>
      <c r="H192" s="5">
        <v>46031</v>
      </c>
      <c r="I192" s="5">
        <v>46059</v>
      </c>
      <c r="J192" s="3" t="s">
        <v>86</v>
      </c>
      <c r="K192" s="3" t="s">
        <v>1892</v>
      </c>
      <c r="L192">
        <v>6</v>
      </c>
      <c r="M192" s="5">
        <v>46106</v>
      </c>
      <c r="N192" s="3" t="s">
        <v>1900</v>
      </c>
      <c r="O192">
        <v>0</v>
      </c>
      <c r="P192" s="3" t="s">
        <v>24</v>
      </c>
      <c r="Q192" s="3" t="s">
        <v>1900</v>
      </c>
      <c r="R192" s="5">
        <v>46118</v>
      </c>
      <c r="S192" s="3" t="s">
        <v>190</v>
      </c>
      <c r="T192" s="3" t="s">
        <v>190</v>
      </c>
      <c r="U192">
        <v>0</v>
      </c>
      <c r="V192" s="3" t="s">
        <v>1901</v>
      </c>
      <c r="W192" s="3" t="s">
        <v>190</v>
      </c>
      <c r="X192" s="5">
        <v>46132</v>
      </c>
      <c r="Y192" s="3" t="s">
        <v>190</v>
      </c>
      <c r="Z192" s="3" t="s">
        <v>190</v>
      </c>
      <c r="AA192">
        <v>0</v>
      </c>
      <c r="AB192" s="3" t="s">
        <v>1895</v>
      </c>
      <c r="AC192" s="3" t="s">
        <v>190</v>
      </c>
      <c r="AD192" s="3" t="s">
        <v>190</v>
      </c>
      <c r="AE192" s="3" t="s">
        <v>190</v>
      </c>
      <c r="AF192" s="3" t="s">
        <v>190</v>
      </c>
    </row>
    <row r="193" spans="1:32" ht="16.5" customHeight="1">
      <c r="A193" s="4" t="s">
        <v>19</v>
      </c>
      <c r="B193" s="4" t="s">
        <v>2045</v>
      </c>
      <c r="C193" s="4" t="s">
        <v>2046</v>
      </c>
      <c r="D193" s="4" t="s">
        <v>25</v>
      </c>
      <c r="E193" s="4" t="s">
        <v>2502</v>
      </c>
      <c r="F193" s="4" t="s">
        <v>2503</v>
      </c>
      <c r="G193" s="4" t="s">
        <v>23</v>
      </c>
      <c r="H193" s="6">
        <v>46031</v>
      </c>
      <c r="I193" s="6">
        <v>46059</v>
      </c>
      <c r="J193" s="4" t="s">
        <v>17</v>
      </c>
      <c r="K193" s="4" t="s">
        <v>1892</v>
      </c>
      <c r="L193">
        <v>6</v>
      </c>
      <c r="M193" s="6">
        <v>46106</v>
      </c>
      <c r="N193" s="4" t="s">
        <v>1900</v>
      </c>
      <c r="O193">
        <v>0</v>
      </c>
      <c r="P193" s="4" t="s">
        <v>24</v>
      </c>
      <c r="Q193" s="4" t="s">
        <v>1900</v>
      </c>
      <c r="R193" s="6">
        <v>46118</v>
      </c>
      <c r="S193" s="4" t="s">
        <v>190</v>
      </c>
      <c r="T193" s="4" t="s">
        <v>190</v>
      </c>
      <c r="U193">
        <v>0</v>
      </c>
      <c r="V193" s="4" t="s">
        <v>1901</v>
      </c>
      <c r="W193" s="4" t="s">
        <v>190</v>
      </c>
      <c r="X193" s="6">
        <v>46132</v>
      </c>
      <c r="Y193" s="4" t="s">
        <v>190</v>
      </c>
      <c r="Z193" s="4" t="s">
        <v>190</v>
      </c>
      <c r="AA193">
        <v>0</v>
      </c>
      <c r="AB193" s="4" t="s">
        <v>1895</v>
      </c>
      <c r="AC193" s="4" t="s">
        <v>190</v>
      </c>
      <c r="AD193" s="4" t="s">
        <v>190</v>
      </c>
      <c r="AE193" s="4" t="s">
        <v>190</v>
      </c>
      <c r="AF193" s="4" t="s">
        <v>190</v>
      </c>
    </row>
    <row r="194" spans="1:32" ht="16.5" customHeight="1">
      <c r="A194" s="3" t="s">
        <v>19</v>
      </c>
      <c r="B194" s="3" t="s">
        <v>2045</v>
      </c>
      <c r="C194" s="3" t="s">
        <v>2056</v>
      </c>
      <c r="D194" s="3" t="s">
        <v>25</v>
      </c>
      <c r="E194" s="3" t="s">
        <v>2504</v>
      </c>
      <c r="F194" s="3" t="s">
        <v>2505</v>
      </c>
      <c r="G194" s="3" t="s">
        <v>50</v>
      </c>
      <c r="H194" s="5">
        <v>46038</v>
      </c>
      <c r="I194" s="5">
        <v>46059</v>
      </c>
      <c r="J194" s="3" t="s">
        <v>2506</v>
      </c>
      <c r="K194" s="3" t="s">
        <v>1892</v>
      </c>
      <c r="L194">
        <v>6</v>
      </c>
      <c r="M194" s="5">
        <v>46106</v>
      </c>
      <c r="N194" s="3" t="s">
        <v>1893</v>
      </c>
      <c r="O194">
        <v>0</v>
      </c>
      <c r="P194" s="3" t="s">
        <v>24</v>
      </c>
      <c r="Q194" s="3" t="s">
        <v>1893</v>
      </c>
      <c r="R194" s="5">
        <v>46118</v>
      </c>
      <c r="S194" s="3" t="s">
        <v>190</v>
      </c>
      <c r="T194" s="3" t="s">
        <v>190</v>
      </c>
      <c r="U194">
        <v>0</v>
      </c>
      <c r="V194" s="3" t="s">
        <v>1901</v>
      </c>
      <c r="W194" s="3" t="s">
        <v>190</v>
      </c>
      <c r="X194" s="5">
        <v>46132</v>
      </c>
      <c r="Y194" s="3" t="s">
        <v>190</v>
      </c>
      <c r="Z194" s="3" t="s">
        <v>190</v>
      </c>
      <c r="AA194">
        <v>0</v>
      </c>
      <c r="AB194" s="3" t="s">
        <v>1895</v>
      </c>
      <c r="AC194" s="3" t="s">
        <v>190</v>
      </c>
      <c r="AD194" s="3" t="s">
        <v>190</v>
      </c>
      <c r="AE194" s="3" t="s">
        <v>190</v>
      </c>
      <c r="AF194" s="3" t="s">
        <v>190</v>
      </c>
    </row>
    <row r="195" spans="1:32" ht="16.5" customHeight="1">
      <c r="A195" s="4" t="s">
        <v>19</v>
      </c>
      <c r="B195" s="4" t="s">
        <v>2045</v>
      </c>
      <c r="C195" s="4" t="s">
        <v>2075</v>
      </c>
      <c r="D195" s="4" t="s">
        <v>25</v>
      </c>
      <c r="E195" s="4" t="s">
        <v>2507</v>
      </c>
      <c r="F195" s="4" t="s">
        <v>2508</v>
      </c>
      <c r="G195" s="4" t="s">
        <v>23</v>
      </c>
      <c r="H195" s="6">
        <v>46052</v>
      </c>
      <c r="I195" s="6">
        <v>46059</v>
      </c>
      <c r="J195" s="4" t="s">
        <v>2509</v>
      </c>
      <c r="K195" s="4" t="s">
        <v>1892</v>
      </c>
      <c r="L195">
        <v>6</v>
      </c>
      <c r="M195" s="6">
        <v>46106</v>
      </c>
      <c r="N195" s="4" t="s">
        <v>1893</v>
      </c>
      <c r="O195">
        <v>0</v>
      </c>
      <c r="P195" s="4" t="s">
        <v>24</v>
      </c>
      <c r="Q195" s="4" t="s">
        <v>1893</v>
      </c>
      <c r="R195" s="6">
        <v>46118</v>
      </c>
      <c r="S195" s="4" t="s">
        <v>190</v>
      </c>
      <c r="T195" s="4" t="s">
        <v>190</v>
      </c>
      <c r="U195">
        <v>0</v>
      </c>
      <c r="V195" s="4" t="s">
        <v>1901</v>
      </c>
      <c r="W195" s="4" t="s">
        <v>190</v>
      </c>
      <c r="X195" s="6">
        <v>46132</v>
      </c>
      <c r="Y195" s="4" t="s">
        <v>190</v>
      </c>
      <c r="Z195" s="4" t="s">
        <v>190</v>
      </c>
      <c r="AA195">
        <v>0</v>
      </c>
      <c r="AB195" s="4" t="s">
        <v>1895</v>
      </c>
      <c r="AC195" s="4" t="s">
        <v>190</v>
      </c>
      <c r="AD195" s="4" t="s">
        <v>190</v>
      </c>
      <c r="AE195" s="4" t="s">
        <v>190</v>
      </c>
      <c r="AF195" s="4" t="s">
        <v>190</v>
      </c>
    </row>
    <row r="196" spans="1:32" ht="16.5" customHeight="1">
      <c r="A196" s="3" t="s">
        <v>19</v>
      </c>
      <c r="B196" s="3" t="s">
        <v>2045</v>
      </c>
      <c r="C196" s="3" t="s">
        <v>2075</v>
      </c>
      <c r="D196" s="3" t="s">
        <v>25</v>
      </c>
      <c r="E196" s="3" t="s">
        <v>2510</v>
      </c>
      <c r="F196" s="3" t="s">
        <v>2511</v>
      </c>
      <c r="G196" s="3" t="s">
        <v>23</v>
      </c>
      <c r="H196" s="5">
        <v>46052</v>
      </c>
      <c r="I196" s="5">
        <v>46059</v>
      </c>
      <c r="J196" s="3" t="s">
        <v>2512</v>
      </c>
      <c r="K196" s="3" t="s">
        <v>1892</v>
      </c>
      <c r="L196">
        <v>6</v>
      </c>
      <c r="M196" s="5">
        <v>46106</v>
      </c>
      <c r="N196" s="3" t="s">
        <v>1893</v>
      </c>
      <c r="O196">
        <v>0</v>
      </c>
      <c r="P196" s="3" t="s">
        <v>24</v>
      </c>
      <c r="Q196" s="3" t="s">
        <v>1893</v>
      </c>
      <c r="R196" s="5">
        <v>46118</v>
      </c>
      <c r="S196" s="3" t="s">
        <v>190</v>
      </c>
      <c r="T196" s="3" t="s">
        <v>190</v>
      </c>
      <c r="U196">
        <v>0</v>
      </c>
      <c r="V196" s="3" t="s">
        <v>1901</v>
      </c>
      <c r="W196" s="3" t="s">
        <v>190</v>
      </c>
      <c r="X196" s="5">
        <v>46132</v>
      </c>
      <c r="Y196" s="3" t="s">
        <v>190</v>
      </c>
      <c r="Z196" s="3" t="s">
        <v>190</v>
      </c>
      <c r="AA196">
        <v>0</v>
      </c>
      <c r="AB196" s="3" t="s">
        <v>1895</v>
      </c>
      <c r="AC196" s="3" t="s">
        <v>190</v>
      </c>
      <c r="AD196" s="3" t="s">
        <v>190</v>
      </c>
      <c r="AE196" s="3" t="s">
        <v>190</v>
      </c>
      <c r="AF196" s="3" t="s">
        <v>190</v>
      </c>
    </row>
    <row r="197" spans="1:32" ht="16.5" customHeight="1">
      <c r="A197" s="4" t="s">
        <v>19</v>
      </c>
      <c r="B197" s="4" t="s">
        <v>2045</v>
      </c>
      <c r="C197" s="4" t="s">
        <v>2075</v>
      </c>
      <c r="D197" s="4" t="s">
        <v>25</v>
      </c>
      <c r="E197" s="4" t="s">
        <v>2513</v>
      </c>
      <c r="F197" s="4" t="s">
        <v>2514</v>
      </c>
      <c r="G197" s="4" t="s">
        <v>23</v>
      </c>
      <c r="H197" s="6">
        <v>46052</v>
      </c>
      <c r="I197" s="6">
        <v>46059</v>
      </c>
      <c r="J197" s="4" t="s">
        <v>2515</v>
      </c>
      <c r="K197" s="4" t="s">
        <v>1892</v>
      </c>
      <c r="L197">
        <v>6</v>
      </c>
      <c r="M197" s="6">
        <v>46106</v>
      </c>
      <c r="N197" s="4" t="s">
        <v>1893</v>
      </c>
      <c r="O197">
        <v>0</v>
      </c>
      <c r="P197" s="4" t="s">
        <v>24</v>
      </c>
      <c r="Q197" s="4" t="s">
        <v>1893</v>
      </c>
      <c r="R197" s="6">
        <v>46118</v>
      </c>
      <c r="S197" s="4" t="s">
        <v>190</v>
      </c>
      <c r="T197" s="4" t="s">
        <v>190</v>
      </c>
      <c r="U197">
        <v>0</v>
      </c>
      <c r="V197" s="4" t="s">
        <v>1901</v>
      </c>
      <c r="W197" s="4" t="s">
        <v>190</v>
      </c>
      <c r="X197" s="6">
        <v>46132</v>
      </c>
      <c r="Y197" s="4" t="s">
        <v>190</v>
      </c>
      <c r="Z197" s="4" t="s">
        <v>190</v>
      </c>
      <c r="AA197">
        <v>0</v>
      </c>
      <c r="AB197" s="4" t="s">
        <v>1895</v>
      </c>
      <c r="AC197" s="4" t="s">
        <v>190</v>
      </c>
      <c r="AD197" s="4" t="s">
        <v>190</v>
      </c>
      <c r="AE197" s="4" t="s">
        <v>190</v>
      </c>
      <c r="AF197" s="4" t="s">
        <v>190</v>
      </c>
    </row>
    <row r="198" spans="1:32" ht="16.5" customHeight="1">
      <c r="A198" s="3" t="s">
        <v>19</v>
      </c>
      <c r="B198" s="3" t="s">
        <v>2045</v>
      </c>
      <c r="C198" s="3" t="s">
        <v>2075</v>
      </c>
      <c r="D198" s="3" t="s">
        <v>25</v>
      </c>
      <c r="E198" s="3" t="s">
        <v>2516</v>
      </c>
      <c r="F198" s="3" t="s">
        <v>2517</v>
      </c>
      <c r="G198" s="3" t="s">
        <v>50</v>
      </c>
      <c r="H198" s="5">
        <v>46052</v>
      </c>
      <c r="I198" s="5"/>
      <c r="J198" s="3" t="s">
        <v>2518</v>
      </c>
      <c r="K198" s="3" t="s">
        <v>1892</v>
      </c>
      <c r="L198">
        <v>6</v>
      </c>
      <c r="M198" s="5">
        <v>46108</v>
      </c>
      <c r="N198" s="3" t="s">
        <v>1893</v>
      </c>
      <c r="O198">
        <v>0</v>
      </c>
      <c r="P198" s="3" t="s">
        <v>24</v>
      </c>
      <c r="Q198" s="3" t="s">
        <v>1893</v>
      </c>
      <c r="R198" s="5">
        <v>46118</v>
      </c>
      <c r="S198" s="3" t="s">
        <v>190</v>
      </c>
      <c r="T198" s="3" t="s">
        <v>190</v>
      </c>
      <c r="U198">
        <v>0</v>
      </c>
      <c r="V198" s="3" t="s">
        <v>1901</v>
      </c>
      <c r="W198" s="3" t="s">
        <v>190</v>
      </c>
      <c r="X198" s="5">
        <v>46132</v>
      </c>
      <c r="Y198" s="3" t="s">
        <v>190</v>
      </c>
      <c r="Z198" s="3" t="s">
        <v>190</v>
      </c>
      <c r="AA198">
        <v>0</v>
      </c>
      <c r="AB198" s="3" t="s">
        <v>1895</v>
      </c>
      <c r="AC198" s="3" t="s">
        <v>190</v>
      </c>
      <c r="AD198" s="3" t="s">
        <v>190</v>
      </c>
      <c r="AE198" s="3" t="s">
        <v>190</v>
      </c>
      <c r="AF198" s="3" t="s">
        <v>190</v>
      </c>
    </row>
    <row r="199" spans="1:32" ht="16.5" customHeight="1">
      <c r="A199" s="4" t="s">
        <v>19</v>
      </c>
      <c r="B199" s="4" t="s">
        <v>56</v>
      </c>
      <c r="C199" s="4" t="s">
        <v>190</v>
      </c>
      <c r="D199" s="4" t="s">
        <v>116</v>
      </c>
      <c r="E199" s="4" t="s">
        <v>2519</v>
      </c>
      <c r="F199" s="4" t="s">
        <v>2520</v>
      </c>
      <c r="G199" s="4" t="s">
        <v>23</v>
      </c>
      <c r="H199" s="6">
        <v>46077</v>
      </c>
      <c r="I199" s="6">
        <v>46080.576805555553</v>
      </c>
      <c r="J199" s="4" t="s">
        <v>2521</v>
      </c>
      <c r="K199" s="4" t="s">
        <v>1892</v>
      </c>
      <c r="L199">
        <v>6</v>
      </c>
      <c r="M199" s="6">
        <v>46108</v>
      </c>
      <c r="N199" s="4" t="s">
        <v>1893</v>
      </c>
      <c r="O199">
        <v>0</v>
      </c>
      <c r="P199" s="4" t="s">
        <v>24</v>
      </c>
      <c r="Q199" s="4" t="s">
        <v>1893</v>
      </c>
      <c r="R199" s="6">
        <v>46118</v>
      </c>
      <c r="S199" s="4" t="s">
        <v>190</v>
      </c>
      <c r="T199" s="4" t="s">
        <v>190</v>
      </c>
      <c r="U199">
        <v>0</v>
      </c>
      <c r="V199" s="4" t="s">
        <v>1901</v>
      </c>
      <c r="W199" s="4" t="s">
        <v>190</v>
      </c>
      <c r="X199" s="6">
        <v>46132</v>
      </c>
      <c r="Y199" s="4" t="s">
        <v>190</v>
      </c>
      <c r="Z199" s="4" t="s">
        <v>190</v>
      </c>
      <c r="AA199">
        <v>0</v>
      </c>
      <c r="AB199" s="4" t="s">
        <v>1895</v>
      </c>
      <c r="AC199" s="4" t="s">
        <v>190</v>
      </c>
      <c r="AD199" s="4" t="s">
        <v>190</v>
      </c>
      <c r="AE199" s="4" t="s">
        <v>190</v>
      </c>
      <c r="AF199" s="4" t="s">
        <v>190</v>
      </c>
    </row>
    <row r="200" spans="1:32" ht="16.5" customHeight="1">
      <c r="A200" s="3" t="s">
        <v>216</v>
      </c>
      <c r="B200" s="3" t="s">
        <v>2095</v>
      </c>
      <c r="C200" s="3" t="s">
        <v>2147</v>
      </c>
      <c r="D200" s="3" t="s">
        <v>25</v>
      </c>
      <c r="E200" s="3" t="s">
        <v>2522</v>
      </c>
      <c r="F200" s="3" t="s">
        <v>2160</v>
      </c>
      <c r="G200" s="3" t="s">
        <v>225</v>
      </c>
      <c r="H200" s="5">
        <v>46051</v>
      </c>
      <c r="I200" s="5">
        <v>46037.873749999999</v>
      </c>
      <c r="J200" s="3" t="s">
        <v>2523</v>
      </c>
      <c r="K200" s="3" t="s">
        <v>1892</v>
      </c>
      <c r="L200">
        <v>6</v>
      </c>
      <c r="M200" s="5">
        <v>46105</v>
      </c>
      <c r="N200" s="3" t="s">
        <v>1893</v>
      </c>
      <c r="O200">
        <v>0</v>
      </c>
      <c r="P200" s="3" t="s">
        <v>24</v>
      </c>
      <c r="Q200" s="3" t="s">
        <v>1893</v>
      </c>
      <c r="R200" s="5">
        <v>46118</v>
      </c>
      <c r="S200" s="3" t="s">
        <v>190</v>
      </c>
      <c r="T200" s="3" t="s">
        <v>190</v>
      </c>
      <c r="U200">
        <v>0</v>
      </c>
      <c r="V200" s="3" t="s">
        <v>1901</v>
      </c>
      <c r="W200" s="3" t="s">
        <v>190</v>
      </c>
      <c r="X200" s="5">
        <v>46132</v>
      </c>
      <c r="Y200" s="3" t="s">
        <v>190</v>
      </c>
      <c r="Z200" s="3" t="s">
        <v>190</v>
      </c>
      <c r="AA200">
        <v>0</v>
      </c>
      <c r="AB200" s="3" t="s">
        <v>1895</v>
      </c>
      <c r="AC200" s="3" t="s">
        <v>190</v>
      </c>
      <c r="AD200" s="3" t="s">
        <v>190</v>
      </c>
      <c r="AE200" s="3" t="s">
        <v>190</v>
      </c>
      <c r="AF200" s="3" t="s">
        <v>190</v>
      </c>
    </row>
    <row r="201" spans="1:32" ht="16.5" customHeight="1">
      <c r="A201" s="4" t="s">
        <v>216</v>
      </c>
      <c r="B201" s="4" t="s">
        <v>2095</v>
      </c>
      <c r="C201" s="4" t="s">
        <v>2147</v>
      </c>
      <c r="D201" s="4" t="s">
        <v>25</v>
      </c>
      <c r="E201" s="4" t="s">
        <v>2524</v>
      </c>
      <c r="F201" s="4" t="s">
        <v>2525</v>
      </c>
      <c r="G201" s="4" t="s">
        <v>225</v>
      </c>
      <c r="H201" s="6">
        <v>46051</v>
      </c>
      <c r="I201" s="6">
        <v>46051.733449074076</v>
      </c>
      <c r="J201" s="4" t="s">
        <v>2526</v>
      </c>
      <c r="K201" s="4" t="s">
        <v>1892</v>
      </c>
      <c r="L201">
        <v>6</v>
      </c>
      <c r="M201" s="6">
        <v>46105</v>
      </c>
      <c r="N201" s="4" t="s">
        <v>1893</v>
      </c>
      <c r="O201">
        <v>0</v>
      </c>
      <c r="P201" s="4" t="s">
        <v>24</v>
      </c>
      <c r="Q201" s="4" t="s">
        <v>1893</v>
      </c>
      <c r="R201" s="6">
        <v>46118</v>
      </c>
      <c r="S201" s="4" t="s">
        <v>190</v>
      </c>
      <c r="T201" s="4" t="s">
        <v>190</v>
      </c>
      <c r="U201">
        <v>0</v>
      </c>
      <c r="V201" s="4" t="s">
        <v>1901</v>
      </c>
      <c r="W201" s="4" t="s">
        <v>190</v>
      </c>
      <c r="X201" s="6">
        <v>46132</v>
      </c>
      <c r="Y201" s="4" t="s">
        <v>190</v>
      </c>
      <c r="Z201" s="4" t="s">
        <v>190</v>
      </c>
      <c r="AA201">
        <v>0</v>
      </c>
      <c r="AB201" s="4" t="s">
        <v>1895</v>
      </c>
      <c r="AC201" s="4" t="s">
        <v>190</v>
      </c>
      <c r="AD201" s="4" t="s">
        <v>190</v>
      </c>
      <c r="AE201" s="4" t="s">
        <v>190</v>
      </c>
      <c r="AF201" s="4" t="s">
        <v>190</v>
      </c>
    </row>
    <row r="202" spans="1:32" ht="16.5" customHeight="1">
      <c r="A202" s="3" t="s">
        <v>216</v>
      </c>
      <c r="B202" s="3" t="s">
        <v>2095</v>
      </c>
      <c r="C202" s="3" t="s">
        <v>2147</v>
      </c>
      <c r="D202" s="3" t="s">
        <v>25</v>
      </c>
      <c r="E202" s="3" t="s">
        <v>2527</v>
      </c>
      <c r="F202" s="3" t="s">
        <v>2528</v>
      </c>
      <c r="G202" s="3" t="s">
        <v>225</v>
      </c>
      <c r="H202" s="5">
        <v>46051</v>
      </c>
      <c r="I202" s="5">
        <v>46051.733611111114</v>
      </c>
      <c r="J202" s="3" t="s">
        <v>2529</v>
      </c>
      <c r="K202" s="3" t="s">
        <v>1892</v>
      </c>
      <c r="L202">
        <v>6</v>
      </c>
      <c r="M202" s="5">
        <v>46105</v>
      </c>
      <c r="N202" s="3" t="s">
        <v>1893</v>
      </c>
      <c r="O202">
        <v>0</v>
      </c>
      <c r="P202" s="3" t="s">
        <v>24</v>
      </c>
      <c r="Q202" s="3" t="s">
        <v>1893</v>
      </c>
      <c r="R202" s="5">
        <v>46118</v>
      </c>
      <c r="S202" s="3" t="s">
        <v>190</v>
      </c>
      <c r="T202" s="3" t="s">
        <v>190</v>
      </c>
      <c r="U202">
        <v>0</v>
      </c>
      <c r="V202" s="3" t="s">
        <v>1901</v>
      </c>
      <c r="W202" s="3" t="s">
        <v>190</v>
      </c>
      <c r="X202" s="5">
        <v>46132</v>
      </c>
      <c r="Y202" s="3" t="s">
        <v>190</v>
      </c>
      <c r="Z202" s="3" t="s">
        <v>190</v>
      </c>
      <c r="AA202">
        <v>0</v>
      </c>
      <c r="AB202" s="3" t="s">
        <v>1895</v>
      </c>
      <c r="AC202" s="3" t="s">
        <v>190</v>
      </c>
      <c r="AD202" s="3" t="s">
        <v>190</v>
      </c>
      <c r="AE202" s="3" t="s">
        <v>190</v>
      </c>
      <c r="AF202" s="3" t="s">
        <v>190</v>
      </c>
    </row>
    <row r="203" spans="1:32" ht="16.5" customHeight="1">
      <c r="A203" s="4" t="s">
        <v>216</v>
      </c>
      <c r="B203" s="4" t="s">
        <v>56</v>
      </c>
      <c r="C203" s="4" t="s">
        <v>56</v>
      </c>
      <c r="D203" s="4" t="s">
        <v>116</v>
      </c>
      <c r="E203" s="4" t="s">
        <v>2530</v>
      </c>
      <c r="F203" s="4" t="s">
        <v>2531</v>
      </c>
      <c r="G203" s="4" t="s">
        <v>220</v>
      </c>
      <c r="H203" s="6">
        <v>46051</v>
      </c>
      <c r="I203" s="6">
        <v>46052.398159722223</v>
      </c>
      <c r="J203" s="4" t="s">
        <v>2532</v>
      </c>
      <c r="K203" s="4" t="s">
        <v>1892</v>
      </c>
      <c r="L203">
        <v>6</v>
      </c>
      <c r="M203" s="6">
        <v>46105</v>
      </c>
      <c r="N203" s="4" t="s">
        <v>1893</v>
      </c>
      <c r="O203">
        <v>0</v>
      </c>
      <c r="P203" s="4" t="s">
        <v>24</v>
      </c>
      <c r="Q203" s="4" t="s">
        <v>1893</v>
      </c>
      <c r="R203" s="6">
        <v>46118</v>
      </c>
      <c r="S203" s="4" t="s">
        <v>190</v>
      </c>
      <c r="T203" s="4" t="s">
        <v>190</v>
      </c>
      <c r="U203">
        <v>0</v>
      </c>
      <c r="V203" s="4" t="s">
        <v>1901</v>
      </c>
      <c r="W203" s="4" t="s">
        <v>190</v>
      </c>
      <c r="X203" s="6">
        <v>46132</v>
      </c>
      <c r="Y203" s="4" t="s">
        <v>190</v>
      </c>
      <c r="Z203" s="4" t="s">
        <v>190</v>
      </c>
      <c r="AA203">
        <v>0</v>
      </c>
      <c r="AB203" s="4" t="s">
        <v>1895</v>
      </c>
      <c r="AC203" s="4" t="s">
        <v>190</v>
      </c>
      <c r="AD203" s="4" t="s">
        <v>190</v>
      </c>
      <c r="AE203" s="4" t="s">
        <v>190</v>
      </c>
      <c r="AF203" s="4" t="s">
        <v>190</v>
      </c>
    </row>
    <row r="204" spans="1:32" ht="16.5" customHeight="1">
      <c r="A204" s="3" t="s">
        <v>216</v>
      </c>
      <c r="B204" s="3" t="s">
        <v>56</v>
      </c>
      <c r="C204" s="3" t="s">
        <v>56</v>
      </c>
      <c r="D204" s="3" t="s">
        <v>116</v>
      </c>
      <c r="E204" s="3" t="s">
        <v>2533</v>
      </c>
      <c r="F204" s="3" t="s">
        <v>2534</v>
      </c>
      <c r="G204" s="3" t="s">
        <v>220</v>
      </c>
      <c r="H204" s="5">
        <v>46051</v>
      </c>
      <c r="I204" s="5">
        <v>46050.467326388891</v>
      </c>
      <c r="J204" s="3" t="s">
        <v>2535</v>
      </c>
      <c r="K204" s="3" t="s">
        <v>1892</v>
      </c>
      <c r="L204">
        <v>6</v>
      </c>
      <c r="M204" s="5">
        <v>46105</v>
      </c>
      <c r="N204" s="3" t="s">
        <v>1893</v>
      </c>
      <c r="O204">
        <v>0</v>
      </c>
      <c r="P204" s="3" t="s">
        <v>24</v>
      </c>
      <c r="Q204" s="3" t="s">
        <v>1893</v>
      </c>
      <c r="R204" s="5">
        <v>46118</v>
      </c>
      <c r="S204" s="3" t="s">
        <v>190</v>
      </c>
      <c r="T204" s="3" t="s">
        <v>190</v>
      </c>
      <c r="U204">
        <v>0</v>
      </c>
      <c r="V204" s="3" t="s">
        <v>1901</v>
      </c>
      <c r="W204" s="3" t="s">
        <v>190</v>
      </c>
      <c r="X204" s="5">
        <v>46132</v>
      </c>
      <c r="Y204" s="3" t="s">
        <v>190</v>
      </c>
      <c r="Z204" s="3" t="s">
        <v>190</v>
      </c>
      <c r="AA204">
        <v>0</v>
      </c>
      <c r="AB204" s="3" t="s">
        <v>1895</v>
      </c>
      <c r="AC204" s="3" t="s">
        <v>190</v>
      </c>
      <c r="AD204" s="3" t="s">
        <v>190</v>
      </c>
      <c r="AE204" s="3" t="s">
        <v>190</v>
      </c>
      <c r="AF204" s="3" t="s">
        <v>190</v>
      </c>
    </row>
    <row r="205" spans="1:32" ht="16.5" customHeight="1">
      <c r="A205" s="4" t="s">
        <v>216</v>
      </c>
      <c r="B205" s="4" t="s">
        <v>56</v>
      </c>
      <c r="C205" s="4" t="s">
        <v>56</v>
      </c>
      <c r="D205" s="4" t="s">
        <v>116</v>
      </c>
      <c r="E205" s="4" t="s">
        <v>2536</v>
      </c>
      <c r="F205" s="4" t="s">
        <v>2537</v>
      </c>
      <c r="G205" s="4" t="s">
        <v>220</v>
      </c>
      <c r="H205" s="6">
        <v>46051</v>
      </c>
      <c r="I205" s="6">
        <v>46050.596701388888</v>
      </c>
      <c r="J205" s="4" t="s">
        <v>2538</v>
      </c>
      <c r="K205" s="4" t="s">
        <v>1892</v>
      </c>
      <c r="L205">
        <v>6</v>
      </c>
      <c r="M205" s="6">
        <v>46105</v>
      </c>
      <c r="N205" s="4" t="s">
        <v>1893</v>
      </c>
      <c r="O205">
        <v>0</v>
      </c>
      <c r="P205" s="4" t="s">
        <v>24</v>
      </c>
      <c r="Q205" s="4" t="s">
        <v>1893</v>
      </c>
      <c r="R205" s="6">
        <v>46118</v>
      </c>
      <c r="S205" s="4" t="s">
        <v>190</v>
      </c>
      <c r="T205" s="4" t="s">
        <v>190</v>
      </c>
      <c r="U205">
        <v>0</v>
      </c>
      <c r="V205" s="4" t="s">
        <v>1901</v>
      </c>
      <c r="W205" s="4" t="s">
        <v>190</v>
      </c>
      <c r="X205" s="6">
        <v>46132</v>
      </c>
      <c r="Y205" s="4" t="s">
        <v>190</v>
      </c>
      <c r="Z205" s="4" t="s">
        <v>190</v>
      </c>
      <c r="AA205">
        <v>0</v>
      </c>
      <c r="AB205" s="4" t="s">
        <v>1895</v>
      </c>
      <c r="AC205" s="4" t="s">
        <v>190</v>
      </c>
      <c r="AD205" s="4" t="s">
        <v>190</v>
      </c>
      <c r="AE205" s="4" t="s">
        <v>190</v>
      </c>
      <c r="AF205" s="4" t="s">
        <v>190</v>
      </c>
    </row>
    <row r="206" spans="1:32" ht="16.5" customHeight="1">
      <c r="A206" s="3" t="s">
        <v>216</v>
      </c>
      <c r="B206" s="3" t="s">
        <v>2539</v>
      </c>
      <c r="C206" s="3" t="s">
        <v>2540</v>
      </c>
      <c r="D206" s="3" t="s">
        <v>25</v>
      </c>
      <c r="E206" s="3" t="s">
        <v>2541</v>
      </c>
      <c r="F206" s="3" t="s">
        <v>2542</v>
      </c>
      <c r="G206" s="3" t="s">
        <v>220</v>
      </c>
      <c r="H206" s="5">
        <v>46065</v>
      </c>
      <c r="I206" s="5">
        <v>46065.391782407409</v>
      </c>
      <c r="J206" s="3" t="s">
        <v>237</v>
      </c>
      <c r="K206" s="3" t="s">
        <v>1892</v>
      </c>
      <c r="L206">
        <v>6</v>
      </c>
      <c r="M206" s="5">
        <v>46105</v>
      </c>
      <c r="N206" s="3" t="s">
        <v>1893</v>
      </c>
      <c r="O206">
        <v>0</v>
      </c>
      <c r="P206" s="3" t="s">
        <v>24</v>
      </c>
      <c r="Q206" s="3" t="s">
        <v>1893</v>
      </c>
      <c r="R206" s="5">
        <v>46118</v>
      </c>
      <c r="S206" s="3" t="s">
        <v>190</v>
      </c>
      <c r="T206" s="3" t="s">
        <v>190</v>
      </c>
      <c r="U206">
        <v>0</v>
      </c>
      <c r="V206" s="3" t="s">
        <v>1901</v>
      </c>
      <c r="W206" s="3" t="s">
        <v>190</v>
      </c>
      <c r="X206" s="5">
        <v>46132</v>
      </c>
      <c r="Y206" s="3" t="s">
        <v>190</v>
      </c>
      <c r="Z206" s="3" t="s">
        <v>190</v>
      </c>
      <c r="AA206">
        <v>0</v>
      </c>
      <c r="AB206" s="3" t="s">
        <v>1895</v>
      </c>
      <c r="AC206" s="3" t="s">
        <v>190</v>
      </c>
      <c r="AD206" s="3" t="s">
        <v>190</v>
      </c>
      <c r="AE206" s="3" t="s">
        <v>190</v>
      </c>
      <c r="AF206" s="3" t="s">
        <v>190</v>
      </c>
    </row>
    <row r="207" spans="1:32" ht="16.5" customHeight="1">
      <c r="A207" s="4" t="s">
        <v>261</v>
      </c>
      <c r="B207" s="4" t="s">
        <v>56</v>
      </c>
      <c r="C207" s="4" t="s">
        <v>56</v>
      </c>
      <c r="D207" s="4" t="s">
        <v>1795</v>
      </c>
      <c r="E207" s="4" t="s">
        <v>2543</v>
      </c>
      <c r="F207" s="4" t="s">
        <v>2544</v>
      </c>
      <c r="G207" s="4" t="s">
        <v>219</v>
      </c>
      <c r="H207" s="6">
        <v>46066</v>
      </c>
      <c r="I207" s="6">
        <v>46065.498749999999</v>
      </c>
      <c r="J207" s="4" t="s">
        <v>2545</v>
      </c>
      <c r="K207" s="4" t="s">
        <v>1892</v>
      </c>
      <c r="L207">
        <v>6</v>
      </c>
      <c r="M207" s="6"/>
      <c r="N207" s="4" t="s">
        <v>190</v>
      </c>
      <c r="O207">
        <v>0</v>
      </c>
      <c r="P207" s="4" t="s">
        <v>24</v>
      </c>
      <c r="Q207" s="4" t="s">
        <v>190</v>
      </c>
      <c r="R207" s="6">
        <v>46118</v>
      </c>
      <c r="S207" s="4" t="s">
        <v>190</v>
      </c>
      <c r="T207" s="4" t="s">
        <v>190</v>
      </c>
      <c r="U207">
        <v>0</v>
      </c>
      <c r="V207" s="4" t="s">
        <v>1901</v>
      </c>
      <c r="W207" s="4" t="s">
        <v>190</v>
      </c>
      <c r="X207" s="6">
        <v>46132</v>
      </c>
      <c r="Y207" s="4" t="s">
        <v>190</v>
      </c>
      <c r="Z207" s="4" t="s">
        <v>190</v>
      </c>
      <c r="AA207">
        <v>0</v>
      </c>
      <c r="AB207" s="4" t="s">
        <v>1895</v>
      </c>
      <c r="AC207" s="4" t="s">
        <v>190</v>
      </c>
      <c r="AD207" s="4" t="s">
        <v>190</v>
      </c>
      <c r="AE207" s="4" t="s">
        <v>190</v>
      </c>
      <c r="AF207" s="4" t="s">
        <v>190</v>
      </c>
    </row>
    <row r="208" spans="1:32" ht="16.5" customHeight="1">
      <c r="A208" s="3" t="s">
        <v>261</v>
      </c>
      <c r="B208" s="3" t="s">
        <v>56</v>
      </c>
      <c r="C208" s="3" t="s">
        <v>56</v>
      </c>
      <c r="D208" s="3" t="s">
        <v>1795</v>
      </c>
      <c r="E208" s="3" t="s">
        <v>2546</v>
      </c>
      <c r="F208" s="3" t="s">
        <v>2547</v>
      </c>
      <c r="G208" s="3" t="s">
        <v>219</v>
      </c>
      <c r="H208" s="5">
        <v>46066</v>
      </c>
      <c r="I208" s="5">
        <v>46065.498460648145</v>
      </c>
      <c r="J208" s="3" t="s">
        <v>2548</v>
      </c>
      <c r="K208" s="3" t="s">
        <v>1892</v>
      </c>
      <c r="L208">
        <v>6</v>
      </c>
      <c r="M208" s="5"/>
      <c r="N208" s="3" t="s">
        <v>190</v>
      </c>
      <c r="O208">
        <v>0</v>
      </c>
      <c r="P208" s="3" t="s">
        <v>24</v>
      </c>
      <c r="Q208" s="3" t="s">
        <v>190</v>
      </c>
      <c r="R208" s="5">
        <v>46118</v>
      </c>
      <c r="S208" s="3" t="s">
        <v>190</v>
      </c>
      <c r="T208" s="3" t="s">
        <v>190</v>
      </c>
      <c r="U208">
        <v>0</v>
      </c>
      <c r="V208" s="3" t="s">
        <v>1901</v>
      </c>
      <c r="W208" s="3" t="s">
        <v>190</v>
      </c>
      <c r="X208" s="5">
        <v>46132</v>
      </c>
      <c r="Y208" s="3" t="s">
        <v>190</v>
      </c>
      <c r="Z208" s="3" t="s">
        <v>190</v>
      </c>
      <c r="AA208">
        <v>0</v>
      </c>
      <c r="AB208" s="3" t="s">
        <v>1895</v>
      </c>
      <c r="AC208" s="3" t="s">
        <v>190</v>
      </c>
      <c r="AD208" s="3" t="s">
        <v>190</v>
      </c>
      <c r="AE208" s="3" t="s">
        <v>190</v>
      </c>
      <c r="AF208" s="3" t="s">
        <v>190</v>
      </c>
    </row>
    <row r="209" spans="1:32" ht="16.5" customHeight="1">
      <c r="A209" s="4" t="s">
        <v>261</v>
      </c>
      <c r="B209" s="4" t="s">
        <v>2092</v>
      </c>
      <c r="C209" s="4" t="s">
        <v>2549</v>
      </c>
      <c r="D209" s="4" t="s">
        <v>25</v>
      </c>
      <c r="E209" s="4" t="s">
        <v>2550</v>
      </c>
      <c r="F209" s="4" t="s">
        <v>2549</v>
      </c>
      <c r="G209" s="4" t="s">
        <v>264</v>
      </c>
      <c r="H209" s="6">
        <v>46010</v>
      </c>
      <c r="I209" s="6">
        <v>46037.585914351854</v>
      </c>
      <c r="J209" s="4" t="s">
        <v>2551</v>
      </c>
      <c r="K209" s="4" t="s">
        <v>1892</v>
      </c>
      <c r="L209">
        <v>6</v>
      </c>
      <c r="M209" s="6">
        <v>46104</v>
      </c>
      <c r="N209" s="4" t="s">
        <v>1893</v>
      </c>
      <c r="O209">
        <v>0</v>
      </c>
      <c r="P209" s="4" t="s">
        <v>24</v>
      </c>
      <c r="Q209" s="4" t="s">
        <v>1893</v>
      </c>
      <c r="R209" s="6">
        <v>46118</v>
      </c>
      <c r="S209" s="4" t="s">
        <v>190</v>
      </c>
      <c r="T209" s="4" t="s">
        <v>190</v>
      </c>
      <c r="U209">
        <v>0</v>
      </c>
      <c r="V209" s="4" t="s">
        <v>1901</v>
      </c>
      <c r="W209" s="4" t="s">
        <v>190</v>
      </c>
      <c r="X209" s="6">
        <v>46132</v>
      </c>
      <c r="Y209" s="4" t="s">
        <v>190</v>
      </c>
      <c r="Z209" s="4" t="s">
        <v>190</v>
      </c>
      <c r="AA209">
        <v>0</v>
      </c>
      <c r="AB209" s="4" t="s">
        <v>1895</v>
      </c>
      <c r="AC209" s="4" t="s">
        <v>190</v>
      </c>
      <c r="AD209" s="4" t="s">
        <v>190</v>
      </c>
      <c r="AE209" s="4" t="s">
        <v>190</v>
      </c>
      <c r="AF209" s="4" t="s">
        <v>190</v>
      </c>
    </row>
    <row r="210" spans="1:32" ht="16.5" customHeight="1">
      <c r="A210" s="3" t="s">
        <v>111</v>
      </c>
      <c r="B210" s="3" t="s">
        <v>56</v>
      </c>
      <c r="C210" s="3" t="s">
        <v>56</v>
      </c>
      <c r="D210" s="3" t="s">
        <v>1795</v>
      </c>
      <c r="E210" s="3" t="s">
        <v>2552</v>
      </c>
      <c r="F210" s="3" t="s">
        <v>2553</v>
      </c>
      <c r="G210" s="3" t="s">
        <v>645</v>
      </c>
      <c r="H210" s="5">
        <v>46079</v>
      </c>
      <c r="I210" s="5">
        <v>46078.601354166669</v>
      </c>
      <c r="J210" s="3" t="s">
        <v>2554</v>
      </c>
      <c r="K210" s="3" t="s">
        <v>1892</v>
      </c>
      <c r="L210">
        <v>6</v>
      </c>
      <c r="M210" s="5"/>
      <c r="N210" s="3" t="s">
        <v>190</v>
      </c>
      <c r="O210">
        <v>0</v>
      </c>
      <c r="P210" s="3" t="s">
        <v>24</v>
      </c>
      <c r="Q210" s="3" t="s">
        <v>190</v>
      </c>
      <c r="R210" s="5">
        <v>46118</v>
      </c>
      <c r="S210" s="3" t="s">
        <v>190</v>
      </c>
      <c r="T210" s="3" t="s">
        <v>190</v>
      </c>
      <c r="U210">
        <v>0</v>
      </c>
      <c r="V210" s="3" t="s">
        <v>1794</v>
      </c>
      <c r="W210" s="3" t="s">
        <v>190</v>
      </c>
      <c r="X210" s="5">
        <v>46132</v>
      </c>
      <c r="Y210" s="3" t="s">
        <v>190</v>
      </c>
      <c r="Z210" s="3" t="s">
        <v>190</v>
      </c>
      <c r="AA210">
        <v>0</v>
      </c>
      <c r="AB210" s="3" t="s">
        <v>1895</v>
      </c>
      <c r="AC210" s="3" t="s">
        <v>190</v>
      </c>
      <c r="AD210" s="3" t="s">
        <v>190</v>
      </c>
      <c r="AE210" s="3" t="s">
        <v>190</v>
      </c>
      <c r="AF210" s="3" t="s">
        <v>190</v>
      </c>
    </row>
    <row r="211" spans="1:32" ht="16.5" customHeight="1">
      <c r="A211" s="4" t="s">
        <v>111</v>
      </c>
      <c r="B211" s="4" t="s">
        <v>56</v>
      </c>
      <c r="C211" s="4" t="s">
        <v>56</v>
      </c>
      <c r="D211" s="4" t="s">
        <v>116</v>
      </c>
      <c r="E211" s="4" t="s">
        <v>2555</v>
      </c>
      <c r="F211" s="4" t="s">
        <v>2556</v>
      </c>
      <c r="G211" s="4" t="s">
        <v>115</v>
      </c>
      <c r="H211" s="6">
        <v>46052</v>
      </c>
      <c r="I211" s="6">
        <v>46048.428541666668</v>
      </c>
      <c r="J211" s="4" t="s">
        <v>110</v>
      </c>
      <c r="K211" s="4" t="s">
        <v>1892</v>
      </c>
      <c r="L211">
        <v>6</v>
      </c>
      <c r="M211" s="6">
        <v>46104</v>
      </c>
      <c r="N211" s="4" t="s">
        <v>1900</v>
      </c>
      <c r="O211">
        <v>0</v>
      </c>
      <c r="P211" s="4" t="s">
        <v>24</v>
      </c>
      <c r="Q211" s="4" t="s">
        <v>1900</v>
      </c>
      <c r="R211" s="6">
        <v>46118</v>
      </c>
      <c r="S211" s="4" t="s">
        <v>190</v>
      </c>
      <c r="T211" s="4" t="s">
        <v>190</v>
      </c>
      <c r="U211">
        <v>0</v>
      </c>
      <c r="V211" s="4" t="s">
        <v>1901</v>
      </c>
      <c r="W211" s="4" t="s">
        <v>190</v>
      </c>
      <c r="X211" s="6">
        <v>46132</v>
      </c>
      <c r="Y211" s="4" t="s">
        <v>190</v>
      </c>
      <c r="Z211" s="4" t="s">
        <v>190</v>
      </c>
      <c r="AA211">
        <v>0</v>
      </c>
      <c r="AB211" s="4" t="s">
        <v>1895</v>
      </c>
      <c r="AC211" s="4" t="s">
        <v>190</v>
      </c>
      <c r="AD211" s="4" t="s">
        <v>190</v>
      </c>
      <c r="AE211" s="4" t="s">
        <v>190</v>
      </c>
      <c r="AF211" s="4" t="s">
        <v>190</v>
      </c>
    </row>
    <row r="212" spans="1:32" ht="16.5" customHeight="1">
      <c r="A212" s="3" t="s">
        <v>111</v>
      </c>
      <c r="B212" s="3" t="s">
        <v>56</v>
      </c>
      <c r="C212" s="3" t="s">
        <v>56</v>
      </c>
      <c r="D212" s="3" t="s">
        <v>116</v>
      </c>
      <c r="E212" s="3" t="s">
        <v>2557</v>
      </c>
      <c r="F212" s="3" t="s">
        <v>2558</v>
      </c>
      <c r="G212" s="3" t="s">
        <v>115</v>
      </c>
      <c r="H212" s="5">
        <v>46052</v>
      </c>
      <c r="I212" s="5">
        <v>46048.433946759258</v>
      </c>
      <c r="J212" s="3" t="s">
        <v>2559</v>
      </c>
      <c r="K212" s="3" t="s">
        <v>1892</v>
      </c>
      <c r="L212">
        <v>6</v>
      </c>
      <c r="M212" s="5">
        <v>46104</v>
      </c>
      <c r="N212" s="3" t="s">
        <v>1893</v>
      </c>
      <c r="O212">
        <v>0</v>
      </c>
      <c r="P212" s="3" t="s">
        <v>24</v>
      </c>
      <c r="Q212" s="3" t="s">
        <v>1893</v>
      </c>
      <c r="R212" s="5">
        <v>46118</v>
      </c>
      <c r="S212" s="3" t="s">
        <v>190</v>
      </c>
      <c r="T212" s="3" t="s">
        <v>190</v>
      </c>
      <c r="U212">
        <v>0</v>
      </c>
      <c r="V212" s="3" t="s">
        <v>1901</v>
      </c>
      <c r="W212" s="3" t="s">
        <v>190</v>
      </c>
      <c r="X212" s="5">
        <v>46132</v>
      </c>
      <c r="Y212" s="3" t="s">
        <v>190</v>
      </c>
      <c r="Z212" s="3" t="s">
        <v>190</v>
      </c>
      <c r="AA212">
        <v>0</v>
      </c>
      <c r="AB212" s="3" t="s">
        <v>1895</v>
      </c>
      <c r="AC212" s="3" t="s">
        <v>190</v>
      </c>
      <c r="AD212" s="3" t="s">
        <v>190</v>
      </c>
      <c r="AE212" s="3" t="s">
        <v>190</v>
      </c>
      <c r="AF212" s="3" t="s">
        <v>190</v>
      </c>
    </row>
    <row r="213" spans="1:32" ht="16.5" customHeight="1">
      <c r="A213" s="4" t="s">
        <v>111</v>
      </c>
      <c r="B213" s="4" t="s">
        <v>56</v>
      </c>
      <c r="C213" s="4" t="s">
        <v>56</v>
      </c>
      <c r="D213" s="4" t="s">
        <v>116</v>
      </c>
      <c r="E213" s="4" t="s">
        <v>2560</v>
      </c>
      <c r="F213" s="4" t="s">
        <v>2561</v>
      </c>
      <c r="G213" s="4" t="s">
        <v>115</v>
      </c>
      <c r="H213" s="6">
        <v>46052</v>
      </c>
      <c r="I213" s="6">
        <v>46048.435266203705</v>
      </c>
      <c r="J213" s="4" t="s">
        <v>1721</v>
      </c>
      <c r="K213" s="4" t="s">
        <v>1892</v>
      </c>
      <c r="L213">
        <v>6</v>
      </c>
      <c r="M213" s="6">
        <v>46104</v>
      </c>
      <c r="N213" s="4" t="s">
        <v>1900</v>
      </c>
      <c r="O213">
        <v>0</v>
      </c>
      <c r="P213" s="4" t="s">
        <v>24</v>
      </c>
      <c r="Q213" s="4" t="s">
        <v>1900</v>
      </c>
      <c r="R213" s="6">
        <v>46118</v>
      </c>
      <c r="S213" s="4" t="s">
        <v>190</v>
      </c>
      <c r="T213" s="4" t="s">
        <v>190</v>
      </c>
      <c r="U213">
        <v>0</v>
      </c>
      <c r="V213" s="4" t="s">
        <v>1901</v>
      </c>
      <c r="W213" s="4" t="s">
        <v>190</v>
      </c>
      <c r="X213" s="6">
        <v>46132</v>
      </c>
      <c r="Y213" s="4" t="s">
        <v>190</v>
      </c>
      <c r="Z213" s="4" t="s">
        <v>190</v>
      </c>
      <c r="AA213">
        <v>0</v>
      </c>
      <c r="AB213" s="4" t="s">
        <v>1895</v>
      </c>
      <c r="AC213" s="4" t="s">
        <v>190</v>
      </c>
      <c r="AD213" s="4" t="s">
        <v>190</v>
      </c>
      <c r="AE213" s="4" t="s">
        <v>190</v>
      </c>
      <c r="AF213" s="4" t="s">
        <v>190</v>
      </c>
    </row>
    <row r="214" spans="1:32" ht="16.5" customHeight="1">
      <c r="A214" s="3" t="s">
        <v>33</v>
      </c>
      <c r="B214" s="3" t="s">
        <v>2562</v>
      </c>
      <c r="C214" s="3" t="s">
        <v>2563</v>
      </c>
      <c r="D214" s="3" t="s">
        <v>25</v>
      </c>
      <c r="E214" s="3" t="s">
        <v>2564</v>
      </c>
      <c r="F214" s="3" t="s">
        <v>2565</v>
      </c>
      <c r="G214" s="3" t="s">
        <v>37</v>
      </c>
      <c r="H214" s="5">
        <v>46011</v>
      </c>
      <c r="I214" s="5">
        <v>46017.523449074077</v>
      </c>
      <c r="J214" s="3" t="s">
        <v>2566</v>
      </c>
      <c r="K214" s="3" t="s">
        <v>1892</v>
      </c>
      <c r="L214">
        <v>6</v>
      </c>
      <c r="M214" s="5">
        <v>46104</v>
      </c>
      <c r="N214" s="3" t="s">
        <v>1893</v>
      </c>
      <c r="O214">
        <v>0</v>
      </c>
      <c r="P214" s="3" t="s">
        <v>24</v>
      </c>
      <c r="Q214" s="3" t="s">
        <v>1893</v>
      </c>
      <c r="R214" s="5">
        <v>46118</v>
      </c>
      <c r="S214" s="3" t="s">
        <v>190</v>
      </c>
      <c r="T214" s="3" t="s">
        <v>190</v>
      </c>
      <c r="U214">
        <v>0</v>
      </c>
      <c r="V214" s="3" t="s">
        <v>1794</v>
      </c>
      <c r="W214" s="3" t="s">
        <v>190</v>
      </c>
      <c r="X214" s="5">
        <v>46132</v>
      </c>
      <c r="Y214" s="3" t="s">
        <v>190</v>
      </c>
      <c r="Z214" s="3" t="s">
        <v>190</v>
      </c>
      <c r="AA214">
        <v>0</v>
      </c>
      <c r="AB214" s="3" t="s">
        <v>1895</v>
      </c>
      <c r="AC214" s="3" t="s">
        <v>190</v>
      </c>
      <c r="AD214" s="3" t="s">
        <v>190</v>
      </c>
      <c r="AE214" s="3" t="s">
        <v>190</v>
      </c>
      <c r="AF214" s="3" t="s">
        <v>190</v>
      </c>
    </row>
    <row r="215" spans="1:32" ht="16.5" customHeight="1">
      <c r="A215" s="4" t="s">
        <v>266</v>
      </c>
      <c r="B215" s="4" t="s">
        <v>1889</v>
      </c>
      <c r="C215" s="4" t="s">
        <v>1889</v>
      </c>
      <c r="D215" s="4" t="s">
        <v>25</v>
      </c>
      <c r="E215" s="4" t="s">
        <v>2567</v>
      </c>
      <c r="F215" s="4" t="s">
        <v>1891</v>
      </c>
      <c r="G215" s="4" t="s">
        <v>269</v>
      </c>
      <c r="H215" s="6">
        <v>46056</v>
      </c>
      <c r="I215" s="6">
        <v>46059.540451388886</v>
      </c>
      <c r="J215" s="4" t="s">
        <v>265</v>
      </c>
      <c r="K215" s="4" t="s">
        <v>1892</v>
      </c>
      <c r="L215">
        <v>6</v>
      </c>
      <c r="M215" s="6">
        <v>46104</v>
      </c>
      <c r="N215" s="4" t="s">
        <v>1893</v>
      </c>
      <c r="O215">
        <v>0</v>
      </c>
      <c r="P215" s="4" t="s">
        <v>24</v>
      </c>
      <c r="Q215" s="4" t="s">
        <v>1893</v>
      </c>
      <c r="R215" s="6">
        <v>46118</v>
      </c>
      <c r="S215" s="4" t="s">
        <v>190</v>
      </c>
      <c r="T215" s="4" t="s">
        <v>190</v>
      </c>
      <c r="U215">
        <v>0</v>
      </c>
      <c r="V215" s="4" t="s">
        <v>1894</v>
      </c>
      <c r="W215" s="4" t="s">
        <v>190</v>
      </c>
      <c r="X215" s="6">
        <v>46132</v>
      </c>
      <c r="Y215" s="4" t="s">
        <v>190</v>
      </c>
      <c r="Z215" s="4" t="s">
        <v>190</v>
      </c>
      <c r="AA215">
        <v>0</v>
      </c>
      <c r="AB215" s="4" t="s">
        <v>1895</v>
      </c>
      <c r="AC215" s="4" t="s">
        <v>190</v>
      </c>
      <c r="AD215" s="4" t="s">
        <v>190</v>
      </c>
      <c r="AE215" s="4" t="s">
        <v>190</v>
      </c>
      <c r="AF215" s="4" t="s">
        <v>190</v>
      </c>
    </row>
    <row r="216" spans="1:32" ht="16.5" customHeight="1">
      <c r="A216" s="3" t="s">
        <v>229</v>
      </c>
      <c r="B216" s="3" t="s">
        <v>2172</v>
      </c>
      <c r="C216" s="3" t="s">
        <v>2361</v>
      </c>
      <c r="D216" s="3" t="s">
        <v>25</v>
      </c>
      <c r="E216" s="3" t="s">
        <v>2568</v>
      </c>
      <c r="F216" s="3" t="s">
        <v>2089</v>
      </c>
      <c r="G216" s="3" t="s">
        <v>233</v>
      </c>
      <c r="H216" s="5">
        <v>46073</v>
      </c>
      <c r="I216" s="5">
        <v>46064.37427083333</v>
      </c>
      <c r="J216" s="3" t="s">
        <v>2569</v>
      </c>
      <c r="K216" s="3" t="s">
        <v>1892</v>
      </c>
      <c r="L216">
        <v>6</v>
      </c>
      <c r="M216" s="5">
        <v>46104</v>
      </c>
      <c r="N216" s="3" t="s">
        <v>1893</v>
      </c>
      <c r="O216">
        <v>0</v>
      </c>
      <c r="P216" s="3" t="s">
        <v>24</v>
      </c>
      <c r="Q216" s="3" t="s">
        <v>1893</v>
      </c>
      <c r="R216" s="5">
        <v>46118</v>
      </c>
      <c r="S216" s="3" t="s">
        <v>190</v>
      </c>
      <c r="T216" s="3" t="s">
        <v>190</v>
      </c>
      <c r="U216">
        <v>0</v>
      </c>
      <c r="V216" s="3" t="s">
        <v>1794</v>
      </c>
      <c r="W216" s="3" t="s">
        <v>190</v>
      </c>
      <c r="X216" s="5">
        <v>46132</v>
      </c>
      <c r="Y216" s="3" t="s">
        <v>190</v>
      </c>
      <c r="Z216" s="3" t="s">
        <v>190</v>
      </c>
      <c r="AA216">
        <v>0</v>
      </c>
      <c r="AB216" s="3" t="s">
        <v>1895</v>
      </c>
      <c r="AC216" s="3" t="s">
        <v>190</v>
      </c>
      <c r="AD216" s="3" t="s">
        <v>190</v>
      </c>
      <c r="AE216" s="3" t="s">
        <v>190</v>
      </c>
      <c r="AF216" s="3" t="s">
        <v>190</v>
      </c>
    </row>
    <row r="217" spans="1:32" ht="16.5" customHeight="1">
      <c r="A217" s="4" t="s">
        <v>229</v>
      </c>
      <c r="B217" s="4" t="s">
        <v>2172</v>
      </c>
      <c r="C217" s="4" t="s">
        <v>2361</v>
      </c>
      <c r="D217" s="4" t="s">
        <v>25</v>
      </c>
      <c r="E217" s="4" t="s">
        <v>2570</v>
      </c>
      <c r="F217" s="4" t="s">
        <v>2571</v>
      </c>
      <c r="G217" s="4" t="s">
        <v>233</v>
      </c>
      <c r="H217" s="6">
        <v>46073</v>
      </c>
      <c r="I217" s="6">
        <v>46064.374178240738</v>
      </c>
      <c r="J217" s="4" t="s">
        <v>2572</v>
      </c>
      <c r="K217" s="4" t="s">
        <v>1892</v>
      </c>
      <c r="L217">
        <v>6</v>
      </c>
      <c r="M217" s="6">
        <v>46104</v>
      </c>
      <c r="N217" s="4" t="s">
        <v>1893</v>
      </c>
      <c r="O217">
        <v>0</v>
      </c>
      <c r="P217" s="4" t="s">
        <v>24</v>
      </c>
      <c r="Q217" s="4" t="s">
        <v>1893</v>
      </c>
      <c r="R217" s="6">
        <v>46118</v>
      </c>
      <c r="S217" s="4" t="s">
        <v>190</v>
      </c>
      <c r="T217" s="4" t="s">
        <v>190</v>
      </c>
      <c r="U217">
        <v>0</v>
      </c>
      <c r="V217" s="4" t="s">
        <v>1794</v>
      </c>
      <c r="W217" s="4" t="s">
        <v>190</v>
      </c>
      <c r="X217" s="6">
        <v>46132</v>
      </c>
      <c r="Y217" s="4" t="s">
        <v>190</v>
      </c>
      <c r="Z217" s="4" t="s">
        <v>190</v>
      </c>
      <c r="AA217">
        <v>0</v>
      </c>
      <c r="AB217" s="4" t="s">
        <v>1895</v>
      </c>
      <c r="AC217" s="4" t="s">
        <v>190</v>
      </c>
      <c r="AD217" s="4" t="s">
        <v>190</v>
      </c>
      <c r="AE217" s="4" t="s">
        <v>190</v>
      </c>
      <c r="AF217" s="4" t="s">
        <v>190</v>
      </c>
    </row>
    <row r="218" spans="1:32" ht="16.5" customHeight="1">
      <c r="A218" s="3" t="s">
        <v>229</v>
      </c>
      <c r="B218" s="3" t="s">
        <v>2172</v>
      </c>
      <c r="C218" s="3" t="s">
        <v>2173</v>
      </c>
      <c r="D218" s="3" t="s">
        <v>25</v>
      </c>
      <c r="E218" s="3" t="s">
        <v>2573</v>
      </c>
      <c r="F218" s="3" t="s">
        <v>2574</v>
      </c>
      <c r="G218" s="3" t="s">
        <v>233</v>
      </c>
      <c r="H218" s="5">
        <v>46094</v>
      </c>
      <c r="I218" s="5">
        <v>46092.662523148145</v>
      </c>
      <c r="J218" s="3" t="s">
        <v>629</v>
      </c>
      <c r="K218" s="3" t="s">
        <v>1892</v>
      </c>
      <c r="L218">
        <v>6</v>
      </c>
      <c r="M218" s="5">
        <v>46104</v>
      </c>
      <c r="N218" s="3" t="s">
        <v>1900</v>
      </c>
      <c r="O218">
        <v>0</v>
      </c>
      <c r="P218" s="3" t="s">
        <v>24</v>
      </c>
      <c r="Q218" s="3" t="s">
        <v>1893</v>
      </c>
      <c r="R218" s="5">
        <v>46112</v>
      </c>
      <c r="S218" s="3" t="s">
        <v>190</v>
      </c>
      <c r="T218" s="3" t="s">
        <v>190</v>
      </c>
      <c r="U218">
        <v>0</v>
      </c>
      <c r="V218" s="3" t="s">
        <v>1794</v>
      </c>
      <c r="W218" s="3" t="s">
        <v>190</v>
      </c>
      <c r="X218" s="5">
        <v>46122</v>
      </c>
      <c r="Y218" s="3" t="s">
        <v>190</v>
      </c>
      <c r="Z218" s="3" t="s">
        <v>190</v>
      </c>
      <c r="AA218">
        <v>0</v>
      </c>
      <c r="AB218" s="3" t="s">
        <v>1895</v>
      </c>
      <c r="AC218" s="3" t="s">
        <v>190</v>
      </c>
      <c r="AD218" s="3" t="s">
        <v>190</v>
      </c>
      <c r="AE218" s="3" t="s">
        <v>190</v>
      </c>
      <c r="AF218" s="3" t="s">
        <v>190</v>
      </c>
    </row>
    <row r="219" spans="1:32" ht="16.5" customHeight="1">
      <c r="A219" s="4" t="s">
        <v>229</v>
      </c>
      <c r="B219" s="4" t="s">
        <v>56</v>
      </c>
      <c r="C219" s="4" t="s">
        <v>56</v>
      </c>
      <c r="D219" s="4" t="s">
        <v>116</v>
      </c>
      <c r="E219" s="4" t="s">
        <v>2575</v>
      </c>
      <c r="F219" s="4" t="s">
        <v>2576</v>
      </c>
      <c r="G219" s="4" t="s">
        <v>250</v>
      </c>
      <c r="H219" s="6">
        <v>46052</v>
      </c>
      <c r="I219" s="6">
        <v>46050.426134259258</v>
      </c>
      <c r="J219" s="4" t="s">
        <v>1799</v>
      </c>
      <c r="K219" s="4" t="s">
        <v>1892</v>
      </c>
      <c r="L219">
        <v>6</v>
      </c>
      <c r="M219" s="6">
        <v>46105</v>
      </c>
      <c r="N219" s="4" t="s">
        <v>1900</v>
      </c>
      <c r="O219">
        <v>0</v>
      </c>
      <c r="P219" s="4" t="s">
        <v>24</v>
      </c>
      <c r="Q219" s="4" t="s">
        <v>1893</v>
      </c>
      <c r="R219" s="6">
        <v>46118</v>
      </c>
      <c r="S219" s="4" t="s">
        <v>190</v>
      </c>
      <c r="T219" s="4" t="s">
        <v>190</v>
      </c>
      <c r="U219">
        <v>0</v>
      </c>
      <c r="V219" s="4" t="s">
        <v>1794</v>
      </c>
      <c r="W219" s="4" t="s">
        <v>190</v>
      </c>
      <c r="X219" s="6">
        <v>46132</v>
      </c>
      <c r="Y219" s="4" t="s">
        <v>190</v>
      </c>
      <c r="Z219" s="4" t="s">
        <v>190</v>
      </c>
      <c r="AA219">
        <v>0</v>
      </c>
      <c r="AB219" s="4" t="s">
        <v>1895</v>
      </c>
      <c r="AC219" s="4" t="s">
        <v>190</v>
      </c>
      <c r="AD219" s="4" t="s">
        <v>190</v>
      </c>
      <c r="AE219" s="4" t="s">
        <v>190</v>
      </c>
      <c r="AF219" s="4" t="s">
        <v>190</v>
      </c>
    </row>
    <row r="220" spans="1:32" ht="16.5" customHeight="1">
      <c r="A220" s="3" t="s">
        <v>229</v>
      </c>
      <c r="B220" s="3" t="s">
        <v>56</v>
      </c>
      <c r="C220" s="3" t="s">
        <v>56</v>
      </c>
      <c r="D220" s="3" t="s">
        <v>116</v>
      </c>
      <c r="E220" s="3" t="s">
        <v>2577</v>
      </c>
      <c r="F220" s="3" t="s">
        <v>2578</v>
      </c>
      <c r="G220" s="3" t="s">
        <v>250</v>
      </c>
      <c r="H220" s="5">
        <v>46066</v>
      </c>
      <c r="I220" s="5">
        <v>46058.554907407408</v>
      </c>
      <c r="J220" s="3" t="s">
        <v>2579</v>
      </c>
      <c r="K220" s="3" t="s">
        <v>1892</v>
      </c>
      <c r="L220">
        <v>6</v>
      </c>
      <c r="M220" s="5">
        <v>46106</v>
      </c>
      <c r="N220" s="3" t="s">
        <v>1893</v>
      </c>
      <c r="O220">
        <v>0</v>
      </c>
      <c r="P220" s="3" t="s">
        <v>24</v>
      </c>
      <c r="Q220" s="3" t="s">
        <v>1893</v>
      </c>
      <c r="R220" s="5">
        <v>46118</v>
      </c>
      <c r="S220" s="3" t="s">
        <v>190</v>
      </c>
      <c r="T220" s="3" t="s">
        <v>190</v>
      </c>
      <c r="U220">
        <v>0</v>
      </c>
      <c r="V220" s="3" t="s">
        <v>1794</v>
      </c>
      <c r="W220" s="3" t="s">
        <v>190</v>
      </c>
      <c r="X220" s="5">
        <v>46132</v>
      </c>
      <c r="Y220" s="3" t="s">
        <v>190</v>
      </c>
      <c r="Z220" s="3" t="s">
        <v>190</v>
      </c>
      <c r="AA220">
        <v>0</v>
      </c>
      <c r="AB220" s="3" t="s">
        <v>1895</v>
      </c>
      <c r="AC220" s="3" t="s">
        <v>190</v>
      </c>
      <c r="AD220" s="3" t="s">
        <v>190</v>
      </c>
      <c r="AE220" s="3" t="s">
        <v>190</v>
      </c>
      <c r="AF220" s="3" t="s">
        <v>190</v>
      </c>
    </row>
    <row r="221" spans="1:32" ht="16.5" customHeight="1">
      <c r="A221" s="4" t="s">
        <v>229</v>
      </c>
      <c r="B221" s="4" t="s">
        <v>56</v>
      </c>
      <c r="C221" s="4" t="s">
        <v>56</v>
      </c>
      <c r="D221" s="4" t="s">
        <v>1795</v>
      </c>
      <c r="E221" s="4" t="s">
        <v>2580</v>
      </c>
      <c r="F221" s="4" t="s">
        <v>2581</v>
      </c>
      <c r="G221" s="4" t="s">
        <v>250</v>
      </c>
      <c r="H221" s="6">
        <v>46038</v>
      </c>
      <c r="I221" s="6">
        <v>46042.416666666664</v>
      </c>
      <c r="J221" s="4" t="s">
        <v>2582</v>
      </c>
      <c r="K221" s="4" t="s">
        <v>1892</v>
      </c>
      <c r="L221">
        <v>6</v>
      </c>
      <c r="M221" s="6"/>
      <c r="N221" s="4" t="s">
        <v>190</v>
      </c>
      <c r="O221">
        <v>0</v>
      </c>
      <c r="P221" s="4" t="s">
        <v>24</v>
      </c>
      <c r="Q221" s="4" t="s">
        <v>190</v>
      </c>
      <c r="R221" s="6">
        <v>46118</v>
      </c>
      <c r="S221" s="4" t="s">
        <v>190</v>
      </c>
      <c r="T221" s="4" t="s">
        <v>190</v>
      </c>
      <c r="U221">
        <v>0</v>
      </c>
      <c r="V221" s="4" t="s">
        <v>1794</v>
      </c>
      <c r="W221" s="4" t="s">
        <v>190</v>
      </c>
      <c r="X221" s="6">
        <v>46132</v>
      </c>
      <c r="Y221" s="4" t="s">
        <v>190</v>
      </c>
      <c r="Z221" s="4" t="s">
        <v>190</v>
      </c>
      <c r="AA221">
        <v>0</v>
      </c>
      <c r="AB221" s="4" t="s">
        <v>1895</v>
      </c>
      <c r="AC221" s="4" t="s">
        <v>190</v>
      </c>
      <c r="AD221" s="4" t="s">
        <v>190</v>
      </c>
      <c r="AE221" s="4" t="s">
        <v>190</v>
      </c>
      <c r="AF221" s="4" t="s">
        <v>190</v>
      </c>
    </row>
    <row r="222" spans="1:32" ht="16.5" customHeight="1">
      <c r="A222" s="3" t="s">
        <v>229</v>
      </c>
      <c r="B222" s="3" t="s">
        <v>56</v>
      </c>
      <c r="C222" s="3" t="s">
        <v>56</v>
      </c>
      <c r="D222" s="3" t="s">
        <v>116</v>
      </c>
      <c r="E222" s="3" t="s">
        <v>2583</v>
      </c>
      <c r="F222" s="3" t="s">
        <v>2584</v>
      </c>
      <c r="G222" s="3" t="s">
        <v>250</v>
      </c>
      <c r="H222" s="5">
        <v>46038</v>
      </c>
      <c r="I222" s="5">
        <v>46042.41615740741</v>
      </c>
      <c r="J222" s="3" t="s">
        <v>2585</v>
      </c>
      <c r="K222" s="3" t="s">
        <v>1892</v>
      </c>
      <c r="L222">
        <v>6</v>
      </c>
      <c r="M222" s="5">
        <v>46106</v>
      </c>
      <c r="N222" s="3" t="s">
        <v>1893</v>
      </c>
      <c r="O222">
        <v>0</v>
      </c>
      <c r="P222" s="3" t="s">
        <v>24</v>
      </c>
      <c r="Q222" s="3" t="s">
        <v>1893</v>
      </c>
      <c r="R222" s="5">
        <v>46118</v>
      </c>
      <c r="S222" s="3" t="s">
        <v>190</v>
      </c>
      <c r="T222" s="3" t="s">
        <v>190</v>
      </c>
      <c r="U222">
        <v>0</v>
      </c>
      <c r="V222" s="3" t="s">
        <v>1901</v>
      </c>
      <c r="W222" s="3" t="s">
        <v>190</v>
      </c>
      <c r="X222" s="5">
        <v>46132</v>
      </c>
      <c r="Y222" s="3" t="s">
        <v>190</v>
      </c>
      <c r="Z222" s="3" t="s">
        <v>190</v>
      </c>
      <c r="AA222">
        <v>0</v>
      </c>
      <c r="AB222" s="3" t="s">
        <v>1895</v>
      </c>
      <c r="AC222" s="3" t="s">
        <v>190</v>
      </c>
      <c r="AD222" s="3" t="s">
        <v>190</v>
      </c>
      <c r="AE222" s="3" t="s">
        <v>190</v>
      </c>
      <c r="AF222" s="3" t="s">
        <v>190</v>
      </c>
    </row>
    <row r="223" spans="1:32" ht="16.5" customHeight="1">
      <c r="A223" s="4" t="s">
        <v>229</v>
      </c>
      <c r="B223" s="4" t="s">
        <v>2180</v>
      </c>
      <c r="C223" s="4" t="s">
        <v>2412</v>
      </c>
      <c r="D223" s="4" t="s">
        <v>25</v>
      </c>
      <c r="E223" s="4" t="s">
        <v>2586</v>
      </c>
      <c r="F223" s="4" t="s">
        <v>2587</v>
      </c>
      <c r="G223" s="4" t="s">
        <v>233</v>
      </c>
      <c r="H223" s="6">
        <v>46045</v>
      </c>
      <c r="I223" s="6">
        <v>46045.623553240737</v>
      </c>
      <c r="J223" s="4" t="s">
        <v>1736</v>
      </c>
      <c r="K223" s="4" t="s">
        <v>1892</v>
      </c>
      <c r="L223">
        <v>6</v>
      </c>
      <c r="M223" s="6">
        <v>46105</v>
      </c>
      <c r="N223" s="4" t="s">
        <v>1900</v>
      </c>
      <c r="O223">
        <v>0</v>
      </c>
      <c r="P223" s="4" t="s">
        <v>24</v>
      </c>
      <c r="Q223" s="4" t="s">
        <v>1893</v>
      </c>
      <c r="R223" s="6">
        <v>46118</v>
      </c>
      <c r="S223" s="4" t="s">
        <v>190</v>
      </c>
      <c r="T223" s="4" t="s">
        <v>190</v>
      </c>
      <c r="U223">
        <v>0</v>
      </c>
      <c r="V223" s="4" t="s">
        <v>1794</v>
      </c>
      <c r="W223" s="4" t="s">
        <v>190</v>
      </c>
      <c r="X223" s="6">
        <v>46132</v>
      </c>
      <c r="Y223" s="4" t="s">
        <v>190</v>
      </c>
      <c r="Z223" s="4" t="s">
        <v>190</v>
      </c>
      <c r="AA223">
        <v>0</v>
      </c>
      <c r="AB223" s="4" t="s">
        <v>1895</v>
      </c>
      <c r="AC223" s="4" t="s">
        <v>190</v>
      </c>
      <c r="AD223" s="4" t="s">
        <v>190</v>
      </c>
      <c r="AE223" s="4" t="s">
        <v>190</v>
      </c>
      <c r="AF223" s="4" t="s">
        <v>190</v>
      </c>
    </row>
    <row r="224" spans="1:32" ht="16.5" customHeight="1">
      <c r="A224" s="3" t="s">
        <v>306</v>
      </c>
      <c r="B224" s="3" t="s">
        <v>56</v>
      </c>
      <c r="C224" s="3" t="s">
        <v>56</v>
      </c>
      <c r="D224" s="3" t="s">
        <v>116</v>
      </c>
      <c r="E224" s="3" t="s">
        <v>2588</v>
      </c>
      <c r="F224" s="3" t="s">
        <v>2589</v>
      </c>
      <c r="G224" s="3" t="s">
        <v>250</v>
      </c>
      <c r="H224" s="5">
        <v>46094</v>
      </c>
      <c r="I224" s="5">
        <v>46093.655011574076</v>
      </c>
      <c r="J224" s="3" t="s">
        <v>2590</v>
      </c>
      <c r="K224" s="3" t="s">
        <v>1892</v>
      </c>
      <c r="L224">
        <v>6</v>
      </c>
      <c r="M224" s="5">
        <v>46105</v>
      </c>
      <c r="N224" s="3" t="s">
        <v>1893</v>
      </c>
      <c r="O224">
        <v>0</v>
      </c>
      <c r="P224" s="3" t="s">
        <v>24</v>
      </c>
      <c r="Q224" s="3" t="s">
        <v>1893</v>
      </c>
      <c r="R224" s="5">
        <v>46118</v>
      </c>
      <c r="S224" s="3" t="s">
        <v>190</v>
      </c>
      <c r="T224" s="3" t="s">
        <v>190</v>
      </c>
      <c r="U224">
        <v>0</v>
      </c>
      <c r="V224" s="3" t="s">
        <v>1901</v>
      </c>
      <c r="W224" s="3" t="s">
        <v>190</v>
      </c>
      <c r="X224" s="5">
        <v>46132</v>
      </c>
      <c r="Y224" s="3" t="s">
        <v>190</v>
      </c>
      <c r="Z224" s="3" t="s">
        <v>190</v>
      </c>
      <c r="AA224">
        <v>0</v>
      </c>
      <c r="AB224" s="3" t="s">
        <v>1895</v>
      </c>
      <c r="AC224" s="3" t="s">
        <v>190</v>
      </c>
      <c r="AD224" s="3" t="s">
        <v>190</v>
      </c>
      <c r="AE224" s="3" t="s">
        <v>190</v>
      </c>
      <c r="AF224" s="3" t="s">
        <v>190</v>
      </c>
    </row>
    <row r="225" spans="1:32" ht="16.5" customHeight="1">
      <c r="A225" s="4" t="s">
        <v>306</v>
      </c>
      <c r="B225" s="4" t="s">
        <v>56</v>
      </c>
      <c r="C225" s="4" t="s">
        <v>56</v>
      </c>
      <c r="D225" s="4" t="s">
        <v>116</v>
      </c>
      <c r="E225" s="4" t="s">
        <v>2591</v>
      </c>
      <c r="F225" s="4" t="s">
        <v>2592</v>
      </c>
      <c r="G225" s="4" t="s">
        <v>250</v>
      </c>
      <c r="H225" s="6">
        <v>46094</v>
      </c>
      <c r="I225" s="6">
        <v>46093.655347222222</v>
      </c>
      <c r="J225" s="4" t="s">
        <v>2593</v>
      </c>
      <c r="K225" s="4" t="s">
        <v>1892</v>
      </c>
      <c r="L225">
        <v>6</v>
      </c>
      <c r="M225" s="6">
        <v>46105</v>
      </c>
      <c r="N225" s="4" t="s">
        <v>1893</v>
      </c>
      <c r="O225">
        <v>0</v>
      </c>
      <c r="P225" s="4" t="s">
        <v>24</v>
      </c>
      <c r="Q225" s="4" t="s">
        <v>1893</v>
      </c>
      <c r="R225" s="6">
        <v>46118</v>
      </c>
      <c r="S225" s="4" t="s">
        <v>190</v>
      </c>
      <c r="T225" s="4" t="s">
        <v>190</v>
      </c>
      <c r="U225">
        <v>0</v>
      </c>
      <c r="V225" s="4" t="s">
        <v>1901</v>
      </c>
      <c r="W225" s="4" t="s">
        <v>190</v>
      </c>
      <c r="X225" s="6">
        <v>46132</v>
      </c>
      <c r="Y225" s="4" t="s">
        <v>190</v>
      </c>
      <c r="Z225" s="4" t="s">
        <v>190</v>
      </c>
      <c r="AA225">
        <v>0</v>
      </c>
      <c r="AB225" s="4" t="s">
        <v>1895</v>
      </c>
      <c r="AC225" s="4" t="s">
        <v>190</v>
      </c>
      <c r="AD225" s="4" t="s">
        <v>190</v>
      </c>
      <c r="AE225" s="4" t="s">
        <v>190</v>
      </c>
      <c r="AF225" s="4" t="s">
        <v>190</v>
      </c>
    </row>
    <row r="226" spans="1:32" ht="16.5" customHeight="1">
      <c r="A226" s="3" t="s">
        <v>580</v>
      </c>
      <c r="B226" s="3" t="s">
        <v>56</v>
      </c>
      <c r="C226" s="3" t="s">
        <v>56</v>
      </c>
      <c r="D226" s="3" t="s">
        <v>116</v>
      </c>
      <c r="E226" s="3" t="s">
        <v>2594</v>
      </c>
      <c r="F226" s="3" t="s">
        <v>2595</v>
      </c>
      <c r="G226" s="3" t="s">
        <v>279</v>
      </c>
      <c r="H226" s="5">
        <v>46081</v>
      </c>
      <c r="I226" s="5">
        <v>46020.438981481479</v>
      </c>
      <c r="J226" s="3" t="s">
        <v>2596</v>
      </c>
      <c r="K226" s="3" t="s">
        <v>1892</v>
      </c>
      <c r="L226">
        <v>6</v>
      </c>
      <c r="M226" s="5">
        <v>46106</v>
      </c>
      <c r="N226" s="3" t="s">
        <v>1893</v>
      </c>
      <c r="O226">
        <v>0</v>
      </c>
      <c r="P226" s="3" t="s">
        <v>24</v>
      </c>
      <c r="Q226" s="3" t="s">
        <v>1893</v>
      </c>
      <c r="R226" s="5">
        <v>46118</v>
      </c>
      <c r="S226" s="3" t="s">
        <v>190</v>
      </c>
      <c r="T226" s="3" t="s">
        <v>190</v>
      </c>
      <c r="U226">
        <v>0</v>
      </c>
      <c r="V226" s="3" t="s">
        <v>1956</v>
      </c>
      <c r="W226" s="3" t="s">
        <v>190</v>
      </c>
      <c r="X226" s="5">
        <v>46132</v>
      </c>
      <c r="Y226" s="3" t="s">
        <v>190</v>
      </c>
      <c r="Z226" s="3" t="s">
        <v>190</v>
      </c>
      <c r="AA226">
        <v>0</v>
      </c>
      <c r="AB226" s="3" t="s">
        <v>1895</v>
      </c>
      <c r="AC226" s="3" t="s">
        <v>190</v>
      </c>
      <c r="AD226" s="3" t="s">
        <v>190</v>
      </c>
      <c r="AE226" s="3" t="s">
        <v>190</v>
      </c>
      <c r="AF226" s="3" t="s">
        <v>190</v>
      </c>
    </row>
    <row r="227" spans="1:32" ht="16.5" customHeight="1">
      <c r="A227" s="4" t="s">
        <v>580</v>
      </c>
      <c r="B227" s="4" t="s">
        <v>56</v>
      </c>
      <c r="C227" s="4" t="s">
        <v>56</v>
      </c>
      <c r="D227" s="4" t="s">
        <v>116</v>
      </c>
      <c r="E227" s="4" t="s">
        <v>2597</v>
      </c>
      <c r="F227" s="4" t="s">
        <v>2598</v>
      </c>
      <c r="G227" s="4" t="s">
        <v>279</v>
      </c>
      <c r="H227" s="6">
        <v>46073</v>
      </c>
      <c r="I227" s="6">
        <v>46080.386712962965</v>
      </c>
      <c r="J227" s="4" t="s">
        <v>2599</v>
      </c>
      <c r="K227" s="4" t="s">
        <v>1892</v>
      </c>
      <c r="L227">
        <v>6</v>
      </c>
      <c r="M227" s="6">
        <v>46106</v>
      </c>
      <c r="N227" s="4" t="s">
        <v>1893</v>
      </c>
      <c r="O227">
        <v>0</v>
      </c>
      <c r="P227" s="4" t="s">
        <v>24</v>
      </c>
      <c r="Q227" s="4" t="s">
        <v>1893</v>
      </c>
      <c r="R227" s="6">
        <v>46118</v>
      </c>
      <c r="S227" s="4" t="s">
        <v>190</v>
      </c>
      <c r="T227" s="4" t="s">
        <v>190</v>
      </c>
      <c r="U227">
        <v>0</v>
      </c>
      <c r="V227" s="4" t="s">
        <v>1956</v>
      </c>
      <c r="W227" s="4" t="s">
        <v>190</v>
      </c>
      <c r="X227" s="6">
        <v>46132</v>
      </c>
      <c r="Y227" s="4" t="s">
        <v>190</v>
      </c>
      <c r="Z227" s="4" t="s">
        <v>190</v>
      </c>
      <c r="AA227">
        <v>0</v>
      </c>
      <c r="AB227" s="4" t="s">
        <v>1895</v>
      </c>
      <c r="AC227" s="4" t="s">
        <v>190</v>
      </c>
      <c r="AD227" s="4" t="s">
        <v>190</v>
      </c>
      <c r="AE227" s="4" t="s">
        <v>190</v>
      </c>
      <c r="AF227" s="4" t="s">
        <v>190</v>
      </c>
    </row>
    <row r="228" spans="1:32" ht="16.5" customHeight="1">
      <c r="A228" s="3" t="s">
        <v>580</v>
      </c>
      <c r="B228" s="3" t="s">
        <v>56</v>
      </c>
      <c r="C228" s="3" t="s">
        <v>56</v>
      </c>
      <c r="D228" s="3" t="s">
        <v>1795</v>
      </c>
      <c r="E228" s="3" t="s">
        <v>2600</v>
      </c>
      <c r="F228" s="3" t="s">
        <v>2601</v>
      </c>
      <c r="G228" s="3" t="s">
        <v>584</v>
      </c>
      <c r="H228" s="5">
        <v>46081</v>
      </c>
      <c r="I228" s="5">
        <v>46006.711689814816</v>
      </c>
      <c r="J228" s="3" t="s">
        <v>2602</v>
      </c>
      <c r="K228" s="3" t="s">
        <v>1892</v>
      </c>
      <c r="L228">
        <v>6</v>
      </c>
      <c r="M228" s="5">
        <v>46104</v>
      </c>
      <c r="N228" s="3" t="s">
        <v>1893</v>
      </c>
      <c r="O228">
        <v>0</v>
      </c>
      <c r="P228" s="3" t="s">
        <v>24</v>
      </c>
      <c r="Q228" s="3" t="s">
        <v>1893</v>
      </c>
      <c r="R228" s="5">
        <v>46118</v>
      </c>
      <c r="S228" s="3" t="s">
        <v>190</v>
      </c>
      <c r="T228" s="3" t="s">
        <v>190</v>
      </c>
      <c r="U228">
        <v>0</v>
      </c>
      <c r="V228" s="3" t="s">
        <v>1956</v>
      </c>
      <c r="W228" s="3" t="s">
        <v>190</v>
      </c>
      <c r="X228" s="5">
        <v>46132</v>
      </c>
      <c r="Y228" s="3" t="s">
        <v>190</v>
      </c>
      <c r="Z228" s="3" t="s">
        <v>190</v>
      </c>
      <c r="AA228">
        <v>0</v>
      </c>
      <c r="AB228" s="3" t="s">
        <v>1895</v>
      </c>
      <c r="AC228" s="3" t="s">
        <v>190</v>
      </c>
      <c r="AD228" s="3" t="s">
        <v>190</v>
      </c>
      <c r="AE228" s="3" t="s">
        <v>190</v>
      </c>
      <c r="AF228" s="3" t="s">
        <v>190</v>
      </c>
    </row>
    <row r="229" spans="1:32" ht="16.5" customHeight="1">
      <c r="A229" s="4" t="s">
        <v>275</v>
      </c>
      <c r="B229" s="4" t="s">
        <v>2225</v>
      </c>
      <c r="C229" s="4" t="s">
        <v>2603</v>
      </c>
      <c r="D229" s="4" t="s">
        <v>25</v>
      </c>
      <c r="E229" s="4" t="s">
        <v>2604</v>
      </c>
      <c r="F229" s="4" t="s">
        <v>2605</v>
      </c>
      <c r="G229" s="4" t="s">
        <v>512</v>
      </c>
      <c r="H229" s="6">
        <v>46056</v>
      </c>
      <c r="I229" s="6">
        <v>46062.655856481484</v>
      </c>
      <c r="J229" s="4" t="s">
        <v>515</v>
      </c>
      <c r="K229" s="4" t="s">
        <v>1892</v>
      </c>
      <c r="L229">
        <v>6</v>
      </c>
      <c r="M229" s="6">
        <v>46108</v>
      </c>
      <c r="N229" s="4" t="s">
        <v>1900</v>
      </c>
      <c r="O229">
        <v>0</v>
      </c>
      <c r="P229" s="4" t="s">
        <v>24</v>
      </c>
      <c r="Q229" s="4" t="s">
        <v>1893</v>
      </c>
      <c r="R229" s="6">
        <v>46118</v>
      </c>
      <c r="S229" s="4" t="s">
        <v>190</v>
      </c>
      <c r="T229" s="4" t="s">
        <v>190</v>
      </c>
      <c r="U229">
        <v>0</v>
      </c>
      <c r="V229" s="4" t="s">
        <v>1983</v>
      </c>
      <c r="W229" s="4" t="s">
        <v>190</v>
      </c>
      <c r="X229" s="6">
        <v>46132</v>
      </c>
      <c r="Y229" s="4" t="s">
        <v>190</v>
      </c>
      <c r="Z229" s="4" t="s">
        <v>190</v>
      </c>
      <c r="AA229">
        <v>0</v>
      </c>
      <c r="AB229" s="4" t="s">
        <v>1984</v>
      </c>
      <c r="AC229" s="4" t="s">
        <v>190</v>
      </c>
      <c r="AD229" s="4" t="s">
        <v>190</v>
      </c>
      <c r="AE229" s="4" t="s">
        <v>190</v>
      </c>
      <c r="AF229" s="4" t="s">
        <v>190</v>
      </c>
    </row>
    <row r="230" spans="1:32" ht="16.5" customHeight="1">
      <c r="A230" s="3" t="s">
        <v>275</v>
      </c>
      <c r="B230" s="3" t="s">
        <v>2225</v>
      </c>
      <c r="C230" s="3" t="s">
        <v>2603</v>
      </c>
      <c r="D230" s="3" t="s">
        <v>25</v>
      </c>
      <c r="E230" s="3" t="s">
        <v>2606</v>
      </c>
      <c r="F230" s="3" t="s">
        <v>2607</v>
      </c>
      <c r="G230" s="3" t="s">
        <v>508</v>
      </c>
      <c r="H230" s="5">
        <v>46066</v>
      </c>
      <c r="I230" s="5">
        <v>45932.445486111108</v>
      </c>
      <c r="J230" s="3" t="s">
        <v>505</v>
      </c>
      <c r="K230" s="3" t="s">
        <v>1892</v>
      </c>
      <c r="L230">
        <v>6</v>
      </c>
      <c r="M230" s="5">
        <v>46108</v>
      </c>
      <c r="N230" s="3" t="s">
        <v>1900</v>
      </c>
      <c r="O230">
        <v>0</v>
      </c>
      <c r="P230" s="3" t="s">
        <v>24</v>
      </c>
      <c r="Q230" s="3" t="s">
        <v>1893</v>
      </c>
      <c r="R230" s="5">
        <v>46118</v>
      </c>
      <c r="S230" s="3" t="s">
        <v>190</v>
      </c>
      <c r="T230" s="3" t="s">
        <v>190</v>
      </c>
      <c r="U230">
        <v>0</v>
      </c>
      <c r="V230" s="3" t="s">
        <v>1983</v>
      </c>
      <c r="W230" s="3" t="s">
        <v>190</v>
      </c>
      <c r="X230" s="5">
        <v>46132</v>
      </c>
      <c r="Y230" s="3" t="s">
        <v>190</v>
      </c>
      <c r="Z230" s="3" t="s">
        <v>190</v>
      </c>
      <c r="AA230">
        <v>0</v>
      </c>
      <c r="AB230" s="3" t="s">
        <v>1984</v>
      </c>
      <c r="AC230" s="3" t="s">
        <v>190</v>
      </c>
      <c r="AD230" s="3" t="s">
        <v>190</v>
      </c>
      <c r="AE230" s="3" t="s">
        <v>190</v>
      </c>
      <c r="AF230" s="3" t="s">
        <v>190</v>
      </c>
    </row>
    <row r="231" spans="1:32" ht="16.5" customHeight="1">
      <c r="A231" s="4" t="s">
        <v>275</v>
      </c>
      <c r="B231" s="4" t="s">
        <v>56</v>
      </c>
      <c r="C231" s="4" t="s">
        <v>56</v>
      </c>
      <c r="D231" s="4" t="s">
        <v>116</v>
      </c>
      <c r="E231" s="4" t="s">
        <v>2608</v>
      </c>
      <c r="F231" s="4" t="s">
        <v>2609</v>
      </c>
      <c r="G231" s="4" t="s">
        <v>279</v>
      </c>
      <c r="H231" s="6">
        <v>46041</v>
      </c>
      <c r="I231" s="6">
        <v>46043.410057870373</v>
      </c>
      <c r="J231" s="4" t="s">
        <v>2610</v>
      </c>
      <c r="K231" s="4" t="s">
        <v>1892</v>
      </c>
      <c r="L231">
        <v>6</v>
      </c>
      <c r="M231" s="6">
        <v>46107</v>
      </c>
      <c r="N231" s="4" t="s">
        <v>1893</v>
      </c>
      <c r="O231">
        <v>0</v>
      </c>
      <c r="P231" s="4" t="s">
        <v>24</v>
      </c>
      <c r="Q231" s="4" t="s">
        <v>1893</v>
      </c>
      <c r="R231" s="6">
        <v>46118</v>
      </c>
      <c r="S231" s="4" t="s">
        <v>190</v>
      </c>
      <c r="T231" s="4" t="s">
        <v>190</v>
      </c>
      <c r="U231">
        <v>0</v>
      </c>
      <c r="V231" s="4" t="s">
        <v>1901</v>
      </c>
      <c r="W231" s="4" t="s">
        <v>190</v>
      </c>
      <c r="X231" s="6">
        <v>46132</v>
      </c>
      <c r="Y231" s="4" t="s">
        <v>190</v>
      </c>
      <c r="Z231" s="4" t="s">
        <v>190</v>
      </c>
      <c r="AA231">
        <v>0</v>
      </c>
      <c r="AB231" s="4" t="s">
        <v>1895</v>
      </c>
      <c r="AC231" s="4" t="s">
        <v>190</v>
      </c>
      <c r="AD231" s="4" t="s">
        <v>190</v>
      </c>
      <c r="AE231" s="4" t="s">
        <v>190</v>
      </c>
      <c r="AF231" s="4" t="s">
        <v>190</v>
      </c>
    </row>
    <row r="232" spans="1:32" ht="16.5" customHeight="1">
      <c r="A232" s="3" t="s">
        <v>184</v>
      </c>
      <c r="B232" s="3" t="s">
        <v>1989</v>
      </c>
      <c r="C232" s="3" t="s">
        <v>2241</v>
      </c>
      <c r="D232" s="3" t="s">
        <v>25</v>
      </c>
      <c r="E232" s="3" t="s">
        <v>2611</v>
      </c>
      <c r="F232" s="3" t="s">
        <v>2612</v>
      </c>
      <c r="G232" s="3" t="s">
        <v>496</v>
      </c>
      <c r="H232" s="5">
        <v>46017</v>
      </c>
      <c r="I232" s="5">
        <v>46000</v>
      </c>
      <c r="J232" s="3" t="s">
        <v>2613</v>
      </c>
      <c r="K232" s="3" t="s">
        <v>1892</v>
      </c>
      <c r="L232">
        <v>6</v>
      </c>
      <c r="M232" s="5">
        <v>46107</v>
      </c>
      <c r="N232" s="3" t="s">
        <v>1893</v>
      </c>
      <c r="O232">
        <v>0</v>
      </c>
      <c r="P232" s="3" t="s">
        <v>24</v>
      </c>
      <c r="Q232" s="3" t="s">
        <v>1893</v>
      </c>
      <c r="R232" s="5">
        <v>46118</v>
      </c>
      <c r="S232" s="3" t="s">
        <v>190</v>
      </c>
      <c r="T232" s="3" t="s">
        <v>190</v>
      </c>
      <c r="U232">
        <v>0</v>
      </c>
      <c r="V232" s="3" t="s">
        <v>1901</v>
      </c>
      <c r="W232" s="3" t="s">
        <v>190</v>
      </c>
      <c r="X232" s="5">
        <v>46132</v>
      </c>
      <c r="Y232" s="3" t="s">
        <v>190</v>
      </c>
      <c r="Z232" s="3" t="s">
        <v>190</v>
      </c>
      <c r="AA232">
        <v>0</v>
      </c>
      <c r="AB232" s="3" t="s">
        <v>1895</v>
      </c>
      <c r="AC232" s="3" t="s">
        <v>190</v>
      </c>
      <c r="AD232" s="3" t="s">
        <v>190</v>
      </c>
      <c r="AE232" s="3" t="s">
        <v>190</v>
      </c>
      <c r="AF232" s="3" t="s">
        <v>190</v>
      </c>
    </row>
    <row r="233" spans="1:32" ht="16.5" customHeight="1">
      <c r="A233" s="4" t="s">
        <v>184</v>
      </c>
      <c r="B233" s="4" t="s">
        <v>1989</v>
      </c>
      <c r="C233" s="4" t="s">
        <v>2241</v>
      </c>
      <c r="D233" s="4" t="s">
        <v>25</v>
      </c>
      <c r="E233" s="4" t="s">
        <v>2614</v>
      </c>
      <c r="F233" s="4" t="s">
        <v>2615</v>
      </c>
      <c r="G233" s="4" t="s">
        <v>496</v>
      </c>
      <c r="H233" s="6">
        <v>46031</v>
      </c>
      <c r="I233" s="6">
        <v>46000</v>
      </c>
      <c r="J233" s="4" t="s">
        <v>2616</v>
      </c>
      <c r="K233" s="4" t="s">
        <v>1892</v>
      </c>
      <c r="L233">
        <v>6</v>
      </c>
      <c r="M233" s="6">
        <v>46107</v>
      </c>
      <c r="N233" s="4" t="s">
        <v>1893</v>
      </c>
      <c r="O233">
        <v>0</v>
      </c>
      <c r="P233" s="4" t="s">
        <v>24</v>
      </c>
      <c r="Q233" s="4" t="s">
        <v>1893</v>
      </c>
      <c r="R233" s="6">
        <v>46118</v>
      </c>
      <c r="S233" s="4" t="s">
        <v>190</v>
      </c>
      <c r="T233" s="4" t="s">
        <v>190</v>
      </c>
      <c r="U233">
        <v>0</v>
      </c>
      <c r="V233" s="4" t="s">
        <v>1901</v>
      </c>
      <c r="W233" s="4" t="s">
        <v>190</v>
      </c>
      <c r="X233" s="6">
        <v>46132</v>
      </c>
      <c r="Y233" s="4" t="s">
        <v>190</v>
      </c>
      <c r="Z233" s="4" t="s">
        <v>190</v>
      </c>
      <c r="AA233">
        <v>0</v>
      </c>
      <c r="AB233" s="4" t="s">
        <v>1895</v>
      </c>
      <c r="AC233" s="4" t="s">
        <v>190</v>
      </c>
      <c r="AD233" s="4" t="s">
        <v>190</v>
      </c>
      <c r="AE233" s="4" t="s">
        <v>190</v>
      </c>
      <c r="AF233" s="4" t="s">
        <v>190</v>
      </c>
    </row>
    <row r="234" spans="1:32" ht="16.5" customHeight="1">
      <c r="A234" s="3" t="s">
        <v>184</v>
      </c>
      <c r="B234" s="3" t="s">
        <v>1989</v>
      </c>
      <c r="C234" s="3" t="s">
        <v>2244</v>
      </c>
      <c r="D234" s="3" t="s">
        <v>25</v>
      </c>
      <c r="E234" s="3" t="s">
        <v>2617</v>
      </c>
      <c r="F234" s="3" t="s">
        <v>2618</v>
      </c>
      <c r="G234" s="3" t="s">
        <v>1291</v>
      </c>
      <c r="H234" s="5">
        <v>46059</v>
      </c>
      <c r="I234" s="5">
        <v>46000</v>
      </c>
      <c r="J234" s="3" t="s">
        <v>2619</v>
      </c>
      <c r="K234" s="3" t="s">
        <v>1892</v>
      </c>
      <c r="L234">
        <v>6</v>
      </c>
      <c r="M234" s="5">
        <v>46107</v>
      </c>
      <c r="N234" s="3" t="s">
        <v>1893</v>
      </c>
      <c r="O234">
        <v>0</v>
      </c>
      <c r="P234" s="3" t="s">
        <v>24</v>
      </c>
      <c r="Q234" s="3" t="s">
        <v>1893</v>
      </c>
      <c r="R234" s="5">
        <v>46118</v>
      </c>
      <c r="S234" s="3" t="s">
        <v>190</v>
      </c>
      <c r="T234" s="3" t="s">
        <v>190</v>
      </c>
      <c r="U234">
        <v>0</v>
      </c>
      <c r="V234" s="3" t="s">
        <v>1901</v>
      </c>
      <c r="W234" s="3" t="s">
        <v>190</v>
      </c>
      <c r="X234" s="5">
        <v>46132</v>
      </c>
      <c r="Y234" s="3" t="s">
        <v>190</v>
      </c>
      <c r="Z234" s="3" t="s">
        <v>190</v>
      </c>
      <c r="AA234">
        <v>0</v>
      </c>
      <c r="AB234" s="3" t="s">
        <v>1895</v>
      </c>
      <c r="AC234" s="3" t="s">
        <v>190</v>
      </c>
      <c r="AD234" s="3" t="s">
        <v>190</v>
      </c>
      <c r="AE234" s="3" t="s">
        <v>190</v>
      </c>
      <c r="AF234" s="3" t="s">
        <v>190</v>
      </c>
    </row>
    <row r="235" spans="1:32" ht="16.5" customHeight="1">
      <c r="A235" s="4" t="s">
        <v>974</v>
      </c>
      <c r="B235" s="4" t="s">
        <v>2003</v>
      </c>
      <c r="C235" s="4" t="s">
        <v>2004</v>
      </c>
      <c r="D235" s="4" t="s">
        <v>25</v>
      </c>
      <c r="E235" s="4" t="s">
        <v>2620</v>
      </c>
      <c r="F235" s="4" t="s">
        <v>2621</v>
      </c>
      <c r="G235" s="4" t="s">
        <v>23</v>
      </c>
      <c r="H235" s="6">
        <v>46115</v>
      </c>
      <c r="I235" s="6"/>
      <c r="J235" s="4" t="s">
        <v>2622</v>
      </c>
      <c r="K235" s="4" t="s">
        <v>1892</v>
      </c>
      <c r="L235">
        <v>6</v>
      </c>
      <c r="M235" s="6"/>
      <c r="N235" s="4" t="s">
        <v>190</v>
      </c>
      <c r="O235">
        <v>0</v>
      </c>
      <c r="P235" s="4" t="s">
        <v>24</v>
      </c>
      <c r="Q235" s="4" t="s">
        <v>190</v>
      </c>
      <c r="R235" s="6">
        <v>46120</v>
      </c>
      <c r="S235" s="4" t="s">
        <v>190</v>
      </c>
      <c r="T235" s="4" t="s">
        <v>190</v>
      </c>
      <c r="U235">
        <v>0</v>
      </c>
      <c r="V235" s="4" t="s">
        <v>1894</v>
      </c>
      <c r="W235" s="4" t="s">
        <v>190</v>
      </c>
      <c r="X235" s="6">
        <v>46121</v>
      </c>
      <c r="Y235" s="4" t="s">
        <v>190</v>
      </c>
      <c r="Z235" s="4" t="s">
        <v>190</v>
      </c>
      <c r="AA235">
        <v>0</v>
      </c>
      <c r="AB235" s="4" t="s">
        <v>1895</v>
      </c>
      <c r="AC235" s="4" t="s">
        <v>190</v>
      </c>
      <c r="AD235" s="4" t="s">
        <v>190</v>
      </c>
      <c r="AE235" s="4" t="s">
        <v>190</v>
      </c>
      <c r="AF235" s="4" t="s">
        <v>190</v>
      </c>
    </row>
    <row r="236" spans="1:32" ht="16.5" customHeight="1">
      <c r="A236" s="3" t="s">
        <v>974</v>
      </c>
      <c r="B236" s="3" t="s">
        <v>2003</v>
      </c>
      <c r="C236" s="3" t="s">
        <v>2004</v>
      </c>
      <c r="D236" s="3" t="s">
        <v>25</v>
      </c>
      <c r="E236" s="3" t="s">
        <v>2623</v>
      </c>
      <c r="F236" s="3" t="s">
        <v>2624</v>
      </c>
      <c r="G236" s="3" t="s">
        <v>23</v>
      </c>
      <c r="H236" s="5">
        <v>46115</v>
      </c>
      <c r="I236" s="5"/>
      <c r="J236" s="3" t="s">
        <v>2625</v>
      </c>
      <c r="K236" s="3" t="s">
        <v>1892</v>
      </c>
      <c r="L236">
        <v>6</v>
      </c>
      <c r="M236" s="5"/>
      <c r="N236" s="3" t="s">
        <v>190</v>
      </c>
      <c r="O236">
        <v>0</v>
      </c>
      <c r="P236" s="3" t="s">
        <v>24</v>
      </c>
      <c r="Q236" s="3" t="s">
        <v>190</v>
      </c>
      <c r="R236" s="5">
        <v>46120</v>
      </c>
      <c r="S236" s="3" t="s">
        <v>190</v>
      </c>
      <c r="T236" s="3" t="s">
        <v>190</v>
      </c>
      <c r="U236">
        <v>0</v>
      </c>
      <c r="V236" s="3" t="s">
        <v>1894</v>
      </c>
      <c r="W236" s="3" t="s">
        <v>190</v>
      </c>
      <c r="X236" s="5">
        <v>46121</v>
      </c>
      <c r="Y236" s="3" t="s">
        <v>190</v>
      </c>
      <c r="Z236" s="3" t="s">
        <v>190</v>
      </c>
      <c r="AA236">
        <v>0</v>
      </c>
      <c r="AB236" s="3" t="s">
        <v>1895</v>
      </c>
      <c r="AC236" s="3" t="s">
        <v>190</v>
      </c>
      <c r="AD236" s="3" t="s">
        <v>190</v>
      </c>
      <c r="AE236" s="3" t="s">
        <v>190</v>
      </c>
      <c r="AF236" s="3" t="s">
        <v>190</v>
      </c>
    </row>
    <row r="237" spans="1:32" ht="16.5" customHeight="1">
      <c r="A237" s="4" t="s">
        <v>46</v>
      </c>
      <c r="B237" s="4" t="s">
        <v>2008</v>
      </c>
      <c r="C237" s="4" t="s">
        <v>2475</v>
      </c>
      <c r="D237" s="4" t="s">
        <v>25</v>
      </c>
      <c r="E237" s="4" t="s">
        <v>2626</v>
      </c>
      <c r="F237" s="4" t="s">
        <v>2627</v>
      </c>
      <c r="G237" s="4" t="s">
        <v>49</v>
      </c>
      <c r="H237" s="6">
        <v>46031</v>
      </c>
      <c r="I237" s="6">
        <v>46029.680914351855</v>
      </c>
      <c r="J237" s="4" t="s">
        <v>2628</v>
      </c>
      <c r="K237" s="4" t="s">
        <v>1892</v>
      </c>
      <c r="L237">
        <v>6</v>
      </c>
      <c r="M237" s="6">
        <v>46105</v>
      </c>
      <c r="N237" s="4" t="s">
        <v>1893</v>
      </c>
      <c r="O237">
        <v>0</v>
      </c>
      <c r="P237" s="4" t="s">
        <v>24</v>
      </c>
      <c r="Q237" s="4" t="s">
        <v>1893</v>
      </c>
      <c r="R237" s="6">
        <v>46118</v>
      </c>
      <c r="S237" s="4" t="s">
        <v>190</v>
      </c>
      <c r="T237" s="4" t="s">
        <v>190</v>
      </c>
      <c r="U237">
        <v>0</v>
      </c>
      <c r="V237" s="4" t="s">
        <v>2013</v>
      </c>
      <c r="W237" s="4" t="s">
        <v>190</v>
      </c>
      <c r="X237" s="6">
        <v>46132</v>
      </c>
      <c r="Y237" s="4" t="s">
        <v>190</v>
      </c>
      <c r="Z237" s="4" t="s">
        <v>190</v>
      </c>
      <c r="AA237">
        <v>0</v>
      </c>
      <c r="AB237" s="4" t="s">
        <v>1895</v>
      </c>
      <c r="AC237" s="4" t="s">
        <v>190</v>
      </c>
      <c r="AD237" s="4" t="s">
        <v>190</v>
      </c>
      <c r="AE237" s="4" t="s">
        <v>190</v>
      </c>
      <c r="AF237" s="4" t="s">
        <v>190</v>
      </c>
    </row>
    <row r="238" spans="1:32" ht="16.5" customHeight="1">
      <c r="A238" s="3" t="s">
        <v>46</v>
      </c>
      <c r="B238" s="3" t="s">
        <v>56</v>
      </c>
      <c r="C238" s="3" t="s">
        <v>56</v>
      </c>
      <c r="D238" s="3" t="s">
        <v>116</v>
      </c>
      <c r="E238" s="3" t="s">
        <v>2629</v>
      </c>
      <c r="F238" s="3" t="s">
        <v>2630</v>
      </c>
      <c r="G238" s="3" t="s">
        <v>49</v>
      </c>
      <c r="H238" s="5">
        <v>46031</v>
      </c>
      <c r="I238" s="5">
        <v>46031.388668981483</v>
      </c>
      <c r="J238" s="3" t="s">
        <v>2631</v>
      </c>
      <c r="K238" s="3" t="s">
        <v>1892</v>
      </c>
      <c r="L238">
        <v>6</v>
      </c>
      <c r="M238" s="5">
        <v>46106</v>
      </c>
      <c r="N238" s="3" t="s">
        <v>1893</v>
      </c>
      <c r="O238">
        <v>0</v>
      </c>
      <c r="P238" s="3" t="s">
        <v>24</v>
      </c>
      <c r="Q238" s="3" t="s">
        <v>1893</v>
      </c>
      <c r="R238" s="5">
        <v>46118</v>
      </c>
      <c r="S238" s="3" t="s">
        <v>190</v>
      </c>
      <c r="T238" s="3" t="s">
        <v>190</v>
      </c>
      <c r="U238">
        <v>0</v>
      </c>
      <c r="V238" s="3" t="s">
        <v>2013</v>
      </c>
      <c r="W238" s="3" t="s">
        <v>190</v>
      </c>
      <c r="X238" s="5">
        <v>46132</v>
      </c>
      <c r="Y238" s="3" t="s">
        <v>190</v>
      </c>
      <c r="Z238" s="3" t="s">
        <v>190</v>
      </c>
      <c r="AA238">
        <v>0</v>
      </c>
      <c r="AB238" s="3" t="s">
        <v>1895</v>
      </c>
      <c r="AC238" s="3" t="s">
        <v>190</v>
      </c>
      <c r="AD238" s="3" t="s">
        <v>190</v>
      </c>
      <c r="AE238" s="3" t="s">
        <v>190</v>
      </c>
      <c r="AF238" s="3" t="s">
        <v>190</v>
      </c>
    </row>
    <row r="239" spans="1:32" ht="16.5" customHeight="1">
      <c r="A239" s="4" t="s">
        <v>19</v>
      </c>
      <c r="B239" s="4" t="s">
        <v>2017</v>
      </c>
      <c r="C239" s="4" t="s">
        <v>2018</v>
      </c>
      <c r="D239" s="4" t="s">
        <v>25</v>
      </c>
      <c r="E239" s="4" t="s">
        <v>2632</v>
      </c>
      <c r="F239" s="4" t="s">
        <v>2633</v>
      </c>
      <c r="G239" s="4" t="s">
        <v>50</v>
      </c>
      <c r="H239" s="6">
        <v>46059</v>
      </c>
      <c r="I239" s="6">
        <v>46059</v>
      </c>
      <c r="J239" s="4" t="s">
        <v>2634</v>
      </c>
      <c r="K239" s="4" t="s">
        <v>1892</v>
      </c>
      <c r="L239">
        <v>6</v>
      </c>
      <c r="M239" s="6"/>
      <c r="N239" s="4" t="s">
        <v>190</v>
      </c>
      <c r="O239">
        <v>0</v>
      </c>
      <c r="P239" s="4" t="s">
        <v>24</v>
      </c>
      <c r="Q239" s="4" t="s">
        <v>190</v>
      </c>
      <c r="R239" s="6">
        <v>46118</v>
      </c>
      <c r="S239" s="4" t="s">
        <v>190</v>
      </c>
      <c r="T239" s="4" t="s">
        <v>190</v>
      </c>
      <c r="U239">
        <v>0</v>
      </c>
      <c r="V239" s="4" t="s">
        <v>1901</v>
      </c>
      <c r="W239" s="4" t="s">
        <v>190</v>
      </c>
      <c r="X239" s="6">
        <v>46132</v>
      </c>
      <c r="Y239" s="4" t="s">
        <v>190</v>
      </c>
      <c r="Z239" s="4" t="s">
        <v>190</v>
      </c>
      <c r="AA239">
        <v>0</v>
      </c>
      <c r="AB239" s="4" t="s">
        <v>1895</v>
      </c>
      <c r="AC239" s="4" t="s">
        <v>190</v>
      </c>
      <c r="AD239" s="4" t="s">
        <v>190</v>
      </c>
      <c r="AE239" s="4" t="s">
        <v>190</v>
      </c>
      <c r="AF239" s="4" t="s">
        <v>190</v>
      </c>
    </row>
    <row r="240" spans="1:32" ht="16.5" customHeight="1">
      <c r="A240" s="3" t="s">
        <v>19</v>
      </c>
      <c r="B240" s="3" t="s">
        <v>2017</v>
      </c>
      <c r="C240" s="3" t="s">
        <v>2272</v>
      </c>
      <c r="D240" s="3" t="s">
        <v>25</v>
      </c>
      <c r="E240" s="3" t="s">
        <v>2635</v>
      </c>
      <c r="F240" s="3" t="s">
        <v>2636</v>
      </c>
      <c r="G240" s="3" t="s">
        <v>50</v>
      </c>
      <c r="H240" s="5">
        <v>46066</v>
      </c>
      <c r="I240" s="5">
        <v>46059</v>
      </c>
      <c r="J240" s="3" t="s">
        <v>2637</v>
      </c>
      <c r="K240" s="3" t="s">
        <v>1892</v>
      </c>
      <c r="L240">
        <v>6</v>
      </c>
      <c r="M240" s="5"/>
      <c r="N240" s="3" t="s">
        <v>190</v>
      </c>
      <c r="O240">
        <v>0</v>
      </c>
      <c r="P240" s="3" t="s">
        <v>24</v>
      </c>
      <c r="Q240" s="3" t="s">
        <v>190</v>
      </c>
      <c r="R240" s="5">
        <v>46118</v>
      </c>
      <c r="S240" s="3" t="s">
        <v>190</v>
      </c>
      <c r="T240" s="3" t="s">
        <v>190</v>
      </c>
      <c r="U240">
        <v>0</v>
      </c>
      <c r="V240" s="3" t="s">
        <v>1901</v>
      </c>
      <c r="W240" s="3" t="s">
        <v>190</v>
      </c>
      <c r="X240" s="5">
        <v>46132</v>
      </c>
      <c r="Y240" s="3" t="s">
        <v>190</v>
      </c>
      <c r="Z240" s="3" t="s">
        <v>190</v>
      </c>
      <c r="AA240">
        <v>0</v>
      </c>
      <c r="AB240" s="3" t="s">
        <v>1895</v>
      </c>
      <c r="AC240" s="3" t="s">
        <v>190</v>
      </c>
      <c r="AD240" s="3" t="s">
        <v>190</v>
      </c>
      <c r="AE240" s="3" t="s">
        <v>190</v>
      </c>
      <c r="AF240" s="3" t="s">
        <v>190</v>
      </c>
    </row>
    <row r="241" spans="1:32" ht="16.5" customHeight="1">
      <c r="A241" s="4" t="s">
        <v>19</v>
      </c>
      <c r="B241" s="4" t="s">
        <v>2017</v>
      </c>
      <c r="C241" s="4" t="s">
        <v>2029</v>
      </c>
      <c r="D241" s="4" t="s">
        <v>25</v>
      </c>
      <c r="E241" s="4" t="s">
        <v>2638</v>
      </c>
      <c r="F241" s="4" t="s">
        <v>2639</v>
      </c>
      <c r="G241" s="4" t="s">
        <v>23</v>
      </c>
      <c r="H241" s="6">
        <v>46066</v>
      </c>
      <c r="I241" s="6">
        <v>46059</v>
      </c>
      <c r="J241" s="4" t="s">
        <v>2640</v>
      </c>
      <c r="K241" s="4" t="s">
        <v>1892</v>
      </c>
      <c r="L241">
        <v>6</v>
      </c>
      <c r="M241" s="6"/>
      <c r="N241" s="4" t="s">
        <v>190</v>
      </c>
      <c r="O241">
        <v>0</v>
      </c>
      <c r="P241" s="4" t="s">
        <v>24</v>
      </c>
      <c r="Q241" s="4" t="s">
        <v>190</v>
      </c>
      <c r="R241" s="6">
        <v>46118</v>
      </c>
      <c r="S241" s="4" t="s">
        <v>190</v>
      </c>
      <c r="T241" s="4" t="s">
        <v>190</v>
      </c>
      <c r="U241">
        <v>0</v>
      </c>
      <c r="V241" s="4" t="s">
        <v>1901</v>
      </c>
      <c r="W241" s="4" t="s">
        <v>190</v>
      </c>
      <c r="X241" s="6">
        <v>46132</v>
      </c>
      <c r="Y241" s="4" t="s">
        <v>190</v>
      </c>
      <c r="Z241" s="4" t="s">
        <v>190</v>
      </c>
      <c r="AA241">
        <v>0</v>
      </c>
      <c r="AB241" s="4" t="s">
        <v>1895</v>
      </c>
      <c r="AC241" s="4" t="s">
        <v>190</v>
      </c>
      <c r="AD241" s="4" t="s">
        <v>190</v>
      </c>
      <c r="AE241" s="4" t="s">
        <v>190</v>
      </c>
      <c r="AF241" s="4" t="s">
        <v>190</v>
      </c>
    </row>
    <row r="242" spans="1:32" ht="16.5" customHeight="1">
      <c r="A242" s="3" t="s">
        <v>19</v>
      </c>
      <c r="B242" s="3" t="s">
        <v>2017</v>
      </c>
      <c r="C242" s="3" t="s">
        <v>2029</v>
      </c>
      <c r="D242" s="3" t="s">
        <v>25</v>
      </c>
      <c r="E242" s="3" t="s">
        <v>2641</v>
      </c>
      <c r="F242" s="3" t="s">
        <v>2642</v>
      </c>
      <c r="G242" s="3" t="s">
        <v>50</v>
      </c>
      <c r="H242" s="5">
        <v>46077</v>
      </c>
      <c r="I242" s="5">
        <v>46080.570381944446</v>
      </c>
      <c r="J242" s="3" t="s">
        <v>2643</v>
      </c>
      <c r="K242" s="3" t="s">
        <v>1892</v>
      </c>
      <c r="L242">
        <v>6</v>
      </c>
      <c r="M242" s="5"/>
      <c r="N242" s="3" t="s">
        <v>190</v>
      </c>
      <c r="O242">
        <v>0</v>
      </c>
      <c r="P242" s="3" t="s">
        <v>24</v>
      </c>
      <c r="Q242" s="3" t="s">
        <v>190</v>
      </c>
      <c r="R242" s="5">
        <v>46118</v>
      </c>
      <c r="S242" s="3" t="s">
        <v>190</v>
      </c>
      <c r="T242" s="3" t="s">
        <v>190</v>
      </c>
      <c r="U242">
        <v>0</v>
      </c>
      <c r="V242" s="3" t="s">
        <v>1901</v>
      </c>
      <c r="W242" s="3" t="s">
        <v>190</v>
      </c>
      <c r="X242" s="5">
        <v>46132</v>
      </c>
      <c r="Y242" s="3" t="s">
        <v>190</v>
      </c>
      <c r="Z242" s="3" t="s">
        <v>190</v>
      </c>
      <c r="AA242">
        <v>0</v>
      </c>
      <c r="AB242" s="3" t="s">
        <v>1895</v>
      </c>
      <c r="AC242" s="3" t="s">
        <v>190</v>
      </c>
      <c r="AD242" s="3" t="s">
        <v>190</v>
      </c>
      <c r="AE242" s="3" t="s">
        <v>190</v>
      </c>
      <c r="AF242" s="3" t="s">
        <v>190</v>
      </c>
    </row>
    <row r="243" spans="1:32" ht="16.5" customHeight="1">
      <c r="A243" s="4" t="s">
        <v>19</v>
      </c>
      <c r="B243" s="4" t="s">
        <v>2045</v>
      </c>
      <c r="C243" s="4" t="s">
        <v>2046</v>
      </c>
      <c r="D243" s="4" t="s">
        <v>25</v>
      </c>
      <c r="E243" s="4" t="s">
        <v>2644</v>
      </c>
      <c r="F243" s="4" t="s">
        <v>2645</v>
      </c>
      <c r="G243" s="4" t="s">
        <v>23</v>
      </c>
      <c r="H243" s="6">
        <v>46031</v>
      </c>
      <c r="I243" s="6">
        <v>46059</v>
      </c>
      <c r="J243" s="4" t="s">
        <v>2646</v>
      </c>
      <c r="K243" s="4" t="s">
        <v>1892</v>
      </c>
      <c r="L243">
        <v>6</v>
      </c>
      <c r="M243" s="6">
        <v>46106</v>
      </c>
      <c r="N243" s="4" t="s">
        <v>1893</v>
      </c>
      <c r="O243">
        <v>0</v>
      </c>
      <c r="P243" s="4" t="s">
        <v>24</v>
      </c>
      <c r="Q243" s="4" t="s">
        <v>1893</v>
      </c>
      <c r="R243" s="6">
        <v>46118</v>
      </c>
      <c r="S243" s="4" t="s">
        <v>190</v>
      </c>
      <c r="T243" s="4" t="s">
        <v>190</v>
      </c>
      <c r="U243">
        <v>0</v>
      </c>
      <c r="V243" s="4" t="s">
        <v>1901</v>
      </c>
      <c r="W243" s="4" t="s">
        <v>190</v>
      </c>
      <c r="X243" s="6">
        <v>46132</v>
      </c>
      <c r="Y243" s="4" t="s">
        <v>190</v>
      </c>
      <c r="Z243" s="4" t="s">
        <v>190</v>
      </c>
      <c r="AA243">
        <v>0</v>
      </c>
      <c r="AB243" s="4" t="s">
        <v>1895</v>
      </c>
      <c r="AC243" s="4" t="s">
        <v>190</v>
      </c>
      <c r="AD243" s="4" t="s">
        <v>190</v>
      </c>
      <c r="AE243" s="4" t="s">
        <v>190</v>
      </c>
      <c r="AF243" s="4" t="s">
        <v>190</v>
      </c>
    </row>
    <row r="244" spans="1:32" ht="16.5" customHeight="1">
      <c r="A244" s="3" t="s">
        <v>19</v>
      </c>
      <c r="B244" s="3" t="s">
        <v>2045</v>
      </c>
      <c r="C244" s="3" t="s">
        <v>2075</v>
      </c>
      <c r="D244" s="3" t="s">
        <v>25</v>
      </c>
      <c r="E244" s="3" t="s">
        <v>2647</v>
      </c>
      <c r="F244" s="3" t="s">
        <v>2648</v>
      </c>
      <c r="G244" s="3" t="s">
        <v>23</v>
      </c>
      <c r="H244" s="5">
        <v>46052</v>
      </c>
      <c r="I244" s="5">
        <v>46059</v>
      </c>
      <c r="J244" s="3" t="s">
        <v>2649</v>
      </c>
      <c r="K244" s="3" t="s">
        <v>1892</v>
      </c>
      <c r="L244">
        <v>6</v>
      </c>
      <c r="M244" s="5">
        <v>46106</v>
      </c>
      <c r="N244" s="3" t="s">
        <v>1893</v>
      </c>
      <c r="O244">
        <v>0</v>
      </c>
      <c r="P244" s="3" t="s">
        <v>24</v>
      </c>
      <c r="Q244" s="3" t="s">
        <v>1893</v>
      </c>
      <c r="R244" s="5">
        <v>46118</v>
      </c>
      <c r="S244" s="3" t="s">
        <v>190</v>
      </c>
      <c r="T244" s="3" t="s">
        <v>190</v>
      </c>
      <c r="U244">
        <v>0</v>
      </c>
      <c r="V244" s="3" t="s">
        <v>1901</v>
      </c>
      <c r="W244" s="3" t="s">
        <v>190</v>
      </c>
      <c r="X244" s="5">
        <v>46132</v>
      </c>
      <c r="Y244" s="3" t="s">
        <v>190</v>
      </c>
      <c r="Z244" s="3" t="s">
        <v>190</v>
      </c>
      <c r="AA244">
        <v>0</v>
      </c>
      <c r="AB244" s="3" t="s">
        <v>1895</v>
      </c>
      <c r="AC244" s="3" t="s">
        <v>190</v>
      </c>
      <c r="AD244" s="3" t="s">
        <v>190</v>
      </c>
      <c r="AE244" s="3" t="s">
        <v>190</v>
      </c>
      <c r="AF244" s="3" t="s">
        <v>190</v>
      </c>
    </row>
    <row r="245" spans="1:32" ht="16.5" customHeight="1">
      <c r="A245" s="4" t="s">
        <v>19</v>
      </c>
      <c r="B245" s="4" t="s">
        <v>56</v>
      </c>
      <c r="C245" s="4" t="s">
        <v>190</v>
      </c>
      <c r="D245" s="4" t="s">
        <v>116</v>
      </c>
      <c r="E245" s="4" t="s">
        <v>2650</v>
      </c>
      <c r="F245" s="4" t="s">
        <v>2651</v>
      </c>
      <c r="G245" s="4" t="s">
        <v>23</v>
      </c>
      <c r="H245" s="6">
        <v>46045</v>
      </c>
      <c r="I245" s="6">
        <v>46063.659930555557</v>
      </c>
      <c r="J245" s="4" t="s">
        <v>137</v>
      </c>
      <c r="K245" s="4" t="s">
        <v>1892</v>
      </c>
      <c r="L245">
        <v>6</v>
      </c>
      <c r="M245" s="6">
        <v>46108</v>
      </c>
      <c r="N245" s="4" t="s">
        <v>1900</v>
      </c>
      <c r="O245">
        <v>0</v>
      </c>
      <c r="P245" s="4" t="s">
        <v>24</v>
      </c>
      <c r="Q245" s="4" t="s">
        <v>1900</v>
      </c>
      <c r="R245" s="6">
        <v>46118</v>
      </c>
      <c r="S245" s="4" t="s">
        <v>190</v>
      </c>
      <c r="T245" s="4" t="s">
        <v>190</v>
      </c>
      <c r="U245">
        <v>0</v>
      </c>
      <c r="V245" s="4" t="s">
        <v>1901</v>
      </c>
      <c r="W245" s="4" t="s">
        <v>190</v>
      </c>
      <c r="X245" s="6">
        <v>46132</v>
      </c>
      <c r="Y245" s="4" t="s">
        <v>190</v>
      </c>
      <c r="Z245" s="4" t="s">
        <v>190</v>
      </c>
      <c r="AA245">
        <v>0</v>
      </c>
      <c r="AB245" s="4" t="s">
        <v>1895</v>
      </c>
      <c r="AC245" s="4" t="s">
        <v>190</v>
      </c>
      <c r="AD245" s="4" t="s">
        <v>190</v>
      </c>
      <c r="AE245" s="4" t="s">
        <v>190</v>
      </c>
      <c r="AF245" s="4" t="s">
        <v>190</v>
      </c>
    </row>
    <row r="246" spans="1:32" ht="16.5" customHeight="1">
      <c r="A246" s="3" t="s">
        <v>19</v>
      </c>
      <c r="B246" s="3" t="s">
        <v>56</v>
      </c>
      <c r="C246" s="3" t="s">
        <v>190</v>
      </c>
      <c r="D246" s="3" t="s">
        <v>116</v>
      </c>
      <c r="E246" s="3" t="s">
        <v>2652</v>
      </c>
      <c r="F246" s="3" t="s">
        <v>2653</v>
      </c>
      <c r="G246" s="3" t="s">
        <v>50</v>
      </c>
      <c r="H246" s="5">
        <v>46045</v>
      </c>
      <c r="I246" s="5">
        <v>46063.660046296296</v>
      </c>
      <c r="J246" s="3" t="s">
        <v>2654</v>
      </c>
      <c r="K246" s="3" t="s">
        <v>1892</v>
      </c>
      <c r="L246">
        <v>6</v>
      </c>
      <c r="M246" s="5">
        <v>46108</v>
      </c>
      <c r="N246" s="3" t="s">
        <v>1893</v>
      </c>
      <c r="O246">
        <v>0</v>
      </c>
      <c r="P246" s="3" t="s">
        <v>24</v>
      </c>
      <c r="Q246" s="3" t="s">
        <v>1893</v>
      </c>
      <c r="R246" s="5">
        <v>46118</v>
      </c>
      <c r="S246" s="3" t="s">
        <v>190</v>
      </c>
      <c r="T246" s="3" t="s">
        <v>190</v>
      </c>
      <c r="U246">
        <v>0</v>
      </c>
      <c r="V246" s="3" t="s">
        <v>1901</v>
      </c>
      <c r="W246" s="3" t="s">
        <v>190</v>
      </c>
      <c r="X246" s="5">
        <v>46132</v>
      </c>
      <c r="Y246" s="3" t="s">
        <v>190</v>
      </c>
      <c r="Z246" s="3" t="s">
        <v>190</v>
      </c>
      <c r="AA246">
        <v>0</v>
      </c>
      <c r="AB246" s="3" t="s">
        <v>1895</v>
      </c>
      <c r="AC246" s="3" t="s">
        <v>190</v>
      </c>
      <c r="AD246" s="3" t="s">
        <v>190</v>
      </c>
      <c r="AE246" s="3" t="s">
        <v>190</v>
      </c>
      <c r="AF246" s="3" t="s">
        <v>190</v>
      </c>
    </row>
    <row r="247" spans="1:32" ht="16.5" customHeight="1">
      <c r="A247" s="4" t="s">
        <v>19</v>
      </c>
      <c r="B247" s="4" t="s">
        <v>56</v>
      </c>
      <c r="C247" s="4" t="s">
        <v>190</v>
      </c>
      <c r="D247" s="4" t="s">
        <v>116</v>
      </c>
      <c r="E247" s="4" t="s">
        <v>2655</v>
      </c>
      <c r="F247" s="4" t="s">
        <v>2656</v>
      </c>
      <c r="G247" s="4" t="s">
        <v>23</v>
      </c>
      <c r="H247" s="6">
        <v>46059</v>
      </c>
      <c r="I247" s="6">
        <v>46063.660173611112</v>
      </c>
      <c r="J247" s="4" t="s">
        <v>2657</v>
      </c>
      <c r="K247" s="4" t="s">
        <v>1892</v>
      </c>
      <c r="L247">
        <v>6</v>
      </c>
      <c r="M247" s="6">
        <v>46108</v>
      </c>
      <c r="N247" s="4" t="s">
        <v>1893</v>
      </c>
      <c r="O247">
        <v>0</v>
      </c>
      <c r="P247" s="4" t="s">
        <v>24</v>
      </c>
      <c r="Q247" s="4" t="s">
        <v>1893</v>
      </c>
      <c r="R247" s="6">
        <v>46118</v>
      </c>
      <c r="S247" s="4" t="s">
        <v>190</v>
      </c>
      <c r="T247" s="4" t="s">
        <v>190</v>
      </c>
      <c r="U247">
        <v>0</v>
      </c>
      <c r="V247" s="4" t="s">
        <v>1901</v>
      </c>
      <c r="W247" s="4" t="s">
        <v>190</v>
      </c>
      <c r="X247" s="6">
        <v>46132</v>
      </c>
      <c r="Y247" s="4" t="s">
        <v>190</v>
      </c>
      <c r="Z247" s="4" t="s">
        <v>190</v>
      </c>
      <c r="AA247">
        <v>0</v>
      </c>
      <c r="AB247" s="4" t="s">
        <v>1895</v>
      </c>
      <c r="AC247" s="4" t="s">
        <v>190</v>
      </c>
      <c r="AD247" s="4" t="s">
        <v>190</v>
      </c>
      <c r="AE247" s="4" t="s">
        <v>190</v>
      </c>
      <c r="AF247" s="4" t="s">
        <v>190</v>
      </c>
    </row>
    <row r="248" spans="1:32" ht="16.5" customHeight="1">
      <c r="A248" s="3" t="s">
        <v>216</v>
      </c>
      <c r="B248" s="3" t="s">
        <v>2085</v>
      </c>
      <c r="C248" s="3" t="s">
        <v>2658</v>
      </c>
      <c r="D248" s="3" t="s">
        <v>25</v>
      </c>
      <c r="E248" s="3" t="s">
        <v>2659</v>
      </c>
      <c r="F248" s="3" t="s">
        <v>2658</v>
      </c>
      <c r="G248" s="3" t="s">
        <v>220</v>
      </c>
      <c r="H248" s="5">
        <v>45967</v>
      </c>
      <c r="I248" s="5">
        <v>45967.594930555555</v>
      </c>
      <c r="J248" s="3" t="s">
        <v>1779</v>
      </c>
      <c r="K248" s="3" t="s">
        <v>1892</v>
      </c>
      <c r="L248">
        <v>6</v>
      </c>
      <c r="M248" s="5">
        <v>46105</v>
      </c>
      <c r="N248" s="3" t="s">
        <v>1900</v>
      </c>
      <c r="O248">
        <v>0</v>
      </c>
      <c r="P248" s="3" t="s">
        <v>24</v>
      </c>
      <c r="Q248" s="3" t="s">
        <v>1893</v>
      </c>
      <c r="R248" s="5">
        <v>46118</v>
      </c>
      <c r="S248" s="3" t="s">
        <v>190</v>
      </c>
      <c r="T248" s="3" t="s">
        <v>190</v>
      </c>
      <c r="U248">
        <v>0</v>
      </c>
      <c r="V248" s="3" t="s">
        <v>1901</v>
      </c>
      <c r="W248" s="3" t="s">
        <v>190</v>
      </c>
      <c r="X248" s="5">
        <v>46132</v>
      </c>
      <c r="Y248" s="3" t="s">
        <v>190</v>
      </c>
      <c r="Z248" s="3" t="s">
        <v>190</v>
      </c>
      <c r="AA248">
        <v>0</v>
      </c>
      <c r="AB248" s="3" t="s">
        <v>1895</v>
      </c>
      <c r="AC248" s="3" t="s">
        <v>190</v>
      </c>
      <c r="AD248" s="3" t="s">
        <v>190</v>
      </c>
      <c r="AE248" s="3" t="s">
        <v>190</v>
      </c>
      <c r="AF248" s="3" t="s">
        <v>190</v>
      </c>
    </row>
    <row r="249" spans="1:32" ht="16.5" customHeight="1">
      <c r="A249" s="4" t="s">
        <v>216</v>
      </c>
      <c r="B249" s="4" t="s">
        <v>2088</v>
      </c>
      <c r="C249" s="4" t="s">
        <v>2660</v>
      </c>
      <c r="D249" s="4" t="s">
        <v>25</v>
      </c>
      <c r="E249" s="4" t="s">
        <v>2661</v>
      </c>
      <c r="F249" s="4" t="s">
        <v>2662</v>
      </c>
      <c r="G249" s="4" t="s">
        <v>220</v>
      </c>
      <c r="H249" s="6">
        <v>46066</v>
      </c>
      <c r="I249" s="6">
        <v>46072.368900462963</v>
      </c>
      <c r="J249" s="4" t="s">
        <v>2663</v>
      </c>
      <c r="K249" s="4" t="s">
        <v>1892</v>
      </c>
      <c r="L249">
        <v>6</v>
      </c>
      <c r="M249" s="6">
        <v>46105</v>
      </c>
      <c r="N249" s="4" t="s">
        <v>1893</v>
      </c>
      <c r="O249">
        <v>0</v>
      </c>
      <c r="P249" s="4" t="s">
        <v>24</v>
      </c>
      <c r="Q249" s="4" t="s">
        <v>1893</v>
      </c>
      <c r="R249" s="6">
        <v>46118</v>
      </c>
      <c r="S249" s="4" t="s">
        <v>190</v>
      </c>
      <c r="T249" s="4" t="s">
        <v>190</v>
      </c>
      <c r="U249">
        <v>0</v>
      </c>
      <c r="V249" s="4" t="s">
        <v>1901</v>
      </c>
      <c r="W249" s="4" t="s">
        <v>190</v>
      </c>
      <c r="X249" s="6">
        <v>46132</v>
      </c>
      <c r="Y249" s="4" t="s">
        <v>190</v>
      </c>
      <c r="Z249" s="4" t="s">
        <v>190</v>
      </c>
      <c r="AA249">
        <v>0</v>
      </c>
      <c r="AB249" s="4" t="s">
        <v>1895</v>
      </c>
      <c r="AC249" s="4" t="s">
        <v>190</v>
      </c>
      <c r="AD249" s="4" t="s">
        <v>190</v>
      </c>
      <c r="AE249" s="4" t="s">
        <v>190</v>
      </c>
      <c r="AF249" s="4" t="s">
        <v>190</v>
      </c>
    </row>
    <row r="250" spans="1:32" ht="16.5" customHeight="1">
      <c r="A250" s="3" t="s">
        <v>216</v>
      </c>
      <c r="B250" s="3" t="s">
        <v>2088</v>
      </c>
      <c r="C250" s="3" t="s">
        <v>2664</v>
      </c>
      <c r="D250" s="3" t="s">
        <v>25</v>
      </c>
      <c r="E250" s="3" t="s">
        <v>2665</v>
      </c>
      <c r="F250" s="3" t="s">
        <v>2664</v>
      </c>
      <c r="G250" s="3" t="s">
        <v>220</v>
      </c>
      <c r="H250" s="5">
        <v>46031</v>
      </c>
      <c r="I250" s="5">
        <v>46029.374641203707</v>
      </c>
      <c r="J250" s="3" t="s">
        <v>2666</v>
      </c>
      <c r="K250" s="3" t="s">
        <v>1892</v>
      </c>
      <c r="L250">
        <v>6</v>
      </c>
      <c r="M250" s="5">
        <v>46105</v>
      </c>
      <c r="N250" s="3" t="s">
        <v>1893</v>
      </c>
      <c r="O250">
        <v>0</v>
      </c>
      <c r="P250" s="3" t="s">
        <v>24</v>
      </c>
      <c r="Q250" s="3" t="s">
        <v>1893</v>
      </c>
      <c r="R250" s="5">
        <v>46118</v>
      </c>
      <c r="S250" s="3" t="s">
        <v>190</v>
      </c>
      <c r="T250" s="3" t="s">
        <v>190</v>
      </c>
      <c r="U250">
        <v>0</v>
      </c>
      <c r="V250" s="3" t="s">
        <v>1901</v>
      </c>
      <c r="W250" s="3" t="s">
        <v>190</v>
      </c>
      <c r="X250" s="5">
        <v>46132</v>
      </c>
      <c r="Y250" s="3" t="s">
        <v>190</v>
      </c>
      <c r="Z250" s="3" t="s">
        <v>190</v>
      </c>
      <c r="AA250">
        <v>0</v>
      </c>
      <c r="AB250" s="3" t="s">
        <v>1895</v>
      </c>
      <c r="AC250" s="3" t="s">
        <v>190</v>
      </c>
      <c r="AD250" s="3" t="s">
        <v>190</v>
      </c>
      <c r="AE250" s="3" t="s">
        <v>190</v>
      </c>
      <c r="AF250" s="3" t="s">
        <v>190</v>
      </c>
    </row>
    <row r="251" spans="1:32" ht="16.5" customHeight="1">
      <c r="A251" s="4" t="s">
        <v>216</v>
      </c>
      <c r="B251" s="4" t="s">
        <v>2095</v>
      </c>
      <c r="C251" s="4" t="s">
        <v>2147</v>
      </c>
      <c r="D251" s="4" t="s">
        <v>25</v>
      </c>
      <c r="E251" s="4" t="s">
        <v>2667</v>
      </c>
      <c r="F251" s="4" t="s">
        <v>2157</v>
      </c>
      <c r="G251" s="4" t="s">
        <v>225</v>
      </c>
      <c r="H251" s="6">
        <v>46051</v>
      </c>
      <c r="I251" s="6">
        <v>46052.628518518519</v>
      </c>
      <c r="J251" s="4" t="s">
        <v>2668</v>
      </c>
      <c r="K251" s="4" t="s">
        <v>1892</v>
      </c>
      <c r="L251">
        <v>6</v>
      </c>
      <c r="M251" s="6">
        <v>46105</v>
      </c>
      <c r="N251" s="4" t="s">
        <v>1893</v>
      </c>
      <c r="O251">
        <v>0</v>
      </c>
      <c r="P251" s="4" t="s">
        <v>24</v>
      </c>
      <c r="Q251" s="4" t="s">
        <v>1893</v>
      </c>
      <c r="R251" s="6">
        <v>46118</v>
      </c>
      <c r="S251" s="4" t="s">
        <v>190</v>
      </c>
      <c r="T251" s="4" t="s">
        <v>190</v>
      </c>
      <c r="U251">
        <v>0</v>
      </c>
      <c r="V251" s="4" t="s">
        <v>1901</v>
      </c>
      <c r="W251" s="4" t="s">
        <v>190</v>
      </c>
      <c r="X251" s="6">
        <v>46132</v>
      </c>
      <c r="Y251" s="4" t="s">
        <v>190</v>
      </c>
      <c r="Z251" s="4" t="s">
        <v>190</v>
      </c>
      <c r="AA251">
        <v>0</v>
      </c>
      <c r="AB251" s="4" t="s">
        <v>1895</v>
      </c>
      <c r="AC251" s="4" t="s">
        <v>190</v>
      </c>
      <c r="AD251" s="4" t="s">
        <v>190</v>
      </c>
      <c r="AE251" s="4" t="s">
        <v>190</v>
      </c>
      <c r="AF251" s="4" t="s">
        <v>190</v>
      </c>
    </row>
    <row r="252" spans="1:32" ht="16.5" customHeight="1">
      <c r="A252" s="3" t="s">
        <v>111</v>
      </c>
      <c r="B252" s="3" t="s">
        <v>2117</v>
      </c>
      <c r="C252" s="3" t="s">
        <v>2122</v>
      </c>
      <c r="D252" s="3" t="s">
        <v>25</v>
      </c>
      <c r="E252" s="3" t="s">
        <v>2669</v>
      </c>
      <c r="F252" s="3" t="s">
        <v>2670</v>
      </c>
      <c r="G252" s="3" t="s">
        <v>386</v>
      </c>
      <c r="H252" s="5">
        <v>46065</v>
      </c>
      <c r="I252" s="5">
        <v>46038.365266203706</v>
      </c>
      <c r="J252" s="3" t="s">
        <v>398</v>
      </c>
      <c r="K252" s="3" t="s">
        <v>1892</v>
      </c>
      <c r="L252">
        <v>6</v>
      </c>
      <c r="M252" s="5">
        <v>46104</v>
      </c>
      <c r="N252" s="3" t="s">
        <v>1900</v>
      </c>
      <c r="O252">
        <v>0</v>
      </c>
      <c r="P252" s="3" t="s">
        <v>24</v>
      </c>
      <c r="Q252" s="3" t="s">
        <v>1893</v>
      </c>
      <c r="R252" s="5">
        <v>46118</v>
      </c>
      <c r="S252" s="3" t="s">
        <v>190</v>
      </c>
      <c r="T252" s="3" t="s">
        <v>190</v>
      </c>
      <c r="U252">
        <v>0</v>
      </c>
      <c r="V252" s="3" t="s">
        <v>1794</v>
      </c>
      <c r="W252" s="3" t="s">
        <v>190</v>
      </c>
      <c r="X252" s="5">
        <v>46132</v>
      </c>
      <c r="Y252" s="3" t="s">
        <v>190</v>
      </c>
      <c r="Z252" s="3" t="s">
        <v>190</v>
      </c>
      <c r="AA252">
        <v>0</v>
      </c>
      <c r="AB252" s="3" t="s">
        <v>1895</v>
      </c>
      <c r="AC252" s="3" t="s">
        <v>190</v>
      </c>
      <c r="AD252" s="3" t="s">
        <v>190</v>
      </c>
      <c r="AE252" s="3" t="s">
        <v>190</v>
      </c>
      <c r="AF252" s="3" t="s">
        <v>190</v>
      </c>
    </row>
    <row r="253" spans="1:32" ht="16.5" customHeight="1">
      <c r="A253" s="4" t="s">
        <v>111</v>
      </c>
      <c r="B253" s="4" t="s">
        <v>2125</v>
      </c>
      <c r="C253" s="4" t="s">
        <v>2671</v>
      </c>
      <c r="D253" s="4" t="s">
        <v>25</v>
      </c>
      <c r="E253" s="4" t="s">
        <v>2672</v>
      </c>
      <c r="F253" s="4" t="s">
        <v>2673</v>
      </c>
      <c r="G253" s="4" t="s">
        <v>369</v>
      </c>
      <c r="H253" s="6">
        <v>46051</v>
      </c>
      <c r="I253" s="6">
        <v>46051.608148148145</v>
      </c>
      <c r="J253" s="4" t="s">
        <v>1767</v>
      </c>
      <c r="K253" s="4" t="s">
        <v>1892</v>
      </c>
      <c r="L253">
        <v>6</v>
      </c>
      <c r="M253" s="6">
        <v>46104</v>
      </c>
      <c r="N253" s="4" t="s">
        <v>1900</v>
      </c>
      <c r="O253">
        <v>0</v>
      </c>
      <c r="P253" s="4" t="s">
        <v>24</v>
      </c>
      <c r="Q253" s="4" t="s">
        <v>1893</v>
      </c>
      <c r="R253" s="6">
        <v>46118</v>
      </c>
      <c r="S253" s="4" t="s">
        <v>190</v>
      </c>
      <c r="T253" s="4" t="s">
        <v>190</v>
      </c>
      <c r="U253">
        <v>0</v>
      </c>
      <c r="V253" s="4" t="s">
        <v>1794</v>
      </c>
      <c r="W253" s="4" t="s">
        <v>190</v>
      </c>
      <c r="X253" s="6">
        <v>46132</v>
      </c>
      <c r="Y253" s="4" t="s">
        <v>190</v>
      </c>
      <c r="Z253" s="4" t="s">
        <v>190</v>
      </c>
      <c r="AA253">
        <v>0</v>
      </c>
      <c r="AB253" s="4" t="s">
        <v>1895</v>
      </c>
      <c r="AC253" s="4" t="s">
        <v>190</v>
      </c>
      <c r="AD253" s="4" t="s">
        <v>190</v>
      </c>
      <c r="AE253" s="4" t="s">
        <v>190</v>
      </c>
      <c r="AF253" s="4" t="s">
        <v>190</v>
      </c>
    </row>
    <row r="254" spans="1:32" ht="16.5" customHeight="1">
      <c r="A254" s="3" t="s">
        <v>111</v>
      </c>
      <c r="B254" s="3" t="s">
        <v>56</v>
      </c>
      <c r="C254" s="3" t="s">
        <v>56</v>
      </c>
      <c r="D254" s="3" t="s">
        <v>116</v>
      </c>
      <c r="E254" s="3" t="s">
        <v>2674</v>
      </c>
      <c r="F254" s="3" t="s">
        <v>2675</v>
      </c>
      <c r="G254" s="3" t="s">
        <v>645</v>
      </c>
      <c r="H254" s="5">
        <v>46051</v>
      </c>
      <c r="I254" s="5">
        <v>46055.56145833333</v>
      </c>
      <c r="J254" s="3" t="s">
        <v>2676</v>
      </c>
      <c r="K254" s="3" t="s">
        <v>1892</v>
      </c>
      <c r="L254">
        <v>6</v>
      </c>
      <c r="M254" s="5">
        <v>46104</v>
      </c>
      <c r="N254" s="3" t="s">
        <v>1893</v>
      </c>
      <c r="O254">
        <v>0</v>
      </c>
      <c r="P254" s="3" t="s">
        <v>24</v>
      </c>
      <c r="Q254" s="3" t="s">
        <v>1893</v>
      </c>
      <c r="R254" s="5">
        <v>46118</v>
      </c>
      <c r="S254" s="3" t="s">
        <v>190</v>
      </c>
      <c r="T254" s="3" t="s">
        <v>190</v>
      </c>
      <c r="U254">
        <v>0</v>
      </c>
      <c r="V254" s="3" t="s">
        <v>1794</v>
      </c>
      <c r="W254" s="3" t="s">
        <v>190</v>
      </c>
      <c r="X254" s="5">
        <v>46132</v>
      </c>
      <c r="Y254" s="3" t="s">
        <v>190</v>
      </c>
      <c r="Z254" s="3" t="s">
        <v>190</v>
      </c>
      <c r="AA254">
        <v>0</v>
      </c>
      <c r="AB254" s="3" t="s">
        <v>1895</v>
      </c>
      <c r="AC254" s="3" t="s">
        <v>190</v>
      </c>
      <c r="AD254" s="3" t="s">
        <v>190</v>
      </c>
      <c r="AE254" s="3" t="s">
        <v>190</v>
      </c>
      <c r="AF254" s="3" t="s">
        <v>190</v>
      </c>
    </row>
    <row r="255" spans="1:32" ht="16.5" customHeight="1">
      <c r="A255" s="4" t="s">
        <v>111</v>
      </c>
      <c r="B255" s="4" t="s">
        <v>56</v>
      </c>
      <c r="C255" s="4" t="s">
        <v>56</v>
      </c>
      <c r="D255" s="4" t="s">
        <v>116</v>
      </c>
      <c r="E255" s="4" t="s">
        <v>2677</v>
      </c>
      <c r="F255" s="4" t="s">
        <v>2678</v>
      </c>
      <c r="G255" s="4" t="s">
        <v>115</v>
      </c>
      <c r="H255" s="6">
        <v>46052</v>
      </c>
      <c r="I255" s="6">
        <v>46048.434849537036</v>
      </c>
      <c r="J255" s="4" t="s">
        <v>131</v>
      </c>
      <c r="K255" s="4" t="s">
        <v>1892</v>
      </c>
      <c r="L255">
        <v>6</v>
      </c>
      <c r="M255" s="6">
        <v>46104</v>
      </c>
      <c r="N255" s="4" t="s">
        <v>1900</v>
      </c>
      <c r="O255">
        <v>0</v>
      </c>
      <c r="P255" s="4" t="s">
        <v>24</v>
      </c>
      <c r="Q255" s="4" t="s">
        <v>1900</v>
      </c>
      <c r="R255" s="6">
        <v>46118</v>
      </c>
      <c r="S255" s="4" t="s">
        <v>190</v>
      </c>
      <c r="T255" s="4" t="s">
        <v>190</v>
      </c>
      <c r="U255">
        <v>0</v>
      </c>
      <c r="V255" s="4" t="s">
        <v>1901</v>
      </c>
      <c r="W255" s="4" t="s">
        <v>190</v>
      </c>
      <c r="X255" s="6">
        <v>46132</v>
      </c>
      <c r="Y255" s="4" t="s">
        <v>190</v>
      </c>
      <c r="Z255" s="4" t="s">
        <v>190</v>
      </c>
      <c r="AA255">
        <v>0</v>
      </c>
      <c r="AB255" s="4" t="s">
        <v>1895</v>
      </c>
      <c r="AC255" s="4" t="s">
        <v>190</v>
      </c>
      <c r="AD255" s="4" t="s">
        <v>190</v>
      </c>
      <c r="AE255" s="4" t="s">
        <v>190</v>
      </c>
      <c r="AF255" s="4" t="s">
        <v>190</v>
      </c>
    </row>
    <row r="256" spans="1:32" ht="16.5" customHeight="1">
      <c r="A256" s="3" t="s">
        <v>266</v>
      </c>
      <c r="B256" s="3" t="s">
        <v>2147</v>
      </c>
      <c r="C256" s="3" t="s">
        <v>2148</v>
      </c>
      <c r="D256" s="3" t="s">
        <v>25</v>
      </c>
      <c r="E256" s="3" t="s">
        <v>2679</v>
      </c>
      <c r="F256" s="3" t="s">
        <v>2150</v>
      </c>
      <c r="G256" s="3" t="s">
        <v>415</v>
      </c>
      <c r="H256" s="5">
        <v>46031</v>
      </c>
      <c r="I256" s="5">
        <v>46030.562476851854</v>
      </c>
      <c r="J256" s="3" t="s">
        <v>2680</v>
      </c>
      <c r="K256" s="3" t="s">
        <v>1892</v>
      </c>
      <c r="L256">
        <v>6</v>
      </c>
      <c r="M256" s="5">
        <v>46104</v>
      </c>
      <c r="N256" s="3" t="s">
        <v>1893</v>
      </c>
      <c r="O256">
        <v>0</v>
      </c>
      <c r="P256" s="3" t="s">
        <v>24</v>
      </c>
      <c r="Q256" s="3" t="s">
        <v>1893</v>
      </c>
      <c r="R256" s="5">
        <v>46118</v>
      </c>
      <c r="S256" s="3" t="s">
        <v>190</v>
      </c>
      <c r="T256" s="3" t="s">
        <v>190</v>
      </c>
      <c r="U256">
        <v>0</v>
      </c>
      <c r="V256" s="3" t="s">
        <v>1901</v>
      </c>
      <c r="W256" s="3" t="s">
        <v>190</v>
      </c>
      <c r="X256" s="5">
        <v>46132</v>
      </c>
      <c r="Y256" s="3" t="s">
        <v>190</v>
      </c>
      <c r="Z256" s="3" t="s">
        <v>190</v>
      </c>
      <c r="AA256">
        <v>0</v>
      </c>
      <c r="AB256" s="3" t="s">
        <v>1895</v>
      </c>
      <c r="AC256" s="3" t="s">
        <v>190</v>
      </c>
      <c r="AD256" s="3" t="s">
        <v>190</v>
      </c>
      <c r="AE256" s="3" t="s">
        <v>190</v>
      </c>
      <c r="AF256" s="3" t="s">
        <v>190</v>
      </c>
    </row>
    <row r="257" spans="1:32" ht="16.5" customHeight="1">
      <c r="A257" s="4" t="s">
        <v>266</v>
      </c>
      <c r="B257" s="4" t="s">
        <v>56</v>
      </c>
      <c r="C257" s="4" t="s">
        <v>56</v>
      </c>
      <c r="D257" s="4" t="s">
        <v>116</v>
      </c>
      <c r="E257" s="4" t="s">
        <v>2681</v>
      </c>
      <c r="F257" s="4" t="s">
        <v>2682</v>
      </c>
      <c r="G257" s="4" t="s">
        <v>269</v>
      </c>
      <c r="H257" s="6">
        <v>46013</v>
      </c>
      <c r="I257" s="6">
        <v>46030.648969907408</v>
      </c>
      <c r="J257" s="4" t="s">
        <v>929</v>
      </c>
      <c r="K257" s="4" t="s">
        <v>1892</v>
      </c>
      <c r="L257">
        <v>6</v>
      </c>
      <c r="M257" s="6">
        <v>46108</v>
      </c>
      <c r="N257" s="4" t="s">
        <v>1900</v>
      </c>
      <c r="O257">
        <v>0</v>
      </c>
      <c r="P257" s="4" t="s">
        <v>24</v>
      </c>
      <c r="Q257" s="4" t="s">
        <v>1900</v>
      </c>
      <c r="R257" s="6">
        <v>46118</v>
      </c>
      <c r="S257" s="4" t="s">
        <v>190</v>
      </c>
      <c r="T257" s="4" t="s">
        <v>190</v>
      </c>
      <c r="U257">
        <v>0</v>
      </c>
      <c r="V257" s="4" t="s">
        <v>1894</v>
      </c>
      <c r="W257" s="4" t="s">
        <v>190</v>
      </c>
      <c r="X257" s="6">
        <v>46132</v>
      </c>
      <c r="Y257" s="4" t="s">
        <v>190</v>
      </c>
      <c r="Z257" s="4" t="s">
        <v>190</v>
      </c>
      <c r="AA257">
        <v>0</v>
      </c>
      <c r="AB257" s="4" t="s">
        <v>1895</v>
      </c>
      <c r="AC257" s="4" t="s">
        <v>190</v>
      </c>
      <c r="AD257" s="4" t="s">
        <v>190</v>
      </c>
      <c r="AE257" s="4" t="s">
        <v>190</v>
      </c>
      <c r="AF257" s="4" t="s">
        <v>190</v>
      </c>
    </row>
    <row r="258" spans="1:32" ht="16.5" customHeight="1">
      <c r="A258" s="3" t="s">
        <v>229</v>
      </c>
      <c r="B258" s="3" t="s">
        <v>2683</v>
      </c>
      <c r="C258" s="3" t="s">
        <v>2683</v>
      </c>
      <c r="D258" s="3" t="s">
        <v>25</v>
      </c>
      <c r="E258" s="3" t="s">
        <v>2684</v>
      </c>
      <c r="F258" s="3" t="s">
        <v>2685</v>
      </c>
      <c r="G258" s="3" t="s">
        <v>250</v>
      </c>
      <c r="H258" s="5">
        <v>46073</v>
      </c>
      <c r="I258" s="5">
        <v>46050.414074074077</v>
      </c>
      <c r="J258" s="3" t="s">
        <v>2686</v>
      </c>
      <c r="K258" s="3" t="s">
        <v>1892</v>
      </c>
      <c r="L258">
        <v>6</v>
      </c>
      <c r="M258" s="5">
        <v>46105</v>
      </c>
      <c r="N258" s="3" t="s">
        <v>1893</v>
      </c>
      <c r="O258">
        <v>0</v>
      </c>
      <c r="P258" s="3" t="s">
        <v>24</v>
      </c>
      <c r="Q258" s="3" t="s">
        <v>1893</v>
      </c>
      <c r="R258" s="5">
        <v>46118</v>
      </c>
      <c r="S258" s="3" t="s">
        <v>190</v>
      </c>
      <c r="T258" s="3" t="s">
        <v>190</v>
      </c>
      <c r="U258">
        <v>0</v>
      </c>
      <c r="V258" s="3" t="s">
        <v>1794</v>
      </c>
      <c r="W258" s="3" t="s">
        <v>190</v>
      </c>
      <c r="X258" s="5">
        <v>46132</v>
      </c>
      <c r="Y258" s="3" t="s">
        <v>190</v>
      </c>
      <c r="Z258" s="3" t="s">
        <v>190</v>
      </c>
      <c r="AA258">
        <v>0</v>
      </c>
      <c r="AB258" s="3" t="s">
        <v>1895</v>
      </c>
      <c r="AC258" s="3" t="s">
        <v>190</v>
      </c>
      <c r="AD258" s="3" t="s">
        <v>190</v>
      </c>
      <c r="AE258" s="3" t="s">
        <v>190</v>
      </c>
      <c r="AF258" s="3" t="s">
        <v>190</v>
      </c>
    </row>
    <row r="259" spans="1:32" ht="16.5" customHeight="1">
      <c r="A259" s="4" t="s">
        <v>229</v>
      </c>
      <c r="B259" s="4" t="s">
        <v>56</v>
      </c>
      <c r="C259" s="4" t="s">
        <v>56</v>
      </c>
      <c r="D259" s="4" t="s">
        <v>116</v>
      </c>
      <c r="E259" s="4" t="s">
        <v>2687</v>
      </c>
      <c r="F259" s="4" t="s">
        <v>2688</v>
      </c>
      <c r="G259" s="4" t="s">
        <v>250</v>
      </c>
      <c r="H259" s="6">
        <v>46052</v>
      </c>
      <c r="I259" s="6">
        <v>46050.426030092596</v>
      </c>
      <c r="J259" s="4" t="s">
        <v>2689</v>
      </c>
      <c r="K259" s="4" t="s">
        <v>1892</v>
      </c>
      <c r="L259">
        <v>6</v>
      </c>
      <c r="M259" s="6">
        <v>46105</v>
      </c>
      <c r="N259" s="4" t="s">
        <v>1893</v>
      </c>
      <c r="O259">
        <v>0</v>
      </c>
      <c r="P259" s="4" t="s">
        <v>24</v>
      </c>
      <c r="Q259" s="4" t="s">
        <v>1893</v>
      </c>
      <c r="R259" s="6">
        <v>46118</v>
      </c>
      <c r="S259" s="4" t="s">
        <v>190</v>
      </c>
      <c r="T259" s="4" t="s">
        <v>190</v>
      </c>
      <c r="U259">
        <v>0</v>
      </c>
      <c r="V259" s="4" t="s">
        <v>1794</v>
      </c>
      <c r="W259" s="4" t="s">
        <v>190</v>
      </c>
      <c r="X259" s="6">
        <v>46132</v>
      </c>
      <c r="Y259" s="4" t="s">
        <v>190</v>
      </c>
      <c r="Z259" s="4" t="s">
        <v>190</v>
      </c>
      <c r="AA259">
        <v>0</v>
      </c>
      <c r="AB259" s="4" t="s">
        <v>1895</v>
      </c>
      <c r="AC259" s="4" t="s">
        <v>190</v>
      </c>
      <c r="AD259" s="4" t="s">
        <v>190</v>
      </c>
      <c r="AE259" s="4" t="s">
        <v>190</v>
      </c>
      <c r="AF259" s="4" t="s">
        <v>190</v>
      </c>
    </row>
    <row r="260" spans="1:32" ht="16.5" customHeight="1">
      <c r="A260" s="3" t="s">
        <v>229</v>
      </c>
      <c r="B260" s="3" t="s">
        <v>56</v>
      </c>
      <c r="C260" s="3" t="s">
        <v>56</v>
      </c>
      <c r="D260" s="3" t="s">
        <v>116</v>
      </c>
      <c r="E260" s="3" t="s">
        <v>2690</v>
      </c>
      <c r="F260" s="3" t="s">
        <v>2691</v>
      </c>
      <c r="G260" s="3" t="s">
        <v>250</v>
      </c>
      <c r="H260" s="5">
        <v>46066</v>
      </c>
      <c r="I260" s="5">
        <v>46058.5547337963</v>
      </c>
      <c r="J260" s="3" t="s">
        <v>2692</v>
      </c>
      <c r="K260" s="3" t="s">
        <v>1892</v>
      </c>
      <c r="L260">
        <v>6</v>
      </c>
      <c r="M260" s="5">
        <v>46106</v>
      </c>
      <c r="N260" s="3" t="s">
        <v>1893</v>
      </c>
      <c r="O260">
        <v>0</v>
      </c>
      <c r="P260" s="3" t="s">
        <v>24</v>
      </c>
      <c r="Q260" s="3" t="s">
        <v>1893</v>
      </c>
      <c r="R260" s="5">
        <v>46118</v>
      </c>
      <c r="S260" s="3" t="s">
        <v>190</v>
      </c>
      <c r="T260" s="3" t="s">
        <v>190</v>
      </c>
      <c r="U260">
        <v>0</v>
      </c>
      <c r="V260" s="3" t="s">
        <v>1794</v>
      </c>
      <c r="W260" s="3" t="s">
        <v>190</v>
      </c>
      <c r="X260" s="5">
        <v>46132</v>
      </c>
      <c r="Y260" s="3" t="s">
        <v>190</v>
      </c>
      <c r="Z260" s="3" t="s">
        <v>190</v>
      </c>
      <c r="AA260">
        <v>0</v>
      </c>
      <c r="AB260" s="3" t="s">
        <v>1895</v>
      </c>
      <c r="AC260" s="3" t="s">
        <v>190</v>
      </c>
      <c r="AD260" s="3" t="s">
        <v>190</v>
      </c>
      <c r="AE260" s="3" t="s">
        <v>190</v>
      </c>
      <c r="AF260" s="3" t="s">
        <v>190</v>
      </c>
    </row>
    <row r="261" spans="1:32" ht="16.5" customHeight="1">
      <c r="A261" s="4" t="s">
        <v>229</v>
      </c>
      <c r="B261" s="4" t="s">
        <v>56</v>
      </c>
      <c r="C261" s="4" t="s">
        <v>56</v>
      </c>
      <c r="D261" s="4" t="s">
        <v>116</v>
      </c>
      <c r="E261" s="4" t="s">
        <v>2693</v>
      </c>
      <c r="F261" s="4" t="s">
        <v>2694</v>
      </c>
      <c r="G261" s="4" t="s">
        <v>250</v>
      </c>
      <c r="H261" s="6">
        <v>46059</v>
      </c>
      <c r="I261" s="6">
        <v>46051.458611111113</v>
      </c>
      <c r="J261" s="4" t="s">
        <v>2695</v>
      </c>
      <c r="K261" s="4" t="s">
        <v>1892</v>
      </c>
      <c r="L261">
        <v>6</v>
      </c>
      <c r="M261" s="6">
        <v>46107</v>
      </c>
      <c r="N261" s="4" t="s">
        <v>1893</v>
      </c>
      <c r="O261">
        <v>0</v>
      </c>
      <c r="P261" s="4" t="s">
        <v>24</v>
      </c>
      <c r="Q261" s="4" t="s">
        <v>1893</v>
      </c>
      <c r="R261" s="6">
        <v>46118</v>
      </c>
      <c r="S261" s="4" t="s">
        <v>190</v>
      </c>
      <c r="T261" s="4" t="s">
        <v>190</v>
      </c>
      <c r="U261">
        <v>0</v>
      </c>
      <c r="V261" s="4" t="s">
        <v>1901</v>
      </c>
      <c r="W261" s="4" t="s">
        <v>190</v>
      </c>
      <c r="X261" s="6">
        <v>46132</v>
      </c>
      <c r="Y261" s="4" t="s">
        <v>190</v>
      </c>
      <c r="Z261" s="4" t="s">
        <v>190</v>
      </c>
      <c r="AA261">
        <v>0</v>
      </c>
      <c r="AB261" s="4" t="s">
        <v>1895</v>
      </c>
      <c r="AC261" s="4" t="s">
        <v>190</v>
      </c>
      <c r="AD261" s="4" t="s">
        <v>190</v>
      </c>
      <c r="AE261" s="4" t="s">
        <v>190</v>
      </c>
      <c r="AF261" s="4" t="s">
        <v>190</v>
      </c>
    </row>
    <row r="262" spans="1:32" ht="16.5" customHeight="1">
      <c r="A262" s="3" t="s">
        <v>229</v>
      </c>
      <c r="B262" s="3" t="s">
        <v>56</v>
      </c>
      <c r="C262" s="3" t="s">
        <v>56</v>
      </c>
      <c r="D262" s="3" t="s">
        <v>116</v>
      </c>
      <c r="E262" s="3" t="s">
        <v>2696</v>
      </c>
      <c r="F262" s="3" t="s">
        <v>2697</v>
      </c>
      <c r="G262" s="3" t="s">
        <v>250</v>
      </c>
      <c r="H262" s="5">
        <v>46073</v>
      </c>
      <c r="I262" s="5">
        <v>46073.412395833337</v>
      </c>
      <c r="J262" s="3" t="s">
        <v>2698</v>
      </c>
      <c r="K262" s="3" t="s">
        <v>1892</v>
      </c>
      <c r="L262">
        <v>6</v>
      </c>
      <c r="M262" s="5">
        <v>46105</v>
      </c>
      <c r="N262" s="3" t="s">
        <v>1893</v>
      </c>
      <c r="O262">
        <v>0</v>
      </c>
      <c r="P262" s="3" t="s">
        <v>24</v>
      </c>
      <c r="Q262" s="3" t="s">
        <v>1893</v>
      </c>
      <c r="R262" s="5">
        <v>46118</v>
      </c>
      <c r="S262" s="3" t="s">
        <v>190</v>
      </c>
      <c r="T262" s="3" t="s">
        <v>190</v>
      </c>
      <c r="U262">
        <v>0</v>
      </c>
      <c r="V262" s="3" t="s">
        <v>1901</v>
      </c>
      <c r="W262" s="3" t="s">
        <v>190</v>
      </c>
      <c r="X262" s="5">
        <v>46132</v>
      </c>
      <c r="Y262" s="3" t="s">
        <v>190</v>
      </c>
      <c r="Z262" s="3" t="s">
        <v>190</v>
      </c>
      <c r="AA262">
        <v>0</v>
      </c>
      <c r="AB262" s="3" t="s">
        <v>1895</v>
      </c>
      <c r="AC262" s="3" t="s">
        <v>190</v>
      </c>
      <c r="AD262" s="3" t="s">
        <v>190</v>
      </c>
      <c r="AE262" s="3" t="s">
        <v>190</v>
      </c>
      <c r="AF262" s="3" t="s">
        <v>190</v>
      </c>
    </row>
    <row r="263" spans="1:32" ht="16.5" customHeight="1">
      <c r="A263" s="4" t="s">
        <v>229</v>
      </c>
      <c r="B263" s="4" t="s">
        <v>56</v>
      </c>
      <c r="C263" s="4" t="s">
        <v>56</v>
      </c>
      <c r="D263" s="4" t="s">
        <v>116</v>
      </c>
      <c r="E263" s="4" t="s">
        <v>2699</v>
      </c>
      <c r="F263" s="4" t="s">
        <v>2700</v>
      </c>
      <c r="G263" s="4" t="s">
        <v>250</v>
      </c>
      <c r="H263" s="6">
        <v>46094</v>
      </c>
      <c r="I263" s="6">
        <v>46093.656099537038</v>
      </c>
      <c r="J263" s="4" t="s">
        <v>2701</v>
      </c>
      <c r="K263" s="4" t="s">
        <v>1892</v>
      </c>
      <c r="L263">
        <v>6</v>
      </c>
      <c r="M263" s="6">
        <v>46107</v>
      </c>
      <c r="N263" s="4" t="s">
        <v>1893</v>
      </c>
      <c r="O263">
        <v>0</v>
      </c>
      <c r="P263" s="4" t="s">
        <v>24</v>
      </c>
      <c r="Q263" s="4" t="s">
        <v>1893</v>
      </c>
      <c r="R263" s="6">
        <v>46118</v>
      </c>
      <c r="S263" s="4" t="s">
        <v>190</v>
      </c>
      <c r="T263" s="4" t="s">
        <v>190</v>
      </c>
      <c r="U263">
        <v>0</v>
      </c>
      <c r="V263" s="4" t="s">
        <v>1794</v>
      </c>
      <c r="W263" s="4" t="s">
        <v>190</v>
      </c>
      <c r="X263" s="6">
        <v>46132</v>
      </c>
      <c r="Y263" s="4" t="s">
        <v>190</v>
      </c>
      <c r="Z263" s="4" t="s">
        <v>190</v>
      </c>
      <c r="AA263">
        <v>0</v>
      </c>
      <c r="AB263" s="4" t="s">
        <v>1895</v>
      </c>
      <c r="AC263" s="4" t="s">
        <v>190</v>
      </c>
      <c r="AD263" s="4" t="s">
        <v>190</v>
      </c>
      <c r="AE263" s="4" t="s">
        <v>190</v>
      </c>
      <c r="AF263" s="4" t="s">
        <v>190</v>
      </c>
    </row>
    <row r="264" spans="1:32" ht="16.5" customHeight="1">
      <c r="A264" s="3" t="s">
        <v>229</v>
      </c>
      <c r="B264" s="3" t="s">
        <v>56</v>
      </c>
      <c r="C264" s="3" t="s">
        <v>56</v>
      </c>
      <c r="D264" s="3" t="s">
        <v>116</v>
      </c>
      <c r="E264" s="3" t="s">
        <v>2702</v>
      </c>
      <c r="F264" s="3" t="s">
        <v>2703</v>
      </c>
      <c r="G264" s="3" t="s">
        <v>250</v>
      </c>
      <c r="H264" s="5">
        <v>46066</v>
      </c>
      <c r="I264" s="5">
        <v>46058.55505787037</v>
      </c>
      <c r="J264" s="3" t="s">
        <v>573</v>
      </c>
      <c r="K264" s="3" t="s">
        <v>1892</v>
      </c>
      <c r="L264">
        <v>6</v>
      </c>
      <c r="M264" s="5">
        <v>46106</v>
      </c>
      <c r="N264" s="3" t="s">
        <v>1900</v>
      </c>
      <c r="O264">
        <v>0</v>
      </c>
      <c r="P264" s="3" t="s">
        <v>24</v>
      </c>
      <c r="Q264" s="3" t="s">
        <v>1893</v>
      </c>
      <c r="R264" s="5">
        <v>46118</v>
      </c>
      <c r="S264" s="3" t="s">
        <v>190</v>
      </c>
      <c r="T264" s="3" t="s">
        <v>190</v>
      </c>
      <c r="U264">
        <v>0</v>
      </c>
      <c r="V264" s="3" t="s">
        <v>1794</v>
      </c>
      <c r="W264" s="3" t="s">
        <v>190</v>
      </c>
      <c r="X264" s="5">
        <v>46132</v>
      </c>
      <c r="Y264" s="3" t="s">
        <v>190</v>
      </c>
      <c r="Z264" s="3" t="s">
        <v>190</v>
      </c>
      <c r="AA264">
        <v>0</v>
      </c>
      <c r="AB264" s="3" t="s">
        <v>1895</v>
      </c>
      <c r="AC264" s="3" t="s">
        <v>190</v>
      </c>
      <c r="AD264" s="3" t="s">
        <v>190</v>
      </c>
      <c r="AE264" s="3" t="s">
        <v>190</v>
      </c>
      <c r="AF264" s="3" t="s">
        <v>190</v>
      </c>
    </row>
    <row r="265" spans="1:32" ht="16.5" customHeight="1">
      <c r="A265" s="4" t="s">
        <v>229</v>
      </c>
      <c r="B265" s="4" t="s">
        <v>2180</v>
      </c>
      <c r="C265" s="4" t="s">
        <v>2185</v>
      </c>
      <c r="D265" s="4" t="s">
        <v>25</v>
      </c>
      <c r="E265" s="4" t="s">
        <v>2704</v>
      </c>
      <c r="F265" s="4" t="s">
        <v>2705</v>
      </c>
      <c r="G265" s="4" t="s">
        <v>233</v>
      </c>
      <c r="H265" s="6">
        <v>46031</v>
      </c>
      <c r="I265" s="6">
        <v>46031.47215277778</v>
      </c>
      <c r="J265" s="4" t="s">
        <v>585</v>
      </c>
      <c r="K265" s="4" t="s">
        <v>1892</v>
      </c>
      <c r="L265">
        <v>6</v>
      </c>
      <c r="M265" s="6">
        <v>46105</v>
      </c>
      <c r="N265" s="4" t="s">
        <v>1900</v>
      </c>
      <c r="O265">
        <v>0</v>
      </c>
      <c r="P265" s="4" t="s">
        <v>24</v>
      </c>
      <c r="Q265" s="4" t="s">
        <v>1893</v>
      </c>
      <c r="R265" s="6">
        <v>46118</v>
      </c>
      <c r="S265" s="4" t="s">
        <v>190</v>
      </c>
      <c r="T265" s="4" t="s">
        <v>190</v>
      </c>
      <c r="U265">
        <v>0</v>
      </c>
      <c r="V265" s="4" t="s">
        <v>1794</v>
      </c>
      <c r="W265" s="4" t="s">
        <v>190</v>
      </c>
      <c r="X265" s="6">
        <v>46132</v>
      </c>
      <c r="Y265" s="4" t="s">
        <v>190</v>
      </c>
      <c r="Z265" s="4" t="s">
        <v>190</v>
      </c>
      <c r="AA265">
        <v>0</v>
      </c>
      <c r="AB265" s="4" t="s">
        <v>1895</v>
      </c>
      <c r="AC265" s="4" t="s">
        <v>190</v>
      </c>
      <c r="AD265" s="4" t="s">
        <v>190</v>
      </c>
      <c r="AE265" s="4" t="s">
        <v>190</v>
      </c>
      <c r="AF265" s="4" t="s">
        <v>190</v>
      </c>
    </row>
    <row r="266" spans="1:32" ht="16.5" customHeight="1">
      <c r="A266" s="3" t="s">
        <v>580</v>
      </c>
      <c r="B266" s="3" t="s">
        <v>56</v>
      </c>
      <c r="C266" s="3" t="s">
        <v>56</v>
      </c>
      <c r="D266" s="3" t="s">
        <v>116</v>
      </c>
      <c r="E266" s="3" t="s">
        <v>2706</v>
      </c>
      <c r="F266" s="3" t="s">
        <v>2707</v>
      </c>
      <c r="G266" s="3" t="s">
        <v>279</v>
      </c>
      <c r="H266" s="5">
        <v>46066</v>
      </c>
      <c r="I266" s="5">
        <v>45786.56050925926</v>
      </c>
      <c r="J266" s="3" t="s">
        <v>2708</v>
      </c>
      <c r="K266" s="3" t="s">
        <v>1892</v>
      </c>
      <c r="L266">
        <v>6</v>
      </c>
      <c r="M266" s="5">
        <v>46104</v>
      </c>
      <c r="N266" s="3" t="s">
        <v>1893</v>
      </c>
      <c r="O266">
        <v>0</v>
      </c>
      <c r="P266" s="3" t="s">
        <v>24</v>
      </c>
      <c r="Q266" s="3" t="s">
        <v>1893</v>
      </c>
      <c r="R266" s="5">
        <v>46118</v>
      </c>
      <c r="S266" s="3" t="s">
        <v>190</v>
      </c>
      <c r="T266" s="3" t="s">
        <v>190</v>
      </c>
      <c r="U266">
        <v>0</v>
      </c>
      <c r="V266" s="3" t="s">
        <v>1956</v>
      </c>
      <c r="W266" s="3" t="s">
        <v>190</v>
      </c>
      <c r="X266" s="5">
        <v>46132</v>
      </c>
      <c r="Y266" s="3" t="s">
        <v>190</v>
      </c>
      <c r="Z266" s="3" t="s">
        <v>190</v>
      </c>
      <c r="AA266">
        <v>0</v>
      </c>
      <c r="AB266" s="3" t="s">
        <v>1895</v>
      </c>
      <c r="AC266" s="3" t="s">
        <v>190</v>
      </c>
      <c r="AD266" s="3" t="s">
        <v>190</v>
      </c>
      <c r="AE266" s="3" t="s">
        <v>190</v>
      </c>
      <c r="AF266" s="3" t="s">
        <v>190</v>
      </c>
    </row>
    <row r="267" spans="1:32" ht="16.5" customHeight="1">
      <c r="A267" s="4" t="s">
        <v>580</v>
      </c>
      <c r="B267" s="4" t="s">
        <v>56</v>
      </c>
      <c r="C267" s="4" t="s">
        <v>56</v>
      </c>
      <c r="D267" s="4" t="s">
        <v>116</v>
      </c>
      <c r="E267" s="4" t="s">
        <v>2709</v>
      </c>
      <c r="F267" s="4" t="s">
        <v>2710</v>
      </c>
      <c r="G267" s="4" t="s">
        <v>279</v>
      </c>
      <c r="H267" s="6">
        <v>46066</v>
      </c>
      <c r="I267" s="6">
        <v>46020.438703703701</v>
      </c>
      <c r="J267" s="4" t="s">
        <v>2711</v>
      </c>
      <c r="K267" s="4" t="s">
        <v>1892</v>
      </c>
      <c r="L267">
        <v>6</v>
      </c>
      <c r="M267" s="6">
        <v>46106</v>
      </c>
      <c r="N267" s="4" t="s">
        <v>1893</v>
      </c>
      <c r="O267">
        <v>0</v>
      </c>
      <c r="P267" s="4" t="s">
        <v>24</v>
      </c>
      <c r="Q267" s="4" t="s">
        <v>1893</v>
      </c>
      <c r="R267" s="6">
        <v>46118</v>
      </c>
      <c r="S267" s="4" t="s">
        <v>190</v>
      </c>
      <c r="T267" s="4" t="s">
        <v>190</v>
      </c>
      <c r="U267">
        <v>0</v>
      </c>
      <c r="V267" s="4" t="s">
        <v>1956</v>
      </c>
      <c r="W267" s="4" t="s">
        <v>190</v>
      </c>
      <c r="X267" s="6">
        <v>46132</v>
      </c>
      <c r="Y267" s="4" t="s">
        <v>190</v>
      </c>
      <c r="Z267" s="4" t="s">
        <v>190</v>
      </c>
      <c r="AA267">
        <v>0</v>
      </c>
      <c r="AB267" s="4" t="s">
        <v>1895</v>
      </c>
      <c r="AC267" s="4" t="s">
        <v>190</v>
      </c>
      <c r="AD267" s="4" t="s">
        <v>190</v>
      </c>
      <c r="AE267" s="4" t="s">
        <v>190</v>
      </c>
      <c r="AF267" s="4" t="s">
        <v>190</v>
      </c>
    </row>
    <row r="268" spans="1:32" ht="16.5" customHeight="1">
      <c r="A268" s="3" t="s">
        <v>580</v>
      </c>
      <c r="B268" s="3" t="s">
        <v>56</v>
      </c>
      <c r="C268" s="3" t="s">
        <v>56</v>
      </c>
      <c r="D268" s="3" t="s">
        <v>116</v>
      </c>
      <c r="E268" s="3" t="s">
        <v>2712</v>
      </c>
      <c r="F268" s="3" t="s">
        <v>2713</v>
      </c>
      <c r="G268" s="3" t="s">
        <v>279</v>
      </c>
      <c r="H268" s="5">
        <v>46081</v>
      </c>
      <c r="I268" s="5">
        <v>46020.439143518517</v>
      </c>
      <c r="J268" s="3" t="s">
        <v>2714</v>
      </c>
      <c r="K268" s="3" t="s">
        <v>1892</v>
      </c>
      <c r="L268">
        <v>6</v>
      </c>
      <c r="M268" s="5">
        <v>46105</v>
      </c>
      <c r="N268" s="3" t="s">
        <v>1893</v>
      </c>
      <c r="O268">
        <v>0</v>
      </c>
      <c r="P268" s="3" t="s">
        <v>24</v>
      </c>
      <c r="Q268" s="3" t="s">
        <v>1893</v>
      </c>
      <c r="R268" s="5">
        <v>46118</v>
      </c>
      <c r="S268" s="3" t="s">
        <v>190</v>
      </c>
      <c r="T268" s="3" t="s">
        <v>190</v>
      </c>
      <c r="U268">
        <v>0</v>
      </c>
      <c r="V268" s="3" t="s">
        <v>1956</v>
      </c>
      <c r="W268" s="3" t="s">
        <v>190</v>
      </c>
      <c r="X268" s="5">
        <v>46132</v>
      </c>
      <c r="Y268" s="3" t="s">
        <v>190</v>
      </c>
      <c r="Z268" s="3" t="s">
        <v>190</v>
      </c>
      <c r="AA268">
        <v>0</v>
      </c>
      <c r="AB268" s="3" t="s">
        <v>1895</v>
      </c>
      <c r="AC268" s="3" t="s">
        <v>190</v>
      </c>
      <c r="AD268" s="3" t="s">
        <v>190</v>
      </c>
      <c r="AE268" s="3" t="s">
        <v>190</v>
      </c>
      <c r="AF268" s="3" t="s">
        <v>190</v>
      </c>
    </row>
    <row r="269" spans="1:32" ht="16.5" customHeight="1">
      <c r="A269" s="4" t="s">
        <v>580</v>
      </c>
      <c r="B269" s="4" t="s">
        <v>56</v>
      </c>
      <c r="C269" s="4" t="s">
        <v>56</v>
      </c>
      <c r="D269" s="4" t="s">
        <v>116</v>
      </c>
      <c r="E269" s="4" t="s">
        <v>2715</v>
      </c>
      <c r="F269" s="4" t="s">
        <v>2716</v>
      </c>
      <c r="G269" s="4" t="s">
        <v>279</v>
      </c>
      <c r="H269" s="6">
        <v>46081</v>
      </c>
      <c r="I269" s="6">
        <v>46020.439085648148</v>
      </c>
      <c r="J269" s="4" t="s">
        <v>2717</v>
      </c>
      <c r="K269" s="4" t="s">
        <v>1892</v>
      </c>
      <c r="L269">
        <v>6</v>
      </c>
      <c r="M269" s="6">
        <v>46106</v>
      </c>
      <c r="N269" s="4" t="s">
        <v>1893</v>
      </c>
      <c r="O269">
        <v>0</v>
      </c>
      <c r="P269" s="4" t="s">
        <v>24</v>
      </c>
      <c r="Q269" s="4" t="s">
        <v>1893</v>
      </c>
      <c r="R269" s="6">
        <v>46118</v>
      </c>
      <c r="S269" s="4" t="s">
        <v>190</v>
      </c>
      <c r="T269" s="4" t="s">
        <v>190</v>
      </c>
      <c r="U269">
        <v>0</v>
      </c>
      <c r="V269" s="4" t="s">
        <v>1956</v>
      </c>
      <c r="W269" s="4" t="s">
        <v>190</v>
      </c>
      <c r="X269" s="6">
        <v>46132</v>
      </c>
      <c r="Y269" s="4" t="s">
        <v>190</v>
      </c>
      <c r="Z269" s="4" t="s">
        <v>190</v>
      </c>
      <c r="AA269">
        <v>0</v>
      </c>
      <c r="AB269" s="4" t="s">
        <v>1895</v>
      </c>
      <c r="AC269" s="4" t="s">
        <v>190</v>
      </c>
      <c r="AD269" s="4" t="s">
        <v>190</v>
      </c>
      <c r="AE269" s="4" t="s">
        <v>190</v>
      </c>
      <c r="AF269" s="4" t="s">
        <v>190</v>
      </c>
    </row>
    <row r="270" spans="1:32" ht="16.5" customHeight="1">
      <c r="A270" s="3" t="s">
        <v>580</v>
      </c>
      <c r="B270" s="3" t="s">
        <v>56</v>
      </c>
      <c r="C270" s="3" t="s">
        <v>56</v>
      </c>
      <c r="D270" s="3" t="s">
        <v>1795</v>
      </c>
      <c r="E270" s="3" t="s">
        <v>2718</v>
      </c>
      <c r="F270" s="3" t="s">
        <v>2719</v>
      </c>
      <c r="G270" s="3" t="s">
        <v>584</v>
      </c>
      <c r="H270" s="5">
        <v>46081</v>
      </c>
      <c r="I270" s="5">
        <v>46003.741967592592</v>
      </c>
      <c r="J270" s="3" t="s">
        <v>2720</v>
      </c>
      <c r="K270" s="3" t="s">
        <v>1892</v>
      </c>
      <c r="L270">
        <v>6</v>
      </c>
      <c r="M270" s="5">
        <v>46104</v>
      </c>
      <c r="N270" s="3" t="s">
        <v>1893</v>
      </c>
      <c r="O270">
        <v>0</v>
      </c>
      <c r="P270" s="3" t="s">
        <v>24</v>
      </c>
      <c r="Q270" s="3" t="s">
        <v>1893</v>
      </c>
      <c r="R270" s="5">
        <v>46118</v>
      </c>
      <c r="S270" s="3" t="s">
        <v>190</v>
      </c>
      <c r="T270" s="3" t="s">
        <v>190</v>
      </c>
      <c r="U270">
        <v>0</v>
      </c>
      <c r="V270" s="3" t="s">
        <v>1956</v>
      </c>
      <c r="W270" s="3" t="s">
        <v>190</v>
      </c>
      <c r="X270" s="5">
        <v>46132</v>
      </c>
      <c r="Y270" s="3" t="s">
        <v>190</v>
      </c>
      <c r="Z270" s="3" t="s">
        <v>190</v>
      </c>
      <c r="AA270">
        <v>0</v>
      </c>
      <c r="AB270" s="3" t="s">
        <v>1895</v>
      </c>
      <c r="AC270" s="3" t="s">
        <v>190</v>
      </c>
      <c r="AD270" s="3" t="s">
        <v>190</v>
      </c>
      <c r="AE270" s="3" t="s">
        <v>190</v>
      </c>
      <c r="AF270" s="3" t="s">
        <v>190</v>
      </c>
    </row>
    <row r="271" spans="1:32" ht="16.5" customHeight="1">
      <c r="A271" s="4" t="s">
        <v>580</v>
      </c>
      <c r="B271" s="4" t="s">
        <v>56</v>
      </c>
      <c r="C271" s="4" t="s">
        <v>56</v>
      </c>
      <c r="D271" s="4" t="s">
        <v>1795</v>
      </c>
      <c r="E271" s="4" t="s">
        <v>2721</v>
      </c>
      <c r="F271" s="4" t="s">
        <v>2722</v>
      </c>
      <c r="G271" s="4" t="s">
        <v>584</v>
      </c>
      <c r="H271" s="6">
        <v>46081</v>
      </c>
      <c r="I271" s="6">
        <v>46006.711817129632</v>
      </c>
      <c r="J271" s="4" t="s">
        <v>2723</v>
      </c>
      <c r="K271" s="4" t="s">
        <v>1892</v>
      </c>
      <c r="L271">
        <v>6</v>
      </c>
      <c r="M271" s="6"/>
      <c r="N271" s="4" t="s">
        <v>190</v>
      </c>
      <c r="O271">
        <v>0</v>
      </c>
      <c r="P271" s="4" t="s">
        <v>24</v>
      </c>
      <c r="Q271" s="4" t="s">
        <v>190</v>
      </c>
      <c r="R271" s="6">
        <v>46118</v>
      </c>
      <c r="S271" s="4" t="s">
        <v>190</v>
      </c>
      <c r="T271" s="4" t="s">
        <v>190</v>
      </c>
      <c r="U271">
        <v>0</v>
      </c>
      <c r="V271" s="4" t="s">
        <v>1956</v>
      </c>
      <c r="W271" s="4" t="s">
        <v>190</v>
      </c>
      <c r="X271" s="6">
        <v>46132</v>
      </c>
      <c r="Y271" s="4" t="s">
        <v>190</v>
      </c>
      <c r="Z271" s="4" t="s">
        <v>190</v>
      </c>
      <c r="AA271">
        <v>0</v>
      </c>
      <c r="AB271" s="4" t="s">
        <v>1895</v>
      </c>
      <c r="AC271" s="4" t="s">
        <v>190</v>
      </c>
      <c r="AD271" s="4" t="s">
        <v>190</v>
      </c>
      <c r="AE271" s="4" t="s">
        <v>190</v>
      </c>
      <c r="AF271" s="4" t="s">
        <v>190</v>
      </c>
    </row>
    <row r="272" spans="1:32" ht="16.5" customHeight="1">
      <c r="A272" s="3" t="s">
        <v>580</v>
      </c>
      <c r="B272" s="3" t="s">
        <v>56</v>
      </c>
      <c r="C272" s="3" t="s">
        <v>56</v>
      </c>
      <c r="D272" s="3" t="s">
        <v>1795</v>
      </c>
      <c r="E272" s="3" t="s">
        <v>2724</v>
      </c>
      <c r="F272" s="3" t="s">
        <v>2725</v>
      </c>
      <c r="G272" s="3" t="s">
        <v>584</v>
      </c>
      <c r="H272" s="5">
        <v>46081</v>
      </c>
      <c r="I272" s="5">
        <v>46006.71166666667</v>
      </c>
      <c r="J272" s="3" t="s">
        <v>2726</v>
      </c>
      <c r="K272" s="3" t="s">
        <v>1892</v>
      </c>
      <c r="L272">
        <v>6</v>
      </c>
      <c r="M272" s="5"/>
      <c r="N272" s="3" t="s">
        <v>190</v>
      </c>
      <c r="O272">
        <v>0</v>
      </c>
      <c r="P272" s="3" t="s">
        <v>24</v>
      </c>
      <c r="Q272" s="3" t="s">
        <v>190</v>
      </c>
      <c r="R272" s="5">
        <v>46118</v>
      </c>
      <c r="S272" s="3" t="s">
        <v>190</v>
      </c>
      <c r="T272" s="3" t="s">
        <v>190</v>
      </c>
      <c r="U272">
        <v>0</v>
      </c>
      <c r="V272" s="3" t="s">
        <v>1956</v>
      </c>
      <c r="W272" s="3" t="s">
        <v>190</v>
      </c>
      <c r="X272" s="5">
        <v>46132</v>
      </c>
      <c r="Y272" s="3" t="s">
        <v>190</v>
      </c>
      <c r="Z272" s="3" t="s">
        <v>190</v>
      </c>
      <c r="AA272">
        <v>0</v>
      </c>
      <c r="AB272" s="3" t="s">
        <v>1895</v>
      </c>
      <c r="AC272" s="3" t="s">
        <v>190</v>
      </c>
      <c r="AD272" s="3" t="s">
        <v>190</v>
      </c>
      <c r="AE272" s="3" t="s">
        <v>190</v>
      </c>
      <c r="AF272" s="3" t="s">
        <v>190</v>
      </c>
    </row>
    <row r="273" spans="1:32" ht="16.5" customHeight="1">
      <c r="A273" s="4" t="s">
        <v>580</v>
      </c>
      <c r="B273" s="4" t="s">
        <v>2727</v>
      </c>
      <c r="C273" s="4" t="s">
        <v>2728</v>
      </c>
      <c r="D273" s="4" t="s">
        <v>25</v>
      </c>
      <c r="E273" s="4" t="s">
        <v>2729</v>
      </c>
      <c r="F273" s="4" t="s">
        <v>2730</v>
      </c>
      <c r="G273" s="4" t="s">
        <v>583</v>
      </c>
      <c r="H273" s="6">
        <v>46031</v>
      </c>
      <c r="I273" s="6">
        <v>46031.460914351854</v>
      </c>
      <c r="J273" s="4" t="s">
        <v>2731</v>
      </c>
      <c r="K273" s="4" t="s">
        <v>1892</v>
      </c>
      <c r="L273">
        <v>6</v>
      </c>
      <c r="M273" s="6">
        <v>46104</v>
      </c>
      <c r="N273" s="4" t="s">
        <v>1893</v>
      </c>
      <c r="O273">
        <v>0</v>
      </c>
      <c r="P273" s="4" t="s">
        <v>24</v>
      </c>
      <c r="Q273" s="4" t="s">
        <v>1893</v>
      </c>
      <c r="R273" s="6">
        <v>46118</v>
      </c>
      <c r="S273" s="4" t="s">
        <v>190</v>
      </c>
      <c r="T273" s="4" t="s">
        <v>190</v>
      </c>
      <c r="U273">
        <v>0</v>
      </c>
      <c r="V273" s="4" t="s">
        <v>1956</v>
      </c>
      <c r="W273" s="4" t="s">
        <v>190</v>
      </c>
      <c r="X273" s="6">
        <v>46132</v>
      </c>
      <c r="Y273" s="4" t="s">
        <v>190</v>
      </c>
      <c r="Z273" s="4" t="s">
        <v>190</v>
      </c>
      <c r="AA273">
        <v>0</v>
      </c>
      <c r="AB273" s="4" t="s">
        <v>1895</v>
      </c>
      <c r="AC273" s="4" t="s">
        <v>190</v>
      </c>
      <c r="AD273" s="4" t="s">
        <v>190</v>
      </c>
      <c r="AE273" s="4" t="s">
        <v>190</v>
      </c>
      <c r="AF273" s="4" t="s">
        <v>190</v>
      </c>
    </row>
    <row r="274" spans="1:32" ht="16.5" customHeight="1">
      <c r="A274" s="3" t="s">
        <v>184</v>
      </c>
      <c r="B274" s="3" t="s">
        <v>1989</v>
      </c>
      <c r="C274" s="3" t="s">
        <v>2241</v>
      </c>
      <c r="D274" s="3" t="s">
        <v>25</v>
      </c>
      <c r="E274" s="3" t="s">
        <v>2732</v>
      </c>
      <c r="F274" s="3" t="s">
        <v>2733</v>
      </c>
      <c r="G274" s="3" t="s">
        <v>1291</v>
      </c>
      <c r="H274" s="5">
        <v>46017</v>
      </c>
      <c r="I274" s="5">
        <v>46107.721226851849</v>
      </c>
      <c r="J274" s="3" t="s">
        <v>2734</v>
      </c>
      <c r="K274" s="3" t="s">
        <v>1892</v>
      </c>
      <c r="L274">
        <v>6</v>
      </c>
      <c r="M274" s="5">
        <v>46107</v>
      </c>
      <c r="N274" s="3" t="s">
        <v>1893</v>
      </c>
      <c r="O274">
        <v>0</v>
      </c>
      <c r="P274" s="3" t="s">
        <v>24</v>
      </c>
      <c r="Q274" s="3" t="s">
        <v>1893</v>
      </c>
      <c r="R274" s="5">
        <v>46118</v>
      </c>
      <c r="S274" s="3" t="s">
        <v>190</v>
      </c>
      <c r="T274" s="3" t="s">
        <v>190</v>
      </c>
      <c r="U274">
        <v>0</v>
      </c>
      <c r="V274" s="3" t="s">
        <v>1901</v>
      </c>
      <c r="W274" s="3" t="s">
        <v>190</v>
      </c>
      <c r="X274" s="5">
        <v>46132</v>
      </c>
      <c r="Y274" s="3" t="s">
        <v>190</v>
      </c>
      <c r="Z274" s="3" t="s">
        <v>190</v>
      </c>
      <c r="AA274">
        <v>0</v>
      </c>
      <c r="AB274" s="3" t="s">
        <v>1895</v>
      </c>
      <c r="AC274" s="3" t="s">
        <v>190</v>
      </c>
      <c r="AD274" s="3" t="s">
        <v>190</v>
      </c>
      <c r="AE274" s="3" t="s">
        <v>190</v>
      </c>
      <c r="AF274" s="3" t="s">
        <v>190</v>
      </c>
    </row>
    <row r="275" spans="1:32" ht="16.5" customHeight="1">
      <c r="A275" s="4" t="s">
        <v>184</v>
      </c>
      <c r="B275" s="4" t="s">
        <v>1989</v>
      </c>
      <c r="C275" s="4" t="s">
        <v>1990</v>
      </c>
      <c r="D275" s="4" t="s">
        <v>25</v>
      </c>
      <c r="E275" s="4" t="s">
        <v>2735</v>
      </c>
      <c r="F275" s="4" t="s">
        <v>2736</v>
      </c>
      <c r="G275" s="4" t="s">
        <v>49</v>
      </c>
      <c r="H275" s="6">
        <v>46045</v>
      </c>
      <c r="I275" s="6">
        <v>46108.416446759256</v>
      </c>
      <c r="J275" s="4" t="s">
        <v>2737</v>
      </c>
      <c r="K275" s="4" t="s">
        <v>1892</v>
      </c>
      <c r="L275">
        <v>6</v>
      </c>
      <c r="M275" s="6">
        <v>46108</v>
      </c>
      <c r="N275" s="4" t="s">
        <v>1893</v>
      </c>
      <c r="O275">
        <v>0</v>
      </c>
      <c r="P275" s="4" t="s">
        <v>24</v>
      </c>
      <c r="Q275" s="4" t="s">
        <v>1893</v>
      </c>
      <c r="R275" s="6">
        <v>46118</v>
      </c>
      <c r="S275" s="4" t="s">
        <v>190</v>
      </c>
      <c r="T275" s="4" t="s">
        <v>190</v>
      </c>
      <c r="U275">
        <v>0</v>
      </c>
      <c r="V275" s="4" t="s">
        <v>1901</v>
      </c>
      <c r="W275" s="4" t="s">
        <v>190</v>
      </c>
      <c r="X275" s="6">
        <v>46132</v>
      </c>
      <c r="Y275" s="4" t="s">
        <v>190</v>
      </c>
      <c r="Z275" s="4" t="s">
        <v>190</v>
      </c>
      <c r="AA275">
        <v>0</v>
      </c>
      <c r="AB275" s="4" t="s">
        <v>1895</v>
      </c>
      <c r="AC275" s="4" t="s">
        <v>190</v>
      </c>
      <c r="AD275" s="4" t="s">
        <v>190</v>
      </c>
      <c r="AE275" s="4" t="s">
        <v>190</v>
      </c>
      <c r="AF275" s="4" t="s">
        <v>190</v>
      </c>
    </row>
    <row r="276" spans="1:32" ht="16.5" customHeight="1">
      <c r="A276" s="3" t="s">
        <v>184</v>
      </c>
      <c r="B276" s="3" t="s">
        <v>1989</v>
      </c>
      <c r="C276" s="3" t="s">
        <v>2244</v>
      </c>
      <c r="D276" s="3" t="s">
        <v>25</v>
      </c>
      <c r="E276" s="3" t="s">
        <v>2738</v>
      </c>
      <c r="F276" s="3" t="s">
        <v>2739</v>
      </c>
      <c r="G276" s="3" t="s">
        <v>49</v>
      </c>
      <c r="H276" s="5">
        <v>46045</v>
      </c>
      <c r="I276" s="5">
        <v>46107.252337962964</v>
      </c>
      <c r="J276" s="3" t="s">
        <v>2740</v>
      </c>
      <c r="K276" s="3" t="s">
        <v>1892</v>
      </c>
      <c r="L276">
        <v>6</v>
      </c>
      <c r="M276" s="5">
        <v>46107</v>
      </c>
      <c r="N276" s="3" t="s">
        <v>1893</v>
      </c>
      <c r="O276">
        <v>0</v>
      </c>
      <c r="P276" s="3" t="s">
        <v>24</v>
      </c>
      <c r="Q276" s="3" t="s">
        <v>1893</v>
      </c>
      <c r="R276" s="5">
        <v>46118</v>
      </c>
      <c r="S276" s="3" t="s">
        <v>190</v>
      </c>
      <c r="T276" s="3" t="s">
        <v>190</v>
      </c>
      <c r="U276">
        <v>0</v>
      </c>
      <c r="V276" s="3" t="s">
        <v>1901</v>
      </c>
      <c r="W276" s="3" t="s">
        <v>190</v>
      </c>
      <c r="X276" s="5">
        <v>46132</v>
      </c>
      <c r="Y276" s="3" t="s">
        <v>190</v>
      </c>
      <c r="Z276" s="3" t="s">
        <v>190</v>
      </c>
      <c r="AA276">
        <v>0</v>
      </c>
      <c r="AB276" s="3" t="s">
        <v>1895</v>
      </c>
      <c r="AC276" s="3" t="s">
        <v>190</v>
      </c>
      <c r="AD276" s="3" t="s">
        <v>190</v>
      </c>
      <c r="AE276" s="3" t="s">
        <v>190</v>
      </c>
      <c r="AF276" s="3" t="s">
        <v>190</v>
      </c>
    </row>
    <row r="277" spans="1:32" ht="16.5" customHeight="1">
      <c r="A277" s="4" t="s">
        <v>184</v>
      </c>
      <c r="B277" s="4" t="s">
        <v>1989</v>
      </c>
      <c r="C277" s="4" t="s">
        <v>2244</v>
      </c>
      <c r="D277" s="4" t="s">
        <v>25</v>
      </c>
      <c r="E277" s="4" t="s">
        <v>2741</v>
      </c>
      <c r="F277" s="4" t="s">
        <v>2742</v>
      </c>
      <c r="G277" s="4" t="s">
        <v>493</v>
      </c>
      <c r="H277" s="6">
        <v>45996</v>
      </c>
      <c r="I277" s="6">
        <v>46107.252395833333</v>
      </c>
      <c r="J277" s="4" t="s">
        <v>2743</v>
      </c>
      <c r="K277" s="4" t="s">
        <v>1892</v>
      </c>
      <c r="L277">
        <v>6</v>
      </c>
      <c r="M277" s="6">
        <v>46107</v>
      </c>
      <c r="N277" s="4" t="s">
        <v>1893</v>
      </c>
      <c r="O277">
        <v>0</v>
      </c>
      <c r="P277" s="4" t="s">
        <v>24</v>
      </c>
      <c r="Q277" s="4" t="s">
        <v>1893</v>
      </c>
      <c r="R277" s="6">
        <v>46118</v>
      </c>
      <c r="S277" s="4" t="s">
        <v>190</v>
      </c>
      <c r="T277" s="4" t="s">
        <v>190</v>
      </c>
      <c r="U277">
        <v>0</v>
      </c>
      <c r="V277" s="4" t="s">
        <v>1901</v>
      </c>
      <c r="W277" s="4" t="s">
        <v>190</v>
      </c>
      <c r="X277" s="6">
        <v>46132</v>
      </c>
      <c r="Y277" s="4" t="s">
        <v>190</v>
      </c>
      <c r="Z277" s="4" t="s">
        <v>190</v>
      </c>
      <c r="AA277">
        <v>0</v>
      </c>
      <c r="AB277" s="4" t="s">
        <v>1895</v>
      </c>
      <c r="AC277" s="4" t="s">
        <v>190</v>
      </c>
      <c r="AD277" s="4" t="s">
        <v>190</v>
      </c>
      <c r="AE277" s="4" t="s">
        <v>190</v>
      </c>
      <c r="AF277" s="4" t="s">
        <v>190</v>
      </c>
    </row>
    <row r="278" spans="1:32" ht="16.5" customHeight="1">
      <c r="A278" s="3" t="s">
        <v>184</v>
      </c>
      <c r="B278" s="3" t="s">
        <v>1989</v>
      </c>
      <c r="C278" s="3" t="s">
        <v>2244</v>
      </c>
      <c r="D278" s="3" t="s">
        <v>25</v>
      </c>
      <c r="E278" s="3" t="s">
        <v>2744</v>
      </c>
      <c r="F278" s="3" t="s">
        <v>2745</v>
      </c>
      <c r="G278" s="3" t="s">
        <v>496</v>
      </c>
      <c r="H278" s="5">
        <v>46073</v>
      </c>
      <c r="I278" s="5">
        <v>46000</v>
      </c>
      <c r="J278" s="3" t="s">
        <v>2746</v>
      </c>
      <c r="K278" s="3" t="s">
        <v>1892</v>
      </c>
      <c r="L278">
        <v>6</v>
      </c>
      <c r="M278" s="5">
        <v>46107</v>
      </c>
      <c r="N278" s="3" t="s">
        <v>1893</v>
      </c>
      <c r="O278">
        <v>0</v>
      </c>
      <c r="P278" s="3" t="s">
        <v>24</v>
      </c>
      <c r="Q278" s="3" t="s">
        <v>1893</v>
      </c>
      <c r="R278" s="5">
        <v>46118</v>
      </c>
      <c r="S278" s="3" t="s">
        <v>190</v>
      </c>
      <c r="T278" s="3" t="s">
        <v>190</v>
      </c>
      <c r="U278">
        <v>0</v>
      </c>
      <c r="V278" s="3" t="s">
        <v>1901</v>
      </c>
      <c r="W278" s="3" t="s">
        <v>190</v>
      </c>
      <c r="X278" s="5">
        <v>46132</v>
      </c>
      <c r="Y278" s="3" t="s">
        <v>190</v>
      </c>
      <c r="Z278" s="3" t="s">
        <v>190</v>
      </c>
      <c r="AA278">
        <v>0</v>
      </c>
      <c r="AB278" s="3" t="s">
        <v>1895</v>
      </c>
      <c r="AC278" s="3" t="s">
        <v>190</v>
      </c>
      <c r="AD278" s="3" t="s">
        <v>190</v>
      </c>
      <c r="AE278" s="3" t="s">
        <v>190</v>
      </c>
      <c r="AF278" s="3" t="s">
        <v>190</v>
      </c>
    </row>
    <row r="279" spans="1:32" ht="16.5" customHeight="1">
      <c r="A279" s="4" t="s">
        <v>46</v>
      </c>
      <c r="B279" s="4" t="s">
        <v>2008</v>
      </c>
      <c r="C279" s="4" t="s">
        <v>2256</v>
      </c>
      <c r="D279" s="4" t="s">
        <v>25</v>
      </c>
      <c r="E279" s="4" t="s">
        <v>2747</v>
      </c>
      <c r="F279" s="4" t="s">
        <v>2748</v>
      </c>
      <c r="G279" s="4" t="s">
        <v>49</v>
      </c>
      <c r="H279" s="6">
        <v>46045</v>
      </c>
      <c r="I279" s="6">
        <v>46043.592569444445</v>
      </c>
      <c r="J279" s="4" t="s">
        <v>171</v>
      </c>
      <c r="K279" s="4" t="s">
        <v>1892</v>
      </c>
      <c r="L279">
        <v>6</v>
      </c>
      <c r="M279" s="6">
        <v>46105</v>
      </c>
      <c r="N279" s="4" t="s">
        <v>1900</v>
      </c>
      <c r="O279">
        <v>0</v>
      </c>
      <c r="P279" s="4" t="s">
        <v>24</v>
      </c>
      <c r="Q279" s="4" t="s">
        <v>1900</v>
      </c>
      <c r="R279" s="6">
        <v>46118</v>
      </c>
      <c r="S279" s="4" t="s">
        <v>190</v>
      </c>
      <c r="T279" s="4" t="s">
        <v>190</v>
      </c>
      <c r="U279">
        <v>0</v>
      </c>
      <c r="V279" s="4" t="s">
        <v>2013</v>
      </c>
      <c r="W279" s="4" t="s">
        <v>190</v>
      </c>
      <c r="X279" s="6">
        <v>46132</v>
      </c>
      <c r="Y279" s="4" t="s">
        <v>190</v>
      </c>
      <c r="Z279" s="4" t="s">
        <v>190</v>
      </c>
      <c r="AA279">
        <v>0</v>
      </c>
      <c r="AB279" s="4" t="s">
        <v>1895</v>
      </c>
      <c r="AC279" s="4" t="s">
        <v>190</v>
      </c>
      <c r="AD279" s="4" t="s">
        <v>190</v>
      </c>
      <c r="AE279" s="4" t="s">
        <v>190</v>
      </c>
      <c r="AF279" s="4" t="s">
        <v>190</v>
      </c>
    </row>
    <row r="280" spans="1:32" ht="16.5" customHeight="1">
      <c r="A280" s="3" t="s">
        <v>46</v>
      </c>
      <c r="B280" s="3" t="s">
        <v>2008</v>
      </c>
      <c r="C280" s="3" t="s">
        <v>2479</v>
      </c>
      <c r="D280" s="3" t="s">
        <v>25</v>
      </c>
      <c r="E280" s="3" t="s">
        <v>2749</v>
      </c>
      <c r="F280" s="3" t="s">
        <v>2750</v>
      </c>
      <c r="G280" s="3" t="s">
        <v>50</v>
      </c>
      <c r="H280" s="5">
        <v>46101</v>
      </c>
      <c r="I280" s="5">
        <v>46104.400694444441</v>
      </c>
      <c r="J280" s="3" t="s">
        <v>177</v>
      </c>
      <c r="K280" s="3" t="s">
        <v>1892</v>
      </c>
      <c r="L280">
        <v>6</v>
      </c>
      <c r="M280" s="5">
        <v>46105</v>
      </c>
      <c r="N280" s="3" t="s">
        <v>1900</v>
      </c>
      <c r="O280">
        <v>0</v>
      </c>
      <c r="P280" s="3" t="s">
        <v>24</v>
      </c>
      <c r="Q280" s="3" t="s">
        <v>1900</v>
      </c>
      <c r="R280" s="5">
        <v>46118</v>
      </c>
      <c r="S280" s="3" t="s">
        <v>190</v>
      </c>
      <c r="T280" s="3" t="s">
        <v>190</v>
      </c>
      <c r="U280">
        <v>0</v>
      </c>
      <c r="V280" s="3" t="s">
        <v>2013</v>
      </c>
      <c r="W280" s="3" t="s">
        <v>190</v>
      </c>
      <c r="X280" s="5">
        <v>46132</v>
      </c>
      <c r="Y280" s="3" t="s">
        <v>190</v>
      </c>
      <c r="Z280" s="3" t="s">
        <v>190</v>
      </c>
      <c r="AA280">
        <v>0</v>
      </c>
      <c r="AB280" s="3" t="s">
        <v>1895</v>
      </c>
      <c r="AC280" s="3" t="s">
        <v>190</v>
      </c>
      <c r="AD280" s="3" t="s">
        <v>190</v>
      </c>
      <c r="AE280" s="3" t="s">
        <v>190</v>
      </c>
      <c r="AF280" s="3" t="s">
        <v>190</v>
      </c>
    </row>
    <row r="281" spans="1:32" ht="16.5" customHeight="1">
      <c r="A281" s="4" t="s">
        <v>46</v>
      </c>
      <c r="B281" s="4" t="s">
        <v>2008</v>
      </c>
      <c r="C281" s="4" t="s">
        <v>2479</v>
      </c>
      <c r="D281" s="4" t="s">
        <v>25</v>
      </c>
      <c r="E281" s="4" t="s">
        <v>2751</v>
      </c>
      <c r="F281" s="4" t="s">
        <v>2752</v>
      </c>
      <c r="G281" s="4" t="s">
        <v>50</v>
      </c>
      <c r="H281" s="6">
        <v>46108</v>
      </c>
      <c r="I281" s="6"/>
      <c r="J281" s="4" t="s">
        <v>2753</v>
      </c>
      <c r="K281" s="4" t="s">
        <v>1892</v>
      </c>
      <c r="L281">
        <v>6</v>
      </c>
      <c r="M281" s="6">
        <v>46105</v>
      </c>
      <c r="N281" s="4" t="s">
        <v>1900</v>
      </c>
      <c r="O281">
        <v>0</v>
      </c>
      <c r="P281" s="4" t="s">
        <v>24</v>
      </c>
      <c r="Q281" s="4" t="s">
        <v>1893</v>
      </c>
      <c r="R281" s="6">
        <v>46118</v>
      </c>
      <c r="S281" s="4" t="s">
        <v>190</v>
      </c>
      <c r="T281" s="4" t="s">
        <v>190</v>
      </c>
      <c r="U281">
        <v>0</v>
      </c>
      <c r="V281" s="4" t="s">
        <v>2013</v>
      </c>
      <c r="W281" s="4" t="s">
        <v>190</v>
      </c>
      <c r="X281" s="6">
        <v>46132</v>
      </c>
      <c r="Y281" s="4" t="s">
        <v>190</v>
      </c>
      <c r="Z281" s="4" t="s">
        <v>190</v>
      </c>
      <c r="AA281">
        <v>0</v>
      </c>
      <c r="AB281" s="4" t="s">
        <v>1895</v>
      </c>
      <c r="AC281" s="4" t="s">
        <v>190</v>
      </c>
      <c r="AD281" s="4" t="s">
        <v>190</v>
      </c>
      <c r="AE281" s="4" t="s">
        <v>190</v>
      </c>
      <c r="AF281" s="4" t="s">
        <v>190</v>
      </c>
    </row>
    <row r="282" spans="1:32" ht="16.5" customHeight="1">
      <c r="A282" s="3" t="s">
        <v>46</v>
      </c>
      <c r="B282" s="3" t="s">
        <v>56</v>
      </c>
      <c r="C282" s="3" t="s">
        <v>56</v>
      </c>
      <c r="D282" s="3" t="s">
        <v>116</v>
      </c>
      <c r="E282" s="3" t="s">
        <v>2754</v>
      </c>
      <c r="F282" s="3" t="s">
        <v>2755</v>
      </c>
      <c r="G282" s="3" t="s">
        <v>49</v>
      </c>
      <c r="H282" s="5">
        <v>46031</v>
      </c>
      <c r="I282" s="5">
        <v>46031.388807870368</v>
      </c>
      <c r="J282" s="3" t="s">
        <v>2756</v>
      </c>
      <c r="K282" s="3" t="s">
        <v>1892</v>
      </c>
      <c r="L282">
        <v>6</v>
      </c>
      <c r="M282" s="5"/>
      <c r="N282" s="3" t="s">
        <v>190</v>
      </c>
      <c r="O282">
        <v>0</v>
      </c>
      <c r="P282" s="3" t="s">
        <v>24</v>
      </c>
      <c r="Q282" s="3" t="s">
        <v>190</v>
      </c>
      <c r="R282" s="5">
        <v>46118</v>
      </c>
      <c r="S282" s="3" t="s">
        <v>190</v>
      </c>
      <c r="T282" s="3" t="s">
        <v>190</v>
      </c>
      <c r="U282">
        <v>0</v>
      </c>
      <c r="V282" s="3" t="s">
        <v>2013</v>
      </c>
      <c r="W282" s="3" t="s">
        <v>190</v>
      </c>
      <c r="X282" s="5">
        <v>46132</v>
      </c>
      <c r="Y282" s="3" t="s">
        <v>190</v>
      </c>
      <c r="Z282" s="3" t="s">
        <v>190</v>
      </c>
      <c r="AA282">
        <v>0</v>
      </c>
      <c r="AB282" s="3" t="s">
        <v>1895</v>
      </c>
      <c r="AC282" s="3" t="s">
        <v>190</v>
      </c>
      <c r="AD282" s="3" t="s">
        <v>190</v>
      </c>
      <c r="AE282" s="3" t="s">
        <v>190</v>
      </c>
      <c r="AF282" s="3" t="s">
        <v>190</v>
      </c>
    </row>
    <row r="283" spans="1:32" ht="16.5" customHeight="1">
      <c r="A283" s="4" t="s">
        <v>19</v>
      </c>
      <c r="B283" s="4" t="s">
        <v>2017</v>
      </c>
      <c r="C283" s="4" t="s">
        <v>2018</v>
      </c>
      <c r="D283" s="4" t="s">
        <v>25</v>
      </c>
      <c r="E283" s="4" t="s">
        <v>2757</v>
      </c>
      <c r="F283" s="4" t="s">
        <v>2758</v>
      </c>
      <c r="G283" s="4" t="s">
        <v>50</v>
      </c>
      <c r="H283" s="6">
        <v>46059</v>
      </c>
      <c r="I283" s="6">
        <v>46059</v>
      </c>
      <c r="J283" s="4" t="s">
        <v>2759</v>
      </c>
      <c r="K283" s="4" t="s">
        <v>1892</v>
      </c>
      <c r="L283">
        <v>6</v>
      </c>
      <c r="M283" s="6"/>
      <c r="N283" s="4" t="s">
        <v>190</v>
      </c>
      <c r="O283">
        <v>0</v>
      </c>
      <c r="P283" s="4" t="s">
        <v>24</v>
      </c>
      <c r="Q283" s="4" t="s">
        <v>190</v>
      </c>
      <c r="R283" s="6">
        <v>46118</v>
      </c>
      <c r="S283" s="4" t="s">
        <v>190</v>
      </c>
      <c r="T283" s="4" t="s">
        <v>190</v>
      </c>
      <c r="U283">
        <v>0</v>
      </c>
      <c r="V283" s="4" t="s">
        <v>1901</v>
      </c>
      <c r="W283" s="4" t="s">
        <v>190</v>
      </c>
      <c r="X283" s="6">
        <v>46132</v>
      </c>
      <c r="Y283" s="4" t="s">
        <v>190</v>
      </c>
      <c r="Z283" s="4" t="s">
        <v>190</v>
      </c>
      <c r="AA283">
        <v>0</v>
      </c>
      <c r="AB283" s="4" t="s">
        <v>1895</v>
      </c>
      <c r="AC283" s="4" t="s">
        <v>190</v>
      </c>
      <c r="AD283" s="4" t="s">
        <v>190</v>
      </c>
      <c r="AE283" s="4" t="s">
        <v>190</v>
      </c>
      <c r="AF283" s="4" t="s">
        <v>190</v>
      </c>
    </row>
    <row r="284" spans="1:32" ht="16.5" customHeight="1">
      <c r="A284" s="3" t="s">
        <v>19</v>
      </c>
      <c r="B284" s="3" t="s">
        <v>2017</v>
      </c>
      <c r="C284" s="3" t="s">
        <v>2029</v>
      </c>
      <c r="D284" s="3" t="s">
        <v>25</v>
      </c>
      <c r="E284" s="3" t="s">
        <v>2760</v>
      </c>
      <c r="F284" s="3" t="s">
        <v>2761</v>
      </c>
      <c r="G284" s="3" t="s">
        <v>23</v>
      </c>
      <c r="H284" s="5">
        <v>46066</v>
      </c>
      <c r="I284" s="5">
        <v>46059</v>
      </c>
      <c r="J284" s="3" t="s">
        <v>2762</v>
      </c>
      <c r="K284" s="3" t="s">
        <v>1892</v>
      </c>
      <c r="L284">
        <v>6</v>
      </c>
      <c r="M284" s="5"/>
      <c r="N284" s="3" t="s">
        <v>190</v>
      </c>
      <c r="O284">
        <v>0</v>
      </c>
      <c r="P284" s="3" t="s">
        <v>24</v>
      </c>
      <c r="Q284" s="3" t="s">
        <v>190</v>
      </c>
      <c r="R284" s="5">
        <v>46118</v>
      </c>
      <c r="S284" s="3" t="s">
        <v>190</v>
      </c>
      <c r="T284" s="3" t="s">
        <v>190</v>
      </c>
      <c r="U284">
        <v>0</v>
      </c>
      <c r="V284" s="3" t="s">
        <v>1901</v>
      </c>
      <c r="W284" s="3" t="s">
        <v>190</v>
      </c>
      <c r="X284" s="5">
        <v>46132</v>
      </c>
      <c r="Y284" s="3" t="s">
        <v>190</v>
      </c>
      <c r="Z284" s="3" t="s">
        <v>190</v>
      </c>
      <c r="AA284">
        <v>0</v>
      </c>
      <c r="AB284" s="3" t="s">
        <v>1895</v>
      </c>
      <c r="AC284" s="3" t="s">
        <v>190</v>
      </c>
      <c r="AD284" s="3" t="s">
        <v>190</v>
      </c>
      <c r="AE284" s="3" t="s">
        <v>190</v>
      </c>
      <c r="AF284" s="3" t="s">
        <v>190</v>
      </c>
    </row>
    <row r="285" spans="1:32" ht="16.5" customHeight="1">
      <c r="A285" s="4" t="s">
        <v>19</v>
      </c>
      <c r="B285" s="4" t="s">
        <v>2045</v>
      </c>
      <c r="C285" s="4" t="s">
        <v>2046</v>
      </c>
      <c r="D285" s="4" t="s">
        <v>25</v>
      </c>
      <c r="E285" s="4" t="s">
        <v>2763</v>
      </c>
      <c r="F285" s="4" t="s">
        <v>2764</v>
      </c>
      <c r="G285" s="4" t="s">
        <v>23</v>
      </c>
      <c r="H285" s="6">
        <v>46031</v>
      </c>
      <c r="I285" s="6">
        <v>46059</v>
      </c>
      <c r="J285" s="4" t="s">
        <v>89</v>
      </c>
      <c r="K285" s="4" t="s">
        <v>1892</v>
      </c>
      <c r="L285">
        <v>6</v>
      </c>
      <c r="M285" s="6">
        <v>46106</v>
      </c>
      <c r="N285" s="4" t="s">
        <v>1900</v>
      </c>
      <c r="O285">
        <v>0</v>
      </c>
      <c r="P285" s="4" t="s">
        <v>24</v>
      </c>
      <c r="Q285" s="4" t="s">
        <v>1900</v>
      </c>
      <c r="R285" s="6">
        <v>46118</v>
      </c>
      <c r="S285" s="4" t="s">
        <v>190</v>
      </c>
      <c r="T285" s="4" t="s">
        <v>190</v>
      </c>
      <c r="U285">
        <v>0</v>
      </c>
      <c r="V285" s="4" t="s">
        <v>1901</v>
      </c>
      <c r="W285" s="4" t="s">
        <v>190</v>
      </c>
      <c r="X285" s="6">
        <v>46132</v>
      </c>
      <c r="Y285" s="4" t="s">
        <v>190</v>
      </c>
      <c r="Z285" s="4" t="s">
        <v>190</v>
      </c>
      <c r="AA285">
        <v>0</v>
      </c>
      <c r="AB285" s="4" t="s">
        <v>1895</v>
      </c>
      <c r="AC285" s="4" t="s">
        <v>190</v>
      </c>
      <c r="AD285" s="4" t="s">
        <v>190</v>
      </c>
      <c r="AE285" s="4" t="s">
        <v>190</v>
      </c>
      <c r="AF285" s="4" t="s">
        <v>190</v>
      </c>
    </row>
    <row r="286" spans="1:32" ht="16.5" customHeight="1">
      <c r="A286" s="3" t="s">
        <v>19</v>
      </c>
      <c r="B286" s="3" t="s">
        <v>2045</v>
      </c>
      <c r="C286" s="3" t="s">
        <v>2046</v>
      </c>
      <c r="D286" s="3" t="s">
        <v>25</v>
      </c>
      <c r="E286" s="3" t="s">
        <v>2765</v>
      </c>
      <c r="F286" s="3" t="s">
        <v>2766</v>
      </c>
      <c r="G286" s="3" t="s">
        <v>50</v>
      </c>
      <c r="H286" s="5">
        <v>46031</v>
      </c>
      <c r="I286" s="5">
        <v>46059</v>
      </c>
      <c r="J286" s="3" t="s">
        <v>2767</v>
      </c>
      <c r="K286" s="3" t="s">
        <v>1892</v>
      </c>
      <c r="L286">
        <v>6</v>
      </c>
      <c r="M286" s="5">
        <v>46106</v>
      </c>
      <c r="N286" s="3" t="s">
        <v>1893</v>
      </c>
      <c r="O286">
        <v>0</v>
      </c>
      <c r="P286" s="3" t="s">
        <v>24</v>
      </c>
      <c r="Q286" s="3" t="s">
        <v>1893</v>
      </c>
      <c r="R286" s="5">
        <v>46118</v>
      </c>
      <c r="S286" s="3" t="s">
        <v>190</v>
      </c>
      <c r="T286" s="3" t="s">
        <v>190</v>
      </c>
      <c r="U286">
        <v>0</v>
      </c>
      <c r="V286" s="3" t="s">
        <v>1901</v>
      </c>
      <c r="W286" s="3" t="s">
        <v>190</v>
      </c>
      <c r="X286" s="5">
        <v>46132</v>
      </c>
      <c r="Y286" s="3" t="s">
        <v>190</v>
      </c>
      <c r="Z286" s="3" t="s">
        <v>190</v>
      </c>
      <c r="AA286">
        <v>0</v>
      </c>
      <c r="AB286" s="3" t="s">
        <v>1895</v>
      </c>
      <c r="AC286" s="3" t="s">
        <v>190</v>
      </c>
      <c r="AD286" s="3" t="s">
        <v>190</v>
      </c>
      <c r="AE286" s="3" t="s">
        <v>190</v>
      </c>
      <c r="AF286" s="3" t="s">
        <v>190</v>
      </c>
    </row>
    <row r="287" spans="1:32" ht="16.5" customHeight="1">
      <c r="A287" s="4" t="s">
        <v>19</v>
      </c>
      <c r="B287" s="4" t="s">
        <v>2045</v>
      </c>
      <c r="C287" s="4" t="s">
        <v>2046</v>
      </c>
      <c r="D287" s="4" t="s">
        <v>25</v>
      </c>
      <c r="E287" s="4" t="s">
        <v>2768</v>
      </c>
      <c r="F287" s="4" t="s">
        <v>2769</v>
      </c>
      <c r="G287" s="4" t="s">
        <v>50</v>
      </c>
      <c r="H287" s="6">
        <v>46031</v>
      </c>
      <c r="I287" s="6">
        <v>46059</v>
      </c>
      <c r="J287" s="4" t="s">
        <v>2770</v>
      </c>
      <c r="K287" s="4" t="s">
        <v>1892</v>
      </c>
      <c r="L287">
        <v>6</v>
      </c>
      <c r="M287" s="6">
        <v>46106</v>
      </c>
      <c r="N287" s="4" t="s">
        <v>1893</v>
      </c>
      <c r="O287">
        <v>0</v>
      </c>
      <c r="P287" s="4" t="s">
        <v>24</v>
      </c>
      <c r="Q287" s="4" t="s">
        <v>1893</v>
      </c>
      <c r="R287" s="6">
        <v>46118</v>
      </c>
      <c r="S287" s="4" t="s">
        <v>190</v>
      </c>
      <c r="T287" s="4" t="s">
        <v>190</v>
      </c>
      <c r="U287">
        <v>0</v>
      </c>
      <c r="V287" s="4" t="s">
        <v>1901</v>
      </c>
      <c r="W287" s="4" t="s">
        <v>190</v>
      </c>
      <c r="X287" s="6">
        <v>46132</v>
      </c>
      <c r="Y287" s="4" t="s">
        <v>190</v>
      </c>
      <c r="Z287" s="4" t="s">
        <v>190</v>
      </c>
      <c r="AA287">
        <v>0</v>
      </c>
      <c r="AB287" s="4" t="s">
        <v>1895</v>
      </c>
      <c r="AC287" s="4" t="s">
        <v>190</v>
      </c>
      <c r="AD287" s="4" t="s">
        <v>190</v>
      </c>
      <c r="AE287" s="4" t="s">
        <v>190</v>
      </c>
      <c r="AF287" s="4" t="s">
        <v>190</v>
      </c>
    </row>
    <row r="288" spans="1:32" ht="16.5" customHeight="1">
      <c r="A288" s="3" t="s">
        <v>19</v>
      </c>
      <c r="B288" s="3" t="s">
        <v>2045</v>
      </c>
      <c r="C288" s="3" t="s">
        <v>2046</v>
      </c>
      <c r="D288" s="3" t="s">
        <v>25</v>
      </c>
      <c r="E288" s="3" t="s">
        <v>2771</v>
      </c>
      <c r="F288" s="3" t="s">
        <v>2772</v>
      </c>
      <c r="G288" s="3" t="s">
        <v>50</v>
      </c>
      <c r="H288" s="5">
        <v>46031</v>
      </c>
      <c r="I288" s="5">
        <v>46059</v>
      </c>
      <c r="J288" s="3" t="s">
        <v>2773</v>
      </c>
      <c r="K288" s="3" t="s">
        <v>1892</v>
      </c>
      <c r="L288">
        <v>6</v>
      </c>
      <c r="M288" s="5">
        <v>46106</v>
      </c>
      <c r="N288" s="3" t="s">
        <v>1893</v>
      </c>
      <c r="O288">
        <v>0</v>
      </c>
      <c r="P288" s="3" t="s">
        <v>24</v>
      </c>
      <c r="Q288" s="3" t="s">
        <v>1893</v>
      </c>
      <c r="R288" s="5">
        <v>46118</v>
      </c>
      <c r="S288" s="3" t="s">
        <v>190</v>
      </c>
      <c r="T288" s="3" t="s">
        <v>190</v>
      </c>
      <c r="U288">
        <v>0</v>
      </c>
      <c r="V288" s="3" t="s">
        <v>1901</v>
      </c>
      <c r="W288" s="3" t="s">
        <v>190</v>
      </c>
      <c r="X288" s="5">
        <v>46132</v>
      </c>
      <c r="Y288" s="3" t="s">
        <v>190</v>
      </c>
      <c r="Z288" s="3" t="s">
        <v>190</v>
      </c>
      <c r="AA288">
        <v>0</v>
      </c>
      <c r="AB288" s="3" t="s">
        <v>1895</v>
      </c>
      <c r="AC288" s="3" t="s">
        <v>190</v>
      </c>
      <c r="AD288" s="3" t="s">
        <v>190</v>
      </c>
      <c r="AE288" s="3" t="s">
        <v>190</v>
      </c>
      <c r="AF288" s="3" t="s">
        <v>190</v>
      </c>
    </row>
    <row r="289" spans="1:32" ht="16.5" customHeight="1">
      <c r="A289" s="4" t="s">
        <v>19</v>
      </c>
      <c r="B289" s="4" t="s">
        <v>2045</v>
      </c>
      <c r="C289" s="4" t="s">
        <v>2056</v>
      </c>
      <c r="D289" s="4" t="s">
        <v>25</v>
      </c>
      <c r="E289" s="4" t="s">
        <v>2774</v>
      </c>
      <c r="F289" s="4" t="s">
        <v>2775</v>
      </c>
      <c r="G289" s="4" t="s">
        <v>23</v>
      </c>
      <c r="H289" s="6">
        <v>46038</v>
      </c>
      <c r="I289" s="6">
        <v>46059</v>
      </c>
      <c r="J289" s="4" t="s">
        <v>2776</v>
      </c>
      <c r="K289" s="4" t="s">
        <v>1892</v>
      </c>
      <c r="L289">
        <v>6</v>
      </c>
      <c r="M289" s="6">
        <v>46106</v>
      </c>
      <c r="N289" s="4" t="s">
        <v>1893</v>
      </c>
      <c r="O289">
        <v>0</v>
      </c>
      <c r="P289" s="4" t="s">
        <v>24</v>
      </c>
      <c r="Q289" s="4" t="s">
        <v>1893</v>
      </c>
      <c r="R289" s="6">
        <v>46118</v>
      </c>
      <c r="S289" s="4" t="s">
        <v>190</v>
      </c>
      <c r="T289" s="4" t="s">
        <v>190</v>
      </c>
      <c r="U289">
        <v>0</v>
      </c>
      <c r="V289" s="4" t="s">
        <v>1901</v>
      </c>
      <c r="W289" s="4" t="s">
        <v>190</v>
      </c>
      <c r="X289" s="6">
        <v>46132</v>
      </c>
      <c r="Y289" s="4" t="s">
        <v>190</v>
      </c>
      <c r="Z289" s="4" t="s">
        <v>190</v>
      </c>
      <c r="AA289">
        <v>0</v>
      </c>
      <c r="AB289" s="4" t="s">
        <v>1895</v>
      </c>
      <c r="AC289" s="4" t="s">
        <v>190</v>
      </c>
      <c r="AD289" s="4" t="s">
        <v>190</v>
      </c>
      <c r="AE289" s="4" t="s">
        <v>190</v>
      </c>
      <c r="AF289" s="4" t="s">
        <v>190</v>
      </c>
    </row>
    <row r="290" spans="1:32" ht="16.5" customHeight="1">
      <c r="A290" s="3" t="s">
        <v>19</v>
      </c>
      <c r="B290" s="3" t="s">
        <v>2045</v>
      </c>
      <c r="C290" s="3" t="s">
        <v>2056</v>
      </c>
      <c r="D290" s="3" t="s">
        <v>25</v>
      </c>
      <c r="E290" s="3" t="s">
        <v>2777</v>
      </c>
      <c r="F290" s="3" t="s">
        <v>2778</v>
      </c>
      <c r="G290" s="3" t="s">
        <v>23</v>
      </c>
      <c r="H290" s="5">
        <v>46038</v>
      </c>
      <c r="I290" s="5">
        <v>46059</v>
      </c>
      <c r="J290" s="3" t="s">
        <v>2779</v>
      </c>
      <c r="K290" s="3" t="s">
        <v>1892</v>
      </c>
      <c r="L290">
        <v>6</v>
      </c>
      <c r="M290" s="5">
        <v>46106</v>
      </c>
      <c r="N290" s="3" t="s">
        <v>1893</v>
      </c>
      <c r="O290">
        <v>0</v>
      </c>
      <c r="P290" s="3" t="s">
        <v>24</v>
      </c>
      <c r="Q290" s="3" t="s">
        <v>1893</v>
      </c>
      <c r="R290" s="5">
        <v>46118</v>
      </c>
      <c r="S290" s="3" t="s">
        <v>190</v>
      </c>
      <c r="T290" s="3" t="s">
        <v>190</v>
      </c>
      <c r="U290">
        <v>0</v>
      </c>
      <c r="V290" s="3" t="s">
        <v>1901</v>
      </c>
      <c r="W290" s="3" t="s">
        <v>190</v>
      </c>
      <c r="X290" s="5">
        <v>46132</v>
      </c>
      <c r="Y290" s="3" t="s">
        <v>190</v>
      </c>
      <c r="Z290" s="3" t="s">
        <v>190</v>
      </c>
      <c r="AA290">
        <v>0</v>
      </c>
      <c r="AB290" s="3" t="s">
        <v>1895</v>
      </c>
      <c r="AC290" s="3" t="s">
        <v>190</v>
      </c>
      <c r="AD290" s="3" t="s">
        <v>190</v>
      </c>
      <c r="AE290" s="3" t="s">
        <v>190</v>
      </c>
      <c r="AF290" s="3" t="s">
        <v>190</v>
      </c>
    </row>
    <row r="291" spans="1:32" ht="16.5" customHeight="1">
      <c r="A291" s="4" t="s">
        <v>19</v>
      </c>
      <c r="B291" s="4" t="s">
        <v>2045</v>
      </c>
      <c r="C291" s="4" t="s">
        <v>2056</v>
      </c>
      <c r="D291" s="4" t="s">
        <v>25</v>
      </c>
      <c r="E291" s="4" t="s">
        <v>2780</v>
      </c>
      <c r="F291" s="4" t="s">
        <v>2781</v>
      </c>
      <c r="G291" s="4" t="s">
        <v>50</v>
      </c>
      <c r="H291" s="6">
        <v>46038</v>
      </c>
      <c r="I291" s="6">
        <v>46059</v>
      </c>
      <c r="J291" s="4" t="s">
        <v>2782</v>
      </c>
      <c r="K291" s="4" t="s">
        <v>1892</v>
      </c>
      <c r="L291">
        <v>6</v>
      </c>
      <c r="M291" s="6">
        <v>46106</v>
      </c>
      <c r="N291" s="4" t="s">
        <v>1893</v>
      </c>
      <c r="O291">
        <v>0</v>
      </c>
      <c r="P291" s="4" t="s">
        <v>24</v>
      </c>
      <c r="Q291" s="4" t="s">
        <v>1893</v>
      </c>
      <c r="R291" s="6">
        <v>46118</v>
      </c>
      <c r="S291" s="4" t="s">
        <v>190</v>
      </c>
      <c r="T291" s="4" t="s">
        <v>190</v>
      </c>
      <c r="U291">
        <v>0</v>
      </c>
      <c r="V291" s="4" t="s">
        <v>1901</v>
      </c>
      <c r="W291" s="4" t="s">
        <v>190</v>
      </c>
      <c r="X291" s="6">
        <v>46132</v>
      </c>
      <c r="Y291" s="4" t="s">
        <v>190</v>
      </c>
      <c r="Z291" s="4" t="s">
        <v>190</v>
      </c>
      <c r="AA291">
        <v>0</v>
      </c>
      <c r="AB291" s="4" t="s">
        <v>1895</v>
      </c>
      <c r="AC291" s="4" t="s">
        <v>190</v>
      </c>
      <c r="AD291" s="4" t="s">
        <v>190</v>
      </c>
      <c r="AE291" s="4" t="s">
        <v>190</v>
      </c>
      <c r="AF291" s="4" t="s">
        <v>190</v>
      </c>
    </row>
    <row r="292" spans="1:32" ht="16.5" customHeight="1">
      <c r="A292" s="3" t="s">
        <v>19</v>
      </c>
      <c r="B292" s="3" t="s">
        <v>2045</v>
      </c>
      <c r="C292" s="3" t="s">
        <v>2056</v>
      </c>
      <c r="D292" s="3" t="s">
        <v>25</v>
      </c>
      <c r="E292" s="3" t="s">
        <v>2783</v>
      </c>
      <c r="F292" s="3" t="s">
        <v>2784</v>
      </c>
      <c r="G292" s="3" t="s">
        <v>50</v>
      </c>
      <c r="H292" s="5">
        <v>46038</v>
      </c>
      <c r="I292" s="5">
        <v>46059</v>
      </c>
      <c r="J292" s="3" t="s">
        <v>2785</v>
      </c>
      <c r="K292" s="3" t="s">
        <v>1892</v>
      </c>
      <c r="L292">
        <v>6</v>
      </c>
      <c r="M292" s="5">
        <v>46106</v>
      </c>
      <c r="N292" s="3" t="s">
        <v>1893</v>
      </c>
      <c r="O292">
        <v>0</v>
      </c>
      <c r="P292" s="3" t="s">
        <v>24</v>
      </c>
      <c r="Q292" s="3" t="s">
        <v>1893</v>
      </c>
      <c r="R292" s="5">
        <v>46118</v>
      </c>
      <c r="S292" s="3" t="s">
        <v>190</v>
      </c>
      <c r="T292" s="3" t="s">
        <v>190</v>
      </c>
      <c r="U292">
        <v>0</v>
      </c>
      <c r="V292" s="3" t="s">
        <v>1901</v>
      </c>
      <c r="W292" s="3" t="s">
        <v>190</v>
      </c>
      <c r="X292" s="5">
        <v>46132</v>
      </c>
      <c r="Y292" s="3" t="s">
        <v>190</v>
      </c>
      <c r="Z292" s="3" t="s">
        <v>190</v>
      </c>
      <c r="AA292">
        <v>0</v>
      </c>
      <c r="AB292" s="3" t="s">
        <v>1895</v>
      </c>
      <c r="AC292" s="3" t="s">
        <v>190</v>
      </c>
      <c r="AD292" s="3" t="s">
        <v>190</v>
      </c>
      <c r="AE292" s="3" t="s">
        <v>190</v>
      </c>
      <c r="AF292" s="3" t="s">
        <v>190</v>
      </c>
    </row>
    <row r="293" spans="1:32" ht="16.5" customHeight="1">
      <c r="A293" s="4" t="s">
        <v>19</v>
      </c>
      <c r="B293" s="4" t="s">
        <v>2045</v>
      </c>
      <c r="C293" s="4" t="s">
        <v>2069</v>
      </c>
      <c r="D293" s="4" t="s">
        <v>25</v>
      </c>
      <c r="E293" s="4" t="s">
        <v>2786</v>
      </c>
      <c r="F293" s="4" t="s">
        <v>2787</v>
      </c>
      <c r="G293" s="4" t="s">
        <v>50</v>
      </c>
      <c r="H293" s="6">
        <v>46052</v>
      </c>
      <c r="I293" s="6">
        <v>46059</v>
      </c>
      <c r="J293" s="4" t="s">
        <v>2788</v>
      </c>
      <c r="K293" s="4" t="s">
        <v>1892</v>
      </c>
      <c r="L293">
        <v>6</v>
      </c>
      <c r="M293" s="6">
        <v>46107</v>
      </c>
      <c r="N293" s="4" t="s">
        <v>1893</v>
      </c>
      <c r="O293">
        <v>0</v>
      </c>
      <c r="P293" s="4" t="s">
        <v>24</v>
      </c>
      <c r="Q293" s="4" t="s">
        <v>1893</v>
      </c>
      <c r="R293" s="6">
        <v>46118</v>
      </c>
      <c r="S293" s="4" t="s">
        <v>190</v>
      </c>
      <c r="T293" s="4" t="s">
        <v>190</v>
      </c>
      <c r="U293">
        <v>0</v>
      </c>
      <c r="V293" s="4" t="s">
        <v>1901</v>
      </c>
      <c r="W293" s="4" t="s">
        <v>190</v>
      </c>
      <c r="X293" s="6">
        <v>46132</v>
      </c>
      <c r="Y293" s="4" t="s">
        <v>190</v>
      </c>
      <c r="Z293" s="4" t="s">
        <v>190</v>
      </c>
      <c r="AA293">
        <v>0</v>
      </c>
      <c r="AB293" s="4" t="s">
        <v>1895</v>
      </c>
      <c r="AC293" s="4" t="s">
        <v>190</v>
      </c>
      <c r="AD293" s="4" t="s">
        <v>190</v>
      </c>
      <c r="AE293" s="4" t="s">
        <v>190</v>
      </c>
      <c r="AF293" s="4" t="s">
        <v>190</v>
      </c>
    </row>
    <row r="294" spans="1:32" ht="16.5" customHeight="1">
      <c r="A294" s="3" t="s">
        <v>19</v>
      </c>
      <c r="B294" s="3" t="s">
        <v>2045</v>
      </c>
      <c r="C294" s="3" t="s">
        <v>2069</v>
      </c>
      <c r="D294" s="3" t="s">
        <v>25</v>
      </c>
      <c r="E294" s="3" t="s">
        <v>2789</v>
      </c>
      <c r="F294" s="3" t="s">
        <v>2790</v>
      </c>
      <c r="G294" s="3" t="s">
        <v>50</v>
      </c>
      <c r="H294" s="5">
        <v>46052</v>
      </c>
      <c r="I294" s="5">
        <v>46059</v>
      </c>
      <c r="J294" s="3" t="s">
        <v>2791</v>
      </c>
      <c r="K294" s="3" t="s">
        <v>1892</v>
      </c>
      <c r="L294">
        <v>6</v>
      </c>
      <c r="M294" s="5">
        <v>46107</v>
      </c>
      <c r="N294" s="3" t="s">
        <v>1893</v>
      </c>
      <c r="O294">
        <v>0</v>
      </c>
      <c r="P294" s="3" t="s">
        <v>24</v>
      </c>
      <c r="Q294" s="3" t="s">
        <v>1893</v>
      </c>
      <c r="R294" s="5">
        <v>46118</v>
      </c>
      <c r="S294" s="3" t="s">
        <v>190</v>
      </c>
      <c r="T294" s="3" t="s">
        <v>190</v>
      </c>
      <c r="U294">
        <v>0</v>
      </c>
      <c r="V294" s="3" t="s">
        <v>1901</v>
      </c>
      <c r="W294" s="3" t="s">
        <v>190</v>
      </c>
      <c r="X294" s="5">
        <v>46132</v>
      </c>
      <c r="Y294" s="3" t="s">
        <v>190</v>
      </c>
      <c r="Z294" s="3" t="s">
        <v>190</v>
      </c>
      <c r="AA294">
        <v>0</v>
      </c>
      <c r="AB294" s="3" t="s">
        <v>1895</v>
      </c>
      <c r="AC294" s="3" t="s">
        <v>190</v>
      </c>
      <c r="AD294" s="3" t="s">
        <v>190</v>
      </c>
      <c r="AE294" s="3" t="s">
        <v>190</v>
      </c>
      <c r="AF294" s="3" t="s">
        <v>190</v>
      </c>
    </row>
    <row r="295" spans="1:32" ht="16.5" customHeight="1">
      <c r="A295" s="4" t="s">
        <v>19</v>
      </c>
      <c r="B295" s="4" t="s">
        <v>2045</v>
      </c>
      <c r="C295" s="4" t="s">
        <v>2075</v>
      </c>
      <c r="D295" s="4" t="s">
        <v>25</v>
      </c>
      <c r="E295" s="4" t="s">
        <v>2792</v>
      </c>
      <c r="F295" s="4" t="s">
        <v>2793</v>
      </c>
      <c r="G295" s="4" t="s">
        <v>23</v>
      </c>
      <c r="H295" s="6">
        <v>46052</v>
      </c>
      <c r="I295" s="6">
        <v>46059</v>
      </c>
      <c r="J295" s="4" t="s">
        <v>2794</v>
      </c>
      <c r="K295" s="4" t="s">
        <v>1892</v>
      </c>
      <c r="L295">
        <v>6</v>
      </c>
      <c r="M295" s="6">
        <v>46106</v>
      </c>
      <c r="N295" s="4" t="s">
        <v>1893</v>
      </c>
      <c r="O295">
        <v>0</v>
      </c>
      <c r="P295" s="4" t="s">
        <v>24</v>
      </c>
      <c r="Q295" s="4" t="s">
        <v>1893</v>
      </c>
      <c r="R295" s="6">
        <v>46118</v>
      </c>
      <c r="S295" s="4" t="s">
        <v>190</v>
      </c>
      <c r="T295" s="4" t="s">
        <v>190</v>
      </c>
      <c r="U295">
        <v>0</v>
      </c>
      <c r="V295" s="4" t="s">
        <v>1901</v>
      </c>
      <c r="W295" s="4" t="s">
        <v>190</v>
      </c>
      <c r="X295" s="6">
        <v>46132</v>
      </c>
      <c r="Y295" s="4" t="s">
        <v>190</v>
      </c>
      <c r="Z295" s="4" t="s">
        <v>190</v>
      </c>
      <c r="AA295">
        <v>0</v>
      </c>
      <c r="AB295" s="4" t="s">
        <v>1895</v>
      </c>
      <c r="AC295" s="4" t="s">
        <v>190</v>
      </c>
      <c r="AD295" s="4" t="s">
        <v>190</v>
      </c>
      <c r="AE295" s="4" t="s">
        <v>190</v>
      </c>
      <c r="AF295" s="4" t="s">
        <v>190</v>
      </c>
    </row>
    <row r="296" spans="1:32" ht="16.5" customHeight="1">
      <c r="A296" s="3" t="s">
        <v>19</v>
      </c>
      <c r="B296" s="3" t="s">
        <v>2045</v>
      </c>
      <c r="C296" s="3" t="s">
        <v>2075</v>
      </c>
      <c r="D296" s="3" t="s">
        <v>25</v>
      </c>
      <c r="E296" s="3" t="s">
        <v>2795</v>
      </c>
      <c r="F296" s="3" t="s">
        <v>2796</v>
      </c>
      <c r="G296" s="3" t="s">
        <v>23</v>
      </c>
      <c r="H296" s="5">
        <v>46052</v>
      </c>
      <c r="I296" s="5">
        <v>46059</v>
      </c>
      <c r="J296" s="3" t="s">
        <v>2797</v>
      </c>
      <c r="K296" s="3" t="s">
        <v>1892</v>
      </c>
      <c r="L296">
        <v>6</v>
      </c>
      <c r="M296" s="5">
        <v>46106</v>
      </c>
      <c r="N296" s="3" t="s">
        <v>1893</v>
      </c>
      <c r="O296">
        <v>0</v>
      </c>
      <c r="P296" s="3" t="s">
        <v>24</v>
      </c>
      <c r="Q296" s="3" t="s">
        <v>1893</v>
      </c>
      <c r="R296" s="5">
        <v>46118</v>
      </c>
      <c r="S296" s="3" t="s">
        <v>190</v>
      </c>
      <c r="T296" s="3" t="s">
        <v>190</v>
      </c>
      <c r="U296">
        <v>0</v>
      </c>
      <c r="V296" s="3" t="s">
        <v>1901</v>
      </c>
      <c r="W296" s="3" t="s">
        <v>190</v>
      </c>
      <c r="X296" s="5">
        <v>46132</v>
      </c>
      <c r="Y296" s="3" t="s">
        <v>190</v>
      </c>
      <c r="Z296" s="3" t="s">
        <v>190</v>
      </c>
      <c r="AA296">
        <v>0</v>
      </c>
      <c r="AB296" s="3" t="s">
        <v>1895</v>
      </c>
      <c r="AC296" s="3" t="s">
        <v>190</v>
      </c>
      <c r="AD296" s="3" t="s">
        <v>190</v>
      </c>
      <c r="AE296" s="3" t="s">
        <v>190</v>
      </c>
      <c r="AF296" s="3" t="s">
        <v>190</v>
      </c>
    </row>
    <row r="297" spans="1:32" ht="16.5" customHeight="1">
      <c r="A297" s="4" t="s">
        <v>19</v>
      </c>
      <c r="B297" s="4" t="s">
        <v>56</v>
      </c>
      <c r="C297" s="4" t="s">
        <v>190</v>
      </c>
      <c r="D297" s="4" t="s">
        <v>116</v>
      </c>
      <c r="E297" s="4" t="s">
        <v>2798</v>
      </c>
      <c r="F297" s="4" t="s">
        <v>2799</v>
      </c>
      <c r="G297" s="4" t="s">
        <v>50</v>
      </c>
      <c r="H297" s="6">
        <v>46059</v>
      </c>
      <c r="I297" s="6">
        <v>46063.659895833334</v>
      </c>
      <c r="J297" s="4" t="s">
        <v>2800</v>
      </c>
      <c r="K297" s="4" t="s">
        <v>1892</v>
      </c>
      <c r="L297">
        <v>6</v>
      </c>
      <c r="M297" s="6">
        <v>46108</v>
      </c>
      <c r="N297" s="4" t="s">
        <v>1893</v>
      </c>
      <c r="O297">
        <v>0</v>
      </c>
      <c r="P297" s="4" t="s">
        <v>24</v>
      </c>
      <c r="Q297" s="4" t="s">
        <v>1893</v>
      </c>
      <c r="R297" s="6">
        <v>46118</v>
      </c>
      <c r="S297" s="4" t="s">
        <v>190</v>
      </c>
      <c r="T297" s="4" t="s">
        <v>190</v>
      </c>
      <c r="U297">
        <v>0</v>
      </c>
      <c r="V297" s="4" t="s">
        <v>1901</v>
      </c>
      <c r="W297" s="4" t="s">
        <v>190</v>
      </c>
      <c r="X297" s="6">
        <v>46132</v>
      </c>
      <c r="Y297" s="4" t="s">
        <v>190</v>
      </c>
      <c r="Z297" s="4" t="s">
        <v>190</v>
      </c>
      <c r="AA297">
        <v>0</v>
      </c>
      <c r="AB297" s="4" t="s">
        <v>1895</v>
      </c>
      <c r="AC297" s="4" t="s">
        <v>190</v>
      </c>
      <c r="AD297" s="4" t="s">
        <v>190</v>
      </c>
      <c r="AE297" s="4" t="s">
        <v>190</v>
      </c>
      <c r="AF297" s="4" t="s">
        <v>190</v>
      </c>
    </row>
    <row r="298" spans="1:32" ht="16.5" customHeight="1">
      <c r="A298" s="3" t="s">
        <v>19</v>
      </c>
      <c r="B298" s="3" t="s">
        <v>56</v>
      </c>
      <c r="C298" s="3" t="s">
        <v>190</v>
      </c>
      <c r="D298" s="3" t="s">
        <v>116</v>
      </c>
      <c r="E298" s="3" t="s">
        <v>2801</v>
      </c>
      <c r="F298" s="3" t="s">
        <v>2802</v>
      </c>
      <c r="G298" s="3" t="s">
        <v>23</v>
      </c>
      <c r="H298" s="5">
        <v>46045</v>
      </c>
      <c r="I298" s="5">
        <v>46063.66002314815</v>
      </c>
      <c r="J298" s="3" t="s">
        <v>2803</v>
      </c>
      <c r="K298" s="3" t="s">
        <v>1892</v>
      </c>
      <c r="L298">
        <v>6</v>
      </c>
      <c r="M298" s="5">
        <v>46108</v>
      </c>
      <c r="N298" s="3" t="s">
        <v>1893</v>
      </c>
      <c r="O298">
        <v>0</v>
      </c>
      <c r="P298" s="3" t="s">
        <v>24</v>
      </c>
      <c r="Q298" s="3" t="s">
        <v>1893</v>
      </c>
      <c r="R298" s="5">
        <v>46118</v>
      </c>
      <c r="S298" s="3" t="s">
        <v>190</v>
      </c>
      <c r="T298" s="3" t="s">
        <v>190</v>
      </c>
      <c r="U298">
        <v>0</v>
      </c>
      <c r="V298" s="3" t="s">
        <v>1901</v>
      </c>
      <c r="W298" s="3" t="s">
        <v>190</v>
      </c>
      <c r="X298" s="5">
        <v>46132</v>
      </c>
      <c r="Y298" s="3" t="s">
        <v>190</v>
      </c>
      <c r="Z298" s="3" t="s">
        <v>190</v>
      </c>
      <c r="AA298">
        <v>0</v>
      </c>
      <c r="AB298" s="3" t="s">
        <v>1895</v>
      </c>
      <c r="AC298" s="3" t="s">
        <v>190</v>
      </c>
      <c r="AD298" s="3" t="s">
        <v>190</v>
      </c>
      <c r="AE298" s="3" t="s">
        <v>190</v>
      </c>
      <c r="AF298" s="3" t="s">
        <v>190</v>
      </c>
    </row>
    <row r="299" spans="1:32" ht="16.5" customHeight="1">
      <c r="A299" s="4" t="s">
        <v>19</v>
      </c>
      <c r="B299" s="4" t="s">
        <v>56</v>
      </c>
      <c r="C299" s="4" t="s">
        <v>190</v>
      </c>
      <c r="D299" s="4" t="s">
        <v>116</v>
      </c>
      <c r="E299" s="4" t="s">
        <v>2804</v>
      </c>
      <c r="F299" s="4" t="s">
        <v>2805</v>
      </c>
      <c r="G299" s="4" t="s">
        <v>50</v>
      </c>
      <c r="H299" s="6">
        <v>46066</v>
      </c>
      <c r="I299" s="6"/>
      <c r="J299" s="4" t="s">
        <v>2806</v>
      </c>
      <c r="K299" s="4" t="s">
        <v>1892</v>
      </c>
      <c r="L299">
        <v>6</v>
      </c>
      <c r="M299" s="6">
        <v>46108</v>
      </c>
      <c r="N299" s="4" t="s">
        <v>1893</v>
      </c>
      <c r="O299">
        <v>0</v>
      </c>
      <c r="P299" s="4" t="s">
        <v>24</v>
      </c>
      <c r="Q299" s="4" t="s">
        <v>1893</v>
      </c>
      <c r="R299" s="6">
        <v>46118</v>
      </c>
      <c r="S299" s="4" t="s">
        <v>190</v>
      </c>
      <c r="T299" s="4" t="s">
        <v>190</v>
      </c>
      <c r="U299">
        <v>0</v>
      </c>
      <c r="V299" s="4" t="s">
        <v>1901</v>
      </c>
      <c r="W299" s="4" t="s">
        <v>190</v>
      </c>
      <c r="X299" s="6">
        <v>46132</v>
      </c>
      <c r="Y299" s="4" t="s">
        <v>190</v>
      </c>
      <c r="Z299" s="4" t="s">
        <v>190</v>
      </c>
      <c r="AA299">
        <v>0</v>
      </c>
      <c r="AB299" s="4" t="s">
        <v>1895</v>
      </c>
      <c r="AC299" s="4" t="s">
        <v>190</v>
      </c>
      <c r="AD299" s="4" t="s">
        <v>190</v>
      </c>
      <c r="AE299" s="4" t="s">
        <v>190</v>
      </c>
      <c r="AF299" s="4" t="s">
        <v>190</v>
      </c>
    </row>
    <row r="300" spans="1:32" ht="16.5" customHeight="1">
      <c r="A300" s="3" t="s">
        <v>19</v>
      </c>
      <c r="B300" s="3" t="s">
        <v>56</v>
      </c>
      <c r="C300" s="3" t="s">
        <v>190</v>
      </c>
      <c r="D300" s="3" t="s">
        <v>116</v>
      </c>
      <c r="E300" s="3" t="s">
        <v>2807</v>
      </c>
      <c r="F300" s="3" t="s">
        <v>2808</v>
      </c>
      <c r="G300" s="3" t="s">
        <v>50</v>
      </c>
      <c r="H300" s="5">
        <v>46052</v>
      </c>
      <c r="I300" s="5">
        <v>46063.66028935185</v>
      </c>
      <c r="J300" s="3" t="s">
        <v>2809</v>
      </c>
      <c r="K300" s="3" t="s">
        <v>1892</v>
      </c>
      <c r="L300">
        <v>6</v>
      </c>
      <c r="M300" s="5">
        <v>46108</v>
      </c>
      <c r="N300" s="3" t="s">
        <v>1893</v>
      </c>
      <c r="O300">
        <v>0</v>
      </c>
      <c r="P300" s="3" t="s">
        <v>24</v>
      </c>
      <c r="Q300" s="3" t="s">
        <v>1893</v>
      </c>
      <c r="R300" s="5">
        <v>46118</v>
      </c>
      <c r="S300" s="3" t="s">
        <v>190</v>
      </c>
      <c r="T300" s="3" t="s">
        <v>190</v>
      </c>
      <c r="U300">
        <v>0</v>
      </c>
      <c r="V300" s="3" t="s">
        <v>1901</v>
      </c>
      <c r="W300" s="3" t="s">
        <v>190</v>
      </c>
      <c r="X300" s="5">
        <v>46132</v>
      </c>
      <c r="Y300" s="3" t="s">
        <v>190</v>
      </c>
      <c r="Z300" s="3" t="s">
        <v>190</v>
      </c>
      <c r="AA300">
        <v>0</v>
      </c>
      <c r="AB300" s="3" t="s">
        <v>1895</v>
      </c>
      <c r="AC300" s="3" t="s">
        <v>190</v>
      </c>
      <c r="AD300" s="3" t="s">
        <v>190</v>
      </c>
      <c r="AE300" s="3" t="s">
        <v>190</v>
      </c>
      <c r="AF300" s="3" t="s">
        <v>190</v>
      </c>
    </row>
    <row r="301" spans="1:32" ht="16.5" customHeight="1">
      <c r="A301" s="4" t="s">
        <v>216</v>
      </c>
      <c r="B301" s="4" t="s">
        <v>2095</v>
      </c>
      <c r="C301" s="4" t="s">
        <v>1889</v>
      </c>
      <c r="D301" s="4" t="s">
        <v>25</v>
      </c>
      <c r="E301" s="4" t="s">
        <v>2810</v>
      </c>
      <c r="F301" s="4" t="s">
        <v>2811</v>
      </c>
      <c r="G301" s="4" t="s">
        <v>225</v>
      </c>
      <c r="H301" s="6">
        <v>46051</v>
      </c>
      <c r="I301" s="6">
        <v>46051.733819444446</v>
      </c>
      <c r="J301" s="4" t="s">
        <v>2812</v>
      </c>
      <c r="K301" s="4" t="s">
        <v>1892</v>
      </c>
      <c r="L301">
        <v>6</v>
      </c>
      <c r="M301" s="6">
        <v>46105</v>
      </c>
      <c r="N301" s="4" t="s">
        <v>1893</v>
      </c>
      <c r="O301">
        <v>0</v>
      </c>
      <c r="P301" s="4" t="s">
        <v>24</v>
      </c>
      <c r="Q301" s="4" t="s">
        <v>1893</v>
      </c>
      <c r="R301" s="6">
        <v>46118</v>
      </c>
      <c r="S301" s="4" t="s">
        <v>190</v>
      </c>
      <c r="T301" s="4" t="s">
        <v>190</v>
      </c>
      <c r="U301">
        <v>0</v>
      </c>
      <c r="V301" s="4" t="s">
        <v>1901</v>
      </c>
      <c r="W301" s="4" t="s">
        <v>190</v>
      </c>
      <c r="X301" s="6">
        <v>46132</v>
      </c>
      <c r="Y301" s="4" t="s">
        <v>190</v>
      </c>
      <c r="Z301" s="4" t="s">
        <v>190</v>
      </c>
      <c r="AA301">
        <v>0</v>
      </c>
      <c r="AB301" s="4" t="s">
        <v>1895</v>
      </c>
      <c r="AC301" s="4" t="s">
        <v>190</v>
      </c>
      <c r="AD301" s="4" t="s">
        <v>190</v>
      </c>
      <c r="AE301" s="4" t="s">
        <v>190</v>
      </c>
      <c r="AF301" s="4" t="s">
        <v>190</v>
      </c>
    </row>
    <row r="302" spans="1:32" ht="16.5" customHeight="1">
      <c r="A302" s="3" t="s">
        <v>216</v>
      </c>
      <c r="B302" s="3" t="s">
        <v>2095</v>
      </c>
      <c r="C302" s="3" t="s">
        <v>2147</v>
      </c>
      <c r="D302" s="3" t="s">
        <v>25</v>
      </c>
      <c r="E302" s="3" t="s">
        <v>2813</v>
      </c>
      <c r="F302" s="3" t="s">
        <v>2154</v>
      </c>
      <c r="G302" s="3" t="s">
        <v>225</v>
      </c>
      <c r="H302" s="5">
        <v>46051</v>
      </c>
      <c r="I302" s="5">
        <v>46037.873796296299</v>
      </c>
      <c r="J302" s="3" t="s">
        <v>2814</v>
      </c>
      <c r="K302" s="3" t="s">
        <v>1892</v>
      </c>
      <c r="L302">
        <v>6</v>
      </c>
      <c r="M302" s="5">
        <v>46105</v>
      </c>
      <c r="N302" s="3" t="s">
        <v>1893</v>
      </c>
      <c r="O302">
        <v>0</v>
      </c>
      <c r="P302" s="3" t="s">
        <v>24</v>
      </c>
      <c r="Q302" s="3" t="s">
        <v>1893</v>
      </c>
      <c r="R302" s="5">
        <v>46118</v>
      </c>
      <c r="S302" s="3" t="s">
        <v>190</v>
      </c>
      <c r="T302" s="3" t="s">
        <v>190</v>
      </c>
      <c r="U302">
        <v>0</v>
      </c>
      <c r="V302" s="3" t="s">
        <v>1901</v>
      </c>
      <c r="W302" s="3" t="s">
        <v>190</v>
      </c>
      <c r="X302" s="5">
        <v>46132</v>
      </c>
      <c r="Y302" s="3" t="s">
        <v>190</v>
      </c>
      <c r="Z302" s="3" t="s">
        <v>190</v>
      </c>
      <c r="AA302">
        <v>0</v>
      </c>
      <c r="AB302" s="3" t="s">
        <v>1895</v>
      </c>
      <c r="AC302" s="3" t="s">
        <v>190</v>
      </c>
      <c r="AD302" s="3" t="s">
        <v>190</v>
      </c>
      <c r="AE302" s="3" t="s">
        <v>190</v>
      </c>
      <c r="AF302" s="3" t="s">
        <v>190</v>
      </c>
    </row>
    <row r="303" spans="1:32" ht="16.5" customHeight="1">
      <c r="A303" s="4" t="s">
        <v>216</v>
      </c>
      <c r="B303" s="4" t="s">
        <v>2095</v>
      </c>
      <c r="C303" s="4" t="s">
        <v>2147</v>
      </c>
      <c r="D303" s="4" t="s">
        <v>25</v>
      </c>
      <c r="E303" s="4" t="s">
        <v>2815</v>
      </c>
      <c r="F303" s="4" t="s">
        <v>2816</v>
      </c>
      <c r="G303" s="4" t="s">
        <v>225</v>
      </c>
      <c r="H303" s="6">
        <v>46051</v>
      </c>
      <c r="I303" s="6">
        <v>46051.733229166668</v>
      </c>
      <c r="J303" s="4" t="s">
        <v>2817</v>
      </c>
      <c r="K303" s="4" t="s">
        <v>1892</v>
      </c>
      <c r="L303">
        <v>6</v>
      </c>
      <c r="M303" s="6">
        <v>46105</v>
      </c>
      <c r="N303" s="4" t="s">
        <v>1893</v>
      </c>
      <c r="O303">
        <v>0</v>
      </c>
      <c r="P303" s="4" t="s">
        <v>24</v>
      </c>
      <c r="Q303" s="4" t="s">
        <v>1893</v>
      </c>
      <c r="R303" s="6">
        <v>46118</v>
      </c>
      <c r="S303" s="4" t="s">
        <v>190</v>
      </c>
      <c r="T303" s="4" t="s">
        <v>190</v>
      </c>
      <c r="U303">
        <v>0</v>
      </c>
      <c r="V303" s="4" t="s">
        <v>1901</v>
      </c>
      <c r="W303" s="4" t="s">
        <v>190</v>
      </c>
      <c r="X303" s="6">
        <v>46132</v>
      </c>
      <c r="Y303" s="4" t="s">
        <v>190</v>
      </c>
      <c r="Z303" s="4" t="s">
        <v>190</v>
      </c>
      <c r="AA303">
        <v>0</v>
      </c>
      <c r="AB303" s="4" t="s">
        <v>1895</v>
      </c>
      <c r="AC303" s="4" t="s">
        <v>190</v>
      </c>
      <c r="AD303" s="4" t="s">
        <v>190</v>
      </c>
      <c r="AE303" s="4" t="s">
        <v>190</v>
      </c>
      <c r="AF303" s="4" t="s">
        <v>190</v>
      </c>
    </row>
    <row r="304" spans="1:32" ht="16.5" customHeight="1">
      <c r="A304" s="3" t="s">
        <v>216</v>
      </c>
      <c r="B304" s="3" t="s">
        <v>2095</v>
      </c>
      <c r="C304" s="3" t="s">
        <v>2147</v>
      </c>
      <c r="D304" s="3" t="s">
        <v>25</v>
      </c>
      <c r="E304" s="3" t="s">
        <v>2818</v>
      </c>
      <c r="F304" s="3" t="s">
        <v>2819</v>
      </c>
      <c r="G304" s="3" t="s">
        <v>225</v>
      </c>
      <c r="H304" s="5">
        <v>46051</v>
      </c>
      <c r="I304" s="5">
        <v>46051.733715277776</v>
      </c>
      <c r="J304" s="3" t="s">
        <v>222</v>
      </c>
      <c r="K304" s="3" t="s">
        <v>1892</v>
      </c>
      <c r="L304">
        <v>6</v>
      </c>
      <c r="M304" s="5">
        <v>46105</v>
      </c>
      <c r="N304" s="3" t="s">
        <v>1900</v>
      </c>
      <c r="O304">
        <v>0</v>
      </c>
      <c r="P304" s="3" t="s">
        <v>24</v>
      </c>
      <c r="Q304" s="3" t="s">
        <v>1900</v>
      </c>
      <c r="R304" s="5">
        <v>46118</v>
      </c>
      <c r="S304" s="3" t="s">
        <v>190</v>
      </c>
      <c r="T304" s="3" t="s">
        <v>190</v>
      </c>
      <c r="U304">
        <v>0</v>
      </c>
      <c r="V304" s="3" t="s">
        <v>1901</v>
      </c>
      <c r="W304" s="3" t="s">
        <v>190</v>
      </c>
      <c r="X304" s="5">
        <v>46132</v>
      </c>
      <c r="Y304" s="3" t="s">
        <v>190</v>
      </c>
      <c r="Z304" s="3" t="s">
        <v>190</v>
      </c>
      <c r="AA304">
        <v>0</v>
      </c>
      <c r="AB304" s="3" t="s">
        <v>1895</v>
      </c>
      <c r="AC304" s="3" t="s">
        <v>190</v>
      </c>
      <c r="AD304" s="3" t="s">
        <v>190</v>
      </c>
      <c r="AE304" s="3" t="s">
        <v>190</v>
      </c>
      <c r="AF304" s="3" t="s">
        <v>190</v>
      </c>
    </row>
    <row r="305" spans="1:32" ht="16.5" customHeight="1">
      <c r="A305" s="4" t="s">
        <v>216</v>
      </c>
      <c r="B305" s="4" t="s">
        <v>2095</v>
      </c>
      <c r="C305" s="4" t="s">
        <v>2147</v>
      </c>
      <c r="D305" s="4" t="s">
        <v>25</v>
      </c>
      <c r="E305" s="4" t="s">
        <v>2820</v>
      </c>
      <c r="F305" s="4" t="s">
        <v>2821</v>
      </c>
      <c r="G305" s="4" t="s">
        <v>225</v>
      </c>
      <c r="H305" s="6">
        <v>46051</v>
      </c>
      <c r="I305" s="6">
        <v>46051.734027777777</v>
      </c>
      <c r="J305" s="4" t="s">
        <v>2822</v>
      </c>
      <c r="K305" s="4" t="s">
        <v>1892</v>
      </c>
      <c r="L305">
        <v>6</v>
      </c>
      <c r="M305" s="6">
        <v>46105</v>
      </c>
      <c r="N305" s="4" t="s">
        <v>1893</v>
      </c>
      <c r="O305">
        <v>0</v>
      </c>
      <c r="P305" s="4" t="s">
        <v>24</v>
      </c>
      <c r="Q305" s="4" t="s">
        <v>1893</v>
      </c>
      <c r="R305" s="6">
        <v>46118</v>
      </c>
      <c r="S305" s="4" t="s">
        <v>190</v>
      </c>
      <c r="T305" s="4" t="s">
        <v>190</v>
      </c>
      <c r="U305">
        <v>0</v>
      </c>
      <c r="V305" s="4" t="s">
        <v>1901</v>
      </c>
      <c r="W305" s="4" t="s">
        <v>190</v>
      </c>
      <c r="X305" s="6">
        <v>46132</v>
      </c>
      <c r="Y305" s="4" t="s">
        <v>190</v>
      </c>
      <c r="Z305" s="4" t="s">
        <v>190</v>
      </c>
      <c r="AA305">
        <v>0</v>
      </c>
      <c r="AB305" s="4" t="s">
        <v>1895</v>
      </c>
      <c r="AC305" s="4" t="s">
        <v>190</v>
      </c>
      <c r="AD305" s="4" t="s">
        <v>190</v>
      </c>
      <c r="AE305" s="4" t="s">
        <v>190</v>
      </c>
      <c r="AF305" s="4" t="s">
        <v>190</v>
      </c>
    </row>
    <row r="306" spans="1:32" ht="16.5" customHeight="1">
      <c r="A306" s="3" t="s">
        <v>216</v>
      </c>
      <c r="B306" s="3" t="s">
        <v>56</v>
      </c>
      <c r="C306" s="3" t="s">
        <v>56</v>
      </c>
      <c r="D306" s="3" t="s">
        <v>116</v>
      </c>
      <c r="E306" s="3" t="s">
        <v>2823</v>
      </c>
      <c r="F306" s="3" t="s">
        <v>2824</v>
      </c>
      <c r="G306" s="3" t="s">
        <v>220</v>
      </c>
      <c r="H306" s="5">
        <v>46051</v>
      </c>
      <c r="I306" s="5">
        <v>46052.398321759261</v>
      </c>
      <c r="J306" s="3" t="s">
        <v>2825</v>
      </c>
      <c r="K306" s="3" t="s">
        <v>1892</v>
      </c>
      <c r="L306">
        <v>6</v>
      </c>
      <c r="M306" s="5">
        <v>46105</v>
      </c>
      <c r="N306" s="3" t="s">
        <v>1893</v>
      </c>
      <c r="O306">
        <v>0</v>
      </c>
      <c r="P306" s="3" t="s">
        <v>24</v>
      </c>
      <c r="Q306" s="3" t="s">
        <v>1893</v>
      </c>
      <c r="R306" s="5">
        <v>46118</v>
      </c>
      <c r="S306" s="3" t="s">
        <v>190</v>
      </c>
      <c r="T306" s="3" t="s">
        <v>190</v>
      </c>
      <c r="U306">
        <v>0</v>
      </c>
      <c r="V306" s="3" t="s">
        <v>1901</v>
      </c>
      <c r="W306" s="3" t="s">
        <v>190</v>
      </c>
      <c r="X306" s="5">
        <v>46132</v>
      </c>
      <c r="Y306" s="3" t="s">
        <v>190</v>
      </c>
      <c r="Z306" s="3" t="s">
        <v>190</v>
      </c>
      <c r="AA306">
        <v>0</v>
      </c>
      <c r="AB306" s="3" t="s">
        <v>1895</v>
      </c>
      <c r="AC306" s="3" t="s">
        <v>190</v>
      </c>
      <c r="AD306" s="3" t="s">
        <v>190</v>
      </c>
      <c r="AE306" s="3" t="s">
        <v>190</v>
      </c>
      <c r="AF306" s="3" t="s">
        <v>190</v>
      </c>
    </row>
    <row r="307" spans="1:32" ht="16.5" customHeight="1">
      <c r="A307" s="4" t="s">
        <v>216</v>
      </c>
      <c r="B307" s="4" t="s">
        <v>56</v>
      </c>
      <c r="C307" s="4" t="s">
        <v>56</v>
      </c>
      <c r="D307" s="4" t="s">
        <v>116</v>
      </c>
      <c r="E307" s="4" t="s">
        <v>2826</v>
      </c>
      <c r="F307" s="4" t="s">
        <v>2827</v>
      </c>
      <c r="G307" s="4" t="s">
        <v>220</v>
      </c>
      <c r="H307" s="6">
        <v>46051</v>
      </c>
      <c r="I307" s="6">
        <v>46050.596076388887</v>
      </c>
      <c r="J307" s="4" t="s">
        <v>2828</v>
      </c>
      <c r="K307" s="4" t="s">
        <v>1892</v>
      </c>
      <c r="L307">
        <v>6</v>
      </c>
      <c r="M307" s="6">
        <v>46105</v>
      </c>
      <c r="N307" s="4" t="s">
        <v>1893</v>
      </c>
      <c r="O307">
        <v>0</v>
      </c>
      <c r="P307" s="4" t="s">
        <v>24</v>
      </c>
      <c r="Q307" s="4" t="s">
        <v>1893</v>
      </c>
      <c r="R307" s="6">
        <v>46118</v>
      </c>
      <c r="S307" s="4" t="s">
        <v>190</v>
      </c>
      <c r="T307" s="4" t="s">
        <v>190</v>
      </c>
      <c r="U307">
        <v>0</v>
      </c>
      <c r="V307" s="4" t="s">
        <v>1901</v>
      </c>
      <c r="W307" s="4" t="s">
        <v>190</v>
      </c>
      <c r="X307" s="6">
        <v>46132</v>
      </c>
      <c r="Y307" s="4" t="s">
        <v>190</v>
      </c>
      <c r="Z307" s="4" t="s">
        <v>190</v>
      </c>
      <c r="AA307">
        <v>0</v>
      </c>
      <c r="AB307" s="4" t="s">
        <v>1895</v>
      </c>
      <c r="AC307" s="4" t="s">
        <v>190</v>
      </c>
      <c r="AD307" s="4" t="s">
        <v>190</v>
      </c>
      <c r="AE307" s="4" t="s">
        <v>190</v>
      </c>
      <c r="AF307" s="4" t="s">
        <v>190</v>
      </c>
    </row>
    <row r="308" spans="1:32" ht="16.5" customHeight="1">
      <c r="A308" s="3" t="s">
        <v>216</v>
      </c>
      <c r="B308" s="3" t="s">
        <v>56</v>
      </c>
      <c r="C308" s="3" t="s">
        <v>56</v>
      </c>
      <c r="D308" s="3" t="s">
        <v>116</v>
      </c>
      <c r="E308" s="3" t="s">
        <v>2829</v>
      </c>
      <c r="F308" s="3" t="s">
        <v>2830</v>
      </c>
      <c r="G308" s="3" t="s">
        <v>220</v>
      </c>
      <c r="H308" s="5">
        <v>46051</v>
      </c>
      <c r="I308" s="5">
        <v>46050.596562500003</v>
      </c>
      <c r="J308" s="3" t="s">
        <v>2831</v>
      </c>
      <c r="K308" s="3" t="s">
        <v>1892</v>
      </c>
      <c r="L308">
        <v>6</v>
      </c>
      <c r="M308" s="5">
        <v>46105</v>
      </c>
      <c r="N308" s="3" t="s">
        <v>1893</v>
      </c>
      <c r="O308">
        <v>0</v>
      </c>
      <c r="P308" s="3" t="s">
        <v>24</v>
      </c>
      <c r="Q308" s="3" t="s">
        <v>1893</v>
      </c>
      <c r="R308" s="5">
        <v>46118</v>
      </c>
      <c r="S308" s="3" t="s">
        <v>190</v>
      </c>
      <c r="T308" s="3" t="s">
        <v>190</v>
      </c>
      <c r="U308">
        <v>0</v>
      </c>
      <c r="V308" s="3" t="s">
        <v>1901</v>
      </c>
      <c r="W308" s="3" t="s">
        <v>190</v>
      </c>
      <c r="X308" s="5">
        <v>46132</v>
      </c>
      <c r="Y308" s="3" t="s">
        <v>190</v>
      </c>
      <c r="Z308" s="3" t="s">
        <v>190</v>
      </c>
      <c r="AA308">
        <v>0</v>
      </c>
      <c r="AB308" s="3" t="s">
        <v>1895</v>
      </c>
      <c r="AC308" s="3" t="s">
        <v>190</v>
      </c>
      <c r="AD308" s="3" t="s">
        <v>190</v>
      </c>
      <c r="AE308" s="3" t="s">
        <v>190</v>
      </c>
      <c r="AF308" s="3" t="s">
        <v>190</v>
      </c>
    </row>
    <row r="309" spans="1:32" ht="16.5" customHeight="1">
      <c r="A309" s="4" t="s">
        <v>261</v>
      </c>
      <c r="B309" s="4" t="s">
        <v>56</v>
      </c>
      <c r="C309" s="4" t="s">
        <v>56</v>
      </c>
      <c r="D309" s="4" t="s">
        <v>1795</v>
      </c>
      <c r="E309" s="4" t="s">
        <v>2832</v>
      </c>
      <c r="F309" s="4" t="s">
        <v>2833</v>
      </c>
      <c r="G309" s="4" t="s">
        <v>219</v>
      </c>
      <c r="H309" s="6">
        <v>46066</v>
      </c>
      <c r="I309" s="6">
        <v>46065.498310185183</v>
      </c>
      <c r="J309" s="4" t="s">
        <v>2834</v>
      </c>
      <c r="K309" s="4" t="s">
        <v>1892</v>
      </c>
      <c r="L309">
        <v>6</v>
      </c>
      <c r="M309" s="6"/>
      <c r="N309" s="4" t="s">
        <v>190</v>
      </c>
      <c r="O309">
        <v>0</v>
      </c>
      <c r="P309" s="4" t="s">
        <v>24</v>
      </c>
      <c r="Q309" s="4" t="s">
        <v>190</v>
      </c>
      <c r="R309" s="6">
        <v>46118</v>
      </c>
      <c r="S309" s="4" t="s">
        <v>190</v>
      </c>
      <c r="T309" s="4" t="s">
        <v>190</v>
      </c>
      <c r="U309">
        <v>0</v>
      </c>
      <c r="V309" s="4" t="s">
        <v>1901</v>
      </c>
      <c r="W309" s="4" t="s">
        <v>190</v>
      </c>
      <c r="X309" s="6">
        <v>46132</v>
      </c>
      <c r="Y309" s="4" t="s">
        <v>190</v>
      </c>
      <c r="Z309" s="4" t="s">
        <v>190</v>
      </c>
      <c r="AA309">
        <v>0</v>
      </c>
      <c r="AB309" s="4" t="s">
        <v>1895</v>
      </c>
      <c r="AC309" s="4" t="s">
        <v>190</v>
      </c>
      <c r="AD309" s="4" t="s">
        <v>190</v>
      </c>
      <c r="AE309" s="4" t="s">
        <v>190</v>
      </c>
      <c r="AF309" s="4" t="s">
        <v>190</v>
      </c>
    </row>
    <row r="310" spans="1:32" ht="16.5" customHeight="1">
      <c r="A310" s="3" t="s">
        <v>261</v>
      </c>
      <c r="B310" s="3" t="s">
        <v>56</v>
      </c>
      <c r="C310" s="3" t="s">
        <v>56</v>
      </c>
      <c r="D310" s="3" t="s">
        <v>1795</v>
      </c>
      <c r="E310" s="3" t="s">
        <v>2835</v>
      </c>
      <c r="F310" s="3" t="s">
        <v>2836</v>
      </c>
      <c r="G310" s="3" t="s">
        <v>219</v>
      </c>
      <c r="H310" s="5">
        <v>46080</v>
      </c>
      <c r="I310" s="5">
        <v>46065.498819444445</v>
      </c>
      <c r="J310" s="3" t="s">
        <v>2837</v>
      </c>
      <c r="K310" s="3" t="s">
        <v>1892</v>
      </c>
      <c r="L310">
        <v>6</v>
      </c>
      <c r="M310" s="5"/>
      <c r="N310" s="3" t="s">
        <v>190</v>
      </c>
      <c r="O310">
        <v>0</v>
      </c>
      <c r="P310" s="3" t="s">
        <v>24</v>
      </c>
      <c r="Q310" s="3" t="s">
        <v>190</v>
      </c>
      <c r="R310" s="5">
        <v>46118</v>
      </c>
      <c r="S310" s="3" t="s">
        <v>190</v>
      </c>
      <c r="T310" s="3" t="s">
        <v>190</v>
      </c>
      <c r="U310">
        <v>0</v>
      </c>
      <c r="V310" s="3" t="s">
        <v>1901</v>
      </c>
      <c r="W310" s="3" t="s">
        <v>190</v>
      </c>
      <c r="X310" s="5">
        <v>46132</v>
      </c>
      <c r="Y310" s="3" t="s">
        <v>190</v>
      </c>
      <c r="Z310" s="3" t="s">
        <v>190</v>
      </c>
      <c r="AA310">
        <v>0</v>
      </c>
      <c r="AB310" s="3" t="s">
        <v>1895</v>
      </c>
      <c r="AC310" s="3" t="s">
        <v>190</v>
      </c>
      <c r="AD310" s="3" t="s">
        <v>190</v>
      </c>
      <c r="AE310" s="3" t="s">
        <v>190</v>
      </c>
      <c r="AF310" s="3" t="s">
        <v>190</v>
      </c>
    </row>
    <row r="311" spans="1:32" ht="16.5" customHeight="1">
      <c r="A311" s="4" t="s">
        <v>261</v>
      </c>
      <c r="B311" s="4" t="s">
        <v>56</v>
      </c>
      <c r="C311" s="4" t="s">
        <v>56</v>
      </c>
      <c r="D311" s="4" t="s">
        <v>1795</v>
      </c>
      <c r="E311" s="4" t="s">
        <v>2838</v>
      </c>
      <c r="F311" s="4" t="s">
        <v>2839</v>
      </c>
      <c r="G311" s="4" t="s">
        <v>219</v>
      </c>
      <c r="H311" s="6">
        <v>46080</v>
      </c>
      <c r="I311" s="6">
        <v>46065.498888888891</v>
      </c>
      <c r="J311" s="4" t="s">
        <v>2840</v>
      </c>
      <c r="K311" s="4" t="s">
        <v>1892</v>
      </c>
      <c r="L311">
        <v>6</v>
      </c>
      <c r="M311" s="6"/>
      <c r="N311" s="4" t="s">
        <v>190</v>
      </c>
      <c r="O311">
        <v>0</v>
      </c>
      <c r="P311" s="4" t="s">
        <v>24</v>
      </c>
      <c r="Q311" s="4" t="s">
        <v>190</v>
      </c>
      <c r="R311" s="6">
        <v>46118</v>
      </c>
      <c r="S311" s="4" t="s">
        <v>190</v>
      </c>
      <c r="T311" s="4" t="s">
        <v>190</v>
      </c>
      <c r="U311">
        <v>0</v>
      </c>
      <c r="V311" s="4" t="s">
        <v>1901</v>
      </c>
      <c r="W311" s="4" t="s">
        <v>190</v>
      </c>
      <c r="X311" s="6">
        <v>46132</v>
      </c>
      <c r="Y311" s="4" t="s">
        <v>190</v>
      </c>
      <c r="Z311" s="4" t="s">
        <v>190</v>
      </c>
      <c r="AA311">
        <v>0</v>
      </c>
      <c r="AB311" s="4" t="s">
        <v>1895</v>
      </c>
      <c r="AC311" s="4" t="s">
        <v>190</v>
      </c>
      <c r="AD311" s="4" t="s">
        <v>190</v>
      </c>
      <c r="AE311" s="4" t="s">
        <v>190</v>
      </c>
      <c r="AF311" s="4" t="s">
        <v>190</v>
      </c>
    </row>
    <row r="312" spans="1:32" ht="16.5" customHeight="1">
      <c r="A312" s="3" t="s">
        <v>261</v>
      </c>
      <c r="B312" s="3" t="s">
        <v>56</v>
      </c>
      <c r="C312" s="3" t="s">
        <v>56</v>
      </c>
      <c r="D312" s="3" t="s">
        <v>1795</v>
      </c>
      <c r="E312" s="3" t="s">
        <v>2841</v>
      </c>
      <c r="F312" s="3" t="s">
        <v>2842</v>
      </c>
      <c r="G312" s="3" t="s">
        <v>219</v>
      </c>
      <c r="H312" s="5">
        <v>46079</v>
      </c>
      <c r="I312" s="5">
        <v>46065.498993055553</v>
      </c>
      <c r="J312" s="3" t="s">
        <v>2843</v>
      </c>
      <c r="K312" s="3" t="s">
        <v>1892</v>
      </c>
      <c r="L312">
        <v>6</v>
      </c>
      <c r="M312" s="5"/>
      <c r="N312" s="3" t="s">
        <v>190</v>
      </c>
      <c r="O312">
        <v>0</v>
      </c>
      <c r="P312" s="3" t="s">
        <v>24</v>
      </c>
      <c r="Q312" s="3" t="s">
        <v>190</v>
      </c>
      <c r="R312" s="5">
        <v>46118</v>
      </c>
      <c r="S312" s="3" t="s">
        <v>190</v>
      </c>
      <c r="T312" s="3" t="s">
        <v>190</v>
      </c>
      <c r="U312">
        <v>0</v>
      </c>
      <c r="V312" s="3" t="s">
        <v>1901</v>
      </c>
      <c r="W312" s="3" t="s">
        <v>190</v>
      </c>
      <c r="X312" s="5">
        <v>46132</v>
      </c>
      <c r="Y312" s="3" t="s">
        <v>190</v>
      </c>
      <c r="Z312" s="3" t="s">
        <v>190</v>
      </c>
      <c r="AA312">
        <v>0</v>
      </c>
      <c r="AB312" s="3" t="s">
        <v>1895</v>
      </c>
      <c r="AC312" s="3" t="s">
        <v>190</v>
      </c>
      <c r="AD312" s="3" t="s">
        <v>190</v>
      </c>
      <c r="AE312" s="3" t="s">
        <v>190</v>
      </c>
      <c r="AF312" s="3" t="s">
        <v>190</v>
      </c>
    </row>
    <row r="313" spans="1:32" ht="16.5" customHeight="1">
      <c r="A313" s="4" t="s">
        <v>261</v>
      </c>
      <c r="B313" s="4" t="s">
        <v>2092</v>
      </c>
      <c r="C313" s="4" t="s">
        <v>2844</v>
      </c>
      <c r="D313" s="4" t="s">
        <v>25</v>
      </c>
      <c r="E313" s="4" t="s">
        <v>2845</v>
      </c>
      <c r="F313" s="4" t="s">
        <v>2846</v>
      </c>
      <c r="G313" s="4" t="s">
        <v>264</v>
      </c>
      <c r="H313" s="6">
        <v>46031</v>
      </c>
      <c r="I313" s="6">
        <v>46014.410810185182</v>
      </c>
      <c r="J313" s="4" t="s">
        <v>2847</v>
      </c>
      <c r="K313" s="4" t="s">
        <v>1892</v>
      </c>
      <c r="L313">
        <v>6</v>
      </c>
      <c r="M313" s="6">
        <v>46104</v>
      </c>
      <c r="N313" s="4" t="s">
        <v>1893</v>
      </c>
      <c r="O313">
        <v>0</v>
      </c>
      <c r="P313" s="4" t="s">
        <v>24</v>
      </c>
      <c r="Q313" s="4" t="s">
        <v>1893</v>
      </c>
      <c r="R313" s="6">
        <v>46118</v>
      </c>
      <c r="S313" s="4" t="s">
        <v>190</v>
      </c>
      <c r="T313" s="4" t="s">
        <v>190</v>
      </c>
      <c r="U313">
        <v>0</v>
      </c>
      <c r="V313" s="4" t="s">
        <v>1901</v>
      </c>
      <c r="W313" s="4" t="s">
        <v>190</v>
      </c>
      <c r="X313" s="6">
        <v>46132</v>
      </c>
      <c r="Y313" s="4" t="s">
        <v>190</v>
      </c>
      <c r="Z313" s="4" t="s">
        <v>190</v>
      </c>
      <c r="AA313">
        <v>0</v>
      </c>
      <c r="AB313" s="4" t="s">
        <v>1895</v>
      </c>
      <c r="AC313" s="4" t="s">
        <v>190</v>
      </c>
      <c r="AD313" s="4" t="s">
        <v>190</v>
      </c>
      <c r="AE313" s="4" t="s">
        <v>190</v>
      </c>
      <c r="AF313" s="4" t="s">
        <v>190</v>
      </c>
    </row>
    <row r="314" spans="1:32" ht="16.5" customHeight="1">
      <c r="A314" s="3" t="s">
        <v>261</v>
      </c>
      <c r="B314" s="3" t="s">
        <v>2092</v>
      </c>
      <c r="C314" s="3" t="s">
        <v>2848</v>
      </c>
      <c r="D314" s="3" t="s">
        <v>25</v>
      </c>
      <c r="E314" s="3" t="s">
        <v>2849</v>
      </c>
      <c r="F314" s="3" t="s">
        <v>2850</v>
      </c>
      <c r="G314" s="3" t="s">
        <v>264</v>
      </c>
      <c r="H314" s="5">
        <v>46024</v>
      </c>
      <c r="I314" s="5">
        <v>46037.585960648146</v>
      </c>
      <c r="J314" s="3" t="s">
        <v>476</v>
      </c>
      <c r="K314" s="3" t="s">
        <v>1892</v>
      </c>
      <c r="L314">
        <v>6</v>
      </c>
      <c r="M314" s="5">
        <v>46104</v>
      </c>
      <c r="N314" s="3" t="s">
        <v>1900</v>
      </c>
      <c r="O314">
        <v>0</v>
      </c>
      <c r="P314" s="3" t="s">
        <v>24</v>
      </c>
      <c r="Q314" s="3" t="s">
        <v>1893</v>
      </c>
      <c r="R314" s="5">
        <v>46118</v>
      </c>
      <c r="S314" s="3" t="s">
        <v>190</v>
      </c>
      <c r="T314" s="3" t="s">
        <v>190</v>
      </c>
      <c r="U314">
        <v>0</v>
      </c>
      <c r="V314" s="3" t="s">
        <v>1901</v>
      </c>
      <c r="W314" s="3" t="s">
        <v>190</v>
      </c>
      <c r="X314" s="5">
        <v>46132</v>
      </c>
      <c r="Y314" s="3" t="s">
        <v>190</v>
      </c>
      <c r="Z314" s="3" t="s">
        <v>190</v>
      </c>
      <c r="AA314">
        <v>0</v>
      </c>
      <c r="AB314" s="3" t="s">
        <v>1895</v>
      </c>
      <c r="AC314" s="3" t="s">
        <v>190</v>
      </c>
      <c r="AD314" s="3" t="s">
        <v>190</v>
      </c>
      <c r="AE314" s="3" t="s">
        <v>190</v>
      </c>
      <c r="AF314" s="3" t="s">
        <v>190</v>
      </c>
    </row>
    <row r="315" spans="1:32" ht="16.5" customHeight="1">
      <c r="A315" s="4" t="s">
        <v>261</v>
      </c>
      <c r="B315" s="4" t="s">
        <v>2092</v>
      </c>
      <c r="C315" s="4" t="s">
        <v>2851</v>
      </c>
      <c r="D315" s="4" t="s">
        <v>25</v>
      </c>
      <c r="E315" s="4" t="s">
        <v>2852</v>
      </c>
      <c r="F315" s="4" t="s">
        <v>2853</v>
      </c>
      <c r="G315" s="4" t="s">
        <v>264</v>
      </c>
      <c r="H315" s="6">
        <v>46024</v>
      </c>
      <c r="I315" s="6">
        <v>46037.585995370369</v>
      </c>
      <c r="J315" s="4" t="s">
        <v>481</v>
      </c>
      <c r="K315" s="4" t="s">
        <v>1892</v>
      </c>
      <c r="L315">
        <v>6</v>
      </c>
      <c r="M315" s="6">
        <v>46104</v>
      </c>
      <c r="N315" s="4" t="s">
        <v>1900</v>
      </c>
      <c r="O315">
        <v>0</v>
      </c>
      <c r="P315" s="4" t="s">
        <v>24</v>
      </c>
      <c r="Q315" s="4" t="s">
        <v>1893</v>
      </c>
      <c r="R315" s="6">
        <v>46118</v>
      </c>
      <c r="S315" s="4" t="s">
        <v>190</v>
      </c>
      <c r="T315" s="4" t="s">
        <v>190</v>
      </c>
      <c r="U315">
        <v>0</v>
      </c>
      <c r="V315" s="4" t="s">
        <v>1901</v>
      </c>
      <c r="W315" s="4" t="s">
        <v>190</v>
      </c>
      <c r="X315" s="6">
        <v>46132</v>
      </c>
      <c r="Y315" s="4" t="s">
        <v>190</v>
      </c>
      <c r="Z315" s="4" t="s">
        <v>190</v>
      </c>
      <c r="AA315">
        <v>0</v>
      </c>
      <c r="AB315" s="4" t="s">
        <v>1895</v>
      </c>
      <c r="AC315" s="4" t="s">
        <v>190</v>
      </c>
      <c r="AD315" s="4" t="s">
        <v>190</v>
      </c>
      <c r="AE315" s="4" t="s">
        <v>190</v>
      </c>
      <c r="AF315" s="4" t="s">
        <v>190</v>
      </c>
    </row>
    <row r="316" spans="1:32" ht="16.5" customHeight="1">
      <c r="A316" s="3" t="s">
        <v>261</v>
      </c>
      <c r="B316" s="3" t="s">
        <v>2095</v>
      </c>
      <c r="C316" s="3" t="s">
        <v>2854</v>
      </c>
      <c r="D316" s="3" t="s">
        <v>25</v>
      </c>
      <c r="E316" s="3" t="s">
        <v>2855</v>
      </c>
      <c r="F316" s="3" t="s">
        <v>2854</v>
      </c>
      <c r="G316" s="3" t="s">
        <v>225</v>
      </c>
      <c r="H316" s="5">
        <v>45835</v>
      </c>
      <c r="I316" s="5">
        <v>45828</v>
      </c>
      <c r="J316" s="3" t="s">
        <v>2856</v>
      </c>
      <c r="K316" s="3" t="s">
        <v>1892</v>
      </c>
      <c r="L316">
        <v>6</v>
      </c>
      <c r="M316" s="5">
        <v>45860</v>
      </c>
      <c r="N316" s="3" t="s">
        <v>1893</v>
      </c>
      <c r="O316">
        <v>0</v>
      </c>
      <c r="P316" s="3" t="s">
        <v>221</v>
      </c>
      <c r="Q316" s="3" t="s">
        <v>1893</v>
      </c>
      <c r="R316" s="5">
        <v>46118</v>
      </c>
      <c r="S316" s="3" t="s">
        <v>190</v>
      </c>
      <c r="T316" s="3" t="s">
        <v>190</v>
      </c>
      <c r="U316">
        <v>0</v>
      </c>
      <c r="V316" s="3" t="s">
        <v>1956</v>
      </c>
      <c r="W316" s="3" t="s">
        <v>190</v>
      </c>
      <c r="X316" s="5">
        <v>46132</v>
      </c>
      <c r="Y316" s="3" t="s">
        <v>190</v>
      </c>
      <c r="Z316" s="3" t="s">
        <v>190</v>
      </c>
      <c r="AA316">
        <v>0</v>
      </c>
      <c r="AB316" s="3" t="s">
        <v>1895</v>
      </c>
      <c r="AC316" s="3" t="s">
        <v>190</v>
      </c>
      <c r="AD316" s="3" t="s">
        <v>190</v>
      </c>
      <c r="AE316" s="3" t="s">
        <v>190</v>
      </c>
      <c r="AF316" s="3" t="s">
        <v>190</v>
      </c>
    </row>
    <row r="317" spans="1:32" ht="16.5" customHeight="1">
      <c r="A317" s="4" t="s">
        <v>261</v>
      </c>
      <c r="B317" s="4" t="s">
        <v>2095</v>
      </c>
      <c r="C317" s="4" t="s">
        <v>2857</v>
      </c>
      <c r="D317" s="4" t="s">
        <v>25</v>
      </c>
      <c r="E317" s="4" t="s">
        <v>2858</v>
      </c>
      <c r="F317" s="4" t="s">
        <v>2859</v>
      </c>
      <c r="G317" s="4" t="s">
        <v>264</v>
      </c>
      <c r="H317" s="6">
        <v>46065</v>
      </c>
      <c r="I317" s="6">
        <v>46065.441388888888</v>
      </c>
      <c r="J317" s="4" t="s">
        <v>2860</v>
      </c>
      <c r="K317" s="4" t="s">
        <v>1892</v>
      </c>
      <c r="L317">
        <v>6</v>
      </c>
      <c r="M317" s="6">
        <v>46104</v>
      </c>
      <c r="N317" s="4" t="s">
        <v>1893</v>
      </c>
      <c r="O317">
        <v>0</v>
      </c>
      <c r="P317" s="4" t="s">
        <v>24</v>
      </c>
      <c r="Q317" s="4" t="s">
        <v>1893</v>
      </c>
      <c r="R317" s="6">
        <v>46118</v>
      </c>
      <c r="S317" s="4" t="s">
        <v>190</v>
      </c>
      <c r="T317" s="4" t="s">
        <v>190</v>
      </c>
      <c r="U317">
        <v>0</v>
      </c>
      <c r="V317" s="4" t="s">
        <v>1901</v>
      </c>
      <c r="W317" s="4" t="s">
        <v>190</v>
      </c>
      <c r="X317" s="6">
        <v>46132</v>
      </c>
      <c r="Y317" s="4" t="s">
        <v>190</v>
      </c>
      <c r="Z317" s="4" t="s">
        <v>190</v>
      </c>
      <c r="AA317">
        <v>0</v>
      </c>
      <c r="AB317" s="4" t="s">
        <v>1895</v>
      </c>
      <c r="AC317" s="4" t="s">
        <v>190</v>
      </c>
      <c r="AD317" s="4" t="s">
        <v>190</v>
      </c>
      <c r="AE317" s="4" t="s">
        <v>190</v>
      </c>
      <c r="AF317" s="4" t="s">
        <v>190</v>
      </c>
    </row>
    <row r="318" spans="1:32" ht="16.5" customHeight="1">
      <c r="A318" s="3" t="s">
        <v>111</v>
      </c>
      <c r="B318" s="3" t="s">
        <v>2117</v>
      </c>
      <c r="C318" s="3" t="s">
        <v>2122</v>
      </c>
      <c r="D318" s="3" t="s">
        <v>25</v>
      </c>
      <c r="E318" s="3" t="s">
        <v>2861</v>
      </c>
      <c r="F318" s="3" t="s">
        <v>2862</v>
      </c>
      <c r="G318" s="3" t="s">
        <v>386</v>
      </c>
      <c r="H318" s="5">
        <v>46065</v>
      </c>
      <c r="I318" s="5">
        <v>46038.365289351852</v>
      </c>
      <c r="J318" s="3" t="s">
        <v>704</v>
      </c>
      <c r="K318" s="3" t="s">
        <v>1892</v>
      </c>
      <c r="L318">
        <v>6</v>
      </c>
      <c r="M318" s="5">
        <v>46104</v>
      </c>
      <c r="N318" s="3" t="s">
        <v>1900</v>
      </c>
      <c r="O318">
        <v>0</v>
      </c>
      <c r="P318" s="3" t="s">
        <v>24</v>
      </c>
      <c r="Q318" s="3" t="s">
        <v>1893</v>
      </c>
      <c r="R318" s="5">
        <v>46118</v>
      </c>
      <c r="S318" s="3" t="s">
        <v>190</v>
      </c>
      <c r="T318" s="3" t="s">
        <v>190</v>
      </c>
      <c r="U318">
        <v>0</v>
      </c>
      <c r="V318" s="3" t="s">
        <v>1794</v>
      </c>
      <c r="W318" s="3" t="s">
        <v>190</v>
      </c>
      <c r="X318" s="5">
        <v>46132</v>
      </c>
      <c r="Y318" s="3" t="s">
        <v>190</v>
      </c>
      <c r="Z318" s="3" t="s">
        <v>190</v>
      </c>
      <c r="AA318">
        <v>0</v>
      </c>
      <c r="AB318" s="3" t="s">
        <v>1895</v>
      </c>
      <c r="AC318" s="3" t="s">
        <v>190</v>
      </c>
      <c r="AD318" s="3" t="s">
        <v>190</v>
      </c>
      <c r="AE318" s="3" t="s">
        <v>190</v>
      </c>
      <c r="AF318" s="3" t="s">
        <v>190</v>
      </c>
    </row>
    <row r="319" spans="1:32" ht="16.5" customHeight="1">
      <c r="A319" s="4" t="s">
        <v>111</v>
      </c>
      <c r="B319" s="4" t="s">
        <v>56</v>
      </c>
      <c r="C319" s="4" t="s">
        <v>56</v>
      </c>
      <c r="D319" s="4" t="s">
        <v>116</v>
      </c>
      <c r="E319" s="4" t="s">
        <v>2863</v>
      </c>
      <c r="F319" s="4" t="s">
        <v>2864</v>
      </c>
      <c r="G319" s="4" t="s">
        <v>115</v>
      </c>
      <c r="H319" s="6">
        <v>46052</v>
      </c>
      <c r="I319" s="6">
        <v>46048.428969907407</v>
      </c>
      <c r="J319" s="4" t="s">
        <v>2865</v>
      </c>
      <c r="K319" s="4" t="s">
        <v>1892</v>
      </c>
      <c r="L319">
        <v>6</v>
      </c>
      <c r="M319" s="6">
        <v>46104</v>
      </c>
      <c r="N319" s="4" t="s">
        <v>1893</v>
      </c>
      <c r="O319">
        <v>0</v>
      </c>
      <c r="P319" s="4" t="s">
        <v>24</v>
      </c>
      <c r="Q319" s="4" t="s">
        <v>1893</v>
      </c>
      <c r="R319" s="6">
        <v>46118</v>
      </c>
      <c r="S319" s="4" t="s">
        <v>190</v>
      </c>
      <c r="T319" s="4" t="s">
        <v>190</v>
      </c>
      <c r="U319">
        <v>0</v>
      </c>
      <c r="V319" s="4" t="s">
        <v>1901</v>
      </c>
      <c r="W319" s="4" t="s">
        <v>190</v>
      </c>
      <c r="X319" s="6">
        <v>46132</v>
      </c>
      <c r="Y319" s="4" t="s">
        <v>190</v>
      </c>
      <c r="Z319" s="4" t="s">
        <v>190</v>
      </c>
      <c r="AA319">
        <v>0</v>
      </c>
      <c r="AB319" s="4" t="s">
        <v>1895</v>
      </c>
      <c r="AC319" s="4" t="s">
        <v>190</v>
      </c>
      <c r="AD319" s="4" t="s">
        <v>190</v>
      </c>
      <c r="AE319" s="4" t="s">
        <v>190</v>
      </c>
      <c r="AF319" s="4" t="s">
        <v>190</v>
      </c>
    </row>
    <row r="320" spans="1:32" ht="16.5" customHeight="1">
      <c r="A320" s="3" t="s">
        <v>111</v>
      </c>
      <c r="B320" s="3" t="s">
        <v>56</v>
      </c>
      <c r="C320" s="3" t="s">
        <v>56</v>
      </c>
      <c r="D320" s="3" t="s">
        <v>116</v>
      </c>
      <c r="E320" s="3" t="s">
        <v>2866</v>
      </c>
      <c r="F320" s="3" t="s">
        <v>2867</v>
      </c>
      <c r="G320" s="3" t="s">
        <v>115</v>
      </c>
      <c r="H320" s="5">
        <v>46052</v>
      </c>
      <c r="I320" s="5">
        <v>46048.430752314816</v>
      </c>
      <c r="J320" s="3" t="s">
        <v>119</v>
      </c>
      <c r="K320" s="3" t="s">
        <v>1892</v>
      </c>
      <c r="L320">
        <v>6</v>
      </c>
      <c r="M320" s="5">
        <v>46104</v>
      </c>
      <c r="N320" s="3" t="s">
        <v>1900</v>
      </c>
      <c r="O320">
        <v>0</v>
      </c>
      <c r="P320" s="3" t="s">
        <v>24</v>
      </c>
      <c r="Q320" s="3" t="s">
        <v>1900</v>
      </c>
      <c r="R320" s="5">
        <v>46118</v>
      </c>
      <c r="S320" s="3" t="s">
        <v>190</v>
      </c>
      <c r="T320" s="3" t="s">
        <v>190</v>
      </c>
      <c r="U320">
        <v>0</v>
      </c>
      <c r="V320" s="3" t="s">
        <v>1901</v>
      </c>
      <c r="W320" s="3" t="s">
        <v>190</v>
      </c>
      <c r="X320" s="5">
        <v>46132</v>
      </c>
      <c r="Y320" s="3" t="s">
        <v>190</v>
      </c>
      <c r="Z320" s="3" t="s">
        <v>190</v>
      </c>
      <c r="AA320">
        <v>0</v>
      </c>
      <c r="AB320" s="3" t="s">
        <v>1895</v>
      </c>
      <c r="AC320" s="3" t="s">
        <v>190</v>
      </c>
      <c r="AD320" s="3" t="s">
        <v>190</v>
      </c>
      <c r="AE320" s="3" t="s">
        <v>190</v>
      </c>
      <c r="AF320" s="3" t="s">
        <v>190</v>
      </c>
    </row>
    <row r="321" spans="1:32" ht="16.5" customHeight="1">
      <c r="A321" s="4" t="s">
        <v>111</v>
      </c>
      <c r="B321" s="4" t="s">
        <v>56</v>
      </c>
      <c r="C321" s="4" t="s">
        <v>56</v>
      </c>
      <c r="D321" s="4" t="s">
        <v>116</v>
      </c>
      <c r="E321" s="4" t="s">
        <v>2868</v>
      </c>
      <c r="F321" s="4" t="s">
        <v>2869</v>
      </c>
      <c r="G321" s="4" t="s">
        <v>115</v>
      </c>
      <c r="H321" s="6">
        <v>46052</v>
      </c>
      <c r="I321" s="6">
        <v>46048.431192129632</v>
      </c>
      <c r="J321" s="4" t="s">
        <v>123</v>
      </c>
      <c r="K321" s="4" t="s">
        <v>1892</v>
      </c>
      <c r="L321">
        <v>6</v>
      </c>
      <c r="M321" s="6">
        <v>46104</v>
      </c>
      <c r="N321" s="4" t="s">
        <v>1900</v>
      </c>
      <c r="O321">
        <v>0</v>
      </c>
      <c r="P321" s="4" t="s">
        <v>24</v>
      </c>
      <c r="Q321" s="4" t="s">
        <v>1900</v>
      </c>
      <c r="R321" s="6">
        <v>46118</v>
      </c>
      <c r="S321" s="4" t="s">
        <v>190</v>
      </c>
      <c r="T321" s="4" t="s">
        <v>190</v>
      </c>
      <c r="U321">
        <v>0</v>
      </c>
      <c r="V321" s="4" t="s">
        <v>1901</v>
      </c>
      <c r="W321" s="4" t="s">
        <v>190</v>
      </c>
      <c r="X321" s="6">
        <v>46132</v>
      </c>
      <c r="Y321" s="4" t="s">
        <v>190</v>
      </c>
      <c r="Z321" s="4" t="s">
        <v>190</v>
      </c>
      <c r="AA321">
        <v>0</v>
      </c>
      <c r="AB321" s="4" t="s">
        <v>1895</v>
      </c>
      <c r="AC321" s="4" t="s">
        <v>190</v>
      </c>
      <c r="AD321" s="4" t="s">
        <v>190</v>
      </c>
      <c r="AE321" s="4" t="s">
        <v>190</v>
      </c>
      <c r="AF321" s="4" t="s">
        <v>190</v>
      </c>
    </row>
    <row r="322" spans="1:32" ht="16.5" customHeight="1">
      <c r="A322" s="3" t="s">
        <v>33</v>
      </c>
      <c r="B322" s="3" t="s">
        <v>2870</v>
      </c>
      <c r="C322" s="3" t="s">
        <v>2871</v>
      </c>
      <c r="D322" s="3" t="s">
        <v>25</v>
      </c>
      <c r="E322" s="3" t="s">
        <v>2872</v>
      </c>
      <c r="F322" s="3" t="s">
        <v>2873</v>
      </c>
      <c r="G322" s="3" t="s">
        <v>37</v>
      </c>
      <c r="H322" s="5">
        <v>46003</v>
      </c>
      <c r="I322" s="5">
        <v>46010.72152777778</v>
      </c>
      <c r="J322" s="3" t="s">
        <v>1796</v>
      </c>
      <c r="K322" s="3" t="s">
        <v>1892</v>
      </c>
      <c r="L322">
        <v>6</v>
      </c>
      <c r="M322" s="5">
        <v>46104</v>
      </c>
      <c r="N322" s="3" t="s">
        <v>1900</v>
      </c>
      <c r="O322">
        <v>0</v>
      </c>
      <c r="P322" s="3" t="s">
        <v>24</v>
      </c>
      <c r="Q322" s="3" t="s">
        <v>1893</v>
      </c>
      <c r="R322" s="5">
        <v>46118</v>
      </c>
      <c r="S322" s="3" t="s">
        <v>190</v>
      </c>
      <c r="T322" s="3" t="s">
        <v>190</v>
      </c>
      <c r="U322">
        <v>0</v>
      </c>
      <c r="V322" s="3" t="s">
        <v>1794</v>
      </c>
      <c r="W322" s="3" t="s">
        <v>190</v>
      </c>
      <c r="X322" s="5">
        <v>46132</v>
      </c>
      <c r="Y322" s="3" t="s">
        <v>190</v>
      </c>
      <c r="Z322" s="3" t="s">
        <v>190</v>
      </c>
      <c r="AA322">
        <v>0</v>
      </c>
      <c r="AB322" s="3" t="s">
        <v>1895</v>
      </c>
      <c r="AC322" s="3" t="s">
        <v>190</v>
      </c>
      <c r="AD322" s="3" t="s">
        <v>190</v>
      </c>
      <c r="AE322" s="3" t="s">
        <v>190</v>
      </c>
      <c r="AF322" s="3" t="s">
        <v>190</v>
      </c>
    </row>
    <row r="323" spans="1:32" ht="16.5" customHeight="1">
      <c r="A323" s="4" t="s">
        <v>301</v>
      </c>
      <c r="B323" s="4" t="s">
        <v>2147</v>
      </c>
      <c r="C323" s="4" t="s">
        <v>2152</v>
      </c>
      <c r="D323" s="4" t="s">
        <v>25</v>
      </c>
      <c r="E323" s="4" t="s">
        <v>2874</v>
      </c>
      <c r="F323" s="4" t="s">
        <v>2160</v>
      </c>
      <c r="G323" s="4" t="s">
        <v>304</v>
      </c>
      <c r="H323" s="6">
        <v>46031</v>
      </c>
      <c r="I323" s="6">
        <v>46048.642199074071</v>
      </c>
      <c r="J323" s="4" t="s">
        <v>2875</v>
      </c>
      <c r="K323" s="4" t="s">
        <v>1892</v>
      </c>
      <c r="L323">
        <v>6</v>
      </c>
      <c r="M323" s="6">
        <v>46104</v>
      </c>
      <c r="N323" s="4" t="s">
        <v>1893</v>
      </c>
      <c r="O323">
        <v>0</v>
      </c>
      <c r="P323" s="4" t="s">
        <v>24</v>
      </c>
      <c r="Q323" s="4" t="s">
        <v>1893</v>
      </c>
      <c r="R323" s="6">
        <v>46055</v>
      </c>
      <c r="S323" s="4" t="s">
        <v>190</v>
      </c>
      <c r="T323" s="4" t="s">
        <v>190</v>
      </c>
      <c r="U323">
        <v>0</v>
      </c>
      <c r="V323" s="4" t="s">
        <v>1894</v>
      </c>
      <c r="W323" s="4" t="s">
        <v>190</v>
      </c>
      <c r="X323" s="6">
        <v>46084</v>
      </c>
      <c r="Y323" s="4" t="s">
        <v>190</v>
      </c>
      <c r="Z323" s="4" t="s">
        <v>190</v>
      </c>
      <c r="AA323">
        <v>0</v>
      </c>
      <c r="AB323" s="4" t="s">
        <v>1895</v>
      </c>
      <c r="AC323" s="4" t="s">
        <v>190</v>
      </c>
      <c r="AD323" s="4" t="s">
        <v>190</v>
      </c>
      <c r="AE323" s="4" t="s">
        <v>190</v>
      </c>
      <c r="AF323" s="4" t="s">
        <v>190</v>
      </c>
    </row>
    <row r="324" spans="1:32" ht="16.5" customHeight="1">
      <c r="A324" s="3" t="s">
        <v>301</v>
      </c>
      <c r="B324" s="3" t="s">
        <v>56</v>
      </c>
      <c r="C324" s="3" t="s">
        <v>56</v>
      </c>
      <c r="D324" s="3" t="s">
        <v>1795</v>
      </c>
      <c r="E324" s="3" t="s">
        <v>2876</v>
      </c>
      <c r="F324" s="3" t="s">
        <v>1903</v>
      </c>
      <c r="G324" s="3" t="s">
        <v>304</v>
      </c>
      <c r="H324" s="5">
        <v>46080</v>
      </c>
      <c r="I324" s="5">
        <v>46078.707488425927</v>
      </c>
      <c r="J324" s="3" t="s">
        <v>2877</v>
      </c>
      <c r="K324" s="3" t="s">
        <v>1892</v>
      </c>
      <c r="L324">
        <v>6</v>
      </c>
      <c r="M324" s="5"/>
      <c r="N324" s="3" t="s">
        <v>190</v>
      </c>
      <c r="O324">
        <v>0</v>
      </c>
      <c r="P324" s="3" t="s">
        <v>24</v>
      </c>
      <c r="Q324" s="3" t="s">
        <v>190</v>
      </c>
      <c r="R324" s="5">
        <v>46118</v>
      </c>
      <c r="S324" s="3" t="s">
        <v>190</v>
      </c>
      <c r="T324" s="3" t="s">
        <v>190</v>
      </c>
      <c r="U324">
        <v>0</v>
      </c>
      <c r="V324" s="3" t="s">
        <v>1894</v>
      </c>
      <c r="W324" s="3" t="s">
        <v>190</v>
      </c>
      <c r="X324" s="5">
        <v>46132</v>
      </c>
      <c r="Y324" s="3" t="s">
        <v>190</v>
      </c>
      <c r="Z324" s="3" t="s">
        <v>190</v>
      </c>
      <c r="AA324">
        <v>0</v>
      </c>
      <c r="AB324" s="3" t="s">
        <v>1895</v>
      </c>
      <c r="AC324" s="3" t="s">
        <v>190</v>
      </c>
      <c r="AD324" s="3" t="s">
        <v>190</v>
      </c>
      <c r="AE324" s="3" t="s">
        <v>190</v>
      </c>
      <c r="AF324" s="3" t="s">
        <v>190</v>
      </c>
    </row>
    <row r="325" spans="1:32" ht="16.5" customHeight="1">
      <c r="A325" s="4" t="s">
        <v>266</v>
      </c>
      <c r="B325" s="4" t="s">
        <v>2147</v>
      </c>
      <c r="C325" s="4" t="s">
        <v>2152</v>
      </c>
      <c r="D325" s="4" t="s">
        <v>25</v>
      </c>
      <c r="E325" s="4" t="s">
        <v>2878</v>
      </c>
      <c r="F325" s="4" t="s">
        <v>2154</v>
      </c>
      <c r="G325" s="4" t="s">
        <v>269</v>
      </c>
      <c r="H325" s="6">
        <v>46038</v>
      </c>
      <c r="I325" s="6">
        <v>46048.641331018516</v>
      </c>
      <c r="J325" s="4" t="s">
        <v>2879</v>
      </c>
      <c r="K325" s="4" t="s">
        <v>1892</v>
      </c>
      <c r="L325">
        <v>6</v>
      </c>
      <c r="M325" s="6">
        <v>46106</v>
      </c>
      <c r="N325" s="4" t="s">
        <v>1893</v>
      </c>
      <c r="O325">
        <v>0</v>
      </c>
      <c r="P325" s="4" t="s">
        <v>24</v>
      </c>
      <c r="Q325" s="4" t="s">
        <v>1893</v>
      </c>
      <c r="R325" s="6">
        <v>46118</v>
      </c>
      <c r="S325" s="4" t="s">
        <v>190</v>
      </c>
      <c r="T325" s="4" t="s">
        <v>190</v>
      </c>
      <c r="U325">
        <v>0</v>
      </c>
      <c r="V325" s="4" t="s">
        <v>1894</v>
      </c>
      <c r="W325" s="4" t="s">
        <v>190</v>
      </c>
      <c r="X325" s="6">
        <v>46132</v>
      </c>
      <c r="Y325" s="4" t="s">
        <v>190</v>
      </c>
      <c r="Z325" s="4" t="s">
        <v>190</v>
      </c>
      <c r="AA325">
        <v>0</v>
      </c>
      <c r="AB325" s="4" t="s">
        <v>1895</v>
      </c>
      <c r="AC325" s="4" t="s">
        <v>190</v>
      </c>
      <c r="AD325" s="4" t="s">
        <v>190</v>
      </c>
      <c r="AE325" s="4" t="s">
        <v>190</v>
      </c>
      <c r="AF325" s="4" t="s">
        <v>190</v>
      </c>
    </row>
    <row r="326" spans="1:32" ht="16.5" customHeight="1">
      <c r="A326" s="3" t="s">
        <v>266</v>
      </c>
      <c r="B326" s="3" t="s">
        <v>2147</v>
      </c>
      <c r="C326" s="3" t="s">
        <v>2152</v>
      </c>
      <c r="D326" s="3" t="s">
        <v>25</v>
      </c>
      <c r="E326" s="3" t="s">
        <v>2880</v>
      </c>
      <c r="F326" s="3" t="s">
        <v>2881</v>
      </c>
      <c r="G326" s="3" t="s">
        <v>269</v>
      </c>
      <c r="H326" s="5">
        <v>46066</v>
      </c>
      <c r="I326" s="5">
        <v>46091.721886574072</v>
      </c>
      <c r="J326" s="3" t="s">
        <v>2882</v>
      </c>
      <c r="K326" s="3" t="s">
        <v>1892</v>
      </c>
      <c r="L326">
        <v>6</v>
      </c>
      <c r="M326" s="5">
        <v>46108</v>
      </c>
      <c r="N326" s="3" t="s">
        <v>1893</v>
      </c>
      <c r="O326">
        <v>0</v>
      </c>
      <c r="P326" s="3" t="s">
        <v>24</v>
      </c>
      <c r="Q326" s="3" t="s">
        <v>1893</v>
      </c>
      <c r="R326" s="5">
        <v>46118</v>
      </c>
      <c r="S326" s="3" t="s">
        <v>190</v>
      </c>
      <c r="T326" s="3" t="s">
        <v>190</v>
      </c>
      <c r="U326">
        <v>0</v>
      </c>
      <c r="V326" s="3" t="s">
        <v>1894</v>
      </c>
      <c r="W326" s="3" t="s">
        <v>190</v>
      </c>
      <c r="X326" s="5">
        <v>46132</v>
      </c>
      <c r="Y326" s="3" t="s">
        <v>190</v>
      </c>
      <c r="Z326" s="3" t="s">
        <v>190</v>
      </c>
      <c r="AA326">
        <v>0</v>
      </c>
      <c r="AB326" s="3" t="s">
        <v>1895</v>
      </c>
      <c r="AC326" s="3" t="s">
        <v>190</v>
      </c>
      <c r="AD326" s="3" t="s">
        <v>190</v>
      </c>
      <c r="AE326" s="3" t="s">
        <v>190</v>
      </c>
      <c r="AF326" s="3" t="s">
        <v>190</v>
      </c>
    </row>
    <row r="327" spans="1:32" ht="16.5" customHeight="1">
      <c r="A327" s="4" t="s">
        <v>229</v>
      </c>
      <c r="B327" s="4" t="s">
        <v>2172</v>
      </c>
      <c r="C327" s="4" t="s">
        <v>2173</v>
      </c>
      <c r="D327" s="4" t="s">
        <v>25</v>
      </c>
      <c r="E327" s="4" t="s">
        <v>2883</v>
      </c>
      <c r="F327" s="4" t="s">
        <v>2884</v>
      </c>
      <c r="G327" s="4" t="s">
        <v>233</v>
      </c>
      <c r="H327" s="6">
        <v>46094</v>
      </c>
      <c r="I327" s="6">
        <v>46092.662847222222</v>
      </c>
      <c r="J327" s="4" t="s">
        <v>2885</v>
      </c>
      <c r="K327" s="4" t="s">
        <v>1892</v>
      </c>
      <c r="L327">
        <v>6</v>
      </c>
      <c r="M327" s="6">
        <v>46104</v>
      </c>
      <c r="N327" s="4" t="s">
        <v>1893</v>
      </c>
      <c r="O327">
        <v>0</v>
      </c>
      <c r="P327" s="4" t="s">
        <v>24</v>
      </c>
      <c r="Q327" s="4" t="s">
        <v>1893</v>
      </c>
      <c r="R327" s="6">
        <v>46112</v>
      </c>
      <c r="S327" s="4" t="s">
        <v>190</v>
      </c>
      <c r="T327" s="4" t="s">
        <v>190</v>
      </c>
      <c r="U327">
        <v>0</v>
      </c>
      <c r="V327" s="4" t="s">
        <v>1794</v>
      </c>
      <c r="W327" s="4" t="s">
        <v>190</v>
      </c>
      <c r="X327" s="6">
        <v>46122</v>
      </c>
      <c r="Y327" s="4" t="s">
        <v>190</v>
      </c>
      <c r="Z327" s="4" t="s">
        <v>190</v>
      </c>
      <c r="AA327">
        <v>0</v>
      </c>
      <c r="AB327" s="4" t="s">
        <v>1895</v>
      </c>
      <c r="AC327" s="4" t="s">
        <v>190</v>
      </c>
      <c r="AD327" s="4" t="s">
        <v>190</v>
      </c>
      <c r="AE327" s="4" t="s">
        <v>190</v>
      </c>
      <c r="AF327" s="4" t="s">
        <v>190</v>
      </c>
    </row>
    <row r="328" spans="1:32" ht="16.5" customHeight="1">
      <c r="A328" s="3" t="s">
        <v>229</v>
      </c>
      <c r="B328" s="3" t="s">
        <v>56</v>
      </c>
      <c r="C328" s="3" t="s">
        <v>56</v>
      </c>
      <c r="D328" s="3" t="s">
        <v>116</v>
      </c>
      <c r="E328" s="3" t="s">
        <v>2886</v>
      </c>
      <c r="F328" s="3" t="s">
        <v>2887</v>
      </c>
      <c r="G328" s="3" t="s">
        <v>250</v>
      </c>
      <c r="H328" s="5">
        <v>46031</v>
      </c>
      <c r="I328" s="5">
        <v>46031.74858796296</v>
      </c>
      <c r="J328" s="3" t="s">
        <v>2888</v>
      </c>
      <c r="K328" s="3" t="s">
        <v>1892</v>
      </c>
      <c r="L328">
        <v>6</v>
      </c>
      <c r="M328" s="5">
        <v>46105</v>
      </c>
      <c r="N328" s="3" t="s">
        <v>1893</v>
      </c>
      <c r="O328">
        <v>0</v>
      </c>
      <c r="P328" s="3" t="s">
        <v>24</v>
      </c>
      <c r="Q328" s="3" t="s">
        <v>1893</v>
      </c>
      <c r="R328" s="5">
        <v>46118</v>
      </c>
      <c r="S328" s="3" t="s">
        <v>190</v>
      </c>
      <c r="T328" s="3" t="s">
        <v>190</v>
      </c>
      <c r="U328">
        <v>0</v>
      </c>
      <c r="V328" s="3" t="s">
        <v>1794</v>
      </c>
      <c r="W328" s="3" t="s">
        <v>190</v>
      </c>
      <c r="X328" s="5">
        <v>46132</v>
      </c>
      <c r="Y328" s="3" t="s">
        <v>190</v>
      </c>
      <c r="Z328" s="3" t="s">
        <v>190</v>
      </c>
      <c r="AA328">
        <v>0</v>
      </c>
      <c r="AB328" s="3" t="s">
        <v>1895</v>
      </c>
      <c r="AC328" s="3" t="s">
        <v>190</v>
      </c>
      <c r="AD328" s="3" t="s">
        <v>190</v>
      </c>
      <c r="AE328" s="3" t="s">
        <v>190</v>
      </c>
      <c r="AF328" s="3" t="s">
        <v>190</v>
      </c>
    </row>
    <row r="329" spans="1:32" ht="16.5" customHeight="1">
      <c r="A329" s="4" t="s">
        <v>229</v>
      </c>
      <c r="B329" s="4" t="s">
        <v>56</v>
      </c>
      <c r="C329" s="4" t="s">
        <v>56</v>
      </c>
      <c r="D329" s="4" t="s">
        <v>116</v>
      </c>
      <c r="E329" s="4" t="s">
        <v>2889</v>
      </c>
      <c r="F329" s="4" t="s">
        <v>2890</v>
      </c>
      <c r="G329" s="4" t="s">
        <v>250</v>
      </c>
      <c r="H329" s="6">
        <v>46045</v>
      </c>
      <c r="I329" s="6">
        <v>46042.416805555556</v>
      </c>
      <c r="J329" s="4" t="s">
        <v>2891</v>
      </c>
      <c r="K329" s="4" t="s">
        <v>1892</v>
      </c>
      <c r="L329">
        <v>6</v>
      </c>
      <c r="M329" s="6">
        <v>46105</v>
      </c>
      <c r="N329" s="4" t="s">
        <v>1893</v>
      </c>
      <c r="O329">
        <v>0</v>
      </c>
      <c r="P329" s="4" t="s">
        <v>24</v>
      </c>
      <c r="Q329" s="4" t="s">
        <v>1893</v>
      </c>
      <c r="R329" s="6">
        <v>46118</v>
      </c>
      <c r="S329" s="4" t="s">
        <v>190</v>
      </c>
      <c r="T329" s="4" t="s">
        <v>190</v>
      </c>
      <c r="U329">
        <v>0</v>
      </c>
      <c r="V329" s="4" t="s">
        <v>1794</v>
      </c>
      <c r="W329" s="4" t="s">
        <v>190</v>
      </c>
      <c r="X329" s="6">
        <v>46132</v>
      </c>
      <c r="Y329" s="4" t="s">
        <v>190</v>
      </c>
      <c r="Z329" s="4" t="s">
        <v>190</v>
      </c>
      <c r="AA329">
        <v>0</v>
      </c>
      <c r="AB329" s="4" t="s">
        <v>1895</v>
      </c>
      <c r="AC329" s="4" t="s">
        <v>190</v>
      </c>
      <c r="AD329" s="4" t="s">
        <v>190</v>
      </c>
      <c r="AE329" s="4" t="s">
        <v>190</v>
      </c>
      <c r="AF329" s="4" t="s">
        <v>190</v>
      </c>
    </row>
    <row r="330" spans="1:32" ht="16.5" customHeight="1">
      <c r="A330" s="3" t="s">
        <v>229</v>
      </c>
      <c r="B330" s="3" t="s">
        <v>56</v>
      </c>
      <c r="C330" s="3" t="s">
        <v>56</v>
      </c>
      <c r="D330" s="3" t="s">
        <v>116</v>
      </c>
      <c r="E330" s="3" t="s">
        <v>2892</v>
      </c>
      <c r="F330" s="3" t="s">
        <v>2893</v>
      </c>
      <c r="G330" s="3" t="s">
        <v>250</v>
      </c>
      <c r="H330" s="5">
        <v>46066</v>
      </c>
      <c r="I330" s="5">
        <v>46058.554189814815</v>
      </c>
      <c r="J330" s="3" t="s">
        <v>2894</v>
      </c>
      <c r="K330" s="3" t="s">
        <v>1892</v>
      </c>
      <c r="L330">
        <v>6</v>
      </c>
      <c r="M330" s="5">
        <v>46106</v>
      </c>
      <c r="N330" s="3" t="s">
        <v>1893</v>
      </c>
      <c r="O330">
        <v>0</v>
      </c>
      <c r="P330" s="3" t="s">
        <v>24</v>
      </c>
      <c r="Q330" s="3" t="s">
        <v>1893</v>
      </c>
      <c r="R330" s="5">
        <v>46118</v>
      </c>
      <c r="S330" s="3" t="s">
        <v>190</v>
      </c>
      <c r="T330" s="3" t="s">
        <v>190</v>
      </c>
      <c r="U330">
        <v>0</v>
      </c>
      <c r="V330" s="3" t="s">
        <v>1794</v>
      </c>
      <c r="W330" s="3" t="s">
        <v>190</v>
      </c>
      <c r="X330" s="5">
        <v>46132</v>
      </c>
      <c r="Y330" s="3" t="s">
        <v>190</v>
      </c>
      <c r="Z330" s="3" t="s">
        <v>190</v>
      </c>
      <c r="AA330">
        <v>0</v>
      </c>
      <c r="AB330" s="3" t="s">
        <v>1895</v>
      </c>
      <c r="AC330" s="3" t="s">
        <v>190</v>
      </c>
      <c r="AD330" s="3" t="s">
        <v>190</v>
      </c>
      <c r="AE330" s="3" t="s">
        <v>190</v>
      </c>
      <c r="AF330" s="3" t="s">
        <v>190</v>
      </c>
    </row>
    <row r="331" spans="1:32" ht="16.5" customHeight="1">
      <c r="A331" s="4" t="s">
        <v>229</v>
      </c>
      <c r="B331" s="4" t="s">
        <v>56</v>
      </c>
      <c r="C331" s="4" t="s">
        <v>56</v>
      </c>
      <c r="D331" s="4" t="s">
        <v>116</v>
      </c>
      <c r="E331" s="4" t="s">
        <v>2895</v>
      </c>
      <c r="F331" s="4" t="s">
        <v>2896</v>
      </c>
      <c r="G331" s="4" t="s">
        <v>250</v>
      </c>
      <c r="H331" s="6">
        <v>46073</v>
      </c>
      <c r="I331" s="6">
        <v>46058.555648148147</v>
      </c>
      <c r="J331" s="4" t="s">
        <v>576</v>
      </c>
      <c r="K331" s="4" t="s">
        <v>1892</v>
      </c>
      <c r="L331">
        <v>6</v>
      </c>
      <c r="M331" s="6">
        <v>46106</v>
      </c>
      <c r="N331" s="4" t="s">
        <v>1900</v>
      </c>
      <c r="O331">
        <v>0</v>
      </c>
      <c r="P331" s="4" t="s">
        <v>24</v>
      </c>
      <c r="Q331" s="4" t="s">
        <v>1893</v>
      </c>
      <c r="R331" s="6">
        <v>46118</v>
      </c>
      <c r="S331" s="4" t="s">
        <v>190</v>
      </c>
      <c r="T331" s="4" t="s">
        <v>190</v>
      </c>
      <c r="U331">
        <v>0</v>
      </c>
      <c r="V331" s="4" t="s">
        <v>1794</v>
      </c>
      <c r="W331" s="4" t="s">
        <v>190</v>
      </c>
      <c r="X331" s="6">
        <v>46132</v>
      </c>
      <c r="Y331" s="4" t="s">
        <v>190</v>
      </c>
      <c r="Z331" s="4" t="s">
        <v>190</v>
      </c>
      <c r="AA331">
        <v>0</v>
      </c>
      <c r="AB331" s="4" t="s">
        <v>1895</v>
      </c>
      <c r="AC331" s="4" t="s">
        <v>190</v>
      </c>
      <c r="AD331" s="4" t="s">
        <v>190</v>
      </c>
      <c r="AE331" s="4" t="s">
        <v>190</v>
      </c>
      <c r="AF331" s="4" t="s">
        <v>190</v>
      </c>
    </row>
    <row r="332" spans="1:32" ht="16.5" customHeight="1">
      <c r="A332" s="3" t="s">
        <v>229</v>
      </c>
      <c r="B332" s="3" t="s">
        <v>56</v>
      </c>
      <c r="C332" s="3" t="s">
        <v>56</v>
      </c>
      <c r="D332" s="3" t="s">
        <v>116</v>
      </c>
      <c r="E332" s="3" t="s">
        <v>2897</v>
      </c>
      <c r="F332" s="3" t="s">
        <v>2898</v>
      </c>
      <c r="G332" s="3" t="s">
        <v>250</v>
      </c>
      <c r="H332" s="5">
        <v>46038</v>
      </c>
      <c r="I332" s="5">
        <v>46042.41646990741</v>
      </c>
      <c r="J332" s="3" t="s">
        <v>2899</v>
      </c>
      <c r="K332" s="3" t="s">
        <v>1892</v>
      </c>
      <c r="L332">
        <v>6</v>
      </c>
      <c r="M332" s="5">
        <v>46106</v>
      </c>
      <c r="N332" s="3" t="s">
        <v>1893</v>
      </c>
      <c r="O332">
        <v>0</v>
      </c>
      <c r="P332" s="3" t="s">
        <v>24</v>
      </c>
      <c r="Q332" s="3" t="s">
        <v>1893</v>
      </c>
      <c r="R332" s="5">
        <v>46118</v>
      </c>
      <c r="S332" s="3" t="s">
        <v>190</v>
      </c>
      <c r="T332" s="3" t="s">
        <v>190</v>
      </c>
      <c r="U332">
        <v>0</v>
      </c>
      <c r="V332" s="3" t="s">
        <v>1901</v>
      </c>
      <c r="W332" s="3" t="s">
        <v>190</v>
      </c>
      <c r="X332" s="5">
        <v>46132</v>
      </c>
      <c r="Y332" s="3" t="s">
        <v>190</v>
      </c>
      <c r="Z332" s="3" t="s">
        <v>190</v>
      </c>
      <c r="AA332">
        <v>0</v>
      </c>
      <c r="AB332" s="3" t="s">
        <v>1895</v>
      </c>
      <c r="AC332" s="3" t="s">
        <v>190</v>
      </c>
      <c r="AD332" s="3" t="s">
        <v>190</v>
      </c>
      <c r="AE332" s="3" t="s">
        <v>190</v>
      </c>
      <c r="AF332" s="3" t="s">
        <v>190</v>
      </c>
    </row>
    <row r="333" spans="1:32" ht="16.5" customHeight="1">
      <c r="A333" s="4" t="s">
        <v>306</v>
      </c>
      <c r="B333" s="4" t="s">
        <v>2117</v>
      </c>
      <c r="C333" s="4" t="s">
        <v>2900</v>
      </c>
      <c r="D333" s="4" t="s">
        <v>25</v>
      </c>
      <c r="E333" s="4" t="s">
        <v>2901</v>
      </c>
      <c r="F333" s="4" t="s">
        <v>2902</v>
      </c>
      <c r="G333" s="4" t="s">
        <v>309</v>
      </c>
      <c r="H333" s="6">
        <v>46066</v>
      </c>
      <c r="I333" s="6">
        <v>46051.763483796298</v>
      </c>
      <c r="J333" s="4" t="s">
        <v>707</v>
      </c>
      <c r="K333" s="4" t="s">
        <v>1892</v>
      </c>
      <c r="L333">
        <v>6</v>
      </c>
      <c r="M333" s="6">
        <v>46105</v>
      </c>
      <c r="N333" s="4" t="s">
        <v>1900</v>
      </c>
      <c r="O333">
        <v>0</v>
      </c>
      <c r="P333" s="4" t="s">
        <v>24</v>
      </c>
      <c r="Q333" s="4" t="s">
        <v>1893</v>
      </c>
      <c r="R333" s="6">
        <v>46118</v>
      </c>
      <c r="S333" s="4" t="s">
        <v>190</v>
      </c>
      <c r="T333" s="4" t="s">
        <v>190</v>
      </c>
      <c r="U333">
        <v>0</v>
      </c>
      <c r="V333" s="4" t="s">
        <v>1901</v>
      </c>
      <c r="W333" s="4" t="s">
        <v>190</v>
      </c>
      <c r="X333" s="6">
        <v>46132</v>
      </c>
      <c r="Y333" s="4" t="s">
        <v>190</v>
      </c>
      <c r="Z333" s="4" t="s">
        <v>190</v>
      </c>
      <c r="AA333">
        <v>0</v>
      </c>
      <c r="AB333" s="4" t="s">
        <v>1895</v>
      </c>
      <c r="AC333" s="4" t="s">
        <v>190</v>
      </c>
      <c r="AD333" s="4" t="s">
        <v>190</v>
      </c>
      <c r="AE333" s="4" t="s">
        <v>190</v>
      </c>
      <c r="AF333" s="4" t="s">
        <v>190</v>
      </c>
    </row>
    <row r="334" spans="1:32" ht="16.5" customHeight="1">
      <c r="A334" s="3" t="s">
        <v>306</v>
      </c>
      <c r="B334" s="3" t="s">
        <v>56</v>
      </c>
      <c r="C334" s="3" t="s">
        <v>56</v>
      </c>
      <c r="D334" s="3" t="s">
        <v>116</v>
      </c>
      <c r="E334" s="3" t="s">
        <v>2903</v>
      </c>
      <c r="F334" s="3" t="s">
        <v>2904</v>
      </c>
      <c r="G334" s="3" t="s">
        <v>250</v>
      </c>
      <c r="H334" s="5">
        <v>46094</v>
      </c>
      <c r="I334" s="5">
        <v>46093.654537037037</v>
      </c>
      <c r="J334" s="3" t="s">
        <v>2905</v>
      </c>
      <c r="K334" s="3" t="s">
        <v>1892</v>
      </c>
      <c r="L334">
        <v>6</v>
      </c>
      <c r="M334" s="5">
        <v>46105</v>
      </c>
      <c r="N334" s="3" t="s">
        <v>1893</v>
      </c>
      <c r="O334">
        <v>0</v>
      </c>
      <c r="P334" s="3" t="s">
        <v>24</v>
      </c>
      <c r="Q334" s="3" t="s">
        <v>1893</v>
      </c>
      <c r="R334" s="5">
        <v>46118</v>
      </c>
      <c r="S334" s="3" t="s">
        <v>190</v>
      </c>
      <c r="T334" s="3" t="s">
        <v>190</v>
      </c>
      <c r="U334">
        <v>0</v>
      </c>
      <c r="V334" s="3" t="s">
        <v>1901</v>
      </c>
      <c r="W334" s="3" t="s">
        <v>190</v>
      </c>
      <c r="X334" s="5">
        <v>46132</v>
      </c>
      <c r="Y334" s="3" t="s">
        <v>190</v>
      </c>
      <c r="Z334" s="3" t="s">
        <v>190</v>
      </c>
      <c r="AA334">
        <v>0</v>
      </c>
      <c r="AB334" s="3" t="s">
        <v>1895</v>
      </c>
      <c r="AC334" s="3" t="s">
        <v>190</v>
      </c>
      <c r="AD334" s="3" t="s">
        <v>190</v>
      </c>
      <c r="AE334" s="3" t="s">
        <v>190</v>
      </c>
      <c r="AF334" s="3" t="s">
        <v>190</v>
      </c>
    </row>
    <row r="335" spans="1:32" ht="16.5" customHeight="1">
      <c r="A335" s="4" t="s">
        <v>580</v>
      </c>
      <c r="B335" s="4" t="s">
        <v>56</v>
      </c>
      <c r="C335" s="4" t="s">
        <v>56</v>
      </c>
      <c r="D335" s="4" t="s">
        <v>116</v>
      </c>
      <c r="E335" s="4" t="s">
        <v>2906</v>
      </c>
      <c r="F335" s="4" t="s">
        <v>2907</v>
      </c>
      <c r="G335" s="4" t="s">
        <v>582</v>
      </c>
      <c r="H335" s="6">
        <v>46073</v>
      </c>
      <c r="I335" s="6">
        <v>46055.746481481481</v>
      </c>
      <c r="J335" s="4" t="s">
        <v>2908</v>
      </c>
      <c r="K335" s="4" t="s">
        <v>1892</v>
      </c>
      <c r="L335">
        <v>6</v>
      </c>
      <c r="M335" s="6">
        <v>46106</v>
      </c>
      <c r="N335" s="4" t="s">
        <v>1893</v>
      </c>
      <c r="O335">
        <v>0</v>
      </c>
      <c r="P335" s="4" t="s">
        <v>24</v>
      </c>
      <c r="Q335" s="4" t="s">
        <v>1893</v>
      </c>
      <c r="R335" s="6">
        <v>46118</v>
      </c>
      <c r="S335" s="4" t="s">
        <v>190</v>
      </c>
      <c r="T335" s="4" t="s">
        <v>190</v>
      </c>
      <c r="U335">
        <v>0</v>
      </c>
      <c r="V335" s="4" t="s">
        <v>1956</v>
      </c>
      <c r="W335" s="4" t="s">
        <v>190</v>
      </c>
      <c r="X335" s="6">
        <v>46132</v>
      </c>
      <c r="Y335" s="4" t="s">
        <v>190</v>
      </c>
      <c r="Z335" s="4" t="s">
        <v>190</v>
      </c>
      <c r="AA335">
        <v>0</v>
      </c>
      <c r="AB335" s="4" t="s">
        <v>1895</v>
      </c>
      <c r="AC335" s="4" t="s">
        <v>190</v>
      </c>
      <c r="AD335" s="4" t="s">
        <v>190</v>
      </c>
      <c r="AE335" s="4" t="s">
        <v>190</v>
      </c>
      <c r="AF335" s="4" t="s">
        <v>190</v>
      </c>
    </row>
    <row r="336" spans="1:32" ht="16.5" customHeight="1">
      <c r="A336" s="3" t="s">
        <v>580</v>
      </c>
      <c r="B336" s="3" t="s">
        <v>56</v>
      </c>
      <c r="C336" s="3" t="s">
        <v>56</v>
      </c>
      <c r="D336" s="3" t="s">
        <v>116</v>
      </c>
      <c r="E336" s="3" t="s">
        <v>2909</v>
      </c>
      <c r="F336" s="3" t="s">
        <v>2910</v>
      </c>
      <c r="G336" s="3" t="s">
        <v>582</v>
      </c>
      <c r="H336" s="5">
        <v>46010</v>
      </c>
      <c r="I336" s="5">
        <v>45995.539166666669</v>
      </c>
      <c r="J336" s="3" t="s">
        <v>2911</v>
      </c>
      <c r="K336" s="3" t="s">
        <v>1892</v>
      </c>
      <c r="L336">
        <v>6</v>
      </c>
      <c r="M336" s="5">
        <v>46106</v>
      </c>
      <c r="N336" s="3" t="s">
        <v>1893</v>
      </c>
      <c r="O336">
        <v>0</v>
      </c>
      <c r="P336" s="3" t="s">
        <v>24</v>
      </c>
      <c r="Q336" s="3" t="s">
        <v>1893</v>
      </c>
      <c r="R336" s="5">
        <v>46118</v>
      </c>
      <c r="S336" s="3" t="s">
        <v>190</v>
      </c>
      <c r="T336" s="3" t="s">
        <v>190</v>
      </c>
      <c r="U336">
        <v>0</v>
      </c>
      <c r="V336" s="3" t="s">
        <v>1956</v>
      </c>
      <c r="W336" s="3" t="s">
        <v>190</v>
      </c>
      <c r="X336" s="5">
        <v>46132</v>
      </c>
      <c r="Y336" s="3" t="s">
        <v>190</v>
      </c>
      <c r="Z336" s="3" t="s">
        <v>190</v>
      </c>
      <c r="AA336">
        <v>0</v>
      </c>
      <c r="AB336" s="3" t="s">
        <v>1895</v>
      </c>
      <c r="AC336" s="3" t="s">
        <v>190</v>
      </c>
      <c r="AD336" s="3" t="s">
        <v>190</v>
      </c>
      <c r="AE336" s="3" t="s">
        <v>190</v>
      </c>
      <c r="AF336" s="3" t="s">
        <v>190</v>
      </c>
    </row>
    <row r="337" spans="1:32" ht="16.5" customHeight="1">
      <c r="A337" s="4" t="s">
        <v>580</v>
      </c>
      <c r="B337" s="4" t="s">
        <v>56</v>
      </c>
      <c r="C337" s="4" t="s">
        <v>56</v>
      </c>
      <c r="D337" s="4" t="s">
        <v>116</v>
      </c>
      <c r="E337" s="4" t="s">
        <v>2912</v>
      </c>
      <c r="F337" s="4" t="s">
        <v>2913</v>
      </c>
      <c r="G337" s="4" t="s">
        <v>582</v>
      </c>
      <c r="H337" s="6">
        <v>46010</v>
      </c>
      <c r="I337" s="6">
        <v>45995.539282407408</v>
      </c>
      <c r="J337" s="4" t="s">
        <v>2914</v>
      </c>
      <c r="K337" s="4" t="s">
        <v>1892</v>
      </c>
      <c r="L337">
        <v>6</v>
      </c>
      <c r="M337" s="6">
        <v>46106</v>
      </c>
      <c r="N337" s="4" t="s">
        <v>1893</v>
      </c>
      <c r="O337">
        <v>0</v>
      </c>
      <c r="P337" s="4" t="s">
        <v>24</v>
      </c>
      <c r="Q337" s="4" t="s">
        <v>1893</v>
      </c>
      <c r="R337" s="6">
        <v>46118</v>
      </c>
      <c r="S337" s="4" t="s">
        <v>190</v>
      </c>
      <c r="T337" s="4" t="s">
        <v>190</v>
      </c>
      <c r="U337">
        <v>0</v>
      </c>
      <c r="V337" s="4" t="s">
        <v>1956</v>
      </c>
      <c r="W337" s="4" t="s">
        <v>190</v>
      </c>
      <c r="X337" s="6">
        <v>46132</v>
      </c>
      <c r="Y337" s="4" t="s">
        <v>190</v>
      </c>
      <c r="Z337" s="4" t="s">
        <v>190</v>
      </c>
      <c r="AA337">
        <v>0</v>
      </c>
      <c r="AB337" s="4" t="s">
        <v>1895</v>
      </c>
      <c r="AC337" s="4" t="s">
        <v>190</v>
      </c>
      <c r="AD337" s="4" t="s">
        <v>190</v>
      </c>
      <c r="AE337" s="4" t="s">
        <v>190</v>
      </c>
      <c r="AF337" s="4" t="s">
        <v>190</v>
      </c>
    </row>
    <row r="338" spans="1:32" ht="16.5" customHeight="1">
      <c r="A338" s="3" t="s">
        <v>580</v>
      </c>
      <c r="B338" s="3" t="s">
        <v>56</v>
      </c>
      <c r="C338" s="3" t="s">
        <v>56</v>
      </c>
      <c r="D338" s="3" t="s">
        <v>116</v>
      </c>
      <c r="E338" s="3" t="s">
        <v>2915</v>
      </c>
      <c r="F338" s="3" t="s">
        <v>2916</v>
      </c>
      <c r="G338" s="3" t="s">
        <v>279</v>
      </c>
      <c r="H338" s="5">
        <v>46081</v>
      </c>
      <c r="I338" s="5">
        <v>46020.438854166663</v>
      </c>
      <c r="J338" s="3" t="s">
        <v>2917</v>
      </c>
      <c r="K338" s="3" t="s">
        <v>1892</v>
      </c>
      <c r="L338">
        <v>6</v>
      </c>
      <c r="M338" s="5">
        <v>46106</v>
      </c>
      <c r="N338" s="3" t="s">
        <v>1893</v>
      </c>
      <c r="O338">
        <v>0</v>
      </c>
      <c r="P338" s="3" t="s">
        <v>24</v>
      </c>
      <c r="Q338" s="3" t="s">
        <v>1893</v>
      </c>
      <c r="R338" s="5">
        <v>46118</v>
      </c>
      <c r="S338" s="3" t="s">
        <v>190</v>
      </c>
      <c r="T338" s="3" t="s">
        <v>190</v>
      </c>
      <c r="U338">
        <v>0</v>
      </c>
      <c r="V338" s="3" t="s">
        <v>1956</v>
      </c>
      <c r="W338" s="3" t="s">
        <v>190</v>
      </c>
      <c r="X338" s="5">
        <v>46132</v>
      </c>
      <c r="Y338" s="3" t="s">
        <v>190</v>
      </c>
      <c r="Z338" s="3" t="s">
        <v>190</v>
      </c>
      <c r="AA338">
        <v>0</v>
      </c>
      <c r="AB338" s="3" t="s">
        <v>1895</v>
      </c>
      <c r="AC338" s="3" t="s">
        <v>190</v>
      </c>
      <c r="AD338" s="3" t="s">
        <v>190</v>
      </c>
      <c r="AE338" s="3" t="s">
        <v>190</v>
      </c>
      <c r="AF338" s="3" t="s">
        <v>190</v>
      </c>
    </row>
    <row r="339" spans="1:32" ht="16.5" customHeight="1">
      <c r="A339" s="4" t="s">
        <v>580</v>
      </c>
      <c r="B339" s="4" t="s">
        <v>56</v>
      </c>
      <c r="C339" s="4" t="s">
        <v>56</v>
      </c>
      <c r="D339" s="4" t="s">
        <v>1795</v>
      </c>
      <c r="E339" s="4" t="s">
        <v>2918</v>
      </c>
      <c r="F339" s="4" t="s">
        <v>2919</v>
      </c>
      <c r="G339" s="4" t="s">
        <v>584</v>
      </c>
      <c r="H339" s="6">
        <v>46081</v>
      </c>
      <c r="I339" s="6">
        <v>46006.711909722224</v>
      </c>
      <c r="J339" s="4" t="s">
        <v>2920</v>
      </c>
      <c r="K339" s="4" t="s">
        <v>1892</v>
      </c>
      <c r="L339">
        <v>6</v>
      </c>
      <c r="M339" s="6"/>
      <c r="N339" s="4" t="s">
        <v>190</v>
      </c>
      <c r="O339">
        <v>0</v>
      </c>
      <c r="P339" s="4" t="s">
        <v>24</v>
      </c>
      <c r="Q339" s="4" t="s">
        <v>190</v>
      </c>
      <c r="R339" s="6">
        <v>46118</v>
      </c>
      <c r="S339" s="4" t="s">
        <v>190</v>
      </c>
      <c r="T339" s="4" t="s">
        <v>190</v>
      </c>
      <c r="U339">
        <v>0</v>
      </c>
      <c r="V339" s="4" t="s">
        <v>1956</v>
      </c>
      <c r="W339" s="4" t="s">
        <v>190</v>
      </c>
      <c r="X339" s="6">
        <v>46132</v>
      </c>
      <c r="Y339" s="4" t="s">
        <v>190</v>
      </c>
      <c r="Z339" s="4" t="s">
        <v>190</v>
      </c>
      <c r="AA339">
        <v>0</v>
      </c>
      <c r="AB339" s="4" t="s">
        <v>1895</v>
      </c>
      <c r="AC339" s="4" t="s">
        <v>190</v>
      </c>
      <c r="AD339" s="4" t="s">
        <v>190</v>
      </c>
      <c r="AE339" s="4" t="s">
        <v>190</v>
      </c>
      <c r="AF339" s="4" t="s">
        <v>190</v>
      </c>
    </row>
    <row r="340" spans="1:32" ht="16.5" customHeight="1">
      <c r="A340" s="3" t="s">
        <v>580</v>
      </c>
      <c r="B340" s="3" t="s">
        <v>56</v>
      </c>
      <c r="C340" s="3" t="s">
        <v>56</v>
      </c>
      <c r="D340" s="3" t="s">
        <v>116</v>
      </c>
      <c r="E340" s="3" t="s">
        <v>2921</v>
      </c>
      <c r="F340" s="3" t="s">
        <v>2922</v>
      </c>
      <c r="G340" s="3" t="s">
        <v>582</v>
      </c>
      <c r="H340" s="5">
        <v>46038</v>
      </c>
      <c r="I340" s="5">
        <v>46022.582974537036</v>
      </c>
      <c r="J340" s="3" t="s">
        <v>2923</v>
      </c>
      <c r="K340" s="3" t="s">
        <v>1892</v>
      </c>
      <c r="L340">
        <v>6</v>
      </c>
      <c r="M340" s="5">
        <v>46106</v>
      </c>
      <c r="N340" s="3" t="s">
        <v>1893</v>
      </c>
      <c r="O340">
        <v>0</v>
      </c>
      <c r="P340" s="3" t="s">
        <v>24</v>
      </c>
      <c r="Q340" s="3" t="s">
        <v>1893</v>
      </c>
      <c r="R340" s="5">
        <v>46118</v>
      </c>
      <c r="S340" s="3" t="s">
        <v>190</v>
      </c>
      <c r="T340" s="3" t="s">
        <v>190</v>
      </c>
      <c r="U340">
        <v>0</v>
      </c>
      <c r="V340" s="3" t="s">
        <v>1956</v>
      </c>
      <c r="W340" s="3" t="s">
        <v>190</v>
      </c>
      <c r="X340" s="5">
        <v>46132</v>
      </c>
      <c r="Y340" s="3" t="s">
        <v>190</v>
      </c>
      <c r="Z340" s="3" t="s">
        <v>190</v>
      </c>
      <c r="AA340">
        <v>0</v>
      </c>
      <c r="AB340" s="3" t="s">
        <v>1895</v>
      </c>
      <c r="AC340" s="3" t="s">
        <v>190</v>
      </c>
      <c r="AD340" s="3" t="s">
        <v>190</v>
      </c>
      <c r="AE340" s="3" t="s">
        <v>190</v>
      </c>
      <c r="AF340" s="3" t="s">
        <v>190</v>
      </c>
    </row>
    <row r="341" spans="1:32" ht="16.5" customHeight="1">
      <c r="A341" s="4" t="s">
        <v>580</v>
      </c>
      <c r="B341" s="4" t="s">
        <v>56</v>
      </c>
      <c r="C341" s="4" t="s">
        <v>56</v>
      </c>
      <c r="D341" s="4" t="s">
        <v>116</v>
      </c>
      <c r="E341" s="4" t="s">
        <v>2924</v>
      </c>
      <c r="F341" s="4" t="s">
        <v>2925</v>
      </c>
      <c r="G341" s="4" t="s">
        <v>582</v>
      </c>
      <c r="H341" s="6">
        <v>45947</v>
      </c>
      <c r="I341" s="6">
        <v>45981.886192129627</v>
      </c>
      <c r="J341" s="4" t="s">
        <v>2926</v>
      </c>
      <c r="K341" s="4" t="s">
        <v>1892</v>
      </c>
      <c r="L341">
        <v>6</v>
      </c>
      <c r="M341" s="6">
        <v>46106</v>
      </c>
      <c r="N341" s="4" t="s">
        <v>1893</v>
      </c>
      <c r="O341">
        <v>0</v>
      </c>
      <c r="P341" s="4" t="s">
        <v>24</v>
      </c>
      <c r="Q341" s="4" t="s">
        <v>1893</v>
      </c>
      <c r="R341" s="6">
        <v>46118</v>
      </c>
      <c r="S341" s="4" t="s">
        <v>190</v>
      </c>
      <c r="T341" s="4" t="s">
        <v>190</v>
      </c>
      <c r="U341">
        <v>0</v>
      </c>
      <c r="V341" s="4" t="s">
        <v>1901</v>
      </c>
      <c r="W341" s="4" t="s">
        <v>190</v>
      </c>
      <c r="X341" s="6">
        <v>46132</v>
      </c>
      <c r="Y341" s="4" t="s">
        <v>190</v>
      </c>
      <c r="Z341" s="4" t="s">
        <v>190</v>
      </c>
      <c r="AA341">
        <v>0</v>
      </c>
      <c r="AB341" s="4" t="s">
        <v>1895</v>
      </c>
      <c r="AC341" s="4" t="s">
        <v>190</v>
      </c>
      <c r="AD341" s="4" t="s">
        <v>190</v>
      </c>
      <c r="AE341" s="4" t="s">
        <v>190</v>
      </c>
      <c r="AF341" s="4" t="s">
        <v>190</v>
      </c>
    </row>
    <row r="342" spans="1:32" ht="16.5" customHeight="1">
      <c r="A342" s="3" t="s">
        <v>275</v>
      </c>
      <c r="B342" s="3" t="s">
        <v>2225</v>
      </c>
      <c r="C342" s="3" t="s">
        <v>2238</v>
      </c>
      <c r="D342" s="3" t="s">
        <v>25</v>
      </c>
      <c r="E342" s="3" t="s">
        <v>2927</v>
      </c>
      <c r="F342" s="3" t="s">
        <v>2928</v>
      </c>
      <c r="G342" s="3" t="s">
        <v>508</v>
      </c>
      <c r="H342" s="5">
        <v>46080</v>
      </c>
      <c r="I342" s="5">
        <v>46062.373715277776</v>
      </c>
      <c r="J342" s="3" t="s">
        <v>533</v>
      </c>
      <c r="K342" s="3" t="s">
        <v>1892</v>
      </c>
      <c r="L342">
        <v>6</v>
      </c>
      <c r="M342" s="5">
        <v>46107</v>
      </c>
      <c r="N342" s="3" t="s">
        <v>1900</v>
      </c>
      <c r="O342">
        <v>0</v>
      </c>
      <c r="P342" s="3" t="s">
        <v>24</v>
      </c>
      <c r="Q342" s="3" t="s">
        <v>1893</v>
      </c>
      <c r="R342" s="5">
        <v>46118</v>
      </c>
      <c r="S342" s="3" t="s">
        <v>190</v>
      </c>
      <c r="T342" s="3" t="s">
        <v>190</v>
      </c>
      <c r="U342">
        <v>0</v>
      </c>
      <c r="V342" s="3" t="s">
        <v>1983</v>
      </c>
      <c r="W342" s="3" t="s">
        <v>190</v>
      </c>
      <c r="X342" s="5">
        <v>46132</v>
      </c>
      <c r="Y342" s="3" t="s">
        <v>190</v>
      </c>
      <c r="Z342" s="3" t="s">
        <v>190</v>
      </c>
      <c r="AA342">
        <v>0</v>
      </c>
      <c r="AB342" s="3" t="s">
        <v>1984</v>
      </c>
      <c r="AC342" s="3" t="s">
        <v>190</v>
      </c>
      <c r="AD342" s="3" t="s">
        <v>190</v>
      </c>
      <c r="AE342" s="3" t="s">
        <v>190</v>
      </c>
      <c r="AF342" s="3" t="s">
        <v>190</v>
      </c>
    </row>
    <row r="343" spans="1:32" ht="16.5" customHeight="1">
      <c r="A343" s="4" t="s">
        <v>184</v>
      </c>
      <c r="B343" s="4" t="s">
        <v>1989</v>
      </c>
      <c r="C343" s="4" t="s">
        <v>2929</v>
      </c>
      <c r="D343" s="4" t="s">
        <v>25</v>
      </c>
      <c r="E343" s="4" t="s">
        <v>2930</v>
      </c>
      <c r="F343" s="4" t="s">
        <v>2931</v>
      </c>
      <c r="G343" s="4" t="s">
        <v>2932</v>
      </c>
      <c r="H343" s="6">
        <v>46051</v>
      </c>
      <c r="I343" s="6">
        <v>46083.476863425924</v>
      </c>
      <c r="J343" s="4" t="s">
        <v>2933</v>
      </c>
      <c r="K343" s="4" t="s">
        <v>1892</v>
      </c>
      <c r="L343">
        <v>6</v>
      </c>
      <c r="M343" s="6">
        <v>46107</v>
      </c>
      <c r="N343" s="4" t="s">
        <v>1893</v>
      </c>
      <c r="O343">
        <v>0</v>
      </c>
      <c r="P343" s="4" t="s">
        <v>24</v>
      </c>
      <c r="Q343" s="4" t="s">
        <v>1893</v>
      </c>
      <c r="R343" s="6">
        <v>46052</v>
      </c>
      <c r="S343" s="4" t="s">
        <v>190</v>
      </c>
      <c r="T343" s="4" t="s">
        <v>190</v>
      </c>
      <c r="U343">
        <v>0</v>
      </c>
      <c r="V343" s="4" t="s">
        <v>1901</v>
      </c>
      <c r="W343" s="4" t="s">
        <v>190</v>
      </c>
      <c r="X343" s="6">
        <v>46052</v>
      </c>
      <c r="Y343" s="4" t="s">
        <v>190</v>
      </c>
      <c r="Z343" s="4" t="s">
        <v>190</v>
      </c>
      <c r="AA343">
        <v>0</v>
      </c>
      <c r="AB343" s="4" t="s">
        <v>1895</v>
      </c>
      <c r="AC343" s="4" t="s">
        <v>190</v>
      </c>
      <c r="AD343" s="4" t="s">
        <v>190</v>
      </c>
      <c r="AE343" s="4" t="s">
        <v>190</v>
      </c>
      <c r="AF343" s="4" t="s">
        <v>190</v>
      </c>
    </row>
    <row r="344" spans="1:32" ht="16.5" customHeight="1">
      <c r="A344" s="3" t="s">
        <v>184</v>
      </c>
      <c r="B344" s="3" t="s">
        <v>1989</v>
      </c>
      <c r="C344" s="3" t="s">
        <v>2929</v>
      </c>
      <c r="D344" s="3" t="s">
        <v>25</v>
      </c>
      <c r="E344" s="3" t="s">
        <v>2934</v>
      </c>
      <c r="F344" s="3" t="s">
        <v>2935</v>
      </c>
      <c r="G344" s="3" t="s">
        <v>2932</v>
      </c>
      <c r="H344" s="5">
        <v>46051</v>
      </c>
      <c r="I344" s="5">
        <v>46083.476944444446</v>
      </c>
      <c r="J344" s="3" t="s">
        <v>2936</v>
      </c>
      <c r="K344" s="3" t="s">
        <v>1892</v>
      </c>
      <c r="L344">
        <v>6</v>
      </c>
      <c r="M344" s="5">
        <v>46107</v>
      </c>
      <c r="N344" s="3" t="s">
        <v>1893</v>
      </c>
      <c r="O344">
        <v>0</v>
      </c>
      <c r="P344" s="3" t="s">
        <v>24</v>
      </c>
      <c r="Q344" s="3" t="s">
        <v>1893</v>
      </c>
      <c r="R344" s="5">
        <v>46052</v>
      </c>
      <c r="S344" s="3" t="s">
        <v>190</v>
      </c>
      <c r="T344" s="3" t="s">
        <v>190</v>
      </c>
      <c r="U344">
        <v>0</v>
      </c>
      <c r="V344" s="3" t="s">
        <v>1901</v>
      </c>
      <c r="W344" s="3" t="s">
        <v>190</v>
      </c>
      <c r="X344" s="5">
        <v>46052</v>
      </c>
      <c r="Y344" s="3" t="s">
        <v>190</v>
      </c>
      <c r="Z344" s="3" t="s">
        <v>190</v>
      </c>
      <c r="AA344">
        <v>0</v>
      </c>
      <c r="AB344" s="3" t="s">
        <v>1895</v>
      </c>
      <c r="AC344" s="3" t="s">
        <v>190</v>
      </c>
      <c r="AD344" s="3" t="s">
        <v>190</v>
      </c>
      <c r="AE344" s="3" t="s">
        <v>190</v>
      </c>
      <c r="AF344" s="3" t="s">
        <v>190</v>
      </c>
    </row>
    <row r="345" spans="1:32" ht="16.5" customHeight="1">
      <c r="A345" s="4" t="s">
        <v>184</v>
      </c>
      <c r="B345" s="4" t="s">
        <v>1989</v>
      </c>
      <c r="C345" s="4" t="s">
        <v>2241</v>
      </c>
      <c r="D345" s="4" t="s">
        <v>25</v>
      </c>
      <c r="E345" s="4" t="s">
        <v>2937</v>
      </c>
      <c r="F345" s="4" t="s">
        <v>2938</v>
      </c>
      <c r="G345" s="4" t="s">
        <v>49</v>
      </c>
      <c r="H345" s="6">
        <v>46003</v>
      </c>
      <c r="I345" s="6">
        <v>46107.25104166667</v>
      </c>
      <c r="J345" s="4" t="s">
        <v>2939</v>
      </c>
      <c r="K345" s="4" t="s">
        <v>1892</v>
      </c>
      <c r="L345">
        <v>6</v>
      </c>
      <c r="M345" s="6">
        <v>46107</v>
      </c>
      <c r="N345" s="4" t="s">
        <v>1893</v>
      </c>
      <c r="O345">
        <v>0</v>
      </c>
      <c r="P345" s="4" t="s">
        <v>24</v>
      </c>
      <c r="Q345" s="4" t="s">
        <v>1893</v>
      </c>
      <c r="R345" s="6">
        <v>46118</v>
      </c>
      <c r="S345" s="4" t="s">
        <v>190</v>
      </c>
      <c r="T345" s="4" t="s">
        <v>190</v>
      </c>
      <c r="U345">
        <v>0</v>
      </c>
      <c r="V345" s="4" t="s">
        <v>1901</v>
      </c>
      <c r="W345" s="4" t="s">
        <v>190</v>
      </c>
      <c r="X345" s="6">
        <v>46132</v>
      </c>
      <c r="Y345" s="4" t="s">
        <v>190</v>
      </c>
      <c r="Z345" s="4" t="s">
        <v>190</v>
      </c>
      <c r="AA345">
        <v>0</v>
      </c>
      <c r="AB345" s="4" t="s">
        <v>1895</v>
      </c>
      <c r="AC345" s="4" t="s">
        <v>190</v>
      </c>
      <c r="AD345" s="4" t="s">
        <v>190</v>
      </c>
      <c r="AE345" s="4" t="s">
        <v>190</v>
      </c>
      <c r="AF345" s="4" t="s">
        <v>190</v>
      </c>
    </row>
    <row r="346" spans="1:32" ht="16.5" customHeight="1">
      <c r="A346" s="3" t="s">
        <v>184</v>
      </c>
      <c r="B346" s="3" t="s">
        <v>1989</v>
      </c>
      <c r="C346" s="3" t="s">
        <v>2241</v>
      </c>
      <c r="D346" s="3" t="s">
        <v>25</v>
      </c>
      <c r="E346" s="3" t="s">
        <v>2940</v>
      </c>
      <c r="F346" s="3" t="s">
        <v>2941</v>
      </c>
      <c r="G346" s="3" t="s">
        <v>493</v>
      </c>
      <c r="H346" s="5">
        <v>46003</v>
      </c>
      <c r="I346" s="5">
        <v>46107.251111111109</v>
      </c>
      <c r="J346" s="3" t="s">
        <v>2942</v>
      </c>
      <c r="K346" s="3" t="s">
        <v>1892</v>
      </c>
      <c r="L346">
        <v>6</v>
      </c>
      <c r="M346" s="5">
        <v>46107</v>
      </c>
      <c r="N346" s="3" t="s">
        <v>1893</v>
      </c>
      <c r="O346">
        <v>0</v>
      </c>
      <c r="P346" s="3" t="s">
        <v>24</v>
      </c>
      <c r="Q346" s="3" t="s">
        <v>1893</v>
      </c>
      <c r="R346" s="5">
        <v>46118</v>
      </c>
      <c r="S346" s="3" t="s">
        <v>190</v>
      </c>
      <c r="T346" s="3" t="s">
        <v>190</v>
      </c>
      <c r="U346">
        <v>0</v>
      </c>
      <c r="V346" s="3" t="s">
        <v>1901</v>
      </c>
      <c r="W346" s="3" t="s">
        <v>190</v>
      </c>
      <c r="X346" s="5">
        <v>46132</v>
      </c>
      <c r="Y346" s="3" t="s">
        <v>190</v>
      </c>
      <c r="Z346" s="3" t="s">
        <v>190</v>
      </c>
      <c r="AA346">
        <v>0</v>
      </c>
      <c r="AB346" s="3" t="s">
        <v>1895</v>
      </c>
      <c r="AC346" s="3" t="s">
        <v>190</v>
      </c>
      <c r="AD346" s="3" t="s">
        <v>190</v>
      </c>
      <c r="AE346" s="3" t="s">
        <v>190</v>
      </c>
      <c r="AF346" s="3" t="s">
        <v>190</v>
      </c>
    </row>
    <row r="347" spans="1:32" ht="16.5" customHeight="1">
      <c r="A347" s="4" t="s">
        <v>184</v>
      </c>
      <c r="B347" s="4" t="s">
        <v>1989</v>
      </c>
      <c r="C347" s="4" t="s">
        <v>2241</v>
      </c>
      <c r="D347" s="4" t="s">
        <v>25</v>
      </c>
      <c r="E347" s="4" t="s">
        <v>2943</v>
      </c>
      <c r="F347" s="4" t="s">
        <v>2944</v>
      </c>
      <c r="G347" s="4" t="s">
        <v>496</v>
      </c>
      <c r="H347" s="6">
        <v>46017</v>
      </c>
      <c r="I347" s="6">
        <v>45999</v>
      </c>
      <c r="J347" s="4" t="s">
        <v>1805</v>
      </c>
      <c r="K347" s="4" t="s">
        <v>1892</v>
      </c>
      <c r="L347">
        <v>6</v>
      </c>
      <c r="M347" s="6">
        <v>46107</v>
      </c>
      <c r="N347" s="4" t="s">
        <v>1900</v>
      </c>
      <c r="O347">
        <v>0</v>
      </c>
      <c r="P347" s="4" t="s">
        <v>24</v>
      </c>
      <c r="Q347" s="4" t="s">
        <v>1900</v>
      </c>
      <c r="R347" s="6">
        <v>46118</v>
      </c>
      <c r="S347" s="4" t="s">
        <v>190</v>
      </c>
      <c r="T347" s="4" t="s">
        <v>190</v>
      </c>
      <c r="U347">
        <v>0</v>
      </c>
      <c r="V347" s="4" t="s">
        <v>1901</v>
      </c>
      <c r="W347" s="4" t="s">
        <v>190</v>
      </c>
      <c r="X347" s="6">
        <v>46132</v>
      </c>
      <c r="Y347" s="4" t="s">
        <v>190</v>
      </c>
      <c r="Z347" s="4" t="s">
        <v>190</v>
      </c>
      <c r="AA347">
        <v>0</v>
      </c>
      <c r="AB347" s="4" t="s">
        <v>1895</v>
      </c>
      <c r="AC347" s="4" t="s">
        <v>190</v>
      </c>
      <c r="AD347" s="4" t="s">
        <v>190</v>
      </c>
      <c r="AE347" s="4" t="s">
        <v>190</v>
      </c>
      <c r="AF347" s="4" t="s">
        <v>190</v>
      </c>
    </row>
    <row r="348" spans="1:32" ht="16.5" customHeight="1">
      <c r="A348" s="3" t="s">
        <v>184</v>
      </c>
      <c r="B348" s="3" t="s">
        <v>1989</v>
      </c>
      <c r="C348" s="3" t="s">
        <v>2244</v>
      </c>
      <c r="D348" s="3" t="s">
        <v>25</v>
      </c>
      <c r="E348" s="3" t="s">
        <v>2945</v>
      </c>
      <c r="F348" s="3" t="s">
        <v>2946</v>
      </c>
      <c r="G348" s="3" t="s">
        <v>1291</v>
      </c>
      <c r="H348" s="5">
        <v>46059</v>
      </c>
      <c r="I348" s="5">
        <v>45999</v>
      </c>
      <c r="J348" s="3" t="s">
        <v>2947</v>
      </c>
      <c r="K348" s="3" t="s">
        <v>1892</v>
      </c>
      <c r="L348">
        <v>6</v>
      </c>
      <c r="M348" s="5">
        <v>46107</v>
      </c>
      <c r="N348" s="3" t="s">
        <v>1893</v>
      </c>
      <c r="O348">
        <v>0</v>
      </c>
      <c r="P348" s="3" t="s">
        <v>24</v>
      </c>
      <c r="Q348" s="3" t="s">
        <v>1893</v>
      </c>
      <c r="R348" s="5">
        <v>46118</v>
      </c>
      <c r="S348" s="3" t="s">
        <v>190</v>
      </c>
      <c r="T348" s="3" t="s">
        <v>190</v>
      </c>
      <c r="U348">
        <v>0</v>
      </c>
      <c r="V348" s="3" t="s">
        <v>1901</v>
      </c>
      <c r="W348" s="3" t="s">
        <v>190</v>
      </c>
      <c r="X348" s="5">
        <v>46132</v>
      </c>
      <c r="Y348" s="3" t="s">
        <v>190</v>
      </c>
      <c r="Z348" s="3" t="s">
        <v>190</v>
      </c>
      <c r="AA348">
        <v>0</v>
      </c>
      <c r="AB348" s="3" t="s">
        <v>1895</v>
      </c>
      <c r="AC348" s="3" t="s">
        <v>190</v>
      </c>
      <c r="AD348" s="3" t="s">
        <v>190</v>
      </c>
      <c r="AE348" s="3" t="s">
        <v>190</v>
      </c>
      <c r="AF348" s="3" t="s">
        <v>190</v>
      </c>
    </row>
    <row r="349" spans="1:32" ht="16.5" customHeight="1">
      <c r="A349" s="4" t="s">
        <v>46</v>
      </c>
      <c r="B349" s="4" t="s">
        <v>2008</v>
      </c>
      <c r="C349" s="4" t="s">
        <v>2256</v>
      </c>
      <c r="D349" s="4" t="s">
        <v>25</v>
      </c>
      <c r="E349" s="4" t="s">
        <v>2948</v>
      </c>
      <c r="F349" s="4" t="s">
        <v>2949</v>
      </c>
      <c r="G349" s="4" t="s">
        <v>50</v>
      </c>
      <c r="H349" s="6">
        <v>46031</v>
      </c>
      <c r="I349" s="6">
        <v>46029.679861111108</v>
      </c>
      <c r="J349" s="4" t="s">
        <v>2950</v>
      </c>
      <c r="K349" s="4" t="s">
        <v>1892</v>
      </c>
      <c r="L349">
        <v>6</v>
      </c>
      <c r="M349" s="6">
        <v>46105</v>
      </c>
      <c r="N349" s="4" t="s">
        <v>1893</v>
      </c>
      <c r="O349">
        <v>0</v>
      </c>
      <c r="P349" s="4" t="s">
        <v>24</v>
      </c>
      <c r="Q349" s="4" t="s">
        <v>1893</v>
      </c>
      <c r="R349" s="6">
        <v>46118</v>
      </c>
      <c r="S349" s="4" t="s">
        <v>190</v>
      </c>
      <c r="T349" s="4" t="s">
        <v>190</v>
      </c>
      <c r="U349">
        <v>0</v>
      </c>
      <c r="V349" s="4" t="s">
        <v>2013</v>
      </c>
      <c r="W349" s="4" t="s">
        <v>190</v>
      </c>
      <c r="X349" s="6">
        <v>46132</v>
      </c>
      <c r="Y349" s="4" t="s">
        <v>190</v>
      </c>
      <c r="Z349" s="4" t="s">
        <v>190</v>
      </c>
      <c r="AA349">
        <v>0</v>
      </c>
      <c r="AB349" s="4" t="s">
        <v>1895</v>
      </c>
      <c r="AC349" s="4" t="s">
        <v>190</v>
      </c>
      <c r="AD349" s="4" t="s">
        <v>190</v>
      </c>
      <c r="AE349" s="4" t="s">
        <v>190</v>
      </c>
      <c r="AF349" s="4" t="s">
        <v>190</v>
      </c>
    </row>
    <row r="350" spans="1:32" ht="16.5" customHeight="1">
      <c r="A350" s="3" t="s">
        <v>46</v>
      </c>
      <c r="B350" s="3" t="s">
        <v>2008</v>
      </c>
      <c r="C350" s="3" t="s">
        <v>2951</v>
      </c>
      <c r="D350" s="3" t="s">
        <v>25</v>
      </c>
      <c r="E350" s="3" t="s">
        <v>2952</v>
      </c>
      <c r="F350" s="3" t="s">
        <v>2953</v>
      </c>
      <c r="G350" s="3" t="s">
        <v>50</v>
      </c>
      <c r="H350" s="5">
        <v>46031</v>
      </c>
      <c r="I350" s="5">
        <v>46029.68072916667</v>
      </c>
      <c r="J350" s="3" t="s">
        <v>2954</v>
      </c>
      <c r="K350" s="3" t="s">
        <v>1892</v>
      </c>
      <c r="L350">
        <v>6</v>
      </c>
      <c r="M350" s="5">
        <v>46105</v>
      </c>
      <c r="N350" s="3" t="s">
        <v>1893</v>
      </c>
      <c r="O350">
        <v>0</v>
      </c>
      <c r="P350" s="3" t="s">
        <v>24</v>
      </c>
      <c r="Q350" s="3" t="s">
        <v>1893</v>
      </c>
      <c r="R350" s="5">
        <v>46118</v>
      </c>
      <c r="S350" s="3" t="s">
        <v>190</v>
      </c>
      <c r="T350" s="3" t="s">
        <v>190</v>
      </c>
      <c r="U350">
        <v>0</v>
      </c>
      <c r="V350" s="3" t="s">
        <v>2013</v>
      </c>
      <c r="W350" s="3" t="s">
        <v>190</v>
      </c>
      <c r="X350" s="5">
        <v>46132</v>
      </c>
      <c r="Y350" s="3" t="s">
        <v>190</v>
      </c>
      <c r="Z350" s="3" t="s">
        <v>190</v>
      </c>
      <c r="AA350">
        <v>0</v>
      </c>
      <c r="AB350" s="3" t="s">
        <v>1895</v>
      </c>
      <c r="AC350" s="3" t="s">
        <v>190</v>
      </c>
      <c r="AD350" s="3" t="s">
        <v>190</v>
      </c>
      <c r="AE350" s="3" t="s">
        <v>190</v>
      </c>
      <c r="AF350" s="3" t="s">
        <v>190</v>
      </c>
    </row>
    <row r="351" spans="1:32" ht="16.5" customHeight="1">
      <c r="A351" s="4" t="s">
        <v>46</v>
      </c>
      <c r="B351" s="4" t="s">
        <v>2008</v>
      </c>
      <c r="C351" s="4" t="s">
        <v>2472</v>
      </c>
      <c r="D351" s="4" t="s">
        <v>62</v>
      </c>
      <c r="E351" s="4" t="s">
        <v>2955</v>
      </c>
      <c r="F351" s="4" t="s">
        <v>2956</v>
      </c>
      <c r="G351" s="4" t="s">
        <v>50</v>
      </c>
      <c r="H351" s="6">
        <v>46052</v>
      </c>
      <c r="I351" s="6">
        <v>46062.393449074072</v>
      </c>
      <c r="J351" s="4" t="s">
        <v>59</v>
      </c>
      <c r="K351" s="4" t="s">
        <v>1892</v>
      </c>
      <c r="L351">
        <v>6</v>
      </c>
      <c r="M351" s="6">
        <v>46105</v>
      </c>
      <c r="N351" s="4" t="s">
        <v>1900</v>
      </c>
      <c r="O351">
        <v>0</v>
      </c>
      <c r="P351" s="4" t="s">
        <v>24</v>
      </c>
      <c r="Q351" s="4" t="s">
        <v>1900</v>
      </c>
      <c r="R351" s="6">
        <v>46094</v>
      </c>
      <c r="S351" s="4" t="s">
        <v>190</v>
      </c>
      <c r="T351" s="4" t="s">
        <v>190</v>
      </c>
      <c r="U351">
        <v>0</v>
      </c>
      <c r="V351" s="4" t="s">
        <v>2013</v>
      </c>
      <c r="W351" s="4" t="s">
        <v>190</v>
      </c>
      <c r="X351" s="6">
        <v>46094</v>
      </c>
      <c r="Y351" s="4" t="s">
        <v>190</v>
      </c>
      <c r="Z351" s="4" t="s">
        <v>190</v>
      </c>
      <c r="AA351">
        <v>0</v>
      </c>
      <c r="AB351" s="4" t="s">
        <v>2013</v>
      </c>
      <c r="AC351" s="4" t="s">
        <v>190</v>
      </c>
      <c r="AD351" s="4" t="s">
        <v>190</v>
      </c>
      <c r="AE351" s="4" t="s">
        <v>190</v>
      </c>
      <c r="AF351" s="4" t="s">
        <v>190</v>
      </c>
    </row>
    <row r="352" spans="1:32" ht="16.5" customHeight="1">
      <c r="A352" s="3" t="s">
        <v>46</v>
      </c>
      <c r="B352" s="3" t="s">
        <v>56</v>
      </c>
      <c r="C352" s="3" t="s">
        <v>56</v>
      </c>
      <c r="D352" s="3" t="s">
        <v>116</v>
      </c>
      <c r="E352" s="3" t="s">
        <v>2957</v>
      </c>
      <c r="F352" s="3" t="s">
        <v>2958</v>
      </c>
      <c r="G352" s="3" t="s">
        <v>49</v>
      </c>
      <c r="H352" s="5">
        <v>46066</v>
      </c>
      <c r="I352" s="5">
        <v>46066</v>
      </c>
      <c r="J352" s="3" t="s">
        <v>149</v>
      </c>
      <c r="K352" s="3" t="s">
        <v>1892</v>
      </c>
      <c r="L352">
        <v>6</v>
      </c>
      <c r="M352" s="5">
        <v>46108</v>
      </c>
      <c r="N352" s="3" t="s">
        <v>1900</v>
      </c>
      <c r="O352">
        <v>0</v>
      </c>
      <c r="P352" s="3" t="s">
        <v>24</v>
      </c>
      <c r="Q352" s="3" t="s">
        <v>1893</v>
      </c>
      <c r="R352" s="5">
        <v>46112</v>
      </c>
      <c r="S352" s="3" t="s">
        <v>190</v>
      </c>
      <c r="T352" s="3" t="s">
        <v>190</v>
      </c>
      <c r="U352">
        <v>0</v>
      </c>
      <c r="V352" s="3" t="s">
        <v>2013</v>
      </c>
      <c r="W352" s="3" t="s">
        <v>190</v>
      </c>
      <c r="X352" s="5">
        <v>46114</v>
      </c>
      <c r="Y352" s="3" t="s">
        <v>190</v>
      </c>
      <c r="Z352" s="3" t="s">
        <v>190</v>
      </c>
      <c r="AA352">
        <v>0</v>
      </c>
      <c r="AB352" s="3" t="s">
        <v>1895</v>
      </c>
      <c r="AC352" s="3" t="s">
        <v>190</v>
      </c>
      <c r="AD352" s="3" t="s">
        <v>190</v>
      </c>
      <c r="AE352" s="3" t="s">
        <v>190</v>
      </c>
      <c r="AF352" s="3" t="s">
        <v>190</v>
      </c>
    </row>
    <row r="353" spans="1:32" ht="16.5" customHeight="1">
      <c r="A353" s="4" t="s">
        <v>19</v>
      </c>
      <c r="B353" s="4" t="s">
        <v>2017</v>
      </c>
      <c r="C353" s="4" t="s">
        <v>2018</v>
      </c>
      <c r="D353" s="4" t="s">
        <v>25</v>
      </c>
      <c r="E353" s="4" t="s">
        <v>2959</v>
      </c>
      <c r="F353" s="4" t="s">
        <v>2960</v>
      </c>
      <c r="G353" s="4" t="s">
        <v>50</v>
      </c>
      <c r="H353" s="6">
        <v>46059</v>
      </c>
      <c r="I353" s="6">
        <v>46059</v>
      </c>
      <c r="J353" s="4" t="s">
        <v>2961</v>
      </c>
      <c r="K353" s="4" t="s">
        <v>1892</v>
      </c>
      <c r="L353">
        <v>6</v>
      </c>
      <c r="M353" s="6"/>
      <c r="N353" s="4" t="s">
        <v>190</v>
      </c>
      <c r="O353">
        <v>0</v>
      </c>
      <c r="P353" s="4" t="s">
        <v>24</v>
      </c>
      <c r="Q353" s="4" t="s">
        <v>190</v>
      </c>
      <c r="R353" s="6">
        <v>46118</v>
      </c>
      <c r="S353" s="4" t="s">
        <v>190</v>
      </c>
      <c r="T353" s="4" t="s">
        <v>190</v>
      </c>
      <c r="U353">
        <v>0</v>
      </c>
      <c r="V353" s="4" t="s">
        <v>1901</v>
      </c>
      <c r="W353" s="4" t="s">
        <v>190</v>
      </c>
      <c r="X353" s="6">
        <v>46132</v>
      </c>
      <c r="Y353" s="4" t="s">
        <v>190</v>
      </c>
      <c r="Z353" s="4" t="s">
        <v>190</v>
      </c>
      <c r="AA353">
        <v>0</v>
      </c>
      <c r="AB353" s="4" t="s">
        <v>1895</v>
      </c>
      <c r="AC353" s="4" t="s">
        <v>190</v>
      </c>
      <c r="AD353" s="4" t="s">
        <v>190</v>
      </c>
      <c r="AE353" s="4" t="s">
        <v>190</v>
      </c>
      <c r="AF353" s="4" t="s">
        <v>190</v>
      </c>
    </row>
    <row r="354" spans="1:32" ht="16.5" customHeight="1">
      <c r="A354" s="3" t="s">
        <v>19</v>
      </c>
      <c r="B354" s="3" t="s">
        <v>2017</v>
      </c>
      <c r="C354" s="3" t="s">
        <v>2018</v>
      </c>
      <c r="D354" s="3" t="s">
        <v>25</v>
      </c>
      <c r="E354" s="3" t="s">
        <v>2962</v>
      </c>
      <c r="F354" s="3" t="s">
        <v>2963</v>
      </c>
      <c r="G354" s="3" t="s">
        <v>23</v>
      </c>
      <c r="H354" s="5">
        <v>46059</v>
      </c>
      <c r="I354" s="5">
        <v>46059</v>
      </c>
      <c r="J354" s="3" t="s">
        <v>2964</v>
      </c>
      <c r="K354" s="3" t="s">
        <v>1892</v>
      </c>
      <c r="L354">
        <v>6</v>
      </c>
      <c r="M354" s="5"/>
      <c r="N354" s="3" t="s">
        <v>190</v>
      </c>
      <c r="O354">
        <v>0</v>
      </c>
      <c r="P354" s="3" t="s">
        <v>24</v>
      </c>
      <c r="Q354" s="3" t="s">
        <v>190</v>
      </c>
      <c r="R354" s="5">
        <v>46118</v>
      </c>
      <c r="S354" s="3" t="s">
        <v>190</v>
      </c>
      <c r="T354" s="3" t="s">
        <v>190</v>
      </c>
      <c r="U354">
        <v>0</v>
      </c>
      <c r="V354" s="3" t="s">
        <v>1901</v>
      </c>
      <c r="W354" s="3" t="s">
        <v>190</v>
      </c>
      <c r="X354" s="5">
        <v>46132</v>
      </c>
      <c r="Y354" s="3" t="s">
        <v>190</v>
      </c>
      <c r="Z354" s="3" t="s">
        <v>190</v>
      </c>
      <c r="AA354">
        <v>0</v>
      </c>
      <c r="AB354" s="3" t="s">
        <v>1895</v>
      </c>
      <c r="AC354" s="3" t="s">
        <v>190</v>
      </c>
      <c r="AD354" s="3" t="s">
        <v>190</v>
      </c>
      <c r="AE354" s="3" t="s">
        <v>190</v>
      </c>
      <c r="AF354" s="3" t="s">
        <v>190</v>
      </c>
    </row>
    <row r="355" spans="1:32" ht="16.5" customHeight="1">
      <c r="A355" s="4" t="s">
        <v>19</v>
      </c>
      <c r="B355" s="4" t="s">
        <v>2017</v>
      </c>
      <c r="C355" s="4" t="s">
        <v>2025</v>
      </c>
      <c r="D355" s="4" t="s">
        <v>25</v>
      </c>
      <c r="E355" s="4" t="s">
        <v>2965</v>
      </c>
      <c r="F355" s="4" t="s">
        <v>2966</v>
      </c>
      <c r="G355" s="4" t="s">
        <v>23</v>
      </c>
      <c r="H355" s="6">
        <v>46059</v>
      </c>
      <c r="I355" s="6">
        <v>46059</v>
      </c>
      <c r="J355" s="4" t="s">
        <v>2967</v>
      </c>
      <c r="K355" s="4" t="s">
        <v>1892</v>
      </c>
      <c r="L355">
        <v>6</v>
      </c>
      <c r="M355" s="6"/>
      <c r="N355" s="4" t="s">
        <v>190</v>
      </c>
      <c r="O355">
        <v>0</v>
      </c>
      <c r="P355" s="4" t="s">
        <v>24</v>
      </c>
      <c r="Q355" s="4" t="s">
        <v>190</v>
      </c>
      <c r="R355" s="6">
        <v>46118</v>
      </c>
      <c r="S355" s="4" t="s">
        <v>190</v>
      </c>
      <c r="T355" s="4" t="s">
        <v>190</v>
      </c>
      <c r="U355">
        <v>0</v>
      </c>
      <c r="V355" s="4" t="s">
        <v>1901</v>
      </c>
      <c r="W355" s="4" t="s">
        <v>190</v>
      </c>
      <c r="X355" s="6">
        <v>46132</v>
      </c>
      <c r="Y355" s="4" t="s">
        <v>190</v>
      </c>
      <c r="Z355" s="4" t="s">
        <v>190</v>
      </c>
      <c r="AA355">
        <v>0</v>
      </c>
      <c r="AB355" s="4" t="s">
        <v>1895</v>
      </c>
      <c r="AC355" s="4" t="s">
        <v>190</v>
      </c>
      <c r="AD355" s="4" t="s">
        <v>190</v>
      </c>
      <c r="AE355" s="4" t="s">
        <v>190</v>
      </c>
      <c r="AF355" s="4" t="s">
        <v>190</v>
      </c>
    </row>
    <row r="356" spans="1:32" ht="16.5" customHeight="1">
      <c r="A356" s="3" t="s">
        <v>19</v>
      </c>
      <c r="B356" s="3" t="s">
        <v>2017</v>
      </c>
      <c r="C356" s="3" t="s">
        <v>2272</v>
      </c>
      <c r="D356" s="3" t="s">
        <v>25</v>
      </c>
      <c r="E356" s="3" t="s">
        <v>2968</v>
      </c>
      <c r="F356" s="3" t="s">
        <v>2969</v>
      </c>
      <c r="G356" s="3" t="s">
        <v>50</v>
      </c>
      <c r="H356" s="5">
        <v>46066</v>
      </c>
      <c r="I356" s="5">
        <v>46059</v>
      </c>
      <c r="J356" s="3" t="s">
        <v>2970</v>
      </c>
      <c r="K356" s="3" t="s">
        <v>1892</v>
      </c>
      <c r="L356">
        <v>6</v>
      </c>
      <c r="M356" s="5"/>
      <c r="N356" s="3" t="s">
        <v>190</v>
      </c>
      <c r="O356">
        <v>0</v>
      </c>
      <c r="P356" s="3" t="s">
        <v>24</v>
      </c>
      <c r="Q356" s="3" t="s">
        <v>190</v>
      </c>
      <c r="R356" s="5">
        <v>46118</v>
      </c>
      <c r="S356" s="3" t="s">
        <v>190</v>
      </c>
      <c r="T356" s="3" t="s">
        <v>190</v>
      </c>
      <c r="U356">
        <v>0</v>
      </c>
      <c r="V356" s="3" t="s">
        <v>1901</v>
      </c>
      <c r="W356" s="3" t="s">
        <v>190</v>
      </c>
      <c r="X356" s="5">
        <v>46132</v>
      </c>
      <c r="Y356" s="3" t="s">
        <v>190</v>
      </c>
      <c r="Z356" s="3" t="s">
        <v>190</v>
      </c>
      <c r="AA356">
        <v>0</v>
      </c>
      <c r="AB356" s="3" t="s">
        <v>1895</v>
      </c>
      <c r="AC356" s="3" t="s">
        <v>190</v>
      </c>
      <c r="AD356" s="3" t="s">
        <v>190</v>
      </c>
      <c r="AE356" s="3" t="s">
        <v>190</v>
      </c>
      <c r="AF356" s="3" t="s">
        <v>190</v>
      </c>
    </row>
    <row r="357" spans="1:32" ht="16.5" customHeight="1">
      <c r="A357" s="4" t="s">
        <v>19</v>
      </c>
      <c r="B357" s="4" t="s">
        <v>2017</v>
      </c>
      <c r="C357" s="4" t="s">
        <v>2029</v>
      </c>
      <c r="D357" s="4" t="s">
        <v>25</v>
      </c>
      <c r="E357" s="4" t="s">
        <v>2971</v>
      </c>
      <c r="F357" s="4" t="s">
        <v>2972</v>
      </c>
      <c r="G357" s="4" t="s">
        <v>50</v>
      </c>
      <c r="H357" s="6">
        <v>46077</v>
      </c>
      <c r="I357" s="6">
        <v>46080.570474537039</v>
      </c>
      <c r="J357" s="4" t="s">
        <v>2973</v>
      </c>
      <c r="K357" s="4" t="s">
        <v>1892</v>
      </c>
      <c r="L357">
        <v>6</v>
      </c>
      <c r="M357" s="6"/>
      <c r="N357" s="4" t="s">
        <v>190</v>
      </c>
      <c r="O357">
        <v>0</v>
      </c>
      <c r="P357" s="4" t="s">
        <v>24</v>
      </c>
      <c r="Q357" s="4" t="s">
        <v>190</v>
      </c>
      <c r="R357" s="6">
        <v>46118</v>
      </c>
      <c r="S357" s="4" t="s">
        <v>190</v>
      </c>
      <c r="T357" s="4" t="s">
        <v>190</v>
      </c>
      <c r="U357">
        <v>0</v>
      </c>
      <c r="V357" s="4" t="s">
        <v>1901</v>
      </c>
      <c r="W357" s="4" t="s">
        <v>190</v>
      </c>
      <c r="X357" s="6">
        <v>46132</v>
      </c>
      <c r="Y357" s="4" t="s">
        <v>190</v>
      </c>
      <c r="Z357" s="4" t="s">
        <v>190</v>
      </c>
      <c r="AA357">
        <v>0</v>
      </c>
      <c r="AB357" s="4" t="s">
        <v>1895</v>
      </c>
      <c r="AC357" s="4" t="s">
        <v>190</v>
      </c>
      <c r="AD357" s="4" t="s">
        <v>190</v>
      </c>
      <c r="AE357" s="4" t="s">
        <v>190</v>
      </c>
      <c r="AF357" s="4" t="s">
        <v>190</v>
      </c>
    </row>
    <row r="358" spans="1:32" ht="16.5" customHeight="1">
      <c r="A358" s="3" t="s">
        <v>19</v>
      </c>
      <c r="B358" s="3" t="s">
        <v>2017</v>
      </c>
      <c r="C358" s="3" t="s">
        <v>2029</v>
      </c>
      <c r="D358" s="3" t="s">
        <v>25</v>
      </c>
      <c r="E358" s="3" t="s">
        <v>2974</v>
      </c>
      <c r="F358" s="3" t="s">
        <v>2975</v>
      </c>
      <c r="G358" s="3" t="s">
        <v>23</v>
      </c>
      <c r="H358" s="5">
        <v>46077</v>
      </c>
      <c r="I358" s="5">
        <v>46080.573368055557</v>
      </c>
      <c r="J358" s="3" t="s">
        <v>2976</v>
      </c>
      <c r="K358" s="3" t="s">
        <v>1892</v>
      </c>
      <c r="L358">
        <v>6</v>
      </c>
      <c r="M358" s="5"/>
      <c r="N358" s="3" t="s">
        <v>190</v>
      </c>
      <c r="O358">
        <v>0</v>
      </c>
      <c r="P358" s="3" t="s">
        <v>24</v>
      </c>
      <c r="Q358" s="3" t="s">
        <v>190</v>
      </c>
      <c r="R358" s="5">
        <v>46118</v>
      </c>
      <c r="S358" s="3" t="s">
        <v>190</v>
      </c>
      <c r="T358" s="3" t="s">
        <v>190</v>
      </c>
      <c r="U358">
        <v>0</v>
      </c>
      <c r="V358" s="3" t="s">
        <v>1901</v>
      </c>
      <c r="W358" s="3" t="s">
        <v>190</v>
      </c>
      <c r="X358" s="5">
        <v>46132</v>
      </c>
      <c r="Y358" s="3" t="s">
        <v>190</v>
      </c>
      <c r="Z358" s="3" t="s">
        <v>190</v>
      </c>
      <c r="AA358">
        <v>0</v>
      </c>
      <c r="AB358" s="3" t="s">
        <v>1895</v>
      </c>
      <c r="AC358" s="3" t="s">
        <v>190</v>
      </c>
      <c r="AD358" s="3" t="s">
        <v>190</v>
      </c>
      <c r="AE358" s="3" t="s">
        <v>190</v>
      </c>
      <c r="AF358" s="3" t="s">
        <v>190</v>
      </c>
    </row>
    <row r="359" spans="1:32" ht="16.5" customHeight="1">
      <c r="A359" s="4" t="s">
        <v>19</v>
      </c>
      <c r="B359" s="4" t="s">
        <v>2045</v>
      </c>
      <c r="C359" s="4" t="s">
        <v>2046</v>
      </c>
      <c r="D359" s="4" t="s">
        <v>25</v>
      </c>
      <c r="E359" s="4" t="s">
        <v>2977</v>
      </c>
      <c r="F359" s="4" t="s">
        <v>2978</v>
      </c>
      <c r="G359" s="4" t="s">
        <v>50</v>
      </c>
      <c r="H359" s="6">
        <v>46031</v>
      </c>
      <c r="I359" s="6">
        <v>46059</v>
      </c>
      <c r="J359" s="4" t="s">
        <v>2979</v>
      </c>
      <c r="K359" s="4" t="s">
        <v>1892</v>
      </c>
      <c r="L359">
        <v>6</v>
      </c>
      <c r="M359" s="6">
        <v>46106</v>
      </c>
      <c r="N359" s="4" t="s">
        <v>1893</v>
      </c>
      <c r="O359">
        <v>0</v>
      </c>
      <c r="P359" s="4" t="s">
        <v>24</v>
      </c>
      <c r="Q359" s="4" t="s">
        <v>1893</v>
      </c>
      <c r="R359" s="6">
        <v>46118</v>
      </c>
      <c r="S359" s="4" t="s">
        <v>190</v>
      </c>
      <c r="T359" s="4" t="s">
        <v>190</v>
      </c>
      <c r="U359">
        <v>0</v>
      </c>
      <c r="V359" s="4" t="s">
        <v>1901</v>
      </c>
      <c r="W359" s="4" t="s">
        <v>190</v>
      </c>
      <c r="X359" s="6">
        <v>46132</v>
      </c>
      <c r="Y359" s="4" t="s">
        <v>190</v>
      </c>
      <c r="Z359" s="4" t="s">
        <v>190</v>
      </c>
      <c r="AA359">
        <v>0</v>
      </c>
      <c r="AB359" s="4" t="s">
        <v>1895</v>
      </c>
      <c r="AC359" s="4" t="s">
        <v>190</v>
      </c>
      <c r="AD359" s="4" t="s">
        <v>190</v>
      </c>
      <c r="AE359" s="4" t="s">
        <v>190</v>
      </c>
      <c r="AF359" s="4" t="s">
        <v>190</v>
      </c>
    </row>
    <row r="360" spans="1:32" ht="16.5" customHeight="1">
      <c r="A360" s="3" t="s">
        <v>19</v>
      </c>
      <c r="B360" s="3" t="s">
        <v>2045</v>
      </c>
      <c r="C360" s="3" t="s">
        <v>2046</v>
      </c>
      <c r="D360" s="3" t="s">
        <v>25</v>
      </c>
      <c r="E360" s="3" t="s">
        <v>2980</v>
      </c>
      <c r="F360" s="3" t="s">
        <v>2981</v>
      </c>
      <c r="G360" s="3" t="s">
        <v>23</v>
      </c>
      <c r="H360" s="5">
        <v>46031</v>
      </c>
      <c r="I360" s="5">
        <v>46059</v>
      </c>
      <c r="J360" s="3" t="s">
        <v>2982</v>
      </c>
      <c r="K360" s="3" t="s">
        <v>1892</v>
      </c>
      <c r="L360">
        <v>6</v>
      </c>
      <c r="M360" s="5">
        <v>46106</v>
      </c>
      <c r="N360" s="3" t="s">
        <v>1893</v>
      </c>
      <c r="O360">
        <v>0</v>
      </c>
      <c r="P360" s="3" t="s">
        <v>24</v>
      </c>
      <c r="Q360" s="3" t="s">
        <v>1893</v>
      </c>
      <c r="R360" s="5">
        <v>46118</v>
      </c>
      <c r="S360" s="3" t="s">
        <v>190</v>
      </c>
      <c r="T360" s="3" t="s">
        <v>190</v>
      </c>
      <c r="U360">
        <v>0</v>
      </c>
      <c r="V360" s="3" t="s">
        <v>1901</v>
      </c>
      <c r="W360" s="3" t="s">
        <v>190</v>
      </c>
      <c r="X360" s="5">
        <v>46132</v>
      </c>
      <c r="Y360" s="3" t="s">
        <v>190</v>
      </c>
      <c r="Z360" s="3" t="s">
        <v>190</v>
      </c>
      <c r="AA360">
        <v>0</v>
      </c>
      <c r="AB360" s="3" t="s">
        <v>1895</v>
      </c>
      <c r="AC360" s="3" t="s">
        <v>190</v>
      </c>
      <c r="AD360" s="3" t="s">
        <v>190</v>
      </c>
      <c r="AE360" s="3" t="s">
        <v>190</v>
      </c>
      <c r="AF360" s="3" t="s">
        <v>190</v>
      </c>
    </row>
    <row r="361" spans="1:32" ht="16.5" customHeight="1">
      <c r="A361" s="4" t="s">
        <v>19</v>
      </c>
      <c r="B361" s="4" t="s">
        <v>2045</v>
      </c>
      <c r="C361" s="4" t="s">
        <v>2056</v>
      </c>
      <c r="D361" s="4" t="s">
        <v>25</v>
      </c>
      <c r="E361" s="4" t="s">
        <v>2983</v>
      </c>
      <c r="F361" s="4" t="s">
        <v>2984</v>
      </c>
      <c r="G361" s="4" t="s">
        <v>23</v>
      </c>
      <c r="H361" s="6">
        <v>46038</v>
      </c>
      <c r="I361" s="6">
        <v>46059</v>
      </c>
      <c r="J361" s="4" t="s">
        <v>92</v>
      </c>
      <c r="K361" s="4" t="s">
        <v>1892</v>
      </c>
      <c r="L361">
        <v>6</v>
      </c>
      <c r="M361" s="6">
        <v>46106</v>
      </c>
      <c r="N361" s="4" t="s">
        <v>1900</v>
      </c>
      <c r="O361">
        <v>0</v>
      </c>
      <c r="P361" s="4" t="s">
        <v>24</v>
      </c>
      <c r="Q361" s="4" t="s">
        <v>1900</v>
      </c>
      <c r="R361" s="6">
        <v>46118</v>
      </c>
      <c r="S361" s="4" t="s">
        <v>190</v>
      </c>
      <c r="T361" s="4" t="s">
        <v>190</v>
      </c>
      <c r="U361">
        <v>0</v>
      </c>
      <c r="V361" s="4" t="s">
        <v>1901</v>
      </c>
      <c r="W361" s="4" t="s">
        <v>190</v>
      </c>
      <c r="X361" s="6">
        <v>46132</v>
      </c>
      <c r="Y361" s="4" t="s">
        <v>190</v>
      </c>
      <c r="Z361" s="4" t="s">
        <v>190</v>
      </c>
      <c r="AA361">
        <v>0</v>
      </c>
      <c r="AB361" s="4" t="s">
        <v>1895</v>
      </c>
      <c r="AC361" s="4" t="s">
        <v>190</v>
      </c>
      <c r="AD361" s="4" t="s">
        <v>190</v>
      </c>
      <c r="AE361" s="4" t="s">
        <v>190</v>
      </c>
      <c r="AF361" s="4" t="s">
        <v>190</v>
      </c>
    </row>
    <row r="362" spans="1:32" ht="16.5" customHeight="1">
      <c r="A362" s="3" t="s">
        <v>19</v>
      </c>
      <c r="B362" s="3" t="s">
        <v>2045</v>
      </c>
      <c r="C362" s="3" t="s">
        <v>2056</v>
      </c>
      <c r="D362" s="3" t="s">
        <v>25</v>
      </c>
      <c r="E362" s="3" t="s">
        <v>2985</v>
      </c>
      <c r="F362" s="3" t="s">
        <v>2986</v>
      </c>
      <c r="G362" s="3" t="s">
        <v>50</v>
      </c>
      <c r="H362" s="5">
        <v>46038</v>
      </c>
      <c r="I362" s="5">
        <v>46059</v>
      </c>
      <c r="J362" s="3" t="s">
        <v>96</v>
      </c>
      <c r="K362" s="3" t="s">
        <v>1892</v>
      </c>
      <c r="L362">
        <v>6</v>
      </c>
      <c r="M362" s="5">
        <v>46106</v>
      </c>
      <c r="N362" s="3" t="s">
        <v>1900</v>
      </c>
      <c r="O362">
        <v>0</v>
      </c>
      <c r="P362" s="3" t="s">
        <v>24</v>
      </c>
      <c r="Q362" s="3" t="s">
        <v>1900</v>
      </c>
      <c r="R362" s="5">
        <v>46118</v>
      </c>
      <c r="S362" s="3" t="s">
        <v>190</v>
      </c>
      <c r="T362" s="3" t="s">
        <v>190</v>
      </c>
      <c r="U362">
        <v>0</v>
      </c>
      <c r="V362" s="3" t="s">
        <v>1901</v>
      </c>
      <c r="W362" s="3" t="s">
        <v>190</v>
      </c>
      <c r="X362" s="5">
        <v>46132</v>
      </c>
      <c r="Y362" s="3" t="s">
        <v>190</v>
      </c>
      <c r="Z362" s="3" t="s">
        <v>190</v>
      </c>
      <c r="AA362">
        <v>0</v>
      </c>
      <c r="AB362" s="3" t="s">
        <v>1895</v>
      </c>
      <c r="AC362" s="3" t="s">
        <v>190</v>
      </c>
      <c r="AD362" s="3" t="s">
        <v>190</v>
      </c>
      <c r="AE362" s="3" t="s">
        <v>190</v>
      </c>
      <c r="AF362" s="3" t="s">
        <v>190</v>
      </c>
    </row>
    <row r="363" spans="1:32" ht="16.5" customHeight="1">
      <c r="A363" s="4" t="s">
        <v>19</v>
      </c>
      <c r="B363" s="4" t="s">
        <v>2045</v>
      </c>
      <c r="C363" s="4" t="s">
        <v>2069</v>
      </c>
      <c r="D363" s="4" t="s">
        <v>25</v>
      </c>
      <c r="E363" s="4" t="s">
        <v>2987</v>
      </c>
      <c r="F363" s="4" t="s">
        <v>2988</v>
      </c>
      <c r="G363" s="4" t="s">
        <v>23</v>
      </c>
      <c r="H363" s="6">
        <v>46045</v>
      </c>
      <c r="I363" s="6">
        <v>46059</v>
      </c>
      <c r="J363" s="4" t="s">
        <v>100</v>
      </c>
      <c r="K363" s="4" t="s">
        <v>1892</v>
      </c>
      <c r="L363">
        <v>6</v>
      </c>
      <c r="M363" s="6">
        <v>46106</v>
      </c>
      <c r="N363" s="4" t="s">
        <v>1900</v>
      </c>
      <c r="O363">
        <v>0</v>
      </c>
      <c r="P363" s="4" t="s">
        <v>24</v>
      </c>
      <c r="Q363" s="4" t="s">
        <v>1900</v>
      </c>
      <c r="R363" s="6">
        <v>46118</v>
      </c>
      <c r="S363" s="4" t="s">
        <v>190</v>
      </c>
      <c r="T363" s="4" t="s">
        <v>190</v>
      </c>
      <c r="U363">
        <v>0</v>
      </c>
      <c r="V363" s="4" t="s">
        <v>1901</v>
      </c>
      <c r="W363" s="4" t="s">
        <v>190</v>
      </c>
      <c r="X363" s="6">
        <v>46132</v>
      </c>
      <c r="Y363" s="4" t="s">
        <v>190</v>
      </c>
      <c r="Z363" s="4" t="s">
        <v>190</v>
      </c>
      <c r="AA363">
        <v>0</v>
      </c>
      <c r="AB363" s="4" t="s">
        <v>1895</v>
      </c>
      <c r="AC363" s="4" t="s">
        <v>190</v>
      </c>
      <c r="AD363" s="4" t="s">
        <v>190</v>
      </c>
      <c r="AE363" s="4" t="s">
        <v>190</v>
      </c>
      <c r="AF363" s="4" t="s">
        <v>190</v>
      </c>
    </row>
    <row r="364" spans="1:32" ht="16.5" customHeight="1">
      <c r="A364" s="3" t="s">
        <v>19</v>
      </c>
      <c r="B364" s="3" t="s">
        <v>2045</v>
      </c>
      <c r="C364" s="3" t="s">
        <v>2069</v>
      </c>
      <c r="D364" s="3" t="s">
        <v>25</v>
      </c>
      <c r="E364" s="3" t="s">
        <v>2989</v>
      </c>
      <c r="F364" s="3" t="s">
        <v>2990</v>
      </c>
      <c r="G364" s="3" t="s">
        <v>50</v>
      </c>
      <c r="H364" s="5">
        <v>46045</v>
      </c>
      <c r="I364" s="5">
        <v>46059</v>
      </c>
      <c r="J364" s="3" t="s">
        <v>2991</v>
      </c>
      <c r="K364" s="3" t="s">
        <v>1892</v>
      </c>
      <c r="L364">
        <v>6</v>
      </c>
      <c r="M364" s="5">
        <v>46106</v>
      </c>
      <c r="N364" s="3" t="s">
        <v>1893</v>
      </c>
      <c r="O364">
        <v>0</v>
      </c>
      <c r="P364" s="3" t="s">
        <v>24</v>
      </c>
      <c r="Q364" s="3" t="s">
        <v>1893</v>
      </c>
      <c r="R364" s="5">
        <v>46118</v>
      </c>
      <c r="S364" s="3" t="s">
        <v>190</v>
      </c>
      <c r="T364" s="3" t="s">
        <v>190</v>
      </c>
      <c r="U364">
        <v>0</v>
      </c>
      <c r="V364" s="3" t="s">
        <v>1901</v>
      </c>
      <c r="W364" s="3" t="s">
        <v>190</v>
      </c>
      <c r="X364" s="5">
        <v>46132</v>
      </c>
      <c r="Y364" s="3" t="s">
        <v>190</v>
      </c>
      <c r="Z364" s="3" t="s">
        <v>190</v>
      </c>
      <c r="AA364">
        <v>0</v>
      </c>
      <c r="AB364" s="3" t="s">
        <v>1895</v>
      </c>
      <c r="AC364" s="3" t="s">
        <v>190</v>
      </c>
      <c r="AD364" s="3" t="s">
        <v>190</v>
      </c>
      <c r="AE364" s="3" t="s">
        <v>190</v>
      </c>
      <c r="AF364" s="3" t="s">
        <v>190</v>
      </c>
    </row>
    <row r="365" spans="1:32" ht="16.5" customHeight="1">
      <c r="A365" s="4" t="s">
        <v>19</v>
      </c>
      <c r="B365" s="4" t="s">
        <v>2045</v>
      </c>
      <c r="C365" s="4" t="s">
        <v>2069</v>
      </c>
      <c r="D365" s="4" t="s">
        <v>25</v>
      </c>
      <c r="E365" s="4" t="s">
        <v>2992</v>
      </c>
      <c r="F365" s="4" t="s">
        <v>2993</v>
      </c>
      <c r="G365" s="4" t="s">
        <v>50</v>
      </c>
      <c r="H365" s="6">
        <v>46052</v>
      </c>
      <c r="I365" s="6">
        <v>46059</v>
      </c>
      <c r="J365" s="4" t="s">
        <v>2994</v>
      </c>
      <c r="K365" s="4" t="s">
        <v>1892</v>
      </c>
      <c r="L365">
        <v>6</v>
      </c>
      <c r="M365" s="6">
        <v>46106</v>
      </c>
      <c r="N365" s="4" t="s">
        <v>1893</v>
      </c>
      <c r="O365">
        <v>0</v>
      </c>
      <c r="P365" s="4" t="s">
        <v>24</v>
      </c>
      <c r="Q365" s="4" t="s">
        <v>1893</v>
      </c>
      <c r="R365" s="6">
        <v>46118</v>
      </c>
      <c r="S365" s="4" t="s">
        <v>190</v>
      </c>
      <c r="T365" s="4" t="s">
        <v>190</v>
      </c>
      <c r="U365">
        <v>0</v>
      </c>
      <c r="V365" s="4" t="s">
        <v>1901</v>
      </c>
      <c r="W365" s="4" t="s">
        <v>190</v>
      </c>
      <c r="X365" s="6">
        <v>46132</v>
      </c>
      <c r="Y365" s="4" t="s">
        <v>190</v>
      </c>
      <c r="Z365" s="4" t="s">
        <v>190</v>
      </c>
      <c r="AA365">
        <v>0</v>
      </c>
      <c r="AB365" s="4" t="s">
        <v>1895</v>
      </c>
      <c r="AC365" s="4" t="s">
        <v>190</v>
      </c>
      <c r="AD365" s="4" t="s">
        <v>190</v>
      </c>
      <c r="AE365" s="4" t="s">
        <v>190</v>
      </c>
      <c r="AF365" s="4" t="s">
        <v>190</v>
      </c>
    </row>
    <row r="366" spans="1:32" ht="16.5" customHeight="1">
      <c r="A366" s="3" t="s">
        <v>19</v>
      </c>
      <c r="B366" s="3" t="s">
        <v>56</v>
      </c>
      <c r="C366" s="3" t="s">
        <v>190</v>
      </c>
      <c r="D366" s="3" t="s">
        <v>116</v>
      </c>
      <c r="E366" s="3" t="s">
        <v>2995</v>
      </c>
      <c r="F366" s="3" t="s">
        <v>2996</v>
      </c>
      <c r="G366" s="3" t="s">
        <v>23</v>
      </c>
      <c r="H366" s="5">
        <v>46045</v>
      </c>
      <c r="I366" s="5">
        <v>46063.659988425927</v>
      </c>
      <c r="J366" s="3" t="s">
        <v>134</v>
      </c>
      <c r="K366" s="3" t="s">
        <v>1892</v>
      </c>
      <c r="L366">
        <v>6</v>
      </c>
      <c r="M366" s="5">
        <v>46108</v>
      </c>
      <c r="N366" s="3" t="s">
        <v>1900</v>
      </c>
      <c r="O366">
        <v>0</v>
      </c>
      <c r="P366" s="3" t="s">
        <v>24</v>
      </c>
      <c r="Q366" s="3" t="s">
        <v>1900</v>
      </c>
      <c r="R366" s="5">
        <v>46118</v>
      </c>
      <c r="S366" s="3" t="s">
        <v>190</v>
      </c>
      <c r="T366" s="3" t="s">
        <v>190</v>
      </c>
      <c r="U366">
        <v>0</v>
      </c>
      <c r="V366" s="3" t="s">
        <v>1901</v>
      </c>
      <c r="W366" s="3" t="s">
        <v>190</v>
      </c>
      <c r="X366" s="5">
        <v>46132</v>
      </c>
      <c r="Y366" s="3" t="s">
        <v>190</v>
      </c>
      <c r="Z366" s="3" t="s">
        <v>190</v>
      </c>
      <c r="AA366">
        <v>0</v>
      </c>
      <c r="AB366" s="3" t="s">
        <v>1895</v>
      </c>
      <c r="AC366" s="3" t="s">
        <v>190</v>
      </c>
      <c r="AD366" s="3" t="s">
        <v>190</v>
      </c>
      <c r="AE366" s="3" t="s">
        <v>190</v>
      </c>
      <c r="AF366" s="3" t="s">
        <v>190</v>
      </c>
    </row>
    <row r="367" spans="1:32" ht="16.5" customHeight="1">
      <c r="A367" s="4" t="s">
        <v>19</v>
      </c>
      <c r="B367" s="4" t="s">
        <v>56</v>
      </c>
      <c r="C367" s="4" t="s">
        <v>190</v>
      </c>
      <c r="D367" s="4" t="s">
        <v>116</v>
      </c>
      <c r="E367" s="4" t="s">
        <v>2997</v>
      </c>
      <c r="F367" s="4" t="s">
        <v>2998</v>
      </c>
      <c r="G367" s="4" t="s">
        <v>50</v>
      </c>
      <c r="H367" s="6">
        <v>46066</v>
      </c>
      <c r="I367" s="6">
        <v>46063.659861111111</v>
      </c>
      <c r="J367" s="4" t="s">
        <v>2999</v>
      </c>
      <c r="K367" s="4" t="s">
        <v>1892</v>
      </c>
      <c r="L367">
        <v>6</v>
      </c>
      <c r="M367" s="6">
        <v>46108</v>
      </c>
      <c r="N367" s="4" t="s">
        <v>1893</v>
      </c>
      <c r="O367">
        <v>0</v>
      </c>
      <c r="P367" s="4" t="s">
        <v>24</v>
      </c>
      <c r="Q367" s="4" t="s">
        <v>1893</v>
      </c>
      <c r="R367" s="6">
        <v>46118</v>
      </c>
      <c r="S367" s="4" t="s">
        <v>190</v>
      </c>
      <c r="T367" s="4" t="s">
        <v>190</v>
      </c>
      <c r="U367">
        <v>0</v>
      </c>
      <c r="V367" s="4" t="s">
        <v>1901</v>
      </c>
      <c r="W367" s="4" t="s">
        <v>190</v>
      </c>
      <c r="X367" s="6">
        <v>46132</v>
      </c>
      <c r="Y367" s="4" t="s">
        <v>190</v>
      </c>
      <c r="Z367" s="4" t="s">
        <v>190</v>
      </c>
      <c r="AA367">
        <v>0</v>
      </c>
      <c r="AB367" s="4" t="s">
        <v>1895</v>
      </c>
      <c r="AC367" s="4" t="s">
        <v>190</v>
      </c>
      <c r="AD367" s="4" t="s">
        <v>190</v>
      </c>
      <c r="AE367" s="4" t="s">
        <v>190</v>
      </c>
      <c r="AF367" s="4" t="s">
        <v>190</v>
      </c>
    </row>
    <row r="368" spans="1:32" ht="16.5" customHeight="1">
      <c r="A368" s="3" t="s">
        <v>19</v>
      </c>
      <c r="B368" s="3" t="s">
        <v>56</v>
      </c>
      <c r="C368" s="3" t="s">
        <v>190</v>
      </c>
      <c r="D368" s="3" t="s">
        <v>116</v>
      </c>
      <c r="E368" s="3" t="s">
        <v>3000</v>
      </c>
      <c r="F368" s="3" t="s">
        <v>3001</v>
      </c>
      <c r="G368" s="3" t="s">
        <v>50</v>
      </c>
      <c r="H368" s="5">
        <v>46045</v>
      </c>
      <c r="I368" s="5">
        <v>46063.660081018519</v>
      </c>
      <c r="J368" s="3" t="s">
        <v>3002</v>
      </c>
      <c r="K368" s="3" t="s">
        <v>1892</v>
      </c>
      <c r="L368">
        <v>6</v>
      </c>
      <c r="M368" s="5">
        <v>46108</v>
      </c>
      <c r="N368" s="3" t="s">
        <v>1893</v>
      </c>
      <c r="O368">
        <v>0</v>
      </c>
      <c r="P368" s="3" t="s">
        <v>24</v>
      </c>
      <c r="Q368" s="3" t="s">
        <v>1893</v>
      </c>
      <c r="R368" s="5">
        <v>46118</v>
      </c>
      <c r="S368" s="3" t="s">
        <v>190</v>
      </c>
      <c r="T368" s="3" t="s">
        <v>190</v>
      </c>
      <c r="U368">
        <v>0</v>
      </c>
      <c r="V368" s="3" t="s">
        <v>1901</v>
      </c>
      <c r="W368" s="3" t="s">
        <v>190</v>
      </c>
      <c r="X368" s="5">
        <v>46132</v>
      </c>
      <c r="Y368" s="3" t="s">
        <v>190</v>
      </c>
      <c r="Z368" s="3" t="s">
        <v>190</v>
      </c>
      <c r="AA368">
        <v>0</v>
      </c>
      <c r="AB368" s="3" t="s">
        <v>1895</v>
      </c>
      <c r="AC368" s="3" t="s">
        <v>190</v>
      </c>
      <c r="AD368" s="3" t="s">
        <v>190</v>
      </c>
      <c r="AE368" s="3" t="s">
        <v>190</v>
      </c>
      <c r="AF368" s="3" t="s">
        <v>190</v>
      </c>
    </row>
    <row r="369" spans="1:32" ht="16.5" customHeight="1">
      <c r="A369" s="4" t="s">
        <v>19</v>
      </c>
      <c r="B369" s="4" t="s">
        <v>56</v>
      </c>
      <c r="C369" s="4" t="s">
        <v>190</v>
      </c>
      <c r="D369" s="4" t="s">
        <v>116</v>
      </c>
      <c r="E369" s="4" t="s">
        <v>3003</v>
      </c>
      <c r="F369" s="4" t="s">
        <v>3004</v>
      </c>
      <c r="G369" s="4" t="s">
        <v>23</v>
      </c>
      <c r="H369" s="6">
        <v>46077</v>
      </c>
      <c r="I369" s="6"/>
      <c r="J369" s="4" t="s">
        <v>3005</v>
      </c>
      <c r="K369" s="4" t="s">
        <v>1892</v>
      </c>
      <c r="L369">
        <v>6</v>
      </c>
      <c r="M369" s="6">
        <v>46108</v>
      </c>
      <c r="N369" s="4" t="s">
        <v>1893</v>
      </c>
      <c r="O369">
        <v>0</v>
      </c>
      <c r="P369" s="4" t="s">
        <v>24</v>
      </c>
      <c r="Q369" s="4" t="s">
        <v>1893</v>
      </c>
      <c r="R369" s="6">
        <v>46118</v>
      </c>
      <c r="S369" s="4" t="s">
        <v>190</v>
      </c>
      <c r="T369" s="4" t="s">
        <v>190</v>
      </c>
      <c r="U369">
        <v>0</v>
      </c>
      <c r="V369" s="4" t="s">
        <v>1901</v>
      </c>
      <c r="W369" s="4" t="s">
        <v>190</v>
      </c>
      <c r="X369" s="6">
        <v>46132</v>
      </c>
      <c r="Y369" s="4" t="s">
        <v>190</v>
      </c>
      <c r="Z369" s="4" t="s">
        <v>190</v>
      </c>
      <c r="AA369">
        <v>0</v>
      </c>
      <c r="AB369" s="4" t="s">
        <v>1895</v>
      </c>
      <c r="AC369" s="4" t="s">
        <v>190</v>
      </c>
      <c r="AD369" s="4" t="s">
        <v>190</v>
      </c>
      <c r="AE369" s="4" t="s">
        <v>190</v>
      </c>
      <c r="AF369" s="4" t="s">
        <v>190</v>
      </c>
    </row>
    <row r="370" spans="1:32" ht="16.5" customHeight="1">
      <c r="A370" s="3" t="s">
        <v>216</v>
      </c>
      <c r="B370" s="3" t="s">
        <v>2085</v>
      </c>
      <c r="C370" s="3" t="s">
        <v>3006</v>
      </c>
      <c r="D370" s="3" t="s">
        <v>25</v>
      </c>
      <c r="E370" s="3" t="s">
        <v>3007</v>
      </c>
      <c r="F370" s="3" t="s">
        <v>3006</v>
      </c>
      <c r="G370" s="3" t="s">
        <v>220</v>
      </c>
      <c r="H370" s="5">
        <v>45988</v>
      </c>
      <c r="I370" s="5">
        <v>45988.423055555555</v>
      </c>
      <c r="J370" s="3" t="s">
        <v>3008</v>
      </c>
      <c r="K370" s="3" t="s">
        <v>1892</v>
      </c>
      <c r="L370">
        <v>6</v>
      </c>
      <c r="M370" s="5">
        <v>46104</v>
      </c>
      <c r="N370" s="3" t="s">
        <v>1893</v>
      </c>
      <c r="O370">
        <v>0</v>
      </c>
      <c r="P370" s="3" t="s">
        <v>24</v>
      </c>
      <c r="Q370" s="3" t="s">
        <v>1893</v>
      </c>
      <c r="R370" s="5">
        <v>46118</v>
      </c>
      <c r="S370" s="3" t="s">
        <v>190</v>
      </c>
      <c r="T370" s="3" t="s">
        <v>190</v>
      </c>
      <c r="U370">
        <v>0</v>
      </c>
      <c r="V370" s="3" t="s">
        <v>1901</v>
      </c>
      <c r="W370" s="3" t="s">
        <v>190</v>
      </c>
      <c r="X370" s="5">
        <v>46132</v>
      </c>
      <c r="Y370" s="3" t="s">
        <v>190</v>
      </c>
      <c r="Z370" s="3" t="s">
        <v>190</v>
      </c>
      <c r="AA370">
        <v>0</v>
      </c>
      <c r="AB370" s="3" t="s">
        <v>1895</v>
      </c>
      <c r="AC370" s="3" t="s">
        <v>190</v>
      </c>
      <c r="AD370" s="3" t="s">
        <v>190</v>
      </c>
      <c r="AE370" s="3" t="s">
        <v>190</v>
      </c>
      <c r="AF370" s="3" t="s">
        <v>190</v>
      </c>
    </row>
    <row r="371" spans="1:32" ht="16.5" customHeight="1">
      <c r="A371" s="4" t="s">
        <v>216</v>
      </c>
      <c r="B371" s="4" t="s">
        <v>2088</v>
      </c>
      <c r="C371" s="4" t="s">
        <v>2660</v>
      </c>
      <c r="D371" s="4" t="s">
        <v>25</v>
      </c>
      <c r="E371" s="4" t="s">
        <v>3009</v>
      </c>
      <c r="F371" s="4" t="s">
        <v>3010</v>
      </c>
      <c r="G371" s="4" t="s">
        <v>220</v>
      </c>
      <c r="H371" s="6">
        <v>46066</v>
      </c>
      <c r="I371" s="6">
        <v>46072.36886574074</v>
      </c>
      <c r="J371" s="4" t="s">
        <v>3011</v>
      </c>
      <c r="K371" s="4" t="s">
        <v>1892</v>
      </c>
      <c r="L371">
        <v>6</v>
      </c>
      <c r="M371" s="6">
        <v>46105</v>
      </c>
      <c r="N371" s="4" t="s">
        <v>1893</v>
      </c>
      <c r="O371">
        <v>0</v>
      </c>
      <c r="P371" s="4" t="s">
        <v>24</v>
      </c>
      <c r="Q371" s="4" t="s">
        <v>1893</v>
      </c>
      <c r="R371" s="6">
        <v>46118</v>
      </c>
      <c r="S371" s="4" t="s">
        <v>190</v>
      </c>
      <c r="T371" s="4" t="s">
        <v>190</v>
      </c>
      <c r="U371">
        <v>0</v>
      </c>
      <c r="V371" s="4" t="s">
        <v>1901</v>
      </c>
      <c r="W371" s="4" t="s">
        <v>190</v>
      </c>
      <c r="X371" s="6">
        <v>46132</v>
      </c>
      <c r="Y371" s="4" t="s">
        <v>190</v>
      </c>
      <c r="Z371" s="4" t="s">
        <v>190</v>
      </c>
      <c r="AA371">
        <v>0</v>
      </c>
      <c r="AB371" s="4" t="s">
        <v>1895</v>
      </c>
      <c r="AC371" s="4" t="s">
        <v>190</v>
      </c>
      <c r="AD371" s="4" t="s">
        <v>190</v>
      </c>
      <c r="AE371" s="4" t="s">
        <v>190</v>
      </c>
      <c r="AF371" s="4" t="s">
        <v>190</v>
      </c>
    </row>
    <row r="372" spans="1:32" ht="16.5" customHeight="1">
      <c r="A372" s="3" t="s">
        <v>216</v>
      </c>
      <c r="B372" s="3" t="s">
        <v>2095</v>
      </c>
      <c r="C372" s="3" t="s">
        <v>2147</v>
      </c>
      <c r="D372" s="3" t="s">
        <v>25</v>
      </c>
      <c r="E372" s="3" t="s">
        <v>3012</v>
      </c>
      <c r="F372" s="3" t="s">
        <v>3013</v>
      </c>
      <c r="G372" s="3" t="s">
        <v>225</v>
      </c>
      <c r="H372" s="5">
        <v>46051</v>
      </c>
      <c r="I372" s="5">
        <v>46051.790162037039</v>
      </c>
      <c r="J372" s="3" t="s">
        <v>1712</v>
      </c>
      <c r="K372" s="3" t="s">
        <v>1892</v>
      </c>
      <c r="L372">
        <v>6</v>
      </c>
      <c r="M372" s="5">
        <v>46105</v>
      </c>
      <c r="N372" s="3" t="s">
        <v>1900</v>
      </c>
      <c r="O372">
        <v>0</v>
      </c>
      <c r="P372" s="3" t="s">
        <v>24</v>
      </c>
      <c r="Q372" s="3" t="s">
        <v>1893</v>
      </c>
      <c r="R372" s="5">
        <v>46118</v>
      </c>
      <c r="S372" s="3" t="s">
        <v>190</v>
      </c>
      <c r="T372" s="3" t="s">
        <v>190</v>
      </c>
      <c r="U372">
        <v>0</v>
      </c>
      <c r="V372" s="3" t="s">
        <v>1901</v>
      </c>
      <c r="W372" s="3" t="s">
        <v>190</v>
      </c>
      <c r="X372" s="5">
        <v>46132</v>
      </c>
      <c r="Y372" s="3" t="s">
        <v>190</v>
      </c>
      <c r="Z372" s="3" t="s">
        <v>190</v>
      </c>
      <c r="AA372">
        <v>0</v>
      </c>
      <c r="AB372" s="3" t="s">
        <v>1895</v>
      </c>
      <c r="AC372" s="3" t="s">
        <v>190</v>
      </c>
      <c r="AD372" s="3" t="s">
        <v>190</v>
      </c>
      <c r="AE372" s="3" t="s">
        <v>190</v>
      </c>
      <c r="AF372" s="3" t="s">
        <v>190</v>
      </c>
    </row>
    <row r="373" spans="1:32" ht="16.5" customHeight="1">
      <c r="A373" s="4" t="s">
        <v>216</v>
      </c>
      <c r="B373" s="4" t="s">
        <v>2539</v>
      </c>
      <c r="C373" s="4" t="s">
        <v>3014</v>
      </c>
      <c r="D373" s="4" t="s">
        <v>25</v>
      </c>
      <c r="E373" s="4" t="s">
        <v>3015</v>
      </c>
      <c r="F373" s="4" t="s">
        <v>3016</v>
      </c>
      <c r="G373" s="4" t="s">
        <v>220</v>
      </c>
      <c r="H373" s="6">
        <v>46065</v>
      </c>
      <c r="I373" s="6">
        <v>46065.392002314817</v>
      </c>
      <c r="J373" s="4" t="s">
        <v>240</v>
      </c>
      <c r="K373" s="4" t="s">
        <v>1892</v>
      </c>
      <c r="L373">
        <v>6</v>
      </c>
      <c r="M373" s="6">
        <v>46105</v>
      </c>
      <c r="N373" s="4" t="s">
        <v>1893</v>
      </c>
      <c r="O373">
        <v>0</v>
      </c>
      <c r="P373" s="4" t="s">
        <v>24</v>
      </c>
      <c r="Q373" s="4" t="s">
        <v>1893</v>
      </c>
      <c r="R373" s="6">
        <v>46118</v>
      </c>
      <c r="S373" s="4" t="s">
        <v>190</v>
      </c>
      <c r="T373" s="4" t="s">
        <v>190</v>
      </c>
      <c r="U373">
        <v>0</v>
      </c>
      <c r="V373" s="4" t="s">
        <v>1901</v>
      </c>
      <c r="W373" s="4" t="s">
        <v>190</v>
      </c>
      <c r="X373" s="6">
        <v>46132</v>
      </c>
      <c r="Y373" s="4" t="s">
        <v>190</v>
      </c>
      <c r="Z373" s="4" t="s">
        <v>190</v>
      </c>
      <c r="AA373">
        <v>0</v>
      </c>
      <c r="AB373" s="4" t="s">
        <v>1895</v>
      </c>
      <c r="AC373" s="4" t="s">
        <v>190</v>
      </c>
      <c r="AD373" s="4" t="s">
        <v>190</v>
      </c>
      <c r="AE373" s="4" t="s">
        <v>190</v>
      </c>
      <c r="AF373" s="4" t="s">
        <v>190</v>
      </c>
    </row>
    <row r="374" spans="1:32" ht="16.5" customHeight="1">
      <c r="A374" s="3" t="s">
        <v>261</v>
      </c>
      <c r="B374" s="3" t="s">
        <v>56</v>
      </c>
      <c r="C374" s="3" t="s">
        <v>56</v>
      </c>
      <c r="D374" s="3" t="s">
        <v>1795</v>
      </c>
      <c r="E374" s="3" t="s">
        <v>3017</v>
      </c>
      <c r="F374" s="3" t="s">
        <v>3018</v>
      </c>
      <c r="G374" s="3" t="s">
        <v>219</v>
      </c>
      <c r="H374" s="5">
        <v>46066</v>
      </c>
      <c r="I374" s="5">
        <v>46065.498333333337</v>
      </c>
      <c r="J374" s="3" t="s">
        <v>3019</v>
      </c>
      <c r="K374" s="3" t="s">
        <v>1892</v>
      </c>
      <c r="L374">
        <v>6</v>
      </c>
      <c r="M374" s="5"/>
      <c r="N374" s="3" t="s">
        <v>190</v>
      </c>
      <c r="O374">
        <v>0</v>
      </c>
      <c r="P374" s="3" t="s">
        <v>24</v>
      </c>
      <c r="Q374" s="3" t="s">
        <v>190</v>
      </c>
      <c r="R374" s="5">
        <v>46118</v>
      </c>
      <c r="S374" s="3" t="s">
        <v>190</v>
      </c>
      <c r="T374" s="3" t="s">
        <v>190</v>
      </c>
      <c r="U374">
        <v>0</v>
      </c>
      <c r="V374" s="3" t="s">
        <v>1901</v>
      </c>
      <c r="W374" s="3" t="s">
        <v>190</v>
      </c>
      <c r="X374" s="5">
        <v>46132</v>
      </c>
      <c r="Y374" s="3" t="s">
        <v>190</v>
      </c>
      <c r="Z374" s="3" t="s">
        <v>190</v>
      </c>
      <c r="AA374">
        <v>0</v>
      </c>
      <c r="AB374" s="3" t="s">
        <v>1895</v>
      </c>
      <c r="AC374" s="3" t="s">
        <v>190</v>
      </c>
      <c r="AD374" s="3" t="s">
        <v>190</v>
      </c>
      <c r="AE374" s="3" t="s">
        <v>190</v>
      </c>
      <c r="AF374" s="3" t="s">
        <v>190</v>
      </c>
    </row>
    <row r="375" spans="1:32" ht="16.5" customHeight="1">
      <c r="A375" s="4" t="s">
        <v>261</v>
      </c>
      <c r="B375" s="4" t="s">
        <v>56</v>
      </c>
      <c r="C375" s="4" t="s">
        <v>56</v>
      </c>
      <c r="D375" s="4" t="s">
        <v>1795</v>
      </c>
      <c r="E375" s="4" t="s">
        <v>3020</v>
      </c>
      <c r="F375" s="4" t="s">
        <v>3021</v>
      </c>
      <c r="G375" s="4" t="s">
        <v>219</v>
      </c>
      <c r="H375" s="6">
        <v>45842</v>
      </c>
      <c r="I375" s="6">
        <v>45842</v>
      </c>
      <c r="J375" s="4" t="s">
        <v>3022</v>
      </c>
      <c r="K375" s="4" t="s">
        <v>1892</v>
      </c>
      <c r="L375">
        <v>6</v>
      </c>
      <c r="M375" s="6"/>
      <c r="N375" s="4" t="s">
        <v>190</v>
      </c>
      <c r="O375">
        <v>0</v>
      </c>
      <c r="P375" s="4" t="s">
        <v>24</v>
      </c>
      <c r="Q375" s="4" t="s">
        <v>190</v>
      </c>
      <c r="R375" s="6">
        <v>46118</v>
      </c>
      <c r="S375" s="4" t="s">
        <v>190</v>
      </c>
      <c r="T375" s="4" t="s">
        <v>190</v>
      </c>
      <c r="U375">
        <v>0</v>
      </c>
      <c r="V375" s="4" t="s">
        <v>1901</v>
      </c>
      <c r="W375" s="4" t="s">
        <v>190</v>
      </c>
      <c r="X375" s="6">
        <v>46132</v>
      </c>
      <c r="Y375" s="4" t="s">
        <v>190</v>
      </c>
      <c r="Z375" s="4" t="s">
        <v>190</v>
      </c>
      <c r="AA375">
        <v>0</v>
      </c>
      <c r="AB375" s="4" t="s">
        <v>1895</v>
      </c>
      <c r="AC375" s="4" t="s">
        <v>190</v>
      </c>
      <c r="AD375" s="4" t="s">
        <v>190</v>
      </c>
      <c r="AE375" s="4" t="s">
        <v>190</v>
      </c>
      <c r="AF375" s="4" t="s">
        <v>190</v>
      </c>
    </row>
    <row r="376" spans="1:32" ht="16.5" customHeight="1">
      <c r="A376" s="3" t="s">
        <v>261</v>
      </c>
      <c r="B376" s="3" t="s">
        <v>56</v>
      </c>
      <c r="C376" s="3" t="s">
        <v>56</v>
      </c>
      <c r="D376" s="3" t="s">
        <v>1795</v>
      </c>
      <c r="E376" s="3" t="s">
        <v>3023</v>
      </c>
      <c r="F376" s="3" t="s">
        <v>3024</v>
      </c>
      <c r="G376" s="3" t="s">
        <v>219</v>
      </c>
      <c r="H376" s="5">
        <v>46066</v>
      </c>
      <c r="I376" s="5">
        <v>46065.498773148145</v>
      </c>
      <c r="J376" s="3" t="s">
        <v>3025</v>
      </c>
      <c r="K376" s="3" t="s">
        <v>1892</v>
      </c>
      <c r="L376">
        <v>6</v>
      </c>
      <c r="M376" s="5"/>
      <c r="N376" s="3" t="s">
        <v>190</v>
      </c>
      <c r="O376">
        <v>0</v>
      </c>
      <c r="P376" s="3" t="s">
        <v>24</v>
      </c>
      <c r="Q376" s="3" t="s">
        <v>190</v>
      </c>
      <c r="R376" s="5">
        <v>46118</v>
      </c>
      <c r="S376" s="3" t="s">
        <v>190</v>
      </c>
      <c r="T376" s="3" t="s">
        <v>190</v>
      </c>
      <c r="U376">
        <v>0</v>
      </c>
      <c r="V376" s="3" t="s">
        <v>1901</v>
      </c>
      <c r="W376" s="3" t="s">
        <v>190</v>
      </c>
      <c r="X376" s="5">
        <v>46132</v>
      </c>
      <c r="Y376" s="3" t="s">
        <v>190</v>
      </c>
      <c r="Z376" s="3" t="s">
        <v>190</v>
      </c>
      <c r="AA376">
        <v>0</v>
      </c>
      <c r="AB376" s="3" t="s">
        <v>1895</v>
      </c>
      <c r="AC376" s="3" t="s">
        <v>190</v>
      </c>
      <c r="AD376" s="3" t="s">
        <v>190</v>
      </c>
      <c r="AE376" s="3" t="s">
        <v>190</v>
      </c>
      <c r="AF376" s="3" t="s">
        <v>190</v>
      </c>
    </row>
    <row r="377" spans="1:32" ht="16.5" customHeight="1">
      <c r="A377" s="4" t="s">
        <v>261</v>
      </c>
      <c r="B377" s="4" t="s">
        <v>56</v>
      </c>
      <c r="C377" s="4" t="s">
        <v>56</v>
      </c>
      <c r="D377" s="4" t="s">
        <v>1795</v>
      </c>
      <c r="E377" s="4" t="s">
        <v>3026</v>
      </c>
      <c r="F377" s="4" t="s">
        <v>3027</v>
      </c>
      <c r="G377" s="4" t="s">
        <v>219</v>
      </c>
      <c r="H377" s="6">
        <v>46066</v>
      </c>
      <c r="I377" s="6">
        <v>46065.498935185184</v>
      </c>
      <c r="J377" s="4" t="s">
        <v>3028</v>
      </c>
      <c r="K377" s="4" t="s">
        <v>1892</v>
      </c>
      <c r="L377">
        <v>6</v>
      </c>
      <c r="M377" s="6"/>
      <c r="N377" s="4" t="s">
        <v>190</v>
      </c>
      <c r="O377">
        <v>0</v>
      </c>
      <c r="P377" s="4" t="s">
        <v>24</v>
      </c>
      <c r="Q377" s="4" t="s">
        <v>190</v>
      </c>
      <c r="R377" s="6">
        <v>46118</v>
      </c>
      <c r="S377" s="4" t="s">
        <v>190</v>
      </c>
      <c r="T377" s="4" t="s">
        <v>190</v>
      </c>
      <c r="U377">
        <v>0</v>
      </c>
      <c r="V377" s="4" t="s">
        <v>1901</v>
      </c>
      <c r="W377" s="4" t="s">
        <v>190</v>
      </c>
      <c r="X377" s="6">
        <v>46132</v>
      </c>
      <c r="Y377" s="4" t="s">
        <v>190</v>
      </c>
      <c r="Z377" s="4" t="s">
        <v>190</v>
      </c>
      <c r="AA377">
        <v>0</v>
      </c>
      <c r="AB377" s="4" t="s">
        <v>1895</v>
      </c>
      <c r="AC377" s="4" t="s">
        <v>190</v>
      </c>
      <c r="AD377" s="4" t="s">
        <v>190</v>
      </c>
      <c r="AE377" s="4" t="s">
        <v>190</v>
      </c>
      <c r="AF377" s="4" t="s">
        <v>190</v>
      </c>
    </row>
    <row r="378" spans="1:32" ht="16.5" customHeight="1">
      <c r="A378" s="3" t="s">
        <v>261</v>
      </c>
      <c r="B378" s="3" t="s">
        <v>56</v>
      </c>
      <c r="C378" s="3" t="s">
        <v>56</v>
      </c>
      <c r="D378" s="3" t="s">
        <v>1795</v>
      </c>
      <c r="E378" s="3" t="s">
        <v>3029</v>
      </c>
      <c r="F378" s="3" t="s">
        <v>3030</v>
      </c>
      <c r="G378" s="3" t="s">
        <v>219</v>
      </c>
      <c r="H378" s="5">
        <v>46079</v>
      </c>
      <c r="I378" s="5">
        <v>46065.498969907407</v>
      </c>
      <c r="J378" s="3" t="s">
        <v>3031</v>
      </c>
      <c r="K378" s="3" t="s">
        <v>1892</v>
      </c>
      <c r="L378">
        <v>6</v>
      </c>
      <c r="M378" s="5"/>
      <c r="N378" s="3" t="s">
        <v>190</v>
      </c>
      <c r="O378">
        <v>0</v>
      </c>
      <c r="P378" s="3" t="s">
        <v>24</v>
      </c>
      <c r="Q378" s="3" t="s">
        <v>190</v>
      </c>
      <c r="R378" s="5">
        <v>46118</v>
      </c>
      <c r="S378" s="3" t="s">
        <v>190</v>
      </c>
      <c r="T378" s="3" t="s">
        <v>190</v>
      </c>
      <c r="U378">
        <v>0</v>
      </c>
      <c r="V378" s="3" t="s">
        <v>1901</v>
      </c>
      <c r="W378" s="3" t="s">
        <v>190</v>
      </c>
      <c r="X378" s="5">
        <v>46132</v>
      </c>
      <c r="Y378" s="3" t="s">
        <v>190</v>
      </c>
      <c r="Z378" s="3" t="s">
        <v>190</v>
      </c>
      <c r="AA378">
        <v>0</v>
      </c>
      <c r="AB378" s="3" t="s">
        <v>1895</v>
      </c>
      <c r="AC378" s="3" t="s">
        <v>190</v>
      </c>
      <c r="AD378" s="3" t="s">
        <v>190</v>
      </c>
      <c r="AE378" s="3" t="s">
        <v>190</v>
      </c>
      <c r="AF378" s="3" t="s">
        <v>190</v>
      </c>
    </row>
    <row r="379" spans="1:32" ht="16.5" customHeight="1">
      <c r="A379" s="4" t="s">
        <v>261</v>
      </c>
      <c r="B379" s="4" t="s">
        <v>2092</v>
      </c>
      <c r="C379" s="4" t="s">
        <v>3032</v>
      </c>
      <c r="D379" s="4" t="s">
        <v>25</v>
      </c>
      <c r="E379" s="4" t="s">
        <v>3033</v>
      </c>
      <c r="F379" s="4" t="s">
        <v>3032</v>
      </c>
      <c r="G379" s="4" t="s">
        <v>264</v>
      </c>
      <c r="H379" s="6">
        <v>46052</v>
      </c>
      <c r="I379" s="6">
        <v>46052.75472222222</v>
      </c>
      <c r="J379" s="4" t="s">
        <v>3034</v>
      </c>
      <c r="K379" s="4" t="s">
        <v>1892</v>
      </c>
      <c r="L379">
        <v>6</v>
      </c>
      <c r="M379" s="6">
        <v>46104</v>
      </c>
      <c r="N379" s="4" t="s">
        <v>1893</v>
      </c>
      <c r="O379">
        <v>0</v>
      </c>
      <c r="P379" s="4" t="s">
        <v>24</v>
      </c>
      <c r="Q379" s="4" t="s">
        <v>1893</v>
      </c>
      <c r="R379" s="6">
        <v>46118</v>
      </c>
      <c r="S379" s="4" t="s">
        <v>190</v>
      </c>
      <c r="T379" s="4" t="s">
        <v>190</v>
      </c>
      <c r="U379">
        <v>0</v>
      </c>
      <c r="V379" s="4" t="s">
        <v>1901</v>
      </c>
      <c r="W379" s="4" t="s">
        <v>190</v>
      </c>
      <c r="X379" s="6">
        <v>46132</v>
      </c>
      <c r="Y379" s="4" t="s">
        <v>190</v>
      </c>
      <c r="Z379" s="4" t="s">
        <v>190</v>
      </c>
      <c r="AA379">
        <v>0</v>
      </c>
      <c r="AB379" s="4" t="s">
        <v>1895</v>
      </c>
      <c r="AC379" s="4" t="s">
        <v>190</v>
      </c>
      <c r="AD379" s="4" t="s">
        <v>190</v>
      </c>
      <c r="AE379" s="4" t="s">
        <v>190</v>
      </c>
      <c r="AF379" s="4" t="s">
        <v>190</v>
      </c>
    </row>
    <row r="380" spans="1:32" ht="16.5" customHeight="1">
      <c r="A380" s="3" t="s">
        <v>261</v>
      </c>
      <c r="B380" s="3" t="s">
        <v>2092</v>
      </c>
      <c r="C380" s="3" t="s">
        <v>3035</v>
      </c>
      <c r="D380" s="3" t="s">
        <v>25</v>
      </c>
      <c r="E380" s="3" t="s">
        <v>3036</v>
      </c>
      <c r="F380" s="3" t="s">
        <v>3037</v>
      </c>
      <c r="G380" s="3" t="s">
        <v>264</v>
      </c>
      <c r="H380" s="5">
        <v>46052</v>
      </c>
      <c r="I380" s="5">
        <v>46052.754756944443</v>
      </c>
      <c r="J380" s="3" t="s">
        <v>3038</v>
      </c>
      <c r="K380" s="3" t="s">
        <v>1892</v>
      </c>
      <c r="L380">
        <v>6</v>
      </c>
      <c r="M380" s="5">
        <v>46104</v>
      </c>
      <c r="N380" s="3" t="s">
        <v>1893</v>
      </c>
      <c r="O380">
        <v>0</v>
      </c>
      <c r="P380" s="3" t="s">
        <v>24</v>
      </c>
      <c r="Q380" s="3" t="s">
        <v>1893</v>
      </c>
      <c r="R380" s="5">
        <v>46118</v>
      </c>
      <c r="S380" s="3" t="s">
        <v>190</v>
      </c>
      <c r="T380" s="3" t="s">
        <v>190</v>
      </c>
      <c r="U380">
        <v>0</v>
      </c>
      <c r="V380" s="3" t="s">
        <v>1901</v>
      </c>
      <c r="W380" s="3" t="s">
        <v>190</v>
      </c>
      <c r="X380" s="5">
        <v>46132</v>
      </c>
      <c r="Y380" s="3" t="s">
        <v>190</v>
      </c>
      <c r="Z380" s="3" t="s">
        <v>190</v>
      </c>
      <c r="AA380">
        <v>0</v>
      </c>
      <c r="AB380" s="3" t="s">
        <v>1895</v>
      </c>
      <c r="AC380" s="3" t="s">
        <v>190</v>
      </c>
      <c r="AD380" s="3" t="s">
        <v>190</v>
      </c>
      <c r="AE380" s="3" t="s">
        <v>190</v>
      </c>
      <c r="AF380" s="3" t="s">
        <v>190</v>
      </c>
    </row>
    <row r="381" spans="1:32" ht="16.5" customHeight="1">
      <c r="A381" s="4" t="s">
        <v>261</v>
      </c>
      <c r="B381" s="4" t="s">
        <v>2092</v>
      </c>
      <c r="C381" s="4" t="s">
        <v>3039</v>
      </c>
      <c r="D381" s="4" t="s">
        <v>25</v>
      </c>
      <c r="E381" s="4" t="s">
        <v>3040</v>
      </c>
      <c r="F381" s="4" t="s">
        <v>3041</v>
      </c>
      <c r="G381" s="4" t="s">
        <v>264</v>
      </c>
      <c r="H381" s="6">
        <v>46024</v>
      </c>
      <c r="I381" s="6">
        <v>46037.586018518516</v>
      </c>
      <c r="J381" s="4" t="s">
        <v>1837</v>
      </c>
      <c r="K381" s="4" t="s">
        <v>1892</v>
      </c>
      <c r="L381">
        <v>6</v>
      </c>
      <c r="M381" s="6">
        <v>46104</v>
      </c>
      <c r="N381" s="4" t="s">
        <v>1900</v>
      </c>
      <c r="O381">
        <v>0</v>
      </c>
      <c r="P381" s="4" t="s">
        <v>24</v>
      </c>
      <c r="Q381" s="4" t="s">
        <v>1900</v>
      </c>
      <c r="R381" s="6">
        <v>46118</v>
      </c>
      <c r="S381" s="4" t="s">
        <v>190</v>
      </c>
      <c r="T381" s="4" t="s">
        <v>190</v>
      </c>
      <c r="U381">
        <v>0</v>
      </c>
      <c r="V381" s="4" t="s">
        <v>1901</v>
      </c>
      <c r="W381" s="4" t="s">
        <v>190</v>
      </c>
      <c r="X381" s="6">
        <v>46132</v>
      </c>
      <c r="Y381" s="4" t="s">
        <v>190</v>
      </c>
      <c r="Z381" s="4" t="s">
        <v>190</v>
      </c>
      <c r="AA381">
        <v>0</v>
      </c>
      <c r="AB381" s="4" t="s">
        <v>1895</v>
      </c>
      <c r="AC381" s="4" t="s">
        <v>190</v>
      </c>
      <c r="AD381" s="4" t="s">
        <v>190</v>
      </c>
      <c r="AE381" s="4" t="s">
        <v>190</v>
      </c>
      <c r="AF381" s="4" t="s">
        <v>190</v>
      </c>
    </row>
    <row r="382" spans="1:32" ht="16.5" customHeight="1">
      <c r="A382" s="3" t="s">
        <v>261</v>
      </c>
      <c r="B382" s="3" t="s">
        <v>2095</v>
      </c>
      <c r="C382" s="3" t="s">
        <v>3042</v>
      </c>
      <c r="D382" s="3" t="s">
        <v>25</v>
      </c>
      <c r="E382" s="3" t="s">
        <v>3043</v>
      </c>
      <c r="F382" s="3" t="s">
        <v>3044</v>
      </c>
      <c r="G382" s="3" t="s">
        <v>220</v>
      </c>
      <c r="H382" s="5">
        <v>45835</v>
      </c>
      <c r="I382" s="5">
        <v>45835</v>
      </c>
      <c r="J382" s="3" t="s">
        <v>3045</v>
      </c>
      <c r="K382" s="3" t="s">
        <v>1892</v>
      </c>
      <c r="L382">
        <v>6</v>
      </c>
      <c r="M382" s="5">
        <v>45860</v>
      </c>
      <c r="N382" s="3" t="s">
        <v>1893</v>
      </c>
      <c r="O382">
        <v>0</v>
      </c>
      <c r="P382" s="3" t="s">
        <v>221</v>
      </c>
      <c r="Q382" s="3" t="s">
        <v>1893</v>
      </c>
      <c r="R382" s="5">
        <v>46118</v>
      </c>
      <c r="S382" s="3" t="s">
        <v>190</v>
      </c>
      <c r="T382" s="3" t="s">
        <v>190</v>
      </c>
      <c r="U382">
        <v>0</v>
      </c>
      <c r="V382" s="3" t="s">
        <v>1956</v>
      </c>
      <c r="W382" s="3" t="s">
        <v>190</v>
      </c>
      <c r="X382" s="5">
        <v>46132</v>
      </c>
      <c r="Y382" s="3" t="s">
        <v>190</v>
      </c>
      <c r="Z382" s="3" t="s">
        <v>190</v>
      </c>
      <c r="AA382">
        <v>0</v>
      </c>
      <c r="AB382" s="3" t="s">
        <v>1895</v>
      </c>
      <c r="AC382" s="3" t="s">
        <v>190</v>
      </c>
      <c r="AD382" s="3" t="s">
        <v>190</v>
      </c>
      <c r="AE382" s="3" t="s">
        <v>190</v>
      </c>
      <c r="AF382" s="3" t="s">
        <v>190</v>
      </c>
    </row>
    <row r="383" spans="1:32" ht="16.5" customHeight="1">
      <c r="A383" s="4" t="s">
        <v>111</v>
      </c>
      <c r="B383" s="4" t="s">
        <v>2117</v>
      </c>
      <c r="C383" s="4" t="s">
        <v>2122</v>
      </c>
      <c r="D383" s="4" t="s">
        <v>25</v>
      </c>
      <c r="E383" s="4" t="s">
        <v>3046</v>
      </c>
      <c r="F383" s="4" t="s">
        <v>3047</v>
      </c>
      <c r="G383" s="4" t="s">
        <v>386</v>
      </c>
      <c r="H383" s="6">
        <v>46081</v>
      </c>
      <c r="I383" s="6">
        <v>46038.365324074075</v>
      </c>
      <c r="J383" s="4" t="s">
        <v>3048</v>
      </c>
      <c r="K383" s="4" t="s">
        <v>1892</v>
      </c>
      <c r="L383">
        <v>6</v>
      </c>
      <c r="M383" s="6">
        <v>46104</v>
      </c>
      <c r="N383" s="4" t="s">
        <v>1893</v>
      </c>
      <c r="O383">
        <v>0</v>
      </c>
      <c r="P383" s="4" t="s">
        <v>24</v>
      </c>
      <c r="Q383" s="4" t="s">
        <v>1893</v>
      </c>
      <c r="R383" s="6">
        <v>46118</v>
      </c>
      <c r="S383" s="4" t="s">
        <v>190</v>
      </c>
      <c r="T383" s="4" t="s">
        <v>190</v>
      </c>
      <c r="U383">
        <v>0</v>
      </c>
      <c r="V383" s="4" t="s">
        <v>1794</v>
      </c>
      <c r="W383" s="4" t="s">
        <v>190</v>
      </c>
      <c r="X383" s="6">
        <v>46132</v>
      </c>
      <c r="Y383" s="4" t="s">
        <v>190</v>
      </c>
      <c r="Z383" s="4" t="s">
        <v>190</v>
      </c>
      <c r="AA383">
        <v>0</v>
      </c>
      <c r="AB383" s="4" t="s">
        <v>1895</v>
      </c>
      <c r="AC383" s="4" t="s">
        <v>190</v>
      </c>
      <c r="AD383" s="4" t="s">
        <v>190</v>
      </c>
      <c r="AE383" s="4" t="s">
        <v>190</v>
      </c>
      <c r="AF383" s="4" t="s">
        <v>190</v>
      </c>
    </row>
    <row r="384" spans="1:32" ht="16.5" customHeight="1">
      <c r="A384" s="3" t="s">
        <v>111</v>
      </c>
      <c r="B384" s="3" t="s">
        <v>56</v>
      </c>
      <c r="C384" s="3" t="s">
        <v>56</v>
      </c>
      <c r="D384" s="3" t="s">
        <v>1795</v>
      </c>
      <c r="E384" s="3" t="s">
        <v>3049</v>
      </c>
      <c r="F384" s="3" t="s">
        <v>3050</v>
      </c>
      <c r="G384" s="3" t="s">
        <v>645</v>
      </c>
      <c r="H384" s="5">
        <v>46051</v>
      </c>
      <c r="I384" s="5">
        <v>46042.612858796296</v>
      </c>
      <c r="J384" s="3" t="s">
        <v>3051</v>
      </c>
      <c r="K384" s="3" t="s">
        <v>1892</v>
      </c>
      <c r="L384">
        <v>6</v>
      </c>
      <c r="M384" s="5"/>
      <c r="N384" s="3" t="s">
        <v>190</v>
      </c>
      <c r="O384">
        <v>0</v>
      </c>
      <c r="P384" s="3" t="s">
        <v>24</v>
      </c>
      <c r="Q384" s="3" t="s">
        <v>190</v>
      </c>
      <c r="R384" s="5">
        <v>46118</v>
      </c>
      <c r="S384" s="3" t="s">
        <v>190</v>
      </c>
      <c r="T384" s="3" t="s">
        <v>190</v>
      </c>
      <c r="U384">
        <v>0</v>
      </c>
      <c r="V384" s="3" t="s">
        <v>1794</v>
      </c>
      <c r="W384" s="3" t="s">
        <v>190</v>
      </c>
      <c r="X384" s="5">
        <v>46132</v>
      </c>
      <c r="Y384" s="3" t="s">
        <v>190</v>
      </c>
      <c r="Z384" s="3" t="s">
        <v>190</v>
      </c>
      <c r="AA384">
        <v>0</v>
      </c>
      <c r="AB384" s="3" t="s">
        <v>1895</v>
      </c>
      <c r="AC384" s="3" t="s">
        <v>190</v>
      </c>
      <c r="AD384" s="3" t="s">
        <v>190</v>
      </c>
      <c r="AE384" s="3" t="s">
        <v>190</v>
      </c>
      <c r="AF384" s="3" t="s">
        <v>190</v>
      </c>
    </row>
    <row r="385" spans="1:32" ht="16.5" customHeight="1">
      <c r="A385" s="4" t="s">
        <v>111</v>
      </c>
      <c r="B385" s="4" t="s">
        <v>56</v>
      </c>
      <c r="C385" s="4" t="s">
        <v>56</v>
      </c>
      <c r="D385" s="4" t="s">
        <v>1795</v>
      </c>
      <c r="E385" s="4" t="s">
        <v>3052</v>
      </c>
      <c r="F385" s="4" t="s">
        <v>3053</v>
      </c>
      <c r="G385" s="4" t="s">
        <v>645</v>
      </c>
      <c r="H385" s="6">
        <v>46079</v>
      </c>
      <c r="I385" s="6">
        <v>46078.601435185185</v>
      </c>
      <c r="J385" s="4" t="s">
        <v>3054</v>
      </c>
      <c r="K385" s="4" t="s">
        <v>1892</v>
      </c>
      <c r="L385">
        <v>6</v>
      </c>
      <c r="M385" s="6"/>
      <c r="N385" s="4" t="s">
        <v>190</v>
      </c>
      <c r="O385">
        <v>0</v>
      </c>
      <c r="P385" s="4" t="s">
        <v>24</v>
      </c>
      <c r="Q385" s="4" t="s">
        <v>190</v>
      </c>
      <c r="R385" s="6">
        <v>46118</v>
      </c>
      <c r="S385" s="4" t="s">
        <v>190</v>
      </c>
      <c r="T385" s="4" t="s">
        <v>190</v>
      </c>
      <c r="U385">
        <v>0</v>
      </c>
      <c r="V385" s="4" t="s">
        <v>1794</v>
      </c>
      <c r="W385" s="4" t="s">
        <v>190</v>
      </c>
      <c r="X385" s="6">
        <v>46132</v>
      </c>
      <c r="Y385" s="4" t="s">
        <v>190</v>
      </c>
      <c r="Z385" s="4" t="s">
        <v>190</v>
      </c>
      <c r="AA385">
        <v>0</v>
      </c>
      <c r="AB385" s="4" t="s">
        <v>1895</v>
      </c>
      <c r="AC385" s="4" t="s">
        <v>190</v>
      </c>
      <c r="AD385" s="4" t="s">
        <v>190</v>
      </c>
      <c r="AE385" s="4" t="s">
        <v>190</v>
      </c>
      <c r="AF385" s="4" t="s">
        <v>190</v>
      </c>
    </row>
    <row r="386" spans="1:32" ht="16.5" customHeight="1">
      <c r="A386" s="3" t="s">
        <v>111</v>
      </c>
      <c r="B386" s="3" t="s">
        <v>56</v>
      </c>
      <c r="C386" s="3" t="s">
        <v>56</v>
      </c>
      <c r="D386" s="3" t="s">
        <v>116</v>
      </c>
      <c r="E386" s="3" t="s">
        <v>3055</v>
      </c>
      <c r="F386" s="3" t="s">
        <v>3056</v>
      </c>
      <c r="G386" s="3" t="s">
        <v>115</v>
      </c>
      <c r="H386" s="5">
        <v>46052</v>
      </c>
      <c r="I386" s="5">
        <v>46048.428043981483</v>
      </c>
      <c r="J386" s="3" t="s">
        <v>3057</v>
      </c>
      <c r="K386" s="3" t="s">
        <v>1892</v>
      </c>
      <c r="L386">
        <v>6</v>
      </c>
      <c r="M386" s="5">
        <v>46104</v>
      </c>
      <c r="N386" s="3" t="s">
        <v>1893</v>
      </c>
      <c r="O386">
        <v>0</v>
      </c>
      <c r="P386" s="3" t="s">
        <v>24</v>
      </c>
      <c r="Q386" s="3" t="s">
        <v>1893</v>
      </c>
      <c r="R386" s="5">
        <v>46118</v>
      </c>
      <c r="S386" s="3" t="s">
        <v>190</v>
      </c>
      <c r="T386" s="3" t="s">
        <v>190</v>
      </c>
      <c r="U386">
        <v>0</v>
      </c>
      <c r="V386" s="3" t="s">
        <v>1901</v>
      </c>
      <c r="W386" s="3" t="s">
        <v>190</v>
      </c>
      <c r="X386" s="5">
        <v>46132</v>
      </c>
      <c r="Y386" s="3" t="s">
        <v>190</v>
      </c>
      <c r="Z386" s="3" t="s">
        <v>190</v>
      </c>
      <c r="AA386">
        <v>0</v>
      </c>
      <c r="AB386" s="3" t="s">
        <v>1895</v>
      </c>
      <c r="AC386" s="3" t="s">
        <v>190</v>
      </c>
      <c r="AD386" s="3" t="s">
        <v>190</v>
      </c>
      <c r="AE386" s="3" t="s">
        <v>190</v>
      </c>
      <c r="AF386" s="3" t="s">
        <v>190</v>
      </c>
    </row>
    <row r="387" spans="1:32" ht="16.5" customHeight="1">
      <c r="A387" s="4" t="s">
        <v>229</v>
      </c>
      <c r="B387" s="4" t="s">
        <v>2172</v>
      </c>
      <c r="C387" s="4" t="s">
        <v>2173</v>
      </c>
      <c r="D387" s="4" t="s">
        <v>25</v>
      </c>
      <c r="E387" s="4" t="s">
        <v>3058</v>
      </c>
      <c r="F387" s="4" t="s">
        <v>3059</v>
      </c>
      <c r="G387" s="4" t="s">
        <v>233</v>
      </c>
      <c r="H387" s="6">
        <v>46094</v>
      </c>
      <c r="I387" s="6">
        <v>46092.66265046296</v>
      </c>
      <c r="J387" s="4" t="s">
        <v>3060</v>
      </c>
      <c r="K387" s="4" t="s">
        <v>1892</v>
      </c>
      <c r="L387">
        <v>6</v>
      </c>
      <c r="M387" s="6">
        <v>46104</v>
      </c>
      <c r="N387" s="4" t="s">
        <v>1893</v>
      </c>
      <c r="O387">
        <v>0</v>
      </c>
      <c r="P387" s="4" t="s">
        <v>24</v>
      </c>
      <c r="Q387" s="4" t="s">
        <v>1893</v>
      </c>
      <c r="R387" s="6">
        <v>46112</v>
      </c>
      <c r="S387" s="4" t="s">
        <v>190</v>
      </c>
      <c r="T387" s="4" t="s">
        <v>190</v>
      </c>
      <c r="U387">
        <v>0</v>
      </c>
      <c r="V387" s="4" t="s">
        <v>1794</v>
      </c>
      <c r="W387" s="4" t="s">
        <v>190</v>
      </c>
      <c r="X387" s="6">
        <v>46122</v>
      </c>
      <c r="Y387" s="4" t="s">
        <v>190</v>
      </c>
      <c r="Z387" s="4" t="s">
        <v>190</v>
      </c>
      <c r="AA387">
        <v>0</v>
      </c>
      <c r="AB387" s="4" t="s">
        <v>1895</v>
      </c>
      <c r="AC387" s="4" t="s">
        <v>190</v>
      </c>
      <c r="AD387" s="4" t="s">
        <v>190</v>
      </c>
      <c r="AE387" s="4" t="s">
        <v>190</v>
      </c>
      <c r="AF387" s="4" t="s">
        <v>190</v>
      </c>
    </row>
    <row r="388" spans="1:32" ht="16.5" customHeight="1">
      <c r="A388" s="3" t="s">
        <v>229</v>
      </c>
      <c r="B388" s="3" t="s">
        <v>2683</v>
      </c>
      <c r="C388" s="3" t="s">
        <v>2683</v>
      </c>
      <c r="D388" s="3" t="s">
        <v>25</v>
      </c>
      <c r="E388" s="3" t="s">
        <v>3061</v>
      </c>
      <c r="F388" s="3" t="s">
        <v>3062</v>
      </c>
      <c r="G388" s="3" t="s">
        <v>250</v>
      </c>
      <c r="H388" s="5">
        <v>46073</v>
      </c>
      <c r="I388" s="5">
        <v>46050.414212962962</v>
      </c>
      <c r="J388" s="3" t="s">
        <v>3063</v>
      </c>
      <c r="K388" s="3" t="s">
        <v>1892</v>
      </c>
      <c r="L388">
        <v>6</v>
      </c>
      <c r="M388" s="5">
        <v>46107</v>
      </c>
      <c r="N388" s="3" t="s">
        <v>1893</v>
      </c>
      <c r="O388">
        <v>0</v>
      </c>
      <c r="P388" s="3" t="s">
        <v>24</v>
      </c>
      <c r="Q388" s="3" t="s">
        <v>1893</v>
      </c>
      <c r="R388" s="5">
        <v>46118</v>
      </c>
      <c r="S388" s="3" t="s">
        <v>190</v>
      </c>
      <c r="T388" s="3" t="s">
        <v>190</v>
      </c>
      <c r="U388">
        <v>0</v>
      </c>
      <c r="V388" s="3" t="s">
        <v>1794</v>
      </c>
      <c r="W388" s="3" t="s">
        <v>190</v>
      </c>
      <c r="X388" s="5">
        <v>46132</v>
      </c>
      <c r="Y388" s="3" t="s">
        <v>190</v>
      </c>
      <c r="Z388" s="3" t="s">
        <v>190</v>
      </c>
      <c r="AA388">
        <v>0</v>
      </c>
      <c r="AB388" s="3" t="s">
        <v>1895</v>
      </c>
      <c r="AC388" s="3" t="s">
        <v>190</v>
      </c>
      <c r="AD388" s="3" t="s">
        <v>190</v>
      </c>
      <c r="AE388" s="3" t="s">
        <v>190</v>
      </c>
      <c r="AF388" s="3" t="s">
        <v>190</v>
      </c>
    </row>
    <row r="389" spans="1:32" ht="16.5" customHeight="1">
      <c r="A389" s="4" t="s">
        <v>229</v>
      </c>
      <c r="B389" s="4" t="s">
        <v>56</v>
      </c>
      <c r="C389" s="4" t="s">
        <v>56</v>
      </c>
      <c r="D389" s="4" t="s">
        <v>116</v>
      </c>
      <c r="E389" s="4" t="s">
        <v>3064</v>
      </c>
      <c r="F389" s="4" t="s">
        <v>3065</v>
      </c>
      <c r="G389" s="4" t="s">
        <v>250</v>
      </c>
      <c r="H389" s="6">
        <v>46059</v>
      </c>
      <c r="I389" s="6">
        <v>46058.552673611113</v>
      </c>
      <c r="J389" s="4" t="s">
        <v>570</v>
      </c>
      <c r="K389" s="4" t="s">
        <v>1892</v>
      </c>
      <c r="L389">
        <v>6</v>
      </c>
      <c r="M389" s="6">
        <v>46107</v>
      </c>
      <c r="N389" s="4" t="s">
        <v>1900</v>
      </c>
      <c r="O389">
        <v>0</v>
      </c>
      <c r="P389" s="4" t="s">
        <v>24</v>
      </c>
      <c r="Q389" s="4" t="s">
        <v>1893</v>
      </c>
      <c r="R389" s="6">
        <v>46118</v>
      </c>
      <c r="S389" s="4" t="s">
        <v>190</v>
      </c>
      <c r="T389" s="4" t="s">
        <v>190</v>
      </c>
      <c r="U389">
        <v>0</v>
      </c>
      <c r="V389" s="4" t="s">
        <v>1794</v>
      </c>
      <c r="W389" s="4" t="s">
        <v>190</v>
      </c>
      <c r="X389" s="6">
        <v>46132</v>
      </c>
      <c r="Y389" s="4" t="s">
        <v>190</v>
      </c>
      <c r="Z389" s="4" t="s">
        <v>190</v>
      </c>
      <c r="AA389">
        <v>0</v>
      </c>
      <c r="AB389" s="4" t="s">
        <v>1895</v>
      </c>
      <c r="AC389" s="4" t="s">
        <v>190</v>
      </c>
      <c r="AD389" s="4" t="s">
        <v>190</v>
      </c>
      <c r="AE389" s="4" t="s">
        <v>190</v>
      </c>
      <c r="AF389" s="4" t="s">
        <v>190</v>
      </c>
    </row>
    <row r="390" spans="1:32" ht="16.5" customHeight="1">
      <c r="A390" s="3" t="s">
        <v>229</v>
      </c>
      <c r="B390" s="3" t="s">
        <v>56</v>
      </c>
      <c r="C390" s="3" t="s">
        <v>56</v>
      </c>
      <c r="D390" s="3" t="s">
        <v>116</v>
      </c>
      <c r="E390" s="3" t="s">
        <v>3066</v>
      </c>
      <c r="F390" s="3" t="s">
        <v>3067</v>
      </c>
      <c r="G390" s="3" t="s">
        <v>250</v>
      </c>
      <c r="H390" s="5">
        <v>46038</v>
      </c>
      <c r="I390" s="5">
        <v>46042.415208333332</v>
      </c>
      <c r="J390" s="3" t="s">
        <v>3068</v>
      </c>
      <c r="K390" s="3" t="s">
        <v>1892</v>
      </c>
      <c r="L390">
        <v>6</v>
      </c>
      <c r="M390" s="5">
        <v>46105</v>
      </c>
      <c r="N390" s="3" t="s">
        <v>1893</v>
      </c>
      <c r="O390">
        <v>0</v>
      </c>
      <c r="P390" s="3" t="s">
        <v>24</v>
      </c>
      <c r="Q390" s="3" t="s">
        <v>1893</v>
      </c>
      <c r="R390" s="5">
        <v>46118</v>
      </c>
      <c r="S390" s="3" t="s">
        <v>190</v>
      </c>
      <c r="T390" s="3" t="s">
        <v>190</v>
      </c>
      <c r="U390">
        <v>0</v>
      </c>
      <c r="V390" s="3" t="s">
        <v>1794</v>
      </c>
      <c r="W390" s="3" t="s">
        <v>190</v>
      </c>
      <c r="X390" s="5">
        <v>46132</v>
      </c>
      <c r="Y390" s="3" t="s">
        <v>190</v>
      </c>
      <c r="Z390" s="3" t="s">
        <v>190</v>
      </c>
      <c r="AA390">
        <v>0</v>
      </c>
      <c r="AB390" s="3" t="s">
        <v>1895</v>
      </c>
      <c r="AC390" s="3" t="s">
        <v>190</v>
      </c>
      <c r="AD390" s="3" t="s">
        <v>190</v>
      </c>
      <c r="AE390" s="3" t="s">
        <v>190</v>
      </c>
      <c r="AF390" s="3" t="s">
        <v>190</v>
      </c>
    </row>
    <row r="391" spans="1:32" ht="16.5" customHeight="1">
      <c r="A391" s="4" t="s">
        <v>229</v>
      </c>
      <c r="B391" s="4" t="s">
        <v>56</v>
      </c>
      <c r="C391" s="4" t="s">
        <v>56</v>
      </c>
      <c r="D391" s="4" t="s">
        <v>116</v>
      </c>
      <c r="E391" s="4" t="s">
        <v>3069</v>
      </c>
      <c r="F391" s="4" t="s">
        <v>3070</v>
      </c>
      <c r="G391" s="4" t="s">
        <v>250</v>
      </c>
      <c r="H391" s="6">
        <v>46059</v>
      </c>
      <c r="I391" s="6">
        <v>46051.459618055553</v>
      </c>
      <c r="J391" s="4" t="s">
        <v>3071</v>
      </c>
      <c r="K391" s="4" t="s">
        <v>1892</v>
      </c>
      <c r="L391">
        <v>6</v>
      </c>
      <c r="M391" s="6">
        <v>46105</v>
      </c>
      <c r="N391" s="4" t="s">
        <v>1893</v>
      </c>
      <c r="O391">
        <v>0</v>
      </c>
      <c r="P391" s="4" t="s">
        <v>24</v>
      </c>
      <c r="Q391" s="4" t="s">
        <v>1893</v>
      </c>
      <c r="R391" s="6">
        <v>46118</v>
      </c>
      <c r="S391" s="4" t="s">
        <v>190</v>
      </c>
      <c r="T391" s="4" t="s">
        <v>190</v>
      </c>
      <c r="U391">
        <v>0</v>
      </c>
      <c r="V391" s="4" t="s">
        <v>1794</v>
      </c>
      <c r="W391" s="4" t="s">
        <v>190</v>
      </c>
      <c r="X391" s="6">
        <v>46132</v>
      </c>
      <c r="Y391" s="4" t="s">
        <v>190</v>
      </c>
      <c r="Z391" s="4" t="s">
        <v>190</v>
      </c>
      <c r="AA391">
        <v>0</v>
      </c>
      <c r="AB391" s="4" t="s">
        <v>1895</v>
      </c>
      <c r="AC391" s="4" t="s">
        <v>190</v>
      </c>
      <c r="AD391" s="4" t="s">
        <v>190</v>
      </c>
      <c r="AE391" s="4" t="s">
        <v>190</v>
      </c>
      <c r="AF391" s="4" t="s">
        <v>190</v>
      </c>
    </row>
    <row r="392" spans="1:32" ht="16.5" customHeight="1">
      <c r="A392" s="3" t="s">
        <v>229</v>
      </c>
      <c r="B392" s="3" t="s">
        <v>56</v>
      </c>
      <c r="C392" s="3" t="s">
        <v>56</v>
      </c>
      <c r="D392" s="3" t="s">
        <v>1795</v>
      </c>
      <c r="E392" s="3" t="s">
        <v>3072</v>
      </c>
      <c r="F392" s="3" t="s">
        <v>3073</v>
      </c>
      <c r="G392" s="3" t="s">
        <v>250</v>
      </c>
      <c r="H392" s="5">
        <v>46052</v>
      </c>
      <c r="I392" s="5">
        <v>46050.426238425927</v>
      </c>
      <c r="J392" s="3" t="s">
        <v>3074</v>
      </c>
      <c r="K392" s="3" t="s">
        <v>1892</v>
      </c>
      <c r="L392">
        <v>6</v>
      </c>
      <c r="M392" s="5"/>
      <c r="N392" s="3" t="s">
        <v>190</v>
      </c>
      <c r="O392">
        <v>0</v>
      </c>
      <c r="P392" s="3" t="s">
        <v>24</v>
      </c>
      <c r="Q392" s="3" t="s">
        <v>190</v>
      </c>
      <c r="R392" s="5">
        <v>46118</v>
      </c>
      <c r="S392" s="3" t="s">
        <v>190</v>
      </c>
      <c r="T392" s="3" t="s">
        <v>190</v>
      </c>
      <c r="U392">
        <v>0</v>
      </c>
      <c r="V392" s="3" t="s">
        <v>1794</v>
      </c>
      <c r="W392" s="3" t="s">
        <v>190</v>
      </c>
      <c r="X392" s="5">
        <v>46132</v>
      </c>
      <c r="Y392" s="3" t="s">
        <v>190</v>
      </c>
      <c r="Z392" s="3" t="s">
        <v>190</v>
      </c>
      <c r="AA392">
        <v>0</v>
      </c>
      <c r="AB392" s="3" t="s">
        <v>1895</v>
      </c>
      <c r="AC392" s="3" t="s">
        <v>190</v>
      </c>
      <c r="AD392" s="3" t="s">
        <v>190</v>
      </c>
      <c r="AE392" s="3" t="s">
        <v>190</v>
      </c>
      <c r="AF392" s="3" t="s">
        <v>190</v>
      </c>
    </row>
    <row r="393" spans="1:32" ht="16.5" customHeight="1">
      <c r="A393" s="4" t="s">
        <v>229</v>
      </c>
      <c r="B393" s="4" t="s">
        <v>56</v>
      </c>
      <c r="C393" s="4" t="s">
        <v>56</v>
      </c>
      <c r="D393" s="4" t="s">
        <v>116</v>
      </c>
      <c r="E393" s="4" t="s">
        <v>3075</v>
      </c>
      <c r="F393" s="4" t="s">
        <v>3076</v>
      </c>
      <c r="G393" s="4" t="s">
        <v>250</v>
      </c>
      <c r="H393" s="6">
        <v>46094</v>
      </c>
      <c r="I393" s="6">
        <v>46087.750879629632</v>
      </c>
      <c r="J393" s="4" t="s">
        <v>3077</v>
      </c>
      <c r="K393" s="4" t="s">
        <v>1892</v>
      </c>
      <c r="L393">
        <v>6</v>
      </c>
      <c r="M393" s="6">
        <v>46105</v>
      </c>
      <c r="N393" s="4" t="s">
        <v>1893</v>
      </c>
      <c r="O393">
        <v>0</v>
      </c>
      <c r="P393" s="4" t="s">
        <v>24</v>
      </c>
      <c r="Q393" s="4" t="s">
        <v>1893</v>
      </c>
      <c r="R393" s="6">
        <v>46118</v>
      </c>
      <c r="S393" s="4" t="s">
        <v>190</v>
      </c>
      <c r="T393" s="4" t="s">
        <v>190</v>
      </c>
      <c r="U393">
        <v>0</v>
      </c>
      <c r="V393" s="4" t="s">
        <v>1794</v>
      </c>
      <c r="W393" s="4" t="s">
        <v>190</v>
      </c>
      <c r="X393" s="6">
        <v>46132</v>
      </c>
      <c r="Y393" s="4" t="s">
        <v>190</v>
      </c>
      <c r="Z393" s="4" t="s">
        <v>190</v>
      </c>
      <c r="AA393">
        <v>0</v>
      </c>
      <c r="AB393" s="4" t="s">
        <v>1895</v>
      </c>
      <c r="AC393" s="4" t="s">
        <v>190</v>
      </c>
      <c r="AD393" s="4" t="s">
        <v>190</v>
      </c>
      <c r="AE393" s="4" t="s">
        <v>190</v>
      </c>
      <c r="AF393" s="4" t="s">
        <v>190</v>
      </c>
    </row>
    <row r="394" spans="1:32" ht="16.5" customHeight="1">
      <c r="A394" s="3" t="s">
        <v>229</v>
      </c>
      <c r="B394" s="3" t="s">
        <v>56</v>
      </c>
      <c r="C394" s="3" t="s">
        <v>56</v>
      </c>
      <c r="D394" s="3" t="s">
        <v>116</v>
      </c>
      <c r="E394" s="3" t="s">
        <v>3078</v>
      </c>
      <c r="F394" s="3" t="s">
        <v>3079</v>
      </c>
      <c r="G394" s="3" t="s">
        <v>250</v>
      </c>
      <c r="H394" s="5">
        <v>46094</v>
      </c>
      <c r="I394" s="5">
        <v>46087.751319444447</v>
      </c>
      <c r="J394" s="3" t="s">
        <v>3080</v>
      </c>
      <c r="K394" s="3" t="s">
        <v>1892</v>
      </c>
      <c r="L394">
        <v>6</v>
      </c>
      <c r="M394" s="5">
        <v>46105</v>
      </c>
      <c r="N394" s="3" t="s">
        <v>1893</v>
      </c>
      <c r="O394">
        <v>0</v>
      </c>
      <c r="P394" s="3" t="s">
        <v>24</v>
      </c>
      <c r="Q394" s="3" t="s">
        <v>1893</v>
      </c>
      <c r="R394" s="5">
        <v>46118</v>
      </c>
      <c r="S394" s="3" t="s">
        <v>190</v>
      </c>
      <c r="T394" s="3" t="s">
        <v>190</v>
      </c>
      <c r="U394">
        <v>0</v>
      </c>
      <c r="V394" s="3" t="s">
        <v>1794</v>
      </c>
      <c r="W394" s="3" t="s">
        <v>190</v>
      </c>
      <c r="X394" s="5">
        <v>46132</v>
      </c>
      <c r="Y394" s="3" t="s">
        <v>190</v>
      </c>
      <c r="Z394" s="3" t="s">
        <v>190</v>
      </c>
      <c r="AA394">
        <v>0</v>
      </c>
      <c r="AB394" s="3" t="s">
        <v>1895</v>
      </c>
      <c r="AC394" s="3" t="s">
        <v>190</v>
      </c>
      <c r="AD394" s="3" t="s">
        <v>190</v>
      </c>
      <c r="AE394" s="3" t="s">
        <v>190</v>
      </c>
      <c r="AF394" s="3" t="s">
        <v>190</v>
      </c>
    </row>
    <row r="395" spans="1:32" ht="16.5" customHeight="1">
      <c r="A395" s="4" t="s">
        <v>306</v>
      </c>
      <c r="B395" s="4" t="s">
        <v>3081</v>
      </c>
      <c r="C395" s="4" t="s">
        <v>2189</v>
      </c>
      <c r="D395" s="4" t="s">
        <v>25</v>
      </c>
      <c r="E395" s="4" t="s">
        <v>3082</v>
      </c>
      <c r="F395" s="4" t="s">
        <v>3083</v>
      </c>
      <c r="G395" s="4" t="s">
        <v>309</v>
      </c>
      <c r="H395" s="6">
        <v>46031</v>
      </c>
      <c r="I395" s="6">
        <v>46051.762835648151</v>
      </c>
      <c r="J395" s="4" t="s">
        <v>305</v>
      </c>
      <c r="K395" s="4" t="s">
        <v>1892</v>
      </c>
      <c r="L395">
        <v>6</v>
      </c>
      <c r="M395" s="6">
        <v>46105</v>
      </c>
      <c r="N395" s="4" t="s">
        <v>1900</v>
      </c>
      <c r="O395">
        <v>0</v>
      </c>
      <c r="P395" s="4" t="s">
        <v>24</v>
      </c>
      <c r="Q395" s="4" t="s">
        <v>1893</v>
      </c>
      <c r="R395" s="6">
        <v>46118</v>
      </c>
      <c r="S395" s="4" t="s">
        <v>190</v>
      </c>
      <c r="T395" s="4" t="s">
        <v>190</v>
      </c>
      <c r="U395">
        <v>0</v>
      </c>
      <c r="V395" s="4" t="s">
        <v>1901</v>
      </c>
      <c r="W395" s="4" t="s">
        <v>190</v>
      </c>
      <c r="X395" s="6">
        <v>46132</v>
      </c>
      <c r="Y395" s="4" t="s">
        <v>190</v>
      </c>
      <c r="Z395" s="4" t="s">
        <v>190</v>
      </c>
      <c r="AA395">
        <v>0</v>
      </c>
      <c r="AB395" s="4" t="s">
        <v>1895</v>
      </c>
      <c r="AC395" s="4" t="s">
        <v>190</v>
      </c>
      <c r="AD395" s="4" t="s">
        <v>190</v>
      </c>
      <c r="AE395" s="4" t="s">
        <v>190</v>
      </c>
      <c r="AF395" s="4" t="s">
        <v>190</v>
      </c>
    </row>
    <row r="396" spans="1:32" ht="16.5" customHeight="1">
      <c r="A396" s="3" t="s">
        <v>306</v>
      </c>
      <c r="B396" s="3" t="s">
        <v>2117</v>
      </c>
      <c r="C396" s="3" t="s">
        <v>2900</v>
      </c>
      <c r="D396" s="3" t="s">
        <v>25</v>
      </c>
      <c r="E396" s="3" t="s">
        <v>3084</v>
      </c>
      <c r="F396" s="3" t="s">
        <v>3085</v>
      </c>
      <c r="G396" s="3" t="s">
        <v>309</v>
      </c>
      <c r="H396" s="5">
        <v>46073</v>
      </c>
      <c r="I396" s="5">
        <v>46080.716145833336</v>
      </c>
      <c r="J396" s="3" t="s">
        <v>1435</v>
      </c>
      <c r="K396" s="3" t="s">
        <v>1892</v>
      </c>
      <c r="L396">
        <v>6</v>
      </c>
      <c r="M396" s="5">
        <v>46105</v>
      </c>
      <c r="N396" s="3" t="s">
        <v>1900</v>
      </c>
      <c r="O396">
        <v>0</v>
      </c>
      <c r="P396" s="3" t="s">
        <v>24</v>
      </c>
      <c r="Q396" s="3" t="s">
        <v>1893</v>
      </c>
      <c r="R396" s="5">
        <v>46118</v>
      </c>
      <c r="S396" s="3" t="s">
        <v>190</v>
      </c>
      <c r="T396" s="3" t="s">
        <v>190</v>
      </c>
      <c r="U396">
        <v>0</v>
      </c>
      <c r="V396" s="3" t="s">
        <v>1901</v>
      </c>
      <c r="W396" s="3" t="s">
        <v>190</v>
      </c>
      <c r="X396" s="5">
        <v>46132</v>
      </c>
      <c r="Y396" s="3" t="s">
        <v>190</v>
      </c>
      <c r="Z396" s="3" t="s">
        <v>190</v>
      </c>
      <c r="AA396">
        <v>0</v>
      </c>
      <c r="AB396" s="3" t="s">
        <v>1895</v>
      </c>
      <c r="AC396" s="3" t="s">
        <v>190</v>
      </c>
      <c r="AD396" s="3" t="s">
        <v>190</v>
      </c>
      <c r="AE396" s="3" t="s">
        <v>190</v>
      </c>
      <c r="AF396" s="3" t="s">
        <v>190</v>
      </c>
    </row>
    <row r="397" spans="1:32" ht="16.5" customHeight="1">
      <c r="A397" s="4" t="s">
        <v>306</v>
      </c>
      <c r="B397" s="4" t="s">
        <v>56</v>
      </c>
      <c r="C397" s="4" t="s">
        <v>56</v>
      </c>
      <c r="D397" s="4" t="s">
        <v>116</v>
      </c>
      <c r="E397" s="4" t="s">
        <v>3086</v>
      </c>
      <c r="F397" s="4" t="s">
        <v>3087</v>
      </c>
      <c r="G397" s="4" t="s">
        <v>250</v>
      </c>
      <c r="H397" s="6">
        <v>46080</v>
      </c>
      <c r="I397" s="6">
        <v>46064.384733796294</v>
      </c>
      <c r="J397" s="4" t="s">
        <v>3088</v>
      </c>
      <c r="K397" s="4" t="s">
        <v>1892</v>
      </c>
      <c r="L397">
        <v>6</v>
      </c>
      <c r="M397" s="6">
        <v>46105</v>
      </c>
      <c r="N397" s="4" t="s">
        <v>1893</v>
      </c>
      <c r="O397">
        <v>0</v>
      </c>
      <c r="P397" s="4" t="s">
        <v>24</v>
      </c>
      <c r="Q397" s="4" t="s">
        <v>1893</v>
      </c>
      <c r="R397" s="6">
        <v>46118</v>
      </c>
      <c r="S397" s="4" t="s">
        <v>190</v>
      </c>
      <c r="T397" s="4" t="s">
        <v>190</v>
      </c>
      <c r="U397">
        <v>0</v>
      </c>
      <c r="V397" s="4" t="s">
        <v>1901</v>
      </c>
      <c r="W397" s="4" t="s">
        <v>190</v>
      </c>
      <c r="X397" s="6">
        <v>46132</v>
      </c>
      <c r="Y397" s="4" t="s">
        <v>190</v>
      </c>
      <c r="Z397" s="4" t="s">
        <v>190</v>
      </c>
      <c r="AA397">
        <v>0</v>
      </c>
      <c r="AB397" s="4" t="s">
        <v>1895</v>
      </c>
      <c r="AC397" s="4" t="s">
        <v>190</v>
      </c>
      <c r="AD397" s="4" t="s">
        <v>190</v>
      </c>
      <c r="AE397" s="4" t="s">
        <v>190</v>
      </c>
      <c r="AF397" s="4" t="s">
        <v>190</v>
      </c>
    </row>
    <row r="398" spans="1:32" ht="16.5" customHeight="1">
      <c r="A398" s="3" t="s">
        <v>306</v>
      </c>
      <c r="B398" s="3" t="s">
        <v>56</v>
      </c>
      <c r="C398" s="3" t="s">
        <v>56</v>
      </c>
      <c r="D398" s="3" t="s">
        <v>116</v>
      </c>
      <c r="E398" s="3" t="s">
        <v>3089</v>
      </c>
      <c r="F398" s="3" t="s">
        <v>3090</v>
      </c>
      <c r="G398" s="3" t="s">
        <v>250</v>
      </c>
      <c r="H398" s="5">
        <v>46080</v>
      </c>
      <c r="I398" s="5">
        <v>46064.384837962964</v>
      </c>
      <c r="J398" s="3" t="s">
        <v>3091</v>
      </c>
      <c r="K398" s="3" t="s">
        <v>1892</v>
      </c>
      <c r="L398">
        <v>6</v>
      </c>
      <c r="M398" s="5">
        <v>46105</v>
      </c>
      <c r="N398" s="3" t="s">
        <v>1893</v>
      </c>
      <c r="O398">
        <v>0</v>
      </c>
      <c r="P398" s="3" t="s">
        <v>24</v>
      </c>
      <c r="Q398" s="3" t="s">
        <v>1893</v>
      </c>
      <c r="R398" s="5">
        <v>46118</v>
      </c>
      <c r="S398" s="3" t="s">
        <v>190</v>
      </c>
      <c r="T398" s="3" t="s">
        <v>190</v>
      </c>
      <c r="U398">
        <v>0</v>
      </c>
      <c r="V398" s="3" t="s">
        <v>1901</v>
      </c>
      <c r="W398" s="3" t="s">
        <v>190</v>
      </c>
      <c r="X398" s="5">
        <v>46132</v>
      </c>
      <c r="Y398" s="3" t="s">
        <v>190</v>
      </c>
      <c r="Z398" s="3" t="s">
        <v>190</v>
      </c>
      <c r="AA398">
        <v>0</v>
      </c>
      <c r="AB398" s="3" t="s">
        <v>1895</v>
      </c>
      <c r="AC398" s="3" t="s">
        <v>190</v>
      </c>
      <c r="AD398" s="3" t="s">
        <v>190</v>
      </c>
      <c r="AE398" s="3" t="s">
        <v>190</v>
      </c>
      <c r="AF398" s="3" t="s">
        <v>190</v>
      </c>
    </row>
    <row r="399" spans="1:32" ht="16.5" customHeight="1">
      <c r="A399" s="4" t="s">
        <v>580</v>
      </c>
      <c r="B399" s="4" t="s">
        <v>56</v>
      </c>
      <c r="C399" s="4" t="s">
        <v>56</v>
      </c>
      <c r="D399" s="4" t="s">
        <v>116</v>
      </c>
      <c r="E399" s="4" t="s">
        <v>3092</v>
      </c>
      <c r="F399" s="4" t="s">
        <v>3093</v>
      </c>
      <c r="G399" s="4" t="s">
        <v>279</v>
      </c>
      <c r="H399" s="6">
        <v>46066</v>
      </c>
      <c r="I399" s="6">
        <v>46020.438611111109</v>
      </c>
      <c r="J399" s="4" t="s">
        <v>3094</v>
      </c>
      <c r="K399" s="4" t="s">
        <v>1892</v>
      </c>
      <c r="L399">
        <v>6</v>
      </c>
      <c r="M399" s="6">
        <v>46106</v>
      </c>
      <c r="N399" s="4" t="s">
        <v>1893</v>
      </c>
      <c r="O399">
        <v>0</v>
      </c>
      <c r="P399" s="4" t="s">
        <v>24</v>
      </c>
      <c r="Q399" s="4" t="s">
        <v>1893</v>
      </c>
      <c r="R399" s="6">
        <v>46118</v>
      </c>
      <c r="S399" s="4" t="s">
        <v>190</v>
      </c>
      <c r="T399" s="4" t="s">
        <v>190</v>
      </c>
      <c r="U399">
        <v>0</v>
      </c>
      <c r="V399" s="4" t="s">
        <v>1956</v>
      </c>
      <c r="W399" s="4" t="s">
        <v>190</v>
      </c>
      <c r="X399" s="6">
        <v>46132</v>
      </c>
      <c r="Y399" s="4" t="s">
        <v>190</v>
      </c>
      <c r="Z399" s="4" t="s">
        <v>190</v>
      </c>
      <c r="AA399">
        <v>0</v>
      </c>
      <c r="AB399" s="4" t="s">
        <v>1895</v>
      </c>
      <c r="AC399" s="4" t="s">
        <v>190</v>
      </c>
      <c r="AD399" s="4" t="s">
        <v>190</v>
      </c>
      <c r="AE399" s="4" t="s">
        <v>190</v>
      </c>
      <c r="AF399" s="4" t="s">
        <v>190</v>
      </c>
    </row>
    <row r="400" spans="1:32" ht="16.5" customHeight="1">
      <c r="A400" s="3" t="s">
        <v>580</v>
      </c>
      <c r="B400" s="3" t="s">
        <v>56</v>
      </c>
      <c r="C400" s="3" t="s">
        <v>56</v>
      </c>
      <c r="D400" s="3" t="s">
        <v>116</v>
      </c>
      <c r="E400" s="3" t="s">
        <v>3095</v>
      </c>
      <c r="F400" s="3" t="s">
        <v>3096</v>
      </c>
      <c r="G400" s="3" t="s">
        <v>279</v>
      </c>
      <c r="H400" s="5">
        <v>46081</v>
      </c>
      <c r="I400" s="5">
        <v>46020.439050925925</v>
      </c>
      <c r="J400" s="3" t="s">
        <v>3097</v>
      </c>
      <c r="K400" s="3" t="s">
        <v>1892</v>
      </c>
      <c r="L400">
        <v>6</v>
      </c>
      <c r="M400" s="5">
        <v>46105</v>
      </c>
      <c r="N400" s="3" t="s">
        <v>1893</v>
      </c>
      <c r="O400">
        <v>0</v>
      </c>
      <c r="P400" s="3" t="s">
        <v>24</v>
      </c>
      <c r="Q400" s="3" t="s">
        <v>1893</v>
      </c>
      <c r="R400" s="5">
        <v>46118</v>
      </c>
      <c r="S400" s="3" t="s">
        <v>190</v>
      </c>
      <c r="T400" s="3" t="s">
        <v>190</v>
      </c>
      <c r="U400">
        <v>0</v>
      </c>
      <c r="V400" s="3" t="s">
        <v>1956</v>
      </c>
      <c r="W400" s="3" t="s">
        <v>190</v>
      </c>
      <c r="X400" s="5">
        <v>46132</v>
      </c>
      <c r="Y400" s="3" t="s">
        <v>190</v>
      </c>
      <c r="Z400" s="3" t="s">
        <v>190</v>
      </c>
      <c r="AA400">
        <v>0</v>
      </c>
      <c r="AB400" s="3" t="s">
        <v>1895</v>
      </c>
      <c r="AC400" s="3" t="s">
        <v>190</v>
      </c>
      <c r="AD400" s="3" t="s">
        <v>190</v>
      </c>
      <c r="AE400" s="3" t="s">
        <v>190</v>
      </c>
      <c r="AF400" s="3" t="s">
        <v>190</v>
      </c>
    </row>
    <row r="401" spans="1:32" ht="16.5" customHeight="1">
      <c r="A401" s="4" t="s">
        <v>580</v>
      </c>
      <c r="B401" s="4" t="s">
        <v>56</v>
      </c>
      <c r="C401" s="4" t="s">
        <v>56</v>
      </c>
      <c r="D401" s="4" t="s">
        <v>116</v>
      </c>
      <c r="E401" s="4" t="s">
        <v>3098</v>
      </c>
      <c r="F401" s="4" t="s">
        <v>3099</v>
      </c>
      <c r="G401" s="4" t="s">
        <v>279</v>
      </c>
      <c r="H401" s="6">
        <v>46081</v>
      </c>
      <c r="I401" s="6">
        <v>46020.438888888886</v>
      </c>
      <c r="J401" s="4" t="s">
        <v>3100</v>
      </c>
      <c r="K401" s="4" t="s">
        <v>1892</v>
      </c>
      <c r="L401">
        <v>6</v>
      </c>
      <c r="M401" s="6">
        <v>46106</v>
      </c>
      <c r="N401" s="4" t="s">
        <v>1893</v>
      </c>
      <c r="O401">
        <v>0</v>
      </c>
      <c r="P401" s="4" t="s">
        <v>24</v>
      </c>
      <c r="Q401" s="4" t="s">
        <v>1893</v>
      </c>
      <c r="R401" s="6">
        <v>46118</v>
      </c>
      <c r="S401" s="4" t="s">
        <v>190</v>
      </c>
      <c r="T401" s="4" t="s">
        <v>190</v>
      </c>
      <c r="U401">
        <v>0</v>
      </c>
      <c r="V401" s="4" t="s">
        <v>1956</v>
      </c>
      <c r="W401" s="4" t="s">
        <v>190</v>
      </c>
      <c r="X401" s="6">
        <v>46132</v>
      </c>
      <c r="Y401" s="4" t="s">
        <v>190</v>
      </c>
      <c r="Z401" s="4" t="s">
        <v>190</v>
      </c>
      <c r="AA401">
        <v>0</v>
      </c>
      <c r="AB401" s="4" t="s">
        <v>1895</v>
      </c>
      <c r="AC401" s="4" t="s">
        <v>190</v>
      </c>
      <c r="AD401" s="4" t="s">
        <v>190</v>
      </c>
      <c r="AE401" s="4" t="s">
        <v>190</v>
      </c>
      <c r="AF401" s="4" t="s">
        <v>190</v>
      </c>
    </row>
    <row r="402" spans="1:32" ht="16.5" customHeight="1">
      <c r="A402" s="3" t="s">
        <v>580</v>
      </c>
      <c r="B402" s="3" t="s">
        <v>56</v>
      </c>
      <c r="C402" s="3" t="s">
        <v>56</v>
      </c>
      <c r="D402" s="3" t="s">
        <v>1795</v>
      </c>
      <c r="E402" s="3" t="s">
        <v>3101</v>
      </c>
      <c r="F402" s="3" t="s">
        <v>3102</v>
      </c>
      <c r="G402" s="3" t="s">
        <v>584</v>
      </c>
      <c r="H402" s="5">
        <v>46081</v>
      </c>
      <c r="I402" s="5">
        <v>46006.711724537039</v>
      </c>
      <c r="J402" s="3" t="s">
        <v>3103</v>
      </c>
      <c r="K402" s="3" t="s">
        <v>1892</v>
      </c>
      <c r="L402">
        <v>6</v>
      </c>
      <c r="M402" s="5">
        <v>46104</v>
      </c>
      <c r="N402" s="3" t="s">
        <v>1893</v>
      </c>
      <c r="O402">
        <v>0</v>
      </c>
      <c r="P402" s="3" t="s">
        <v>24</v>
      </c>
      <c r="Q402" s="3" t="s">
        <v>1893</v>
      </c>
      <c r="R402" s="5">
        <v>46118</v>
      </c>
      <c r="S402" s="3" t="s">
        <v>190</v>
      </c>
      <c r="T402" s="3" t="s">
        <v>190</v>
      </c>
      <c r="U402">
        <v>0</v>
      </c>
      <c r="V402" s="3" t="s">
        <v>1956</v>
      </c>
      <c r="W402" s="3" t="s">
        <v>190</v>
      </c>
      <c r="X402" s="5">
        <v>46132</v>
      </c>
      <c r="Y402" s="3" t="s">
        <v>190</v>
      </c>
      <c r="Z402" s="3" t="s">
        <v>190</v>
      </c>
      <c r="AA402">
        <v>0</v>
      </c>
      <c r="AB402" s="3" t="s">
        <v>1895</v>
      </c>
      <c r="AC402" s="3" t="s">
        <v>190</v>
      </c>
      <c r="AD402" s="3" t="s">
        <v>190</v>
      </c>
      <c r="AE402" s="3" t="s">
        <v>190</v>
      </c>
      <c r="AF402" s="3" t="s">
        <v>190</v>
      </c>
    </row>
    <row r="403" spans="1:32" ht="16.5" customHeight="1">
      <c r="A403" s="4" t="s">
        <v>580</v>
      </c>
      <c r="B403" s="4" t="s">
        <v>56</v>
      </c>
      <c r="C403" s="4" t="s">
        <v>56</v>
      </c>
      <c r="D403" s="4" t="s">
        <v>1795</v>
      </c>
      <c r="E403" s="4" t="s">
        <v>3104</v>
      </c>
      <c r="F403" s="4" t="s">
        <v>3105</v>
      </c>
      <c r="G403" s="4" t="s">
        <v>584</v>
      </c>
      <c r="H403" s="6">
        <v>46081</v>
      </c>
      <c r="I403" s="6">
        <v>46006.711840277778</v>
      </c>
      <c r="J403" s="4" t="s">
        <v>3106</v>
      </c>
      <c r="K403" s="4" t="s">
        <v>1892</v>
      </c>
      <c r="L403">
        <v>6</v>
      </c>
      <c r="M403" s="6">
        <v>46104</v>
      </c>
      <c r="N403" s="4" t="s">
        <v>1893</v>
      </c>
      <c r="O403">
        <v>0</v>
      </c>
      <c r="P403" s="4" t="s">
        <v>24</v>
      </c>
      <c r="Q403" s="4" t="s">
        <v>1893</v>
      </c>
      <c r="R403" s="6">
        <v>46118</v>
      </c>
      <c r="S403" s="4" t="s">
        <v>190</v>
      </c>
      <c r="T403" s="4" t="s">
        <v>190</v>
      </c>
      <c r="U403">
        <v>0</v>
      </c>
      <c r="V403" s="4" t="s">
        <v>1956</v>
      </c>
      <c r="W403" s="4" t="s">
        <v>190</v>
      </c>
      <c r="X403" s="6">
        <v>46132</v>
      </c>
      <c r="Y403" s="4" t="s">
        <v>190</v>
      </c>
      <c r="Z403" s="4" t="s">
        <v>190</v>
      </c>
      <c r="AA403">
        <v>0</v>
      </c>
      <c r="AB403" s="4" t="s">
        <v>1895</v>
      </c>
      <c r="AC403" s="4" t="s">
        <v>190</v>
      </c>
      <c r="AD403" s="4" t="s">
        <v>190</v>
      </c>
      <c r="AE403" s="4" t="s">
        <v>190</v>
      </c>
      <c r="AF403" s="4" t="s">
        <v>190</v>
      </c>
    </row>
    <row r="404" spans="1:32" ht="16.5" customHeight="1">
      <c r="A404" s="3" t="s">
        <v>580</v>
      </c>
      <c r="B404" s="3" t="s">
        <v>2449</v>
      </c>
      <c r="C404" s="3" t="s">
        <v>2450</v>
      </c>
      <c r="D404" s="3" t="s">
        <v>25</v>
      </c>
      <c r="E404" s="3" t="s">
        <v>3107</v>
      </c>
      <c r="F404" s="3" t="s">
        <v>3108</v>
      </c>
      <c r="G404" s="3" t="s">
        <v>584</v>
      </c>
      <c r="H404" s="5">
        <v>46059</v>
      </c>
      <c r="I404" s="5">
        <v>46063.382962962962</v>
      </c>
      <c r="J404" s="3" t="s">
        <v>3109</v>
      </c>
      <c r="K404" s="3" t="s">
        <v>1892</v>
      </c>
      <c r="L404">
        <v>6</v>
      </c>
      <c r="M404" s="5">
        <v>46104</v>
      </c>
      <c r="N404" s="3" t="s">
        <v>1893</v>
      </c>
      <c r="O404">
        <v>0</v>
      </c>
      <c r="P404" s="3" t="s">
        <v>24</v>
      </c>
      <c r="Q404" s="3" t="s">
        <v>1893</v>
      </c>
      <c r="R404" s="5">
        <v>46118</v>
      </c>
      <c r="S404" s="3" t="s">
        <v>190</v>
      </c>
      <c r="T404" s="3" t="s">
        <v>190</v>
      </c>
      <c r="U404">
        <v>0</v>
      </c>
      <c r="V404" s="3" t="s">
        <v>1956</v>
      </c>
      <c r="W404" s="3" t="s">
        <v>190</v>
      </c>
      <c r="X404" s="5">
        <v>46132</v>
      </c>
      <c r="Y404" s="3" t="s">
        <v>190</v>
      </c>
      <c r="Z404" s="3" t="s">
        <v>190</v>
      </c>
      <c r="AA404">
        <v>0</v>
      </c>
      <c r="AB404" s="3" t="s">
        <v>1895</v>
      </c>
      <c r="AC404" s="3" t="s">
        <v>190</v>
      </c>
      <c r="AD404" s="3" t="s">
        <v>190</v>
      </c>
      <c r="AE404" s="3" t="s">
        <v>190</v>
      </c>
      <c r="AF404" s="3" t="s">
        <v>190</v>
      </c>
    </row>
    <row r="405" spans="1:32" ht="16.5" customHeight="1">
      <c r="A405" s="4" t="s">
        <v>275</v>
      </c>
      <c r="B405" s="4" t="s">
        <v>2225</v>
      </c>
      <c r="C405" s="4" t="s">
        <v>2603</v>
      </c>
      <c r="D405" s="4" t="s">
        <v>25</v>
      </c>
      <c r="E405" s="4" t="s">
        <v>3110</v>
      </c>
      <c r="F405" s="4" t="s">
        <v>3111</v>
      </c>
      <c r="G405" s="4" t="s">
        <v>512</v>
      </c>
      <c r="H405" s="6">
        <v>46059</v>
      </c>
      <c r="I405" s="6">
        <v>46084.386307870373</v>
      </c>
      <c r="J405" s="4" t="s">
        <v>695</v>
      </c>
      <c r="K405" s="4" t="s">
        <v>1892</v>
      </c>
      <c r="L405">
        <v>6</v>
      </c>
      <c r="M405" s="6">
        <v>46108</v>
      </c>
      <c r="N405" s="4" t="s">
        <v>1900</v>
      </c>
      <c r="O405">
        <v>0</v>
      </c>
      <c r="P405" s="4" t="s">
        <v>24</v>
      </c>
      <c r="Q405" s="4" t="s">
        <v>1900</v>
      </c>
      <c r="R405" s="6">
        <v>46118</v>
      </c>
      <c r="S405" s="4" t="s">
        <v>190</v>
      </c>
      <c r="T405" s="4" t="s">
        <v>190</v>
      </c>
      <c r="U405">
        <v>0</v>
      </c>
      <c r="V405" s="4" t="s">
        <v>1983</v>
      </c>
      <c r="W405" s="4" t="s">
        <v>190</v>
      </c>
      <c r="X405" s="6">
        <v>46132</v>
      </c>
      <c r="Y405" s="4" t="s">
        <v>190</v>
      </c>
      <c r="Z405" s="4" t="s">
        <v>190</v>
      </c>
      <c r="AA405">
        <v>0</v>
      </c>
      <c r="AB405" s="4" t="s">
        <v>1984</v>
      </c>
      <c r="AC405" s="4" t="s">
        <v>190</v>
      </c>
      <c r="AD405" s="4" t="s">
        <v>190</v>
      </c>
      <c r="AE405" s="4" t="s">
        <v>190</v>
      </c>
      <c r="AF405" s="4" t="s">
        <v>190</v>
      </c>
    </row>
    <row r="406" spans="1:32" ht="16.5" customHeight="1">
      <c r="A406" s="3" t="s">
        <v>275</v>
      </c>
      <c r="B406" s="3" t="s">
        <v>2225</v>
      </c>
      <c r="C406" s="3" t="s">
        <v>2603</v>
      </c>
      <c r="D406" s="3" t="s">
        <v>25</v>
      </c>
      <c r="E406" s="3" t="s">
        <v>3112</v>
      </c>
      <c r="F406" s="3" t="s">
        <v>3113</v>
      </c>
      <c r="G406" s="3" t="s">
        <v>512</v>
      </c>
      <c r="H406" s="5">
        <v>46081</v>
      </c>
      <c r="I406" s="5">
        <v>46087.600381944445</v>
      </c>
      <c r="J406" s="3" t="s">
        <v>1856</v>
      </c>
      <c r="K406" s="3" t="s">
        <v>1892</v>
      </c>
      <c r="L406">
        <v>6</v>
      </c>
      <c r="M406" s="5">
        <v>46107</v>
      </c>
      <c r="N406" s="3" t="s">
        <v>1900</v>
      </c>
      <c r="O406">
        <v>0</v>
      </c>
      <c r="P406" s="3" t="s">
        <v>24</v>
      </c>
      <c r="Q406" s="3" t="s">
        <v>1900</v>
      </c>
      <c r="R406" s="5">
        <v>46118</v>
      </c>
      <c r="S406" s="3" t="s">
        <v>190</v>
      </c>
      <c r="T406" s="3" t="s">
        <v>190</v>
      </c>
      <c r="U406">
        <v>0</v>
      </c>
      <c r="V406" s="3" t="s">
        <v>1983</v>
      </c>
      <c r="W406" s="3" t="s">
        <v>190</v>
      </c>
      <c r="X406" s="5">
        <v>46132</v>
      </c>
      <c r="Y406" s="3" t="s">
        <v>190</v>
      </c>
      <c r="Z406" s="3" t="s">
        <v>190</v>
      </c>
      <c r="AA406">
        <v>0</v>
      </c>
      <c r="AB406" s="3" t="s">
        <v>1984</v>
      </c>
      <c r="AC406" s="3" t="s">
        <v>190</v>
      </c>
      <c r="AD406" s="3" t="s">
        <v>190</v>
      </c>
      <c r="AE406" s="3" t="s">
        <v>190</v>
      </c>
      <c r="AF406" s="3" t="s">
        <v>190</v>
      </c>
    </row>
    <row r="407" spans="1:32" ht="16.5" customHeight="1">
      <c r="A407" s="4" t="s">
        <v>275</v>
      </c>
      <c r="B407" s="4" t="s">
        <v>56</v>
      </c>
      <c r="C407" s="4" t="s">
        <v>56</v>
      </c>
      <c r="D407" s="4" t="s">
        <v>1795</v>
      </c>
      <c r="E407" s="4" t="s">
        <v>3114</v>
      </c>
      <c r="F407" s="4" t="s">
        <v>3115</v>
      </c>
      <c r="G407" s="4" t="s">
        <v>512</v>
      </c>
      <c r="H407" s="6">
        <v>46035</v>
      </c>
      <c r="I407" s="6">
        <v>46036.4528587963</v>
      </c>
      <c r="J407" s="4" t="s">
        <v>3116</v>
      </c>
      <c r="K407" s="4" t="s">
        <v>1892</v>
      </c>
      <c r="L407">
        <v>6</v>
      </c>
      <c r="M407" s="6"/>
      <c r="N407" s="4" t="s">
        <v>190</v>
      </c>
      <c r="O407">
        <v>0</v>
      </c>
      <c r="P407" s="4" t="s">
        <v>24</v>
      </c>
      <c r="Q407" s="4" t="s">
        <v>190</v>
      </c>
      <c r="R407" s="6">
        <v>46118</v>
      </c>
      <c r="S407" s="4" t="s">
        <v>190</v>
      </c>
      <c r="T407" s="4" t="s">
        <v>190</v>
      </c>
      <c r="U407">
        <v>1</v>
      </c>
      <c r="V407" s="4" t="s">
        <v>1983</v>
      </c>
      <c r="W407" s="4" t="s">
        <v>190</v>
      </c>
      <c r="X407" s="6">
        <v>46132</v>
      </c>
      <c r="Y407" s="4" t="s">
        <v>190</v>
      </c>
      <c r="Z407" s="4" t="s">
        <v>190</v>
      </c>
      <c r="AA407">
        <v>0</v>
      </c>
      <c r="AB407" s="4" t="s">
        <v>1984</v>
      </c>
      <c r="AC407" s="4" t="s">
        <v>190</v>
      </c>
      <c r="AD407" s="4" t="s">
        <v>190</v>
      </c>
      <c r="AE407" s="4" t="s">
        <v>190</v>
      </c>
      <c r="AF407" s="4" t="s">
        <v>190</v>
      </c>
    </row>
    <row r="408" spans="1:32" ht="16.5" customHeight="1">
      <c r="A408" s="3" t="s">
        <v>275</v>
      </c>
      <c r="B408" s="3" t="s">
        <v>56</v>
      </c>
      <c r="C408" s="3" t="s">
        <v>56</v>
      </c>
      <c r="D408" s="3" t="s">
        <v>116</v>
      </c>
      <c r="E408" s="3" t="s">
        <v>3117</v>
      </c>
      <c r="F408" s="3" t="s">
        <v>3118</v>
      </c>
      <c r="G408" s="3" t="s">
        <v>279</v>
      </c>
      <c r="H408" s="5">
        <v>46052</v>
      </c>
      <c r="I408" s="5">
        <v>46006.723009259258</v>
      </c>
      <c r="J408" s="3" t="s">
        <v>3119</v>
      </c>
      <c r="K408" s="3" t="s">
        <v>1892</v>
      </c>
      <c r="L408">
        <v>6</v>
      </c>
      <c r="M408" s="5">
        <v>46107</v>
      </c>
      <c r="N408" s="3" t="s">
        <v>1893</v>
      </c>
      <c r="O408">
        <v>0</v>
      </c>
      <c r="P408" s="3" t="s">
        <v>24</v>
      </c>
      <c r="Q408" s="3" t="s">
        <v>1893</v>
      </c>
      <c r="R408" s="5">
        <v>46118</v>
      </c>
      <c r="S408" s="3" t="s">
        <v>190</v>
      </c>
      <c r="T408" s="3" t="s">
        <v>190</v>
      </c>
      <c r="U408">
        <v>0</v>
      </c>
      <c r="V408" s="3" t="s">
        <v>1983</v>
      </c>
      <c r="W408" s="3" t="s">
        <v>190</v>
      </c>
      <c r="X408" s="5">
        <v>46132</v>
      </c>
      <c r="Y408" s="3" t="s">
        <v>190</v>
      </c>
      <c r="Z408" s="3" t="s">
        <v>190</v>
      </c>
      <c r="AA408">
        <v>0</v>
      </c>
      <c r="AB408" s="3" t="s">
        <v>1984</v>
      </c>
      <c r="AC408" s="3" t="s">
        <v>190</v>
      </c>
      <c r="AD408" s="3" t="s">
        <v>190</v>
      </c>
      <c r="AE408" s="3" t="s">
        <v>190</v>
      </c>
      <c r="AF408" s="3" t="s">
        <v>190</v>
      </c>
    </row>
    <row r="409" spans="1:32" ht="16.5" customHeight="1">
      <c r="A409" s="4" t="s">
        <v>184</v>
      </c>
      <c r="B409" s="4" t="s">
        <v>1989</v>
      </c>
      <c r="C409" s="4" t="s">
        <v>2241</v>
      </c>
      <c r="D409" s="4" t="s">
        <v>25</v>
      </c>
      <c r="E409" s="4" t="s">
        <v>3120</v>
      </c>
      <c r="F409" s="4" t="s">
        <v>3121</v>
      </c>
      <c r="G409" s="4" t="s">
        <v>496</v>
      </c>
      <c r="H409" s="6">
        <v>46031</v>
      </c>
      <c r="I409" s="6">
        <v>46107.721284722225</v>
      </c>
      <c r="J409" s="4" t="s">
        <v>3122</v>
      </c>
      <c r="K409" s="4" t="s">
        <v>1892</v>
      </c>
      <c r="L409">
        <v>6</v>
      </c>
      <c r="M409" s="6">
        <v>46107</v>
      </c>
      <c r="N409" s="4" t="s">
        <v>1893</v>
      </c>
      <c r="O409">
        <v>0</v>
      </c>
      <c r="P409" s="4" t="s">
        <v>24</v>
      </c>
      <c r="Q409" s="4" t="s">
        <v>1893</v>
      </c>
      <c r="R409" s="6">
        <v>46118</v>
      </c>
      <c r="S409" s="4" t="s">
        <v>190</v>
      </c>
      <c r="T409" s="4" t="s">
        <v>190</v>
      </c>
      <c r="U409">
        <v>0</v>
      </c>
      <c r="V409" s="4" t="s">
        <v>1901</v>
      </c>
      <c r="W409" s="4" t="s">
        <v>190</v>
      </c>
      <c r="X409" s="6">
        <v>46132</v>
      </c>
      <c r="Y409" s="4" t="s">
        <v>190</v>
      </c>
      <c r="Z409" s="4" t="s">
        <v>190</v>
      </c>
      <c r="AA409">
        <v>0</v>
      </c>
      <c r="AB409" s="4" t="s">
        <v>1895</v>
      </c>
      <c r="AC409" s="4" t="s">
        <v>190</v>
      </c>
      <c r="AD409" s="4" t="s">
        <v>190</v>
      </c>
      <c r="AE409" s="4" t="s">
        <v>190</v>
      </c>
      <c r="AF409" s="4" t="s">
        <v>190</v>
      </c>
    </row>
    <row r="410" spans="1:32" ht="16.5" customHeight="1">
      <c r="A410" s="3" t="s">
        <v>184</v>
      </c>
      <c r="B410" s="3" t="s">
        <v>1989</v>
      </c>
      <c r="C410" s="3" t="s">
        <v>2244</v>
      </c>
      <c r="D410" s="3" t="s">
        <v>25</v>
      </c>
      <c r="E410" s="3" t="s">
        <v>3123</v>
      </c>
      <c r="F410" s="3" t="s">
        <v>3124</v>
      </c>
      <c r="G410" s="3" t="s">
        <v>496</v>
      </c>
      <c r="H410" s="5">
        <v>46059</v>
      </c>
      <c r="I410" s="5">
        <v>46000</v>
      </c>
      <c r="J410" s="3" t="s">
        <v>3125</v>
      </c>
      <c r="K410" s="3" t="s">
        <v>1892</v>
      </c>
      <c r="L410">
        <v>6</v>
      </c>
      <c r="M410" s="5">
        <v>46107</v>
      </c>
      <c r="N410" s="3" t="s">
        <v>1893</v>
      </c>
      <c r="O410">
        <v>0</v>
      </c>
      <c r="P410" s="3" t="s">
        <v>24</v>
      </c>
      <c r="Q410" s="3" t="s">
        <v>1893</v>
      </c>
      <c r="R410" s="5">
        <v>46118</v>
      </c>
      <c r="S410" s="3" t="s">
        <v>190</v>
      </c>
      <c r="T410" s="3" t="s">
        <v>190</v>
      </c>
      <c r="U410">
        <v>0</v>
      </c>
      <c r="V410" s="3" t="s">
        <v>1901</v>
      </c>
      <c r="W410" s="3" t="s">
        <v>190</v>
      </c>
      <c r="X410" s="5">
        <v>46132</v>
      </c>
      <c r="Y410" s="3" t="s">
        <v>190</v>
      </c>
      <c r="Z410" s="3" t="s">
        <v>190</v>
      </c>
      <c r="AA410">
        <v>0</v>
      </c>
      <c r="AB410" s="3" t="s">
        <v>1895</v>
      </c>
      <c r="AC410" s="3" t="s">
        <v>190</v>
      </c>
      <c r="AD410" s="3" t="s">
        <v>190</v>
      </c>
      <c r="AE410" s="3" t="s">
        <v>190</v>
      </c>
      <c r="AF410" s="3" t="s">
        <v>190</v>
      </c>
    </row>
    <row r="411" spans="1:32" ht="16.5" customHeight="1">
      <c r="A411" s="4" t="s">
        <v>46</v>
      </c>
      <c r="B411" s="4" t="s">
        <v>2008</v>
      </c>
      <c r="C411" s="4" t="s">
        <v>2256</v>
      </c>
      <c r="D411" s="4" t="s">
        <v>25</v>
      </c>
      <c r="E411" s="4" t="s">
        <v>3126</v>
      </c>
      <c r="F411" s="4" t="s">
        <v>3127</v>
      </c>
      <c r="G411" s="4" t="s">
        <v>49</v>
      </c>
      <c r="H411" s="6">
        <v>46045</v>
      </c>
      <c r="I411" s="6">
        <v>46043.608703703707</v>
      </c>
      <c r="J411" s="4" t="s">
        <v>175</v>
      </c>
      <c r="K411" s="4" t="s">
        <v>1892</v>
      </c>
      <c r="L411">
        <v>6</v>
      </c>
      <c r="M411" s="6">
        <v>46105</v>
      </c>
      <c r="N411" s="4" t="s">
        <v>1900</v>
      </c>
      <c r="O411">
        <v>0</v>
      </c>
      <c r="P411" s="4" t="s">
        <v>24</v>
      </c>
      <c r="Q411" s="4" t="s">
        <v>1900</v>
      </c>
      <c r="R411" s="6">
        <v>46118</v>
      </c>
      <c r="S411" s="4" t="s">
        <v>190</v>
      </c>
      <c r="T411" s="4" t="s">
        <v>190</v>
      </c>
      <c r="U411">
        <v>0</v>
      </c>
      <c r="V411" s="4" t="s">
        <v>2013</v>
      </c>
      <c r="W411" s="4" t="s">
        <v>190</v>
      </c>
      <c r="X411" s="6">
        <v>46132</v>
      </c>
      <c r="Y411" s="4" t="s">
        <v>190</v>
      </c>
      <c r="Z411" s="4" t="s">
        <v>190</v>
      </c>
      <c r="AA411">
        <v>0</v>
      </c>
      <c r="AB411" s="4" t="s">
        <v>1895</v>
      </c>
      <c r="AC411" s="4" t="s">
        <v>190</v>
      </c>
      <c r="AD411" s="4" t="s">
        <v>190</v>
      </c>
      <c r="AE411" s="4" t="s">
        <v>190</v>
      </c>
      <c r="AF411" s="4" t="s">
        <v>190</v>
      </c>
    </row>
    <row r="412" spans="1:32" ht="16.5" customHeight="1">
      <c r="A412" s="3" t="s">
        <v>19</v>
      </c>
      <c r="B412" s="3" t="s">
        <v>2017</v>
      </c>
      <c r="C412" s="3" t="s">
        <v>2018</v>
      </c>
      <c r="D412" s="3" t="s">
        <v>25</v>
      </c>
      <c r="E412" s="3" t="s">
        <v>3128</v>
      </c>
      <c r="F412" s="3" t="s">
        <v>3129</v>
      </c>
      <c r="G412" s="3" t="s">
        <v>50</v>
      </c>
      <c r="H412" s="5">
        <v>46059</v>
      </c>
      <c r="I412" s="5">
        <v>46059</v>
      </c>
      <c r="J412" s="3" t="s">
        <v>3130</v>
      </c>
      <c r="K412" s="3" t="s">
        <v>1892</v>
      </c>
      <c r="L412">
        <v>6</v>
      </c>
      <c r="M412" s="5"/>
      <c r="N412" s="3" t="s">
        <v>190</v>
      </c>
      <c r="O412">
        <v>0</v>
      </c>
      <c r="P412" s="3" t="s">
        <v>24</v>
      </c>
      <c r="Q412" s="3" t="s">
        <v>190</v>
      </c>
      <c r="R412" s="5">
        <v>46118</v>
      </c>
      <c r="S412" s="3" t="s">
        <v>190</v>
      </c>
      <c r="T412" s="3" t="s">
        <v>190</v>
      </c>
      <c r="U412">
        <v>0</v>
      </c>
      <c r="V412" s="3" t="s">
        <v>1901</v>
      </c>
      <c r="W412" s="3" t="s">
        <v>190</v>
      </c>
      <c r="X412" s="5">
        <v>46132</v>
      </c>
      <c r="Y412" s="3" t="s">
        <v>190</v>
      </c>
      <c r="Z412" s="3" t="s">
        <v>190</v>
      </c>
      <c r="AA412">
        <v>0</v>
      </c>
      <c r="AB412" s="3" t="s">
        <v>1895</v>
      </c>
      <c r="AC412" s="3" t="s">
        <v>190</v>
      </c>
      <c r="AD412" s="3" t="s">
        <v>190</v>
      </c>
      <c r="AE412" s="3" t="s">
        <v>190</v>
      </c>
      <c r="AF412" s="3" t="s">
        <v>190</v>
      </c>
    </row>
    <row r="413" spans="1:32" ht="16.5" customHeight="1">
      <c r="A413" s="4" t="s">
        <v>19</v>
      </c>
      <c r="B413" s="4" t="s">
        <v>2017</v>
      </c>
      <c r="C413" s="4" t="s">
        <v>2018</v>
      </c>
      <c r="D413" s="4" t="s">
        <v>25</v>
      </c>
      <c r="E413" s="4" t="s">
        <v>3131</v>
      </c>
      <c r="F413" s="4" t="s">
        <v>3132</v>
      </c>
      <c r="G413" s="4" t="s">
        <v>50</v>
      </c>
      <c r="H413" s="6">
        <v>46059</v>
      </c>
      <c r="I413" s="6">
        <v>46059</v>
      </c>
      <c r="J413" s="4" t="s">
        <v>3133</v>
      </c>
      <c r="K413" s="4" t="s">
        <v>1892</v>
      </c>
      <c r="L413">
        <v>6</v>
      </c>
      <c r="M413" s="6"/>
      <c r="N413" s="4" t="s">
        <v>190</v>
      </c>
      <c r="O413">
        <v>0</v>
      </c>
      <c r="P413" s="4" t="s">
        <v>24</v>
      </c>
      <c r="Q413" s="4" t="s">
        <v>190</v>
      </c>
      <c r="R413" s="6">
        <v>46118</v>
      </c>
      <c r="S413" s="4" t="s">
        <v>190</v>
      </c>
      <c r="T413" s="4" t="s">
        <v>190</v>
      </c>
      <c r="U413">
        <v>0</v>
      </c>
      <c r="V413" s="4" t="s">
        <v>1901</v>
      </c>
      <c r="W413" s="4" t="s">
        <v>190</v>
      </c>
      <c r="X413" s="6">
        <v>46132</v>
      </c>
      <c r="Y413" s="4" t="s">
        <v>190</v>
      </c>
      <c r="Z413" s="4" t="s">
        <v>190</v>
      </c>
      <c r="AA413">
        <v>0</v>
      </c>
      <c r="AB413" s="4" t="s">
        <v>1895</v>
      </c>
      <c r="AC413" s="4" t="s">
        <v>190</v>
      </c>
      <c r="AD413" s="4" t="s">
        <v>190</v>
      </c>
      <c r="AE413" s="4" t="s">
        <v>190</v>
      </c>
      <c r="AF413" s="4" t="s">
        <v>190</v>
      </c>
    </row>
    <row r="414" spans="1:32" ht="16.5" customHeight="1">
      <c r="A414" s="3" t="s">
        <v>19</v>
      </c>
      <c r="B414" s="3" t="s">
        <v>2017</v>
      </c>
      <c r="C414" s="3" t="s">
        <v>2029</v>
      </c>
      <c r="D414" s="3" t="s">
        <v>25</v>
      </c>
      <c r="E414" s="3" t="s">
        <v>3134</v>
      </c>
      <c r="F414" s="3" t="s">
        <v>3135</v>
      </c>
      <c r="G414" s="3" t="s">
        <v>23</v>
      </c>
      <c r="H414" s="5">
        <v>46066</v>
      </c>
      <c r="I414" s="5">
        <v>46059</v>
      </c>
      <c r="J414" s="3" t="s">
        <v>3136</v>
      </c>
      <c r="K414" s="3" t="s">
        <v>1892</v>
      </c>
      <c r="L414">
        <v>6</v>
      </c>
      <c r="M414" s="5"/>
      <c r="N414" s="3" t="s">
        <v>190</v>
      </c>
      <c r="O414">
        <v>0</v>
      </c>
      <c r="P414" s="3" t="s">
        <v>24</v>
      </c>
      <c r="Q414" s="3" t="s">
        <v>190</v>
      </c>
      <c r="R414" s="5">
        <v>46118</v>
      </c>
      <c r="S414" s="3" t="s">
        <v>190</v>
      </c>
      <c r="T414" s="3" t="s">
        <v>190</v>
      </c>
      <c r="U414">
        <v>0</v>
      </c>
      <c r="V414" s="3" t="s">
        <v>1901</v>
      </c>
      <c r="W414" s="3" t="s">
        <v>190</v>
      </c>
      <c r="X414" s="5">
        <v>46132</v>
      </c>
      <c r="Y414" s="3" t="s">
        <v>190</v>
      </c>
      <c r="Z414" s="3" t="s">
        <v>190</v>
      </c>
      <c r="AA414">
        <v>0</v>
      </c>
      <c r="AB414" s="3" t="s">
        <v>1895</v>
      </c>
      <c r="AC414" s="3" t="s">
        <v>190</v>
      </c>
      <c r="AD414" s="3" t="s">
        <v>190</v>
      </c>
      <c r="AE414" s="3" t="s">
        <v>190</v>
      </c>
      <c r="AF414" s="3" t="s">
        <v>190</v>
      </c>
    </row>
    <row r="415" spans="1:32" ht="16.5" customHeight="1">
      <c r="A415" s="4" t="s">
        <v>19</v>
      </c>
      <c r="B415" s="4" t="s">
        <v>2017</v>
      </c>
      <c r="C415" s="4" t="s">
        <v>2029</v>
      </c>
      <c r="D415" s="4" t="s">
        <v>25</v>
      </c>
      <c r="E415" s="4" t="s">
        <v>3137</v>
      </c>
      <c r="F415" s="4" t="s">
        <v>3138</v>
      </c>
      <c r="G415" s="4" t="s">
        <v>50</v>
      </c>
      <c r="H415" s="6">
        <v>46066</v>
      </c>
      <c r="I415" s="6">
        <v>46059</v>
      </c>
      <c r="J415" s="4" t="s">
        <v>3139</v>
      </c>
      <c r="K415" s="4" t="s">
        <v>1892</v>
      </c>
      <c r="L415">
        <v>6</v>
      </c>
      <c r="M415" s="6"/>
      <c r="N415" s="4" t="s">
        <v>190</v>
      </c>
      <c r="O415">
        <v>0</v>
      </c>
      <c r="P415" s="4" t="s">
        <v>24</v>
      </c>
      <c r="Q415" s="4" t="s">
        <v>190</v>
      </c>
      <c r="R415" s="6">
        <v>46118</v>
      </c>
      <c r="S415" s="4" t="s">
        <v>190</v>
      </c>
      <c r="T415" s="4" t="s">
        <v>190</v>
      </c>
      <c r="U415">
        <v>0</v>
      </c>
      <c r="V415" s="4" t="s">
        <v>1901</v>
      </c>
      <c r="W415" s="4" t="s">
        <v>190</v>
      </c>
      <c r="X415" s="6">
        <v>46132</v>
      </c>
      <c r="Y415" s="4" t="s">
        <v>190</v>
      </c>
      <c r="Z415" s="4" t="s">
        <v>190</v>
      </c>
      <c r="AA415">
        <v>0</v>
      </c>
      <c r="AB415" s="4" t="s">
        <v>1895</v>
      </c>
      <c r="AC415" s="4" t="s">
        <v>190</v>
      </c>
      <c r="AD415" s="4" t="s">
        <v>190</v>
      </c>
      <c r="AE415" s="4" t="s">
        <v>190</v>
      </c>
      <c r="AF415" s="4" t="s">
        <v>190</v>
      </c>
    </row>
    <row r="416" spans="1:32" ht="16.5" customHeight="1">
      <c r="A416" s="3" t="s">
        <v>19</v>
      </c>
      <c r="B416" s="3" t="s">
        <v>2017</v>
      </c>
      <c r="C416" s="3" t="s">
        <v>2029</v>
      </c>
      <c r="D416" s="3" t="s">
        <v>25</v>
      </c>
      <c r="E416" s="3" t="s">
        <v>3140</v>
      </c>
      <c r="F416" s="3" t="s">
        <v>3141</v>
      </c>
      <c r="G416" s="3" t="s">
        <v>50</v>
      </c>
      <c r="H416" s="5">
        <v>46066</v>
      </c>
      <c r="I416" s="5">
        <v>46059</v>
      </c>
      <c r="J416" s="3" t="s">
        <v>3142</v>
      </c>
      <c r="K416" s="3" t="s">
        <v>1892</v>
      </c>
      <c r="L416">
        <v>6</v>
      </c>
      <c r="M416" s="5"/>
      <c r="N416" s="3" t="s">
        <v>190</v>
      </c>
      <c r="O416">
        <v>0</v>
      </c>
      <c r="P416" s="3" t="s">
        <v>24</v>
      </c>
      <c r="Q416" s="3" t="s">
        <v>190</v>
      </c>
      <c r="R416" s="5">
        <v>46118</v>
      </c>
      <c r="S416" s="3" t="s">
        <v>190</v>
      </c>
      <c r="T416" s="3" t="s">
        <v>190</v>
      </c>
      <c r="U416">
        <v>0</v>
      </c>
      <c r="V416" s="3" t="s">
        <v>1901</v>
      </c>
      <c r="W416" s="3" t="s">
        <v>190</v>
      </c>
      <c r="X416" s="5">
        <v>46132</v>
      </c>
      <c r="Y416" s="3" t="s">
        <v>190</v>
      </c>
      <c r="Z416" s="3" t="s">
        <v>190</v>
      </c>
      <c r="AA416">
        <v>0</v>
      </c>
      <c r="AB416" s="3" t="s">
        <v>1895</v>
      </c>
      <c r="AC416" s="3" t="s">
        <v>190</v>
      </c>
      <c r="AD416" s="3" t="s">
        <v>190</v>
      </c>
      <c r="AE416" s="3" t="s">
        <v>190</v>
      </c>
      <c r="AF416" s="3" t="s">
        <v>190</v>
      </c>
    </row>
    <row r="417" spans="1:32" ht="16.5" customHeight="1">
      <c r="A417" s="4" t="s">
        <v>19</v>
      </c>
      <c r="B417" s="4" t="s">
        <v>2017</v>
      </c>
      <c r="C417" s="4" t="s">
        <v>2029</v>
      </c>
      <c r="D417" s="4" t="s">
        <v>25</v>
      </c>
      <c r="E417" s="4" t="s">
        <v>3143</v>
      </c>
      <c r="F417" s="4" t="s">
        <v>3144</v>
      </c>
      <c r="G417" s="4" t="s">
        <v>50</v>
      </c>
      <c r="H417" s="6">
        <v>46077</v>
      </c>
      <c r="I417" s="6"/>
      <c r="J417" s="4" t="s">
        <v>3145</v>
      </c>
      <c r="K417" s="4" t="s">
        <v>1892</v>
      </c>
      <c r="L417">
        <v>6</v>
      </c>
      <c r="M417" s="6"/>
      <c r="N417" s="4" t="s">
        <v>190</v>
      </c>
      <c r="O417">
        <v>0</v>
      </c>
      <c r="P417" s="4" t="s">
        <v>24</v>
      </c>
      <c r="Q417" s="4" t="s">
        <v>190</v>
      </c>
      <c r="R417" s="6">
        <v>46118</v>
      </c>
      <c r="S417" s="4" t="s">
        <v>190</v>
      </c>
      <c r="T417" s="4" t="s">
        <v>190</v>
      </c>
      <c r="U417">
        <v>0</v>
      </c>
      <c r="V417" s="4" t="s">
        <v>1901</v>
      </c>
      <c r="W417" s="4" t="s">
        <v>190</v>
      </c>
      <c r="X417" s="6">
        <v>46132</v>
      </c>
      <c r="Y417" s="4" t="s">
        <v>190</v>
      </c>
      <c r="Z417" s="4" t="s">
        <v>190</v>
      </c>
      <c r="AA417">
        <v>0</v>
      </c>
      <c r="AB417" s="4" t="s">
        <v>1895</v>
      </c>
      <c r="AC417" s="4" t="s">
        <v>190</v>
      </c>
      <c r="AD417" s="4" t="s">
        <v>190</v>
      </c>
      <c r="AE417" s="4" t="s">
        <v>190</v>
      </c>
      <c r="AF417" s="4" t="s">
        <v>190</v>
      </c>
    </row>
    <row r="418" spans="1:32" ht="16.5" customHeight="1">
      <c r="A418" s="3" t="s">
        <v>19</v>
      </c>
      <c r="B418" s="3" t="s">
        <v>2017</v>
      </c>
      <c r="C418" s="3" t="s">
        <v>2029</v>
      </c>
      <c r="D418" s="3" t="s">
        <v>25</v>
      </c>
      <c r="E418" s="3" t="s">
        <v>3146</v>
      </c>
      <c r="F418" s="3" t="s">
        <v>3147</v>
      </c>
      <c r="G418" s="3" t="s">
        <v>23</v>
      </c>
      <c r="H418" s="5">
        <v>46077</v>
      </c>
      <c r="I418" s="5">
        <v>46080.573321759257</v>
      </c>
      <c r="J418" s="3" t="s">
        <v>3148</v>
      </c>
      <c r="K418" s="3" t="s">
        <v>1892</v>
      </c>
      <c r="L418">
        <v>6</v>
      </c>
      <c r="M418" s="5"/>
      <c r="N418" s="3" t="s">
        <v>190</v>
      </c>
      <c r="O418">
        <v>0</v>
      </c>
      <c r="P418" s="3" t="s">
        <v>24</v>
      </c>
      <c r="Q418" s="3" t="s">
        <v>190</v>
      </c>
      <c r="R418" s="5">
        <v>46118</v>
      </c>
      <c r="S418" s="3" t="s">
        <v>190</v>
      </c>
      <c r="T418" s="3" t="s">
        <v>190</v>
      </c>
      <c r="U418">
        <v>0</v>
      </c>
      <c r="V418" s="3" t="s">
        <v>1901</v>
      </c>
      <c r="W418" s="3" t="s">
        <v>190</v>
      </c>
      <c r="X418" s="5">
        <v>46132</v>
      </c>
      <c r="Y418" s="3" t="s">
        <v>190</v>
      </c>
      <c r="Z418" s="3" t="s">
        <v>190</v>
      </c>
      <c r="AA418">
        <v>0</v>
      </c>
      <c r="AB418" s="3" t="s">
        <v>1895</v>
      </c>
      <c r="AC418" s="3" t="s">
        <v>190</v>
      </c>
      <c r="AD418" s="3" t="s">
        <v>190</v>
      </c>
      <c r="AE418" s="3" t="s">
        <v>190</v>
      </c>
      <c r="AF418" s="3" t="s">
        <v>190</v>
      </c>
    </row>
    <row r="419" spans="1:32" ht="16.5" customHeight="1">
      <c r="A419" s="4" t="s">
        <v>19</v>
      </c>
      <c r="B419" s="4" t="s">
        <v>2045</v>
      </c>
      <c r="C419" s="4" t="s">
        <v>2046</v>
      </c>
      <c r="D419" s="4" t="s">
        <v>25</v>
      </c>
      <c r="E419" s="4" t="s">
        <v>3149</v>
      </c>
      <c r="F419" s="4" t="s">
        <v>3150</v>
      </c>
      <c r="G419" s="4" t="s">
        <v>23</v>
      </c>
      <c r="H419" s="6">
        <v>46031</v>
      </c>
      <c r="I419" s="6">
        <v>46059</v>
      </c>
      <c r="J419" s="4" t="s">
        <v>83</v>
      </c>
      <c r="K419" s="4" t="s">
        <v>1892</v>
      </c>
      <c r="L419">
        <v>6</v>
      </c>
      <c r="M419" s="6">
        <v>46106</v>
      </c>
      <c r="N419" s="4" t="s">
        <v>1900</v>
      </c>
      <c r="O419">
        <v>0</v>
      </c>
      <c r="P419" s="4" t="s">
        <v>24</v>
      </c>
      <c r="Q419" s="4" t="s">
        <v>1900</v>
      </c>
      <c r="R419" s="6">
        <v>46118</v>
      </c>
      <c r="S419" s="4" t="s">
        <v>190</v>
      </c>
      <c r="T419" s="4" t="s">
        <v>190</v>
      </c>
      <c r="U419">
        <v>0</v>
      </c>
      <c r="V419" s="4" t="s">
        <v>1901</v>
      </c>
      <c r="W419" s="4" t="s">
        <v>190</v>
      </c>
      <c r="X419" s="6">
        <v>46132</v>
      </c>
      <c r="Y419" s="4" t="s">
        <v>190</v>
      </c>
      <c r="Z419" s="4" t="s">
        <v>190</v>
      </c>
      <c r="AA419">
        <v>0</v>
      </c>
      <c r="AB419" s="4" t="s">
        <v>1895</v>
      </c>
      <c r="AC419" s="4" t="s">
        <v>190</v>
      </c>
      <c r="AD419" s="4" t="s">
        <v>190</v>
      </c>
      <c r="AE419" s="4" t="s">
        <v>190</v>
      </c>
      <c r="AF419" s="4" t="s">
        <v>190</v>
      </c>
    </row>
    <row r="420" spans="1:32" ht="16.5" customHeight="1">
      <c r="A420" s="3" t="s">
        <v>19</v>
      </c>
      <c r="B420" s="3" t="s">
        <v>2045</v>
      </c>
      <c r="C420" s="3" t="s">
        <v>2046</v>
      </c>
      <c r="D420" s="3" t="s">
        <v>25</v>
      </c>
      <c r="E420" s="3" t="s">
        <v>3151</v>
      </c>
      <c r="F420" s="3" t="s">
        <v>3152</v>
      </c>
      <c r="G420" s="3" t="s">
        <v>50</v>
      </c>
      <c r="H420" s="5">
        <v>46031</v>
      </c>
      <c r="I420" s="5">
        <v>46059</v>
      </c>
      <c r="J420" s="3" t="s">
        <v>3153</v>
      </c>
      <c r="K420" s="3" t="s">
        <v>1892</v>
      </c>
      <c r="L420">
        <v>6</v>
      </c>
      <c r="M420" s="5">
        <v>46106</v>
      </c>
      <c r="N420" s="3" t="s">
        <v>1893</v>
      </c>
      <c r="O420">
        <v>0</v>
      </c>
      <c r="P420" s="3" t="s">
        <v>24</v>
      </c>
      <c r="Q420" s="3" t="s">
        <v>1893</v>
      </c>
      <c r="R420" s="5">
        <v>46118</v>
      </c>
      <c r="S420" s="3" t="s">
        <v>190</v>
      </c>
      <c r="T420" s="3" t="s">
        <v>190</v>
      </c>
      <c r="U420">
        <v>0</v>
      </c>
      <c r="V420" s="3" t="s">
        <v>1901</v>
      </c>
      <c r="W420" s="3" t="s">
        <v>190</v>
      </c>
      <c r="X420" s="5">
        <v>46132</v>
      </c>
      <c r="Y420" s="3" t="s">
        <v>190</v>
      </c>
      <c r="Z420" s="3" t="s">
        <v>190</v>
      </c>
      <c r="AA420">
        <v>0</v>
      </c>
      <c r="AB420" s="3" t="s">
        <v>1895</v>
      </c>
      <c r="AC420" s="3" t="s">
        <v>190</v>
      </c>
      <c r="AD420" s="3" t="s">
        <v>190</v>
      </c>
      <c r="AE420" s="3" t="s">
        <v>190</v>
      </c>
      <c r="AF420" s="3" t="s">
        <v>190</v>
      </c>
    </row>
    <row r="421" spans="1:32" ht="16.5" customHeight="1">
      <c r="A421" s="4" t="s">
        <v>19</v>
      </c>
      <c r="B421" s="4" t="s">
        <v>2045</v>
      </c>
      <c r="C421" s="4" t="s">
        <v>2056</v>
      </c>
      <c r="D421" s="4" t="s">
        <v>25</v>
      </c>
      <c r="E421" s="4" t="s">
        <v>3154</v>
      </c>
      <c r="F421" s="4" t="s">
        <v>3155</v>
      </c>
      <c r="G421" s="4" t="s">
        <v>23</v>
      </c>
      <c r="H421" s="6">
        <v>46038</v>
      </c>
      <c r="I421" s="6">
        <v>46059</v>
      </c>
      <c r="J421" s="4" t="s">
        <v>3156</v>
      </c>
      <c r="K421" s="4" t="s">
        <v>1892</v>
      </c>
      <c r="L421">
        <v>6</v>
      </c>
      <c r="M421" s="6">
        <v>46106</v>
      </c>
      <c r="N421" s="4" t="s">
        <v>1893</v>
      </c>
      <c r="O421">
        <v>0</v>
      </c>
      <c r="P421" s="4" t="s">
        <v>24</v>
      </c>
      <c r="Q421" s="4" t="s">
        <v>1893</v>
      </c>
      <c r="R421" s="6">
        <v>46118</v>
      </c>
      <c r="S421" s="4" t="s">
        <v>190</v>
      </c>
      <c r="T421" s="4" t="s">
        <v>190</v>
      </c>
      <c r="U421">
        <v>0</v>
      </c>
      <c r="V421" s="4" t="s">
        <v>1901</v>
      </c>
      <c r="W421" s="4" t="s">
        <v>190</v>
      </c>
      <c r="X421" s="6">
        <v>46132</v>
      </c>
      <c r="Y421" s="4" t="s">
        <v>190</v>
      </c>
      <c r="Z421" s="4" t="s">
        <v>190</v>
      </c>
      <c r="AA421">
        <v>0</v>
      </c>
      <c r="AB421" s="4" t="s">
        <v>1895</v>
      </c>
      <c r="AC421" s="4" t="s">
        <v>190</v>
      </c>
      <c r="AD421" s="4" t="s">
        <v>190</v>
      </c>
      <c r="AE421" s="4" t="s">
        <v>190</v>
      </c>
      <c r="AF421" s="4" t="s">
        <v>190</v>
      </c>
    </row>
    <row r="422" spans="1:32" ht="16.5" customHeight="1">
      <c r="A422" s="3" t="s">
        <v>19</v>
      </c>
      <c r="B422" s="3" t="s">
        <v>2045</v>
      </c>
      <c r="C422" s="3" t="s">
        <v>2069</v>
      </c>
      <c r="D422" s="3" t="s">
        <v>25</v>
      </c>
      <c r="E422" s="3" t="s">
        <v>3157</v>
      </c>
      <c r="F422" s="3" t="s">
        <v>3158</v>
      </c>
      <c r="G422" s="3" t="s">
        <v>50</v>
      </c>
      <c r="H422" s="5">
        <v>46045</v>
      </c>
      <c r="I422" s="5">
        <v>46059</v>
      </c>
      <c r="J422" s="3" t="s">
        <v>107</v>
      </c>
      <c r="K422" s="3" t="s">
        <v>1892</v>
      </c>
      <c r="L422">
        <v>6</v>
      </c>
      <c r="M422" s="5">
        <v>46106</v>
      </c>
      <c r="N422" s="3" t="s">
        <v>1900</v>
      </c>
      <c r="O422">
        <v>0</v>
      </c>
      <c r="P422" s="3" t="s">
        <v>24</v>
      </c>
      <c r="Q422" s="3" t="s">
        <v>1893</v>
      </c>
      <c r="R422" s="5">
        <v>46118</v>
      </c>
      <c r="S422" s="3" t="s">
        <v>190</v>
      </c>
      <c r="T422" s="3" t="s">
        <v>190</v>
      </c>
      <c r="U422">
        <v>0</v>
      </c>
      <c r="V422" s="3" t="s">
        <v>1901</v>
      </c>
      <c r="W422" s="3" t="s">
        <v>190</v>
      </c>
      <c r="X422" s="5">
        <v>46132</v>
      </c>
      <c r="Y422" s="3" t="s">
        <v>190</v>
      </c>
      <c r="Z422" s="3" t="s">
        <v>190</v>
      </c>
      <c r="AA422">
        <v>0</v>
      </c>
      <c r="AB422" s="3" t="s">
        <v>1895</v>
      </c>
      <c r="AC422" s="3" t="s">
        <v>190</v>
      </c>
      <c r="AD422" s="3" t="s">
        <v>190</v>
      </c>
      <c r="AE422" s="3" t="s">
        <v>190</v>
      </c>
      <c r="AF422" s="3" t="s">
        <v>190</v>
      </c>
    </row>
    <row r="423" spans="1:32" ht="16.5" customHeight="1">
      <c r="A423" s="4" t="s">
        <v>19</v>
      </c>
      <c r="B423" s="4" t="s">
        <v>2045</v>
      </c>
      <c r="C423" s="4" t="s">
        <v>2069</v>
      </c>
      <c r="D423" s="4" t="s">
        <v>25</v>
      </c>
      <c r="E423" s="4" t="s">
        <v>3159</v>
      </c>
      <c r="F423" s="4" t="s">
        <v>3160</v>
      </c>
      <c r="G423" s="4" t="s">
        <v>50</v>
      </c>
      <c r="H423" s="6">
        <v>46045</v>
      </c>
      <c r="I423" s="6">
        <v>46059</v>
      </c>
      <c r="J423" s="4" t="s">
        <v>3161</v>
      </c>
      <c r="K423" s="4" t="s">
        <v>1892</v>
      </c>
      <c r="L423">
        <v>6</v>
      </c>
      <c r="M423" s="6">
        <v>46107</v>
      </c>
      <c r="N423" s="4" t="s">
        <v>1893</v>
      </c>
      <c r="O423">
        <v>0</v>
      </c>
      <c r="P423" s="4" t="s">
        <v>24</v>
      </c>
      <c r="Q423" s="4" t="s">
        <v>1893</v>
      </c>
      <c r="R423" s="6">
        <v>46118</v>
      </c>
      <c r="S423" s="4" t="s">
        <v>190</v>
      </c>
      <c r="T423" s="4" t="s">
        <v>190</v>
      </c>
      <c r="U423">
        <v>0</v>
      </c>
      <c r="V423" s="4" t="s">
        <v>1901</v>
      </c>
      <c r="W423" s="4" t="s">
        <v>190</v>
      </c>
      <c r="X423" s="6">
        <v>46132</v>
      </c>
      <c r="Y423" s="4" t="s">
        <v>190</v>
      </c>
      <c r="Z423" s="4" t="s">
        <v>190</v>
      </c>
      <c r="AA423">
        <v>0</v>
      </c>
      <c r="AB423" s="4" t="s">
        <v>1895</v>
      </c>
      <c r="AC423" s="4" t="s">
        <v>190</v>
      </c>
      <c r="AD423" s="4" t="s">
        <v>190</v>
      </c>
      <c r="AE423" s="4" t="s">
        <v>190</v>
      </c>
      <c r="AF423" s="4" t="s">
        <v>190</v>
      </c>
    </row>
    <row r="424" spans="1:32" ht="16.5" customHeight="1">
      <c r="A424" s="3" t="s">
        <v>19</v>
      </c>
      <c r="B424" s="3" t="s">
        <v>2045</v>
      </c>
      <c r="C424" s="3" t="s">
        <v>2069</v>
      </c>
      <c r="D424" s="3" t="s">
        <v>25</v>
      </c>
      <c r="E424" s="3" t="s">
        <v>3162</v>
      </c>
      <c r="F424" s="3" t="s">
        <v>3163</v>
      </c>
      <c r="G424" s="3" t="s">
        <v>50</v>
      </c>
      <c r="H424" s="5">
        <v>46045</v>
      </c>
      <c r="I424" s="5">
        <v>46059</v>
      </c>
      <c r="J424" s="3" t="s">
        <v>3164</v>
      </c>
      <c r="K424" s="3" t="s">
        <v>1892</v>
      </c>
      <c r="L424">
        <v>6</v>
      </c>
      <c r="M424" s="5">
        <v>46107</v>
      </c>
      <c r="N424" s="3" t="s">
        <v>1893</v>
      </c>
      <c r="O424">
        <v>0</v>
      </c>
      <c r="P424" s="3" t="s">
        <v>24</v>
      </c>
      <c r="Q424" s="3" t="s">
        <v>1893</v>
      </c>
      <c r="R424" s="5">
        <v>46118</v>
      </c>
      <c r="S424" s="3" t="s">
        <v>190</v>
      </c>
      <c r="T424" s="3" t="s">
        <v>190</v>
      </c>
      <c r="U424">
        <v>0</v>
      </c>
      <c r="V424" s="3" t="s">
        <v>1901</v>
      </c>
      <c r="W424" s="3" t="s">
        <v>190</v>
      </c>
      <c r="X424" s="5">
        <v>46132</v>
      </c>
      <c r="Y424" s="3" t="s">
        <v>190</v>
      </c>
      <c r="Z424" s="3" t="s">
        <v>190</v>
      </c>
      <c r="AA424">
        <v>0</v>
      </c>
      <c r="AB424" s="3" t="s">
        <v>1895</v>
      </c>
      <c r="AC424" s="3" t="s">
        <v>190</v>
      </c>
      <c r="AD424" s="3" t="s">
        <v>190</v>
      </c>
      <c r="AE424" s="3" t="s">
        <v>190</v>
      </c>
      <c r="AF424" s="3" t="s">
        <v>190</v>
      </c>
    </row>
    <row r="425" spans="1:32" ht="16.5" customHeight="1">
      <c r="A425" s="4" t="s">
        <v>19</v>
      </c>
      <c r="B425" s="4" t="s">
        <v>56</v>
      </c>
      <c r="C425" s="4" t="s">
        <v>190</v>
      </c>
      <c r="D425" s="4" t="s">
        <v>116</v>
      </c>
      <c r="E425" s="4" t="s">
        <v>3165</v>
      </c>
      <c r="F425" s="4" t="s">
        <v>3166</v>
      </c>
      <c r="G425" s="4" t="s">
        <v>50</v>
      </c>
      <c r="H425" s="6">
        <v>46052</v>
      </c>
      <c r="I425" s="6">
        <v>46063.660254629627</v>
      </c>
      <c r="J425" s="4" t="s">
        <v>3167</v>
      </c>
      <c r="K425" s="4" t="s">
        <v>1892</v>
      </c>
      <c r="L425">
        <v>6</v>
      </c>
      <c r="M425" s="6">
        <v>46108</v>
      </c>
      <c r="N425" s="4" t="s">
        <v>1893</v>
      </c>
      <c r="O425">
        <v>0</v>
      </c>
      <c r="P425" s="4" t="s">
        <v>24</v>
      </c>
      <c r="Q425" s="4" t="s">
        <v>1893</v>
      </c>
      <c r="R425" s="6">
        <v>46118</v>
      </c>
      <c r="S425" s="4" t="s">
        <v>190</v>
      </c>
      <c r="T425" s="4" t="s">
        <v>190</v>
      </c>
      <c r="U425">
        <v>0</v>
      </c>
      <c r="V425" s="4" t="s">
        <v>1901</v>
      </c>
      <c r="W425" s="4" t="s">
        <v>190</v>
      </c>
      <c r="X425" s="6">
        <v>46132</v>
      </c>
      <c r="Y425" s="4" t="s">
        <v>190</v>
      </c>
      <c r="Z425" s="4" t="s">
        <v>190</v>
      </c>
      <c r="AA425">
        <v>0</v>
      </c>
      <c r="AB425" s="4" t="s">
        <v>1895</v>
      </c>
      <c r="AC425" s="4" t="s">
        <v>190</v>
      </c>
      <c r="AD425" s="4" t="s">
        <v>190</v>
      </c>
      <c r="AE425" s="4" t="s">
        <v>190</v>
      </c>
      <c r="AF425" s="4" t="s">
        <v>190</v>
      </c>
    </row>
    <row r="426" spans="1:32" ht="16.5" customHeight="1">
      <c r="A426" s="3" t="s">
        <v>19</v>
      </c>
      <c r="B426" s="3" t="s">
        <v>56</v>
      </c>
      <c r="C426" s="3" t="s">
        <v>190</v>
      </c>
      <c r="D426" s="3" t="s">
        <v>116</v>
      </c>
      <c r="E426" s="3" t="s">
        <v>3168</v>
      </c>
      <c r="F426" s="3" t="s">
        <v>3169</v>
      </c>
      <c r="G426" s="3" t="s">
        <v>23</v>
      </c>
      <c r="H426" s="5">
        <v>46077</v>
      </c>
      <c r="I426" s="5"/>
      <c r="J426" s="3" t="s">
        <v>3170</v>
      </c>
      <c r="K426" s="3" t="s">
        <v>1892</v>
      </c>
      <c r="L426">
        <v>6</v>
      </c>
      <c r="M426" s="5">
        <v>46108</v>
      </c>
      <c r="N426" s="3" t="s">
        <v>1893</v>
      </c>
      <c r="O426">
        <v>0</v>
      </c>
      <c r="P426" s="3" t="s">
        <v>24</v>
      </c>
      <c r="Q426" s="3" t="s">
        <v>1893</v>
      </c>
      <c r="R426" s="5">
        <v>46118</v>
      </c>
      <c r="S426" s="3" t="s">
        <v>190</v>
      </c>
      <c r="T426" s="3" t="s">
        <v>190</v>
      </c>
      <c r="U426">
        <v>0</v>
      </c>
      <c r="V426" s="3" t="s">
        <v>1901</v>
      </c>
      <c r="W426" s="3" t="s">
        <v>190</v>
      </c>
      <c r="X426" s="5">
        <v>46132</v>
      </c>
      <c r="Y426" s="3" t="s">
        <v>190</v>
      </c>
      <c r="Z426" s="3" t="s">
        <v>190</v>
      </c>
      <c r="AA426">
        <v>0</v>
      </c>
      <c r="AB426" s="3" t="s">
        <v>1895</v>
      </c>
      <c r="AC426" s="3" t="s">
        <v>190</v>
      </c>
      <c r="AD426" s="3" t="s">
        <v>190</v>
      </c>
      <c r="AE426" s="3" t="s">
        <v>190</v>
      </c>
      <c r="AF426" s="3" t="s">
        <v>190</v>
      </c>
    </row>
    <row r="427" spans="1:32" ht="16.5" customHeight="1">
      <c r="A427" s="4" t="s">
        <v>216</v>
      </c>
      <c r="B427" s="4" t="s">
        <v>2085</v>
      </c>
      <c r="C427" s="4" t="s">
        <v>3171</v>
      </c>
      <c r="D427" s="4" t="s">
        <v>25</v>
      </c>
      <c r="E427" s="4" t="s">
        <v>3172</v>
      </c>
      <c r="F427" s="4" t="s">
        <v>3171</v>
      </c>
      <c r="G427" s="4" t="s">
        <v>220</v>
      </c>
      <c r="H427" s="6">
        <v>45967</v>
      </c>
      <c r="I427" s="6">
        <v>45967.59474537037</v>
      </c>
      <c r="J427" s="4" t="s">
        <v>3173</v>
      </c>
      <c r="K427" s="4" t="s">
        <v>1892</v>
      </c>
      <c r="L427">
        <v>6</v>
      </c>
      <c r="M427" s="6">
        <v>46104</v>
      </c>
      <c r="N427" s="4" t="s">
        <v>1893</v>
      </c>
      <c r="O427">
        <v>0</v>
      </c>
      <c r="P427" s="4" t="s">
        <v>24</v>
      </c>
      <c r="Q427" s="4" t="s">
        <v>1893</v>
      </c>
      <c r="R427" s="6">
        <v>46118</v>
      </c>
      <c r="S427" s="4" t="s">
        <v>190</v>
      </c>
      <c r="T427" s="4" t="s">
        <v>190</v>
      </c>
      <c r="U427">
        <v>0</v>
      </c>
      <c r="V427" s="4" t="s">
        <v>1901</v>
      </c>
      <c r="W427" s="4" t="s">
        <v>190</v>
      </c>
      <c r="X427" s="6">
        <v>46132</v>
      </c>
      <c r="Y427" s="4" t="s">
        <v>190</v>
      </c>
      <c r="Z427" s="4" t="s">
        <v>190</v>
      </c>
      <c r="AA427">
        <v>0</v>
      </c>
      <c r="AB427" s="4" t="s">
        <v>1895</v>
      </c>
      <c r="AC427" s="4" t="s">
        <v>190</v>
      </c>
      <c r="AD427" s="4" t="s">
        <v>190</v>
      </c>
      <c r="AE427" s="4" t="s">
        <v>190</v>
      </c>
      <c r="AF427" s="4" t="s">
        <v>190</v>
      </c>
    </row>
    <row r="428" spans="1:32" ht="16.5" customHeight="1">
      <c r="A428" s="3" t="s">
        <v>216</v>
      </c>
      <c r="B428" s="3" t="s">
        <v>2095</v>
      </c>
      <c r="C428" s="3" t="s">
        <v>2147</v>
      </c>
      <c r="D428" s="3" t="s">
        <v>25</v>
      </c>
      <c r="E428" s="3" t="s">
        <v>3174</v>
      </c>
      <c r="F428" s="3" t="s">
        <v>3175</v>
      </c>
      <c r="G428" s="3" t="s">
        <v>225</v>
      </c>
      <c r="H428" s="5">
        <v>46051</v>
      </c>
      <c r="I428" s="5">
        <v>46051.733344907407</v>
      </c>
      <c r="J428" s="3" t="s">
        <v>3176</v>
      </c>
      <c r="K428" s="3" t="s">
        <v>1892</v>
      </c>
      <c r="L428">
        <v>6</v>
      </c>
      <c r="M428" s="5">
        <v>46105</v>
      </c>
      <c r="N428" s="3" t="s">
        <v>1893</v>
      </c>
      <c r="O428">
        <v>0</v>
      </c>
      <c r="P428" s="3" t="s">
        <v>24</v>
      </c>
      <c r="Q428" s="3" t="s">
        <v>1893</v>
      </c>
      <c r="R428" s="5">
        <v>46118</v>
      </c>
      <c r="S428" s="3" t="s">
        <v>190</v>
      </c>
      <c r="T428" s="3" t="s">
        <v>190</v>
      </c>
      <c r="U428">
        <v>0</v>
      </c>
      <c r="V428" s="3" t="s">
        <v>1901</v>
      </c>
      <c r="W428" s="3" t="s">
        <v>190</v>
      </c>
      <c r="X428" s="5">
        <v>46132</v>
      </c>
      <c r="Y428" s="3" t="s">
        <v>190</v>
      </c>
      <c r="Z428" s="3" t="s">
        <v>190</v>
      </c>
      <c r="AA428">
        <v>0</v>
      </c>
      <c r="AB428" s="3" t="s">
        <v>1895</v>
      </c>
      <c r="AC428" s="3" t="s">
        <v>190</v>
      </c>
      <c r="AD428" s="3" t="s">
        <v>190</v>
      </c>
      <c r="AE428" s="3" t="s">
        <v>190</v>
      </c>
      <c r="AF428" s="3" t="s">
        <v>190</v>
      </c>
    </row>
    <row r="429" spans="1:32" ht="16.5" customHeight="1">
      <c r="A429" s="4" t="s">
        <v>216</v>
      </c>
      <c r="B429" s="4" t="s">
        <v>2095</v>
      </c>
      <c r="C429" s="4" t="s">
        <v>2147</v>
      </c>
      <c r="D429" s="4" t="s">
        <v>25</v>
      </c>
      <c r="E429" s="4" t="s">
        <v>3177</v>
      </c>
      <c r="F429" s="4" t="s">
        <v>3178</v>
      </c>
      <c r="G429" s="4" t="s">
        <v>225</v>
      </c>
      <c r="H429" s="6">
        <v>46051</v>
      </c>
      <c r="I429" s="6">
        <v>46051.733530092592</v>
      </c>
      <c r="J429" s="4" t="s">
        <v>3179</v>
      </c>
      <c r="K429" s="4" t="s">
        <v>1892</v>
      </c>
      <c r="L429">
        <v>6</v>
      </c>
      <c r="M429" s="6">
        <v>46105</v>
      </c>
      <c r="N429" s="4" t="s">
        <v>1893</v>
      </c>
      <c r="O429">
        <v>0</v>
      </c>
      <c r="P429" s="4" t="s">
        <v>24</v>
      </c>
      <c r="Q429" s="4" t="s">
        <v>1893</v>
      </c>
      <c r="R429" s="6">
        <v>46118</v>
      </c>
      <c r="S429" s="4" t="s">
        <v>190</v>
      </c>
      <c r="T429" s="4" t="s">
        <v>190</v>
      </c>
      <c r="U429">
        <v>0</v>
      </c>
      <c r="V429" s="4" t="s">
        <v>1901</v>
      </c>
      <c r="W429" s="4" t="s">
        <v>190</v>
      </c>
      <c r="X429" s="6">
        <v>46132</v>
      </c>
      <c r="Y429" s="4" t="s">
        <v>190</v>
      </c>
      <c r="Z429" s="4" t="s">
        <v>190</v>
      </c>
      <c r="AA429">
        <v>0</v>
      </c>
      <c r="AB429" s="4" t="s">
        <v>1895</v>
      </c>
      <c r="AC429" s="4" t="s">
        <v>190</v>
      </c>
      <c r="AD429" s="4" t="s">
        <v>190</v>
      </c>
      <c r="AE429" s="4" t="s">
        <v>190</v>
      </c>
      <c r="AF429" s="4" t="s">
        <v>190</v>
      </c>
    </row>
    <row r="430" spans="1:32" ht="16.5" customHeight="1">
      <c r="A430" s="3" t="s">
        <v>216</v>
      </c>
      <c r="B430" s="3" t="s">
        <v>2095</v>
      </c>
      <c r="C430" s="3" t="s">
        <v>2147</v>
      </c>
      <c r="D430" s="3" t="s">
        <v>25</v>
      </c>
      <c r="E430" s="3" t="s">
        <v>3180</v>
      </c>
      <c r="F430" s="3" t="s">
        <v>3181</v>
      </c>
      <c r="G430" s="3" t="s">
        <v>225</v>
      </c>
      <c r="H430" s="5">
        <v>46051</v>
      </c>
      <c r="I430" s="5">
        <v>46051.733958333331</v>
      </c>
      <c r="J430" s="3" t="s">
        <v>3182</v>
      </c>
      <c r="K430" s="3" t="s">
        <v>1892</v>
      </c>
      <c r="L430">
        <v>6</v>
      </c>
      <c r="M430" s="5">
        <v>46105</v>
      </c>
      <c r="N430" s="3" t="s">
        <v>1893</v>
      </c>
      <c r="O430">
        <v>0</v>
      </c>
      <c r="P430" s="3" t="s">
        <v>24</v>
      </c>
      <c r="Q430" s="3" t="s">
        <v>1893</v>
      </c>
      <c r="R430" s="5">
        <v>46118</v>
      </c>
      <c r="S430" s="3" t="s">
        <v>190</v>
      </c>
      <c r="T430" s="3" t="s">
        <v>190</v>
      </c>
      <c r="U430">
        <v>0</v>
      </c>
      <c r="V430" s="3" t="s">
        <v>1901</v>
      </c>
      <c r="W430" s="3" t="s">
        <v>190</v>
      </c>
      <c r="X430" s="5">
        <v>46132</v>
      </c>
      <c r="Y430" s="3" t="s">
        <v>190</v>
      </c>
      <c r="Z430" s="3" t="s">
        <v>190</v>
      </c>
      <c r="AA430">
        <v>0</v>
      </c>
      <c r="AB430" s="3" t="s">
        <v>1895</v>
      </c>
      <c r="AC430" s="3" t="s">
        <v>190</v>
      </c>
      <c r="AD430" s="3" t="s">
        <v>190</v>
      </c>
      <c r="AE430" s="3" t="s">
        <v>190</v>
      </c>
      <c r="AF430" s="3" t="s">
        <v>190</v>
      </c>
    </row>
    <row r="431" spans="1:32" ht="16.5" customHeight="1">
      <c r="A431" s="4" t="s">
        <v>216</v>
      </c>
      <c r="B431" s="4" t="s">
        <v>56</v>
      </c>
      <c r="C431" s="4" t="s">
        <v>56</v>
      </c>
      <c r="D431" s="4" t="s">
        <v>116</v>
      </c>
      <c r="E431" s="4" t="s">
        <v>3183</v>
      </c>
      <c r="F431" s="4" t="s">
        <v>3184</v>
      </c>
      <c r="G431" s="4" t="s">
        <v>220</v>
      </c>
      <c r="H431" s="6">
        <v>45897</v>
      </c>
      <c r="I431" s="6">
        <v>46065.504212962966</v>
      </c>
      <c r="J431" s="4" t="s">
        <v>3185</v>
      </c>
      <c r="K431" s="4" t="s">
        <v>1892</v>
      </c>
      <c r="L431">
        <v>6</v>
      </c>
      <c r="M431" s="6">
        <v>46105</v>
      </c>
      <c r="N431" s="4" t="s">
        <v>1893</v>
      </c>
      <c r="O431">
        <v>0</v>
      </c>
      <c r="P431" s="4" t="s">
        <v>24</v>
      </c>
      <c r="Q431" s="4" t="s">
        <v>1893</v>
      </c>
      <c r="R431" s="6">
        <v>46118</v>
      </c>
      <c r="S431" s="4" t="s">
        <v>190</v>
      </c>
      <c r="T431" s="4" t="s">
        <v>190</v>
      </c>
      <c r="U431">
        <v>0</v>
      </c>
      <c r="V431" s="4" t="s">
        <v>1901</v>
      </c>
      <c r="W431" s="4" t="s">
        <v>190</v>
      </c>
      <c r="X431" s="6">
        <v>46132</v>
      </c>
      <c r="Y431" s="4" t="s">
        <v>190</v>
      </c>
      <c r="Z431" s="4" t="s">
        <v>190</v>
      </c>
      <c r="AA431">
        <v>0</v>
      </c>
      <c r="AB431" s="4" t="s">
        <v>1895</v>
      </c>
      <c r="AC431" s="4" t="s">
        <v>190</v>
      </c>
      <c r="AD431" s="4" t="s">
        <v>190</v>
      </c>
      <c r="AE431" s="4" t="s">
        <v>190</v>
      </c>
      <c r="AF431" s="4" t="s">
        <v>190</v>
      </c>
    </row>
    <row r="432" spans="1:32" ht="16.5" customHeight="1">
      <c r="A432" s="3" t="s">
        <v>216</v>
      </c>
      <c r="B432" s="3" t="s">
        <v>56</v>
      </c>
      <c r="C432" s="3" t="s">
        <v>56</v>
      </c>
      <c r="D432" s="3" t="s">
        <v>116</v>
      </c>
      <c r="E432" s="3" t="s">
        <v>3186</v>
      </c>
      <c r="F432" s="3" t="s">
        <v>3187</v>
      </c>
      <c r="G432" s="3" t="s">
        <v>220</v>
      </c>
      <c r="H432" s="5">
        <v>46051</v>
      </c>
      <c r="I432" s="5">
        <v>46050.467210648145</v>
      </c>
      <c r="J432" s="3" t="s">
        <v>3188</v>
      </c>
      <c r="K432" s="3" t="s">
        <v>1892</v>
      </c>
      <c r="L432">
        <v>6</v>
      </c>
      <c r="M432" s="5">
        <v>46105</v>
      </c>
      <c r="N432" s="3" t="s">
        <v>1893</v>
      </c>
      <c r="O432">
        <v>0</v>
      </c>
      <c r="P432" s="3" t="s">
        <v>24</v>
      </c>
      <c r="Q432" s="3" t="s">
        <v>1893</v>
      </c>
      <c r="R432" s="5">
        <v>46118</v>
      </c>
      <c r="S432" s="3" t="s">
        <v>190</v>
      </c>
      <c r="T432" s="3" t="s">
        <v>190</v>
      </c>
      <c r="U432">
        <v>0</v>
      </c>
      <c r="V432" s="3" t="s">
        <v>1901</v>
      </c>
      <c r="W432" s="3" t="s">
        <v>190</v>
      </c>
      <c r="X432" s="5">
        <v>46132</v>
      </c>
      <c r="Y432" s="3" t="s">
        <v>190</v>
      </c>
      <c r="Z432" s="3" t="s">
        <v>190</v>
      </c>
      <c r="AA432">
        <v>0</v>
      </c>
      <c r="AB432" s="3" t="s">
        <v>1895</v>
      </c>
      <c r="AC432" s="3" t="s">
        <v>190</v>
      </c>
      <c r="AD432" s="3" t="s">
        <v>190</v>
      </c>
      <c r="AE432" s="3" t="s">
        <v>190</v>
      </c>
      <c r="AF432" s="3" t="s">
        <v>190</v>
      </c>
    </row>
    <row r="433" spans="1:32" ht="16.5" customHeight="1">
      <c r="A433" s="4" t="s">
        <v>261</v>
      </c>
      <c r="B433" s="4" t="s">
        <v>2092</v>
      </c>
      <c r="C433" s="4" t="s">
        <v>3189</v>
      </c>
      <c r="D433" s="4" t="s">
        <v>25</v>
      </c>
      <c r="E433" s="4" t="s">
        <v>3190</v>
      </c>
      <c r="F433" s="4" t="s">
        <v>3191</v>
      </c>
      <c r="G433" s="4" t="s">
        <v>264</v>
      </c>
      <c r="H433" s="6">
        <v>46031</v>
      </c>
      <c r="I433" s="6">
        <v>46014.410937499997</v>
      </c>
      <c r="J433" s="4" t="s">
        <v>3192</v>
      </c>
      <c r="K433" s="4" t="s">
        <v>1892</v>
      </c>
      <c r="L433">
        <v>6</v>
      </c>
      <c r="M433" s="6">
        <v>46104</v>
      </c>
      <c r="N433" s="4" t="s">
        <v>1893</v>
      </c>
      <c r="O433">
        <v>0</v>
      </c>
      <c r="P433" s="4" t="s">
        <v>24</v>
      </c>
      <c r="Q433" s="4" t="s">
        <v>1893</v>
      </c>
      <c r="R433" s="6">
        <v>46118</v>
      </c>
      <c r="S433" s="4" t="s">
        <v>190</v>
      </c>
      <c r="T433" s="4" t="s">
        <v>190</v>
      </c>
      <c r="U433">
        <v>0</v>
      </c>
      <c r="V433" s="4" t="s">
        <v>1901</v>
      </c>
      <c r="W433" s="4" t="s">
        <v>190</v>
      </c>
      <c r="X433" s="6">
        <v>46132</v>
      </c>
      <c r="Y433" s="4" t="s">
        <v>190</v>
      </c>
      <c r="Z433" s="4" t="s">
        <v>190</v>
      </c>
      <c r="AA433">
        <v>0</v>
      </c>
      <c r="AB433" s="4" t="s">
        <v>1895</v>
      </c>
      <c r="AC433" s="4" t="s">
        <v>190</v>
      </c>
      <c r="AD433" s="4" t="s">
        <v>190</v>
      </c>
      <c r="AE433" s="4" t="s">
        <v>190</v>
      </c>
      <c r="AF433" s="4" t="s">
        <v>190</v>
      </c>
    </row>
    <row r="434" spans="1:32" ht="16.5" customHeight="1">
      <c r="A434" s="3" t="s">
        <v>261</v>
      </c>
      <c r="B434" s="3" t="s">
        <v>2095</v>
      </c>
      <c r="C434" s="3" t="s">
        <v>2857</v>
      </c>
      <c r="D434" s="3" t="s">
        <v>25</v>
      </c>
      <c r="E434" s="3" t="s">
        <v>3193</v>
      </c>
      <c r="F434" s="3" t="s">
        <v>3194</v>
      </c>
      <c r="G434" s="3" t="s">
        <v>264</v>
      </c>
      <c r="H434" s="5">
        <v>46065</v>
      </c>
      <c r="I434" s="5">
        <v>46065.441238425927</v>
      </c>
      <c r="J434" s="3" t="s">
        <v>1764</v>
      </c>
      <c r="K434" s="3" t="s">
        <v>1892</v>
      </c>
      <c r="L434">
        <v>6</v>
      </c>
      <c r="M434" s="5">
        <v>46104</v>
      </c>
      <c r="N434" s="3" t="s">
        <v>1900</v>
      </c>
      <c r="O434">
        <v>0</v>
      </c>
      <c r="P434" s="3" t="s">
        <v>24</v>
      </c>
      <c r="Q434" s="3" t="s">
        <v>1893</v>
      </c>
      <c r="R434" s="5">
        <v>46118</v>
      </c>
      <c r="S434" s="3" t="s">
        <v>190</v>
      </c>
      <c r="T434" s="3" t="s">
        <v>190</v>
      </c>
      <c r="U434">
        <v>0</v>
      </c>
      <c r="V434" s="3" t="s">
        <v>1901</v>
      </c>
      <c r="W434" s="3" t="s">
        <v>190</v>
      </c>
      <c r="X434" s="5">
        <v>46132</v>
      </c>
      <c r="Y434" s="3" t="s">
        <v>190</v>
      </c>
      <c r="Z434" s="3" t="s">
        <v>190</v>
      </c>
      <c r="AA434">
        <v>0</v>
      </c>
      <c r="AB434" s="3" t="s">
        <v>1895</v>
      </c>
      <c r="AC434" s="3" t="s">
        <v>190</v>
      </c>
      <c r="AD434" s="3" t="s">
        <v>190</v>
      </c>
      <c r="AE434" s="3" t="s">
        <v>190</v>
      </c>
      <c r="AF434" s="3" t="s">
        <v>190</v>
      </c>
    </row>
    <row r="435" spans="1:32" ht="16.5" customHeight="1">
      <c r="A435" s="4" t="s">
        <v>111</v>
      </c>
      <c r="B435" s="4" t="s">
        <v>2117</v>
      </c>
      <c r="C435" s="4" t="s">
        <v>2122</v>
      </c>
      <c r="D435" s="4" t="s">
        <v>25</v>
      </c>
      <c r="E435" s="4" t="s">
        <v>3195</v>
      </c>
      <c r="F435" s="4" t="s">
        <v>3196</v>
      </c>
      <c r="G435" s="4" t="s">
        <v>386</v>
      </c>
      <c r="H435" s="6">
        <v>46051</v>
      </c>
      <c r="I435" s="6">
        <v>46038.365011574075</v>
      </c>
      <c r="J435" s="4" t="s">
        <v>646</v>
      </c>
      <c r="K435" s="4" t="s">
        <v>1892</v>
      </c>
      <c r="L435">
        <v>6</v>
      </c>
      <c r="M435" s="6">
        <v>46104</v>
      </c>
      <c r="N435" s="4" t="s">
        <v>1900</v>
      </c>
      <c r="O435">
        <v>0</v>
      </c>
      <c r="P435" s="4" t="s">
        <v>24</v>
      </c>
      <c r="Q435" s="4" t="s">
        <v>1893</v>
      </c>
      <c r="R435" s="6">
        <v>46118</v>
      </c>
      <c r="S435" s="4" t="s">
        <v>190</v>
      </c>
      <c r="T435" s="4" t="s">
        <v>190</v>
      </c>
      <c r="U435">
        <v>0</v>
      </c>
      <c r="V435" s="4" t="s">
        <v>1794</v>
      </c>
      <c r="W435" s="4" t="s">
        <v>190</v>
      </c>
      <c r="X435" s="6">
        <v>46132</v>
      </c>
      <c r="Y435" s="4" t="s">
        <v>190</v>
      </c>
      <c r="Z435" s="4" t="s">
        <v>190</v>
      </c>
      <c r="AA435">
        <v>0</v>
      </c>
      <c r="AB435" s="4" t="s">
        <v>1895</v>
      </c>
      <c r="AC435" s="4" t="s">
        <v>190</v>
      </c>
      <c r="AD435" s="4" t="s">
        <v>190</v>
      </c>
      <c r="AE435" s="4" t="s">
        <v>190</v>
      </c>
      <c r="AF435" s="4" t="s">
        <v>190</v>
      </c>
    </row>
    <row r="436" spans="1:32" ht="16.5" customHeight="1">
      <c r="A436" s="3" t="s">
        <v>111</v>
      </c>
      <c r="B436" s="3" t="s">
        <v>2125</v>
      </c>
      <c r="C436" s="3" t="s">
        <v>2671</v>
      </c>
      <c r="D436" s="3" t="s">
        <v>25</v>
      </c>
      <c r="E436" s="3" t="s">
        <v>3197</v>
      </c>
      <c r="F436" s="3" t="s">
        <v>3198</v>
      </c>
      <c r="G436" s="3" t="s">
        <v>369</v>
      </c>
      <c r="H436" s="5">
        <v>46065</v>
      </c>
      <c r="I436" s="5">
        <v>46065.440243055556</v>
      </c>
      <c r="J436" s="3" t="s">
        <v>1752</v>
      </c>
      <c r="K436" s="3" t="s">
        <v>1892</v>
      </c>
      <c r="L436">
        <v>6</v>
      </c>
      <c r="M436" s="5">
        <v>46104</v>
      </c>
      <c r="N436" s="3" t="s">
        <v>1900</v>
      </c>
      <c r="O436">
        <v>0</v>
      </c>
      <c r="P436" s="3" t="s">
        <v>24</v>
      </c>
      <c r="Q436" s="3" t="s">
        <v>1893</v>
      </c>
      <c r="R436" s="5">
        <v>46118</v>
      </c>
      <c r="S436" s="3" t="s">
        <v>190</v>
      </c>
      <c r="T436" s="3" t="s">
        <v>190</v>
      </c>
      <c r="U436">
        <v>0</v>
      </c>
      <c r="V436" s="3" t="s">
        <v>1794</v>
      </c>
      <c r="W436" s="3" t="s">
        <v>190</v>
      </c>
      <c r="X436" s="5">
        <v>46132</v>
      </c>
      <c r="Y436" s="3" t="s">
        <v>190</v>
      </c>
      <c r="Z436" s="3" t="s">
        <v>190</v>
      </c>
      <c r="AA436">
        <v>0</v>
      </c>
      <c r="AB436" s="3" t="s">
        <v>1895</v>
      </c>
      <c r="AC436" s="3" t="s">
        <v>190</v>
      </c>
      <c r="AD436" s="3" t="s">
        <v>190</v>
      </c>
      <c r="AE436" s="3" t="s">
        <v>190</v>
      </c>
      <c r="AF436" s="3" t="s">
        <v>190</v>
      </c>
    </row>
    <row r="437" spans="1:32" ht="16.5" customHeight="1">
      <c r="A437" s="4" t="s">
        <v>111</v>
      </c>
      <c r="B437" s="4" t="s">
        <v>56</v>
      </c>
      <c r="C437" s="4" t="s">
        <v>56</v>
      </c>
      <c r="D437" s="4" t="s">
        <v>116</v>
      </c>
      <c r="E437" s="4" t="s">
        <v>3199</v>
      </c>
      <c r="F437" s="4" t="s">
        <v>3200</v>
      </c>
      <c r="G437" s="4" t="s">
        <v>114</v>
      </c>
      <c r="H437" s="6">
        <v>46051</v>
      </c>
      <c r="I437" s="6">
        <v>46037.774722222224</v>
      </c>
      <c r="J437" s="4" t="s">
        <v>3201</v>
      </c>
      <c r="K437" s="4" t="s">
        <v>1892</v>
      </c>
      <c r="L437">
        <v>6</v>
      </c>
      <c r="M437" s="6">
        <v>46104</v>
      </c>
      <c r="N437" s="4" t="s">
        <v>1893</v>
      </c>
      <c r="O437">
        <v>0</v>
      </c>
      <c r="P437" s="4" t="s">
        <v>24</v>
      </c>
      <c r="Q437" s="4" t="s">
        <v>1893</v>
      </c>
      <c r="R437" s="6">
        <v>46118</v>
      </c>
      <c r="S437" s="4" t="s">
        <v>190</v>
      </c>
      <c r="T437" s="4" t="s">
        <v>190</v>
      </c>
      <c r="U437">
        <v>0</v>
      </c>
      <c r="V437" s="4" t="s">
        <v>1794</v>
      </c>
      <c r="W437" s="4" t="s">
        <v>190</v>
      </c>
      <c r="X437" s="6">
        <v>46132</v>
      </c>
      <c r="Y437" s="4" t="s">
        <v>190</v>
      </c>
      <c r="Z437" s="4" t="s">
        <v>190</v>
      </c>
      <c r="AA437">
        <v>0</v>
      </c>
      <c r="AB437" s="4" t="s">
        <v>1895</v>
      </c>
      <c r="AC437" s="4" t="s">
        <v>190</v>
      </c>
      <c r="AD437" s="4" t="s">
        <v>190</v>
      </c>
      <c r="AE437" s="4" t="s">
        <v>190</v>
      </c>
      <c r="AF437" s="4" t="s">
        <v>190</v>
      </c>
    </row>
    <row r="438" spans="1:32" ht="16.5" customHeight="1">
      <c r="A438" s="3" t="s">
        <v>111</v>
      </c>
      <c r="B438" s="3" t="s">
        <v>56</v>
      </c>
      <c r="C438" s="3" t="s">
        <v>56</v>
      </c>
      <c r="D438" s="3" t="s">
        <v>116</v>
      </c>
      <c r="E438" s="3" t="s">
        <v>3202</v>
      </c>
      <c r="F438" s="3" t="s">
        <v>3203</v>
      </c>
      <c r="G438" s="3" t="s">
        <v>115</v>
      </c>
      <c r="H438" s="5">
        <v>46052</v>
      </c>
      <c r="I438" s="5">
        <v>46048.425439814811</v>
      </c>
      <c r="J438" s="3" t="s">
        <v>3204</v>
      </c>
      <c r="K438" s="3" t="s">
        <v>1892</v>
      </c>
      <c r="L438">
        <v>6</v>
      </c>
      <c r="M438" s="5">
        <v>46104</v>
      </c>
      <c r="N438" s="3" t="s">
        <v>1893</v>
      </c>
      <c r="O438">
        <v>0</v>
      </c>
      <c r="P438" s="3" t="s">
        <v>24</v>
      </c>
      <c r="Q438" s="3" t="s">
        <v>1893</v>
      </c>
      <c r="R438" s="5">
        <v>46118</v>
      </c>
      <c r="S438" s="3" t="s">
        <v>190</v>
      </c>
      <c r="T438" s="3" t="s">
        <v>190</v>
      </c>
      <c r="U438">
        <v>0</v>
      </c>
      <c r="V438" s="3" t="s">
        <v>1901</v>
      </c>
      <c r="W438" s="3" t="s">
        <v>190</v>
      </c>
      <c r="X438" s="5">
        <v>46132</v>
      </c>
      <c r="Y438" s="3" t="s">
        <v>190</v>
      </c>
      <c r="Z438" s="3" t="s">
        <v>190</v>
      </c>
      <c r="AA438">
        <v>0</v>
      </c>
      <c r="AB438" s="3" t="s">
        <v>1895</v>
      </c>
      <c r="AC438" s="3" t="s">
        <v>190</v>
      </c>
      <c r="AD438" s="3" t="s">
        <v>190</v>
      </c>
      <c r="AE438" s="3" t="s">
        <v>190</v>
      </c>
      <c r="AF438" s="3" t="s">
        <v>190</v>
      </c>
    </row>
    <row r="439" spans="1:32" ht="16.5" customHeight="1">
      <c r="A439" s="4" t="s">
        <v>111</v>
      </c>
      <c r="B439" s="4" t="s">
        <v>56</v>
      </c>
      <c r="C439" s="4" t="s">
        <v>56</v>
      </c>
      <c r="D439" s="4" t="s">
        <v>116</v>
      </c>
      <c r="E439" s="4" t="s">
        <v>3205</v>
      </c>
      <c r="F439" s="4" t="s">
        <v>3206</v>
      </c>
      <c r="G439" s="4" t="s">
        <v>115</v>
      </c>
      <c r="H439" s="6">
        <v>46052</v>
      </c>
      <c r="I439" s="6">
        <v>46048.427557870367</v>
      </c>
      <c r="J439" s="4" t="s">
        <v>3207</v>
      </c>
      <c r="K439" s="4" t="s">
        <v>1892</v>
      </c>
      <c r="L439">
        <v>6</v>
      </c>
      <c r="M439" s="6">
        <v>46104</v>
      </c>
      <c r="N439" s="4" t="s">
        <v>1893</v>
      </c>
      <c r="O439">
        <v>0</v>
      </c>
      <c r="P439" s="4" t="s">
        <v>24</v>
      </c>
      <c r="Q439" s="4" t="s">
        <v>1893</v>
      </c>
      <c r="R439" s="6">
        <v>46118</v>
      </c>
      <c r="S439" s="4" t="s">
        <v>190</v>
      </c>
      <c r="T439" s="4" t="s">
        <v>190</v>
      </c>
      <c r="U439">
        <v>0</v>
      </c>
      <c r="V439" s="4" t="s">
        <v>1901</v>
      </c>
      <c r="W439" s="4" t="s">
        <v>190</v>
      </c>
      <c r="X439" s="6">
        <v>46132</v>
      </c>
      <c r="Y439" s="4" t="s">
        <v>190</v>
      </c>
      <c r="Z439" s="4" t="s">
        <v>190</v>
      </c>
      <c r="AA439">
        <v>0</v>
      </c>
      <c r="AB439" s="4" t="s">
        <v>1895</v>
      </c>
      <c r="AC439" s="4" t="s">
        <v>190</v>
      </c>
      <c r="AD439" s="4" t="s">
        <v>190</v>
      </c>
      <c r="AE439" s="4" t="s">
        <v>190</v>
      </c>
      <c r="AF439" s="4" t="s">
        <v>190</v>
      </c>
    </row>
    <row r="440" spans="1:32" ht="16.5" customHeight="1">
      <c r="A440" s="3" t="s">
        <v>111</v>
      </c>
      <c r="B440" s="3" t="s">
        <v>56</v>
      </c>
      <c r="C440" s="3" t="s">
        <v>56</v>
      </c>
      <c r="D440" s="3" t="s">
        <v>116</v>
      </c>
      <c r="E440" s="3" t="s">
        <v>3208</v>
      </c>
      <c r="F440" s="3" t="s">
        <v>3209</v>
      </c>
      <c r="G440" s="3" t="s">
        <v>115</v>
      </c>
      <c r="H440" s="5">
        <v>46052</v>
      </c>
      <c r="I440" s="5">
        <v>46048.431631944448</v>
      </c>
      <c r="J440" s="3" t="s">
        <v>3210</v>
      </c>
      <c r="K440" s="3" t="s">
        <v>1892</v>
      </c>
      <c r="L440">
        <v>6</v>
      </c>
      <c r="M440" s="5">
        <v>46104</v>
      </c>
      <c r="N440" s="3" t="s">
        <v>1893</v>
      </c>
      <c r="O440">
        <v>0</v>
      </c>
      <c r="P440" s="3" t="s">
        <v>24</v>
      </c>
      <c r="Q440" s="3" t="s">
        <v>1893</v>
      </c>
      <c r="R440" s="5">
        <v>46118</v>
      </c>
      <c r="S440" s="3" t="s">
        <v>190</v>
      </c>
      <c r="T440" s="3" t="s">
        <v>190</v>
      </c>
      <c r="U440">
        <v>0</v>
      </c>
      <c r="V440" s="3" t="s">
        <v>1901</v>
      </c>
      <c r="W440" s="3" t="s">
        <v>190</v>
      </c>
      <c r="X440" s="5">
        <v>46132</v>
      </c>
      <c r="Y440" s="3" t="s">
        <v>190</v>
      </c>
      <c r="Z440" s="3" t="s">
        <v>190</v>
      </c>
      <c r="AA440">
        <v>0</v>
      </c>
      <c r="AB440" s="3" t="s">
        <v>1895</v>
      </c>
      <c r="AC440" s="3" t="s">
        <v>190</v>
      </c>
      <c r="AD440" s="3" t="s">
        <v>190</v>
      </c>
      <c r="AE440" s="3" t="s">
        <v>190</v>
      </c>
      <c r="AF440" s="3" t="s">
        <v>190</v>
      </c>
    </row>
    <row r="441" spans="1:32" ht="16.5" customHeight="1">
      <c r="A441" s="4" t="s">
        <v>33</v>
      </c>
      <c r="B441" s="4" t="s">
        <v>2870</v>
      </c>
      <c r="C441" s="4" t="s">
        <v>2871</v>
      </c>
      <c r="D441" s="4" t="s">
        <v>25</v>
      </c>
      <c r="E441" s="4" t="s">
        <v>3211</v>
      </c>
      <c r="F441" s="4" t="s">
        <v>3212</v>
      </c>
      <c r="G441" s="4" t="s">
        <v>37</v>
      </c>
      <c r="H441" s="6">
        <v>45996</v>
      </c>
      <c r="I441" s="6">
        <v>45982.719259259262</v>
      </c>
      <c r="J441" s="4" t="s">
        <v>32</v>
      </c>
      <c r="K441" s="4" t="s">
        <v>1892</v>
      </c>
      <c r="L441">
        <v>6</v>
      </c>
      <c r="M441" s="6">
        <v>46104</v>
      </c>
      <c r="N441" s="4" t="s">
        <v>1900</v>
      </c>
      <c r="O441">
        <v>0</v>
      </c>
      <c r="P441" s="4" t="s">
        <v>24</v>
      </c>
      <c r="Q441" s="4" t="s">
        <v>1893</v>
      </c>
      <c r="R441" s="6">
        <v>46118</v>
      </c>
      <c r="S441" s="4" t="s">
        <v>190</v>
      </c>
      <c r="T441" s="4" t="s">
        <v>190</v>
      </c>
      <c r="U441">
        <v>0</v>
      </c>
      <c r="V441" s="4" t="s">
        <v>1794</v>
      </c>
      <c r="W441" s="4" t="s">
        <v>190</v>
      </c>
      <c r="X441" s="6">
        <v>46132</v>
      </c>
      <c r="Y441" s="4" t="s">
        <v>190</v>
      </c>
      <c r="Z441" s="4" t="s">
        <v>190</v>
      </c>
      <c r="AA441">
        <v>0</v>
      </c>
      <c r="AB441" s="4" t="s">
        <v>1895</v>
      </c>
      <c r="AC441" s="4" t="s">
        <v>190</v>
      </c>
      <c r="AD441" s="4" t="s">
        <v>190</v>
      </c>
      <c r="AE441" s="4" t="s">
        <v>190</v>
      </c>
      <c r="AF441" s="4" t="s">
        <v>190</v>
      </c>
    </row>
    <row r="442" spans="1:32" ht="16.5" customHeight="1">
      <c r="A442" s="3" t="s">
        <v>266</v>
      </c>
      <c r="B442" s="3" t="s">
        <v>56</v>
      </c>
      <c r="C442" s="3" t="s">
        <v>56</v>
      </c>
      <c r="D442" s="3" t="s">
        <v>116</v>
      </c>
      <c r="E442" s="3" t="s">
        <v>3213</v>
      </c>
      <c r="F442" s="3" t="s">
        <v>3214</v>
      </c>
      <c r="G442" s="3" t="s">
        <v>269</v>
      </c>
      <c r="H442" s="5">
        <v>45981</v>
      </c>
      <c r="I442" s="5">
        <v>46030.648576388892</v>
      </c>
      <c r="J442" s="3" t="s">
        <v>3215</v>
      </c>
      <c r="K442" s="3" t="s">
        <v>1892</v>
      </c>
      <c r="L442">
        <v>6</v>
      </c>
      <c r="M442" s="5">
        <v>46108</v>
      </c>
      <c r="N442" s="3" t="s">
        <v>1893</v>
      </c>
      <c r="O442">
        <v>0</v>
      </c>
      <c r="P442" s="3" t="s">
        <v>24</v>
      </c>
      <c r="Q442" s="3" t="s">
        <v>1893</v>
      </c>
      <c r="R442" s="5">
        <v>46118</v>
      </c>
      <c r="S442" s="3" t="s">
        <v>190</v>
      </c>
      <c r="T442" s="3" t="s">
        <v>190</v>
      </c>
      <c r="U442">
        <v>0</v>
      </c>
      <c r="V442" s="3" t="s">
        <v>1894</v>
      </c>
      <c r="W442" s="3" t="s">
        <v>190</v>
      </c>
      <c r="X442" s="5">
        <v>46132</v>
      </c>
      <c r="Y442" s="3" t="s">
        <v>190</v>
      </c>
      <c r="Z442" s="3" t="s">
        <v>190</v>
      </c>
      <c r="AA442">
        <v>0</v>
      </c>
      <c r="AB442" s="3" t="s">
        <v>1895</v>
      </c>
      <c r="AC442" s="3" t="s">
        <v>190</v>
      </c>
      <c r="AD442" s="3" t="s">
        <v>190</v>
      </c>
      <c r="AE442" s="3" t="s">
        <v>190</v>
      </c>
      <c r="AF442" s="3" t="s">
        <v>190</v>
      </c>
    </row>
    <row r="443" spans="1:32" ht="16.5" customHeight="1">
      <c r="A443" s="4" t="s">
        <v>229</v>
      </c>
      <c r="B443" s="4" t="s">
        <v>56</v>
      </c>
      <c r="C443" s="4" t="s">
        <v>56</v>
      </c>
      <c r="D443" s="4" t="s">
        <v>116</v>
      </c>
      <c r="E443" s="4" t="s">
        <v>3216</v>
      </c>
      <c r="F443" s="4" t="s">
        <v>3217</v>
      </c>
      <c r="G443" s="4" t="s">
        <v>250</v>
      </c>
      <c r="H443" s="6">
        <v>46038</v>
      </c>
      <c r="I443" s="6">
        <v>46042.415370370371</v>
      </c>
      <c r="J443" s="4" t="s">
        <v>3218</v>
      </c>
      <c r="K443" s="4" t="s">
        <v>1892</v>
      </c>
      <c r="L443">
        <v>6</v>
      </c>
      <c r="M443" s="6">
        <v>46105</v>
      </c>
      <c r="N443" s="4" t="s">
        <v>1893</v>
      </c>
      <c r="O443">
        <v>0</v>
      </c>
      <c r="P443" s="4" t="s">
        <v>24</v>
      </c>
      <c r="Q443" s="4" t="s">
        <v>1893</v>
      </c>
      <c r="R443" s="6">
        <v>46118</v>
      </c>
      <c r="S443" s="4" t="s">
        <v>190</v>
      </c>
      <c r="T443" s="4" t="s">
        <v>190</v>
      </c>
      <c r="U443">
        <v>0</v>
      </c>
      <c r="V443" s="4" t="s">
        <v>1794</v>
      </c>
      <c r="W443" s="4" t="s">
        <v>190</v>
      </c>
      <c r="X443" s="6">
        <v>46132</v>
      </c>
      <c r="Y443" s="4" t="s">
        <v>190</v>
      </c>
      <c r="Z443" s="4" t="s">
        <v>190</v>
      </c>
      <c r="AA443">
        <v>0</v>
      </c>
      <c r="AB443" s="4" t="s">
        <v>1895</v>
      </c>
      <c r="AC443" s="4" t="s">
        <v>190</v>
      </c>
      <c r="AD443" s="4" t="s">
        <v>190</v>
      </c>
      <c r="AE443" s="4" t="s">
        <v>190</v>
      </c>
      <c r="AF443" s="4" t="s">
        <v>190</v>
      </c>
    </row>
    <row r="444" spans="1:32" ht="16.5" customHeight="1">
      <c r="A444" s="3" t="s">
        <v>229</v>
      </c>
      <c r="B444" s="3" t="s">
        <v>56</v>
      </c>
      <c r="C444" s="3" t="s">
        <v>56</v>
      </c>
      <c r="D444" s="3" t="s">
        <v>116</v>
      </c>
      <c r="E444" s="3" t="s">
        <v>3219</v>
      </c>
      <c r="F444" s="3" t="s">
        <v>3220</v>
      </c>
      <c r="G444" s="3" t="s">
        <v>250</v>
      </c>
      <c r="H444" s="5">
        <v>46059</v>
      </c>
      <c r="I444" s="5">
        <v>46058.552546296298</v>
      </c>
      <c r="J444" s="3" t="s">
        <v>567</v>
      </c>
      <c r="K444" s="3" t="s">
        <v>1892</v>
      </c>
      <c r="L444">
        <v>6</v>
      </c>
      <c r="M444" s="5">
        <v>46107</v>
      </c>
      <c r="N444" s="3" t="s">
        <v>1900</v>
      </c>
      <c r="O444">
        <v>0</v>
      </c>
      <c r="P444" s="3" t="s">
        <v>24</v>
      </c>
      <c r="Q444" s="3" t="s">
        <v>1893</v>
      </c>
      <c r="R444" s="5">
        <v>46118</v>
      </c>
      <c r="S444" s="3" t="s">
        <v>190</v>
      </c>
      <c r="T444" s="3" t="s">
        <v>190</v>
      </c>
      <c r="U444">
        <v>0</v>
      </c>
      <c r="V444" s="3" t="s">
        <v>1794</v>
      </c>
      <c r="W444" s="3" t="s">
        <v>190</v>
      </c>
      <c r="X444" s="5">
        <v>46132</v>
      </c>
      <c r="Y444" s="3" t="s">
        <v>190</v>
      </c>
      <c r="Z444" s="3" t="s">
        <v>190</v>
      </c>
      <c r="AA444">
        <v>0</v>
      </c>
      <c r="AB444" s="3" t="s">
        <v>1895</v>
      </c>
      <c r="AC444" s="3" t="s">
        <v>190</v>
      </c>
      <c r="AD444" s="3" t="s">
        <v>190</v>
      </c>
      <c r="AE444" s="3" t="s">
        <v>190</v>
      </c>
      <c r="AF444" s="3" t="s">
        <v>190</v>
      </c>
    </row>
    <row r="445" spans="1:32" ht="16.5" customHeight="1">
      <c r="A445" s="4" t="s">
        <v>229</v>
      </c>
      <c r="B445" s="4" t="s">
        <v>56</v>
      </c>
      <c r="C445" s="4" t="s">
        <v>56</v>
      </c>
      <c r="D445" s="4" t="s">
        <v>1795</v>
      </c>
      <c r="E445" s="4" t="s">
        <v>3221</v>
      </c>
      <c r="F445" s="4" t="s">
        <v>3222</v>
      </c>
      <c r="G445" s="4" t="s">
        <v>250</v>
      </c>
      <c r="H445" s="6">
        <v>46045</v>
      </c>
      <c r="I445" s="6">
        <v>46042.416979166665</v>
      </c>
      <c r="J445" s="4" t="s">
        <v>3223</v>
      </c>
      <c r="K445" s="4" t="s">
        <v>1892</v>
      </c>
      <c r="L445">
        <v>6</v>
      </c>
      <c r="M445" s="6"/>
      <c r="N445" s="4" t="s">
        <v>190</v>
      </c>
      <c r="O445">
        <v>0</v>
      </c>
      <c r="P445" s="4" t="s">
        <v>24</v>
      </c>
      <c r="Q445" s="4" t="s">
        <v>190</v>
      </c>
      <c r="R445" s="6">
        <v>46118</v>
      </c>
      <c r="S445" s="4" t="s">
        <v>190</v>
      </c>
      <c r="T445" s="4" t="s">
        <v>190</v>
      </c>
      <c r="U445">
        <v>0</v>
      </c>
      <c r="V445" s="4" t="s">
        <v>1794</v>
      </c>
      <c r="W445" s="4" t="s">
        <v>190</v>
      </c>
      <c r="X445" s="6">
        <v>46132</v>
      </c>
      <c r="Y445" s="4" t="s">
        <v>190</v>
      </c>
      <c r="Z445" s="4" t="s">
        <v>190</v>
      </c>
      <c r="AA445">
        <v>0</v>
      </c>
      <c r="AB445" s="4" t="s">
        <v>1895</v>
      </c>
      <c r="AC445" s="4" t="s">
        <v>190</v>
      </c>
      <c r="AD445" s="4" t="s">
        <v>190</v>
      </c>
      <c r="AE445" s="4" t="s">
        <v>190</v>
      </c>
      <c r="AF445" s="4" t="s">
        <v>190</v>
      </c>
    </row>
    <row r="446" spans="1:32" ht="16.5" customHeight="1">
      <c r="A446" s="3" t="s">
        <v>229</v>
      </c>
      <c r="B446" s="3" t="s">
        <v>56</v>
      </c>
      <c r="C446" s="3" t="s">
        <v>56</v>
      </c>
      <c r="D446" s="3" t="s">
        <v>1923</v>
      </c>
      <c r="E446" s="3" t="s">
        <v>3224</v>
      </c>
      <c r="F446" s="3" t="s">
        <v>3225</v>
      </c>
      <c r="G446" s="3" t="s">
        <v>233</v>
      </c>
      <c r="H446" s="5">
        <v>46066</v>
      </c>
      <c r="I446" s="5">
        <v>46093.388078703705</v>
      </c>
      <c r="J446" s="3" t="s">
        <v>3226</v>
      </c>
      <c r="K446" s="3" t="s">
        <v>1892</v>
      </c>
      <c r="L446">
        <v>6</v>
      </c>
      <c r="M446" s="5"/>
      <c r="N446" s="3" t="s">
        <v>190</v>
      </c>
      <c r="O446">
        <v>0</v>
      </c>
      <c r="P446" s="3" t="s">
        <v>24</v>
      </c>
      <c r="Q446" s="3" t="s">
        <v>190</v>
      </c>
      <c r="R446" s="5">
        <v>46118</v>
      </c>
      <c r="S446" s="3" t="s">
        <v>190</v>
      </c>
      <c r="T446" s="3" t="s">
        <v>190</v>
      </c>
      <c r="U446">
        <v>0</v>
      </c>
      <c r="V446" s="3" t="s">
        <v>1794</v>
      </c>
      <c r="W446" s="3" t="s">
        <v>190</v>
      </c>
      <c r="X446" s="5">
        <v>46132</v>
      </c>
      <c r="Y446" s="3" t="s">
        <v>190</v>
      </c>
      <c r="Z446" s="3" t="s">
        <v>190</v>
      </c>
      <c r="AA446">
        <v>0</v>
      </c>
      <c r="AB446" s="3" t="s">
        <v>1895</v>
      </c>
      <c r="AC446" s="3" t="s">
        <v>190</v>
      </c>
      <c r="AD446" s="3" t="s">
        <v>190</v>
      </c>
      <c r="AE446" s="3" t="s">
        <v>190</v>
      </c>
      <c r="AF446" s="3" t="s">
        <v>190</v>
      </c>
    </row>
    <row r="447" spans="1:32" ht="16.5" customHeight="1">
      <c r="A447" s="4" t="s">
        <v>229</v>
      </c>
      <c r="B447" s="4" t="s">
        <v>56</v>
      </c>
      <c r="C447" s="4" t="s">
        <v>56</v>
      </c>
      <c r="D447" s="4" t="s">
        <v>116</v>
      </c>
      <c r="E447" s="4" t="s">
        <v>3227</v>
      </c>
      <c r="F447" s="4" t="s">
        <v>3228</v>
      </c>
      <c r="G447" s="4" t="s">
        <v>250</v>
      </c>
      <c r="H447" s="6">
        <v>46059</v>
      </c>
      <c r="I447" s="6">
        <v>46051.458541666667</v>
      </c>
      <c r="J447" s="4" t="s">
        <v>3229</v>
      </c>
      <c r="K447" s="4" t="s">
        <v>1892</v>
      </c>
      <c r="L447">
        <v>6</v>
      </c>
      <c r="M447" s="6">
        <v>46105</v>
      </c>
      <c r="N447" s="4" t="s">
        <v>1893</v>
      </c>
      <c r="O447">
        <v>0</v>
      </c>
      <c r="P447" s="4" t="s">
        <v>24</v>
      </c>
      <c r="Q447" s="4" t="s">
        <v>1893</v>
      </c>
      <c r="R447" s="6">
        <v>46118</v>
      </c>
      <c r="S447" s="4" t="s">
        <v>190</v>
      </c>
      <c r="T447" s="4" t="s">
        <v>190</v>
      </c>
      <c r="U447">
        <v>0</v>
      </c>
      <c r="V447" s="4" t="s">
        <v>1901</v>
      </c>
      <c r="W447" s="4" t="s">
        <v>190</v>
      </c>
      <c r="X447" s="6">
        <v>46132</v>
      </c>
      <c r="Y447" s="4" t="s">
        <v>190</v>
      </c>
      <c r="Z447" s="4" t="s">
        <v>190</v>
      </c>
      <c r="AA447">
        <v>0</v>
      </c>
      <c r="AB447" s="4" t="s">
        <v>1895</v>
      </c>
      <c r="AC447" s="4" t="s">
        <v>190</v>
      </c>
      <c r="AD447" s="4" t="s">
        <v>190</v>
      </c>
      <c r="AE447" s="4" t="s">
        <v>190</v>
      </c>
      <c r="AF447" s="4" t="s">
        <v>190</v>
      </c>
    </row>
    <row r="448" spans="1:32" ht="16.5" customHeight="1">
      <c r="A448" s="3" t="s">
        <v>229</v>
      </c>
      <c r="B448" s="3" t="s">
        <v>56</v>
      </c>
      <c r="C448" s="3" t="s">
        <v>56</v>
      </c>
      <c r="D448" s="3" t="s">
        <v>116</v>
      </c>
      <c r="E448" s="3" t="s">
        <v>3230</v>
      </c>
      <c r="F448" s="3" t="s">
        <v>3231</v>
      </c>
      <c r="G448" s="3" t="s">
        <v>250</v>
      </c>
      <c r="H448" s="5">
        <v>46094</v>
      </c>
      <c r="I448" s="5">
        <v>46087.751655092594</v>
      </c>
      <c r="J448" s="3" t="s">
        <v>3232</v>
      </c>
      <c r="K448" s="3" t="s">
        <v>1892</v>
      </c>
      <c r="L448">
        <v>6</v>
      </c>
      <c r="M448" s="5">
        <v>46106</v>
      </c>
      <c r="N448" s="3" t="s">
        <v>1893</v>
      </c>
      <c r="O448">
        <v>0</v>
      </c>
      <c r="P448" s="3" t="s">
        <v>24</v>
      </c>
      <c r="Q448" s="3" t="s">
        <v>1893</v>
      </c>
      <c r="R448" s="5">
        <v>46118</v>
      </c>
      <c r="S448" s="3" t="s">
        <v>190</v>
      </c>
      <c r="T448" s="3" t="s">
        <v>190</v>
      </c>
      <c r="U448">
        <v>0</v>
      </c>
      <c r="V448" s="3" t="s">
        <v>1794</v>
      </c>
      <c r="W448" s="3" t="s">
        <v>190</v>
      </c>
      <c r="X448" s="5">
        <v>46132</v>
      </c>
      <c r="Y448" s="3" t="s">
        <v>190</v>
      </c>
      <c r="Z448" s="3" t="s">
        <v>190</v>
      </c>
      <c r="AA448">
        <v>0</v>
      </c>
      <c r="AB448" s="3" t="s">
        <v>1895</v>
      </c>
      <c r="AC448" s="3" t="s">
        <v>190</v>
      </c>
      <c r="AD448" s="3" t="s">
        <v>190</v>
      </c>
      <c r="AE448" s="3" t="s">
        <v>190</v>
      </c>
      <c r="AF448" s="3" t="s">
        <v>190</v>
      </c>
    </row>
    <row r="449" spans="1:32" ht="16.5" customHeight="1">
      <c r="A449" s="4" t="s">
        <v>229</v>
      </c>
      <c r="B449" s="4" t="s">
        <v>56</v>
      </c>
      <c r="C449" s="4" t="s">
        <v>56</v>
      </c>
      <c r="D449" s="4" t="s">
        <v>116</v>
      </c>
      <c r="E449" s="4" t="s">
        <v>3233</v>
      </c>
      <c r="F449" s="4" t="s">
        <v>3234</v>
      </c>
      <c r="G449" s="4" t="s">
        <v>250</v>
      </c>
      <c r="H449" s="6">
        <v>46094</v>
      </c>
      <c r="I449" s="6">
        <v>46087.751851851855</v>
      </c>
      <c r="J449" s="4" t="s">
        <v>3235</v>
      </c>
      <c r="K449" s="4" t="s">
        <v>1892</v>
      </c>
      <c r="L449">
        <v>6</v>
      </c>
      <c r="M449" s="6">
        <v>46106</v>
      </c>
      <c r="N449" s="4" t="s">
        <v>1893</v>
      </c>
      <c r="O449">
        <v>0</v>
      </c>
      <c r="P449" s="4" t="s">
        <v>24</v>
      </c>
      <c r="Q449" s="4" t="s">
        <v>1893</v>
      </c>
      <c r="R449" s="6">
        <v>46118</v>
      </c>
      <c r="S449" s="4" t="s">
        <v>190</v>
      </c>
      <c r="T449" s="4" t="s">
        <v>190</v>
      </c>
      <c r="U449">
        <v>0</v>
      </c>
      <c r="V449" s="4" t="s">
        <v>1794</v>
      </c>
      <c r="W449" s="4" t="s">
        <v>190</v>
      </c>
      <c r="X449" s="6">
        <v>46132</v>
      </c>
      <c r="Y449" s="4" t="s">
        <v>190</v>
      </c>
      <c r="Z449" s="4" t="s">
        <v>190</v>
      </c>
      <c r="AA449">
        <v>0</v>
      </c>
      <c r="AB449" s="4" t="s">
        <v>1895</v>
      </c>
      <c r="AC449" s="4" t="s">
        <v>190</v>
      </c>
      <c r="AD449" s="4" t="s">
        <v>190</v>
      </c>
      <c r="AE449" s="4" t="s">
        <v>190</v>
      </c>
      <c r="AF449" s="4" t="s">
        <v>190</v>
      </c>
    </row>
    <row r="450" spans="1:32" ht="16.5" customHeight="1">
      <c r="A450" s="3" t="s">
        <v>229</v>
      </c>
      <c r="B450" s="3" t="s">
        <v>2180</v>
      </c>
      <c r="C450" s="3" t="s">
        <v>2181</v>
      </c>
      <c r="D450" s="3" t="s">
        <v>25</v>
      </c>
      <c r="E450" s="3" t="s">
        <v>3236</v>
      </c>
      <c r="F450" s="3" t="s">
        <v>3237</v>
      </c>
      <c r="G450" s="3" t="s">
        <v>233</v>
      </c>
      <c r="H450" s="5">
        <v>46073</v>
      </c>
      <c r="I450" s="5">
        <v>46064.374409722222</v>
      </c>
      <c r="J450" s="3" t="s">
        <v>1733</v>
      </c>
      <c r="K450" s="3" t="s">
        <v>1892</v>
      </c>
      <c r="L450">
        <v>6</v>
      </c>
      <c r="M450" s="5">
        <v>46105</v>
      </c>
      <c r="N450" s="3" t="s">
        <v>1900</v>
      </c>
      <c r="O450">
        <v>0</v>
      </c>
      <c r="P450" s="3" t="s">
        <v>24</v>
      </c>
      <c r="Q450" s="3" t="s">
        <v>1893</v>
      </c>
      <c r="R450" s="5">
        <v>46118</v>
      </c>
      <c r="S450" s="3" t="s">
        <v>190</v>
      </c>
      <c r="T450" s="3" t="s">
        <v>190</v>
      </c>
      <c r="U450">
        <v>0</v>
      </c>
      <c r="V450" s="3" t="s">
        <v>1794</v>
      </c>
      <c r="W450" s="3" t="s">
        <v>190</v>
      </c>
      <c r="X450" s="5">
        <v>46132</v>
      </c>
      <c r="Y450" s="3" t="s">
        <v>190</v>
      </c>
      <c r="Z450" s="3" t="s">
        <v>190</v>
      </c>
      <c r="AA450">
        <v>0</v>
      </c>
      <c r="AB450" s="3" t="s">
        <v>1895</v>
      </c>
      <c r="AC450" s="3" t="s">
        <v>190</v>
      </c>
      <c r="AD450" s="3" t="s">
        <v>190</v>
      </c>
      <c r="AE450" s="3" t="s">
        <v>190</v>
      </c>
      <c r="AF450" s="3" t="s">
        <v>190</v>
      </c>
    </row>
    <row r="451" spans="1:32" ht="16.5" customHeight="1">
      <c r="A451" s="4" t="s">
        <v>306</v>
      </c>
      <c r="B451" s="4" t="s">
        <v>2189</v>
      </c>
      <c r="C451" s="4" t="s">
        <v>2417</v>
      </c>
      <c r="D451" s="4" t="s">
        <v>25</v>
      </c>
      <c r="E451" s="4" t="s">
        <v>3238</v>
      </c>
      <c r="F451" s="4" t="s">
        <v>3239</v>
      </c>
      <c r="G451" s="4" t="s">
        <v>309</v>
      </c>
      <c r="H451" s="6">
        <v>46038</v>
      </c>
      <c r="I451" s="6">
        <v>46051.763344907406</v>
      </c>
      <c r="J451" s="4" t="s">
        <v>3240</v>
      </c>
      <c r="K451" s="4" t="s">
        <v>1892</v>
      </c>
      <c r="L451">
        <v>6</v>
      </c>
      <c r="M451" s="6">
        <v>46105</v>
      </c>
      <c r="N451" s="4" t="s">
        <v>1893</v>
      </c>
      <c r="O451">
        <v>0</v>
      </c>
      <c r="P451" s="4" t="s">
        <v>24</v>
      </c>
      <c r="Q451" s="4" t="s">
        <v>1893</v>
      </c>
      <c r="R451" s="6">
        <v>46118</v>
      </c>
      <c r="S451" s="4" t="s">
        <v>190</v>
      </c>
      <c r="T451" s="4" t="s">
        <v>190</v>
      </c>
      <c r="U451">
        <v>0</v>
      </c>
      <c r="V451" s="4" t="s">
        <v>1901</v>
      </c>
      <c r="W451" s="4" t="s">
        <v>190</v>
      </c>
      <c r="X451" s="6">
        <v>46132</v>
      </c>
      <c r="Y451" s="4" t="s">
        <v>190</v>
      </c>
      <c r="Z451" s="4" t="s">
        <v>190</v>
      </c>
      <c r="AA451">
        <v>0</v>
      </c>
      <c r="AB451" s="4" t="s">
        <v>1895</v>
      </c>
      <c r="AC451" s="4" t="s">
        <v>190</v>
      </c>
      <c r="AD451" s="4" t="s">
        <v>190</v>
      </c>
      <c r="AE451" s="4" t="s">
        <v>190</v>
      </c>
      <c r="AF451" s="4" t="s">
        <v>190</v>
      </c>
    </row>
    <row r="452" spans="1:32" ht="16.5" customHeight="1">
      <c r="A452" s="3" t="s">
        <v>306</v>
      </c>
      <c r="B452" s="3" t="s">
        <v>56</v>
      </c>
      <c r="C452" s="3" t="s">
        <v>56</v>
      </c>
      <c r="D452" s="3" t="s">
        <v>116</v>
      </c>
      <c r="E452" s="3" t="s">
        <v>3241</v>
      </c>
      <c r="F452" s="3" t="s">
        <v>3242</v>
      </c>
      <c r="G452" s="3" t="s">
        <v>250</v>
      </c>
      <c r="H452" s="5">
        <v>46094</v>
      </c>
      <c r="I452" s="5">
        <v>46093.654861111114</v>
      </c>
      <c r="J452" s="3" t="s">
        <v>3243</v>
      </c>
      <c r="K452" s="3" t="s">
        <v>1892</v>
      </c>
      <c r="L452">
        <v>6</v>
      </c>
      <c r="M452" s="5">
        <v>46105</v>
      </c>
      <c r="N452" s="3" t="s">
        <v>1893</v>
      </c>
      <c r="O452">
        <v>0</v>
      </c>
      <c r="P452" s="3" t="s">
        <v>24</v>
      </c>
      <c r="Q452" s="3" t="s">
        <v>1893</v>
      </c>
      <c r="R452" s="5">
        <v>46118</v>
      </c>
      <c r="S452" s="3" t="s">
        <v>190</v>
      </c>
      <c r="T452" s="3" t="s">
        <v>190</v>
      </c>
      <c r="U452">
        <v>0</v>
      </c>
      <c r="V452" s="3" t="s">
        <v>1901</v>
      </c>
      <c r="W452" s="3" t="s">
        <v>190</v>
      </c>
      <c r="X452" s="5">
        <v>46132</v>
      </c>
      <c r="Y452" s="3" t="s">
        <v>190</v>
      </c>
      <c r="Z452" s="3" t="s">
        <v>190</v>
      </c>
      <c r="AA452">
        <v>0</v>
      </c>
      <c r="AB452" s="3" t="s">
        <v>1895</v>
      </c>
      <c r="AC452" s="3" t="s">
        <v>190</v>
      </c>
      <c r="AD452" s="3" t="s">
        <v>190</v>
      </c>
      <c r="AE452" s="3" t="s">
        <v>190</v>
      </c>
      <c r="AF452" s="3" t="s">
        <v>190</v>
      </c>
    </row>
    <row r="453" spans="1:32" ht="16.5" customHeight="1">
      <c r="A453" s="4" t="s">
        <v>306</v>
      </c>
      <c r="B453" s="4" t="s">
        <v>56</v>
      </c>
      <c r="C453" s="4" t="s">
        <v>56</v>
      </c>
      <c r="D453" s="4" t="s">
        <v>116</v>
      </c>
      <c r="E453" s="4" t="s">
        <v>3244</v>
      </c>
      <c r="F453" s="4" t="s">
        <v>3245</v>
      </c>
      <c r="G453" s="4" t="s">
        <v>250</v>
      </c>
      <c r="H453" s="6">
        <v>46094</v>
      </c>
      <c r="I453" s="6">
        <v>46098.681655092594</v>
      </c>
      <c r="J453" s="4" t="s">
        <v>3246</v>
      </c>
      <c r="K453" s="4" t="s">
        <v>1892</v>
      </c>
      <c r="L453">
        <v>6</v>
      </c>
      <c r="M453" s="6">
        <v>46105</v>
      </c>
      <c r="N453" s="4" t="s">
        <v>1893</v>
      </c>
      <c r="O453">
        <v>0</v>
      </c>
      <c r="P453" s="4" t="s">
        <v>24</v>
      </c>
      <c r="Q453" s="4" t="s">
        <v>1893</v>
      </c>
      <c r="R453" s="6">
        <v>46118</v>
      </c>
      <c r="S453" s="4" t="s">
        <v>190</v>
      </c>
      <c r="T453" s="4" t="s">
        <v>190</v>
      </c>
      <c r="U453">
        <v>0</v>
      </c>
      <c r="V453" s="4" t="s">
        <v>1901</v>
      </c>
      <c r="W453" s="4" t="s">
        <v>190</v>
      </c>
      <c r="X453" s="6">
        <v>46132</v>
      </c>
      <c r="Y453" s="4" t="s">
        <v>190</v>
      </c>
      <c r="Z453" s="4" t="s">
        <v>190</v>
      </c>
      <c r="AA453">
        <v>0</v>
      </c>
      <c r="AB453" s="4" t="s">
        <v>1895</v>
      </c>
      <c r="AC453" s="4" t="s">
        <v>190</v>
      </c>
      <c r="AD453" s="4" t="s">
        <v>190</v>
      </c>
      <c r="AE453" s="4" t="s">
        <v>190</v>
      </c>
      <c r="AF453" s="4" t="s">
        <v>190</v>
      </c>
    </row>
    <row r="454" spans="1:32" ht="16.5" customHeight="1">
      <c r="A454" s="3" t="s">
        <v>306</v>
      </c>
      <c r="B454" s="3" t="s">
        <v>56</v>
      </c>
      <c r="C454" s="3" t="s">
        <v>56</v>
      </c>
      <c r="D454" s="3" t="s">
        <v>116</v>
      </c>
      <c r="E454" s="3" t="s">
        <v>3247</v>
      </c>
      <c r="F454" s="3" t="s">
        <v>3248</v>
      </c>
      <c r="G454" s="3" t="s">
        <v>250</v>
      </c>
      <c r="H454" s="5">
        <v>46059</v>
      </c>
      <c r="I454" s="5">
        <v>45995.391851851855</v>
      </c>
      <c r="J454" s="3" t="s">
        <v>3249</v>
      </c>
      <c r="K454" s="3" t="s">
        <v>1892</v>
      </c>
      <c r="L454">
        <v>6</v>
      </c>
      <c r="M454" s="5">
        <v>46105</v>
      </c>
      <c r="N454" s="3" t="s">
        <v>1893</v>
      </c>
      <c r="O454">
        <v>0</v>
      </c>
      <c r="P454" s="3" t="s">
        <v>24</v>
      </c>
      <c r="Q454" s="3" t="s">
        <v>1893</v>
      </c>
      <c r="R454" s="5">
        <v>46118</v>
      </c>
      <c r="S454" s="3" t="s">
        <v>190</v>
      </c>
      <c r="T454" s="3" t="s">
        <v>190</v>
      </c>
      <c r="U454">
        <v>0</v>
      </c>
      <c r="V454" s="3" t="s">
        <v>1901</v>
      </c>
      <c r="W454" s="3" t="s">
        <v>190</v>
      </c>
      <c r="X454" s="5">
        <v>46132</v>
      </c>
      <c r="Y454" s="3" t="s">
        <v>190</v>
      </c>
      <c r="Z454" s="3" t="s">
        <v>190</v>
      </c>
      <c r="AA454">
        <v>0</v>
      </c>
      <c r="AB454" s="3" t="s">
        <v>1895</v>
      </c>
      <c r="AC454" s="3" t="s">
        <v>190</v>
      </c>
      <c r="AD454" s="3" t="s">
        <v>190</v>
      </c>
      <c r="AE454" s="3" t="s">
        <v>190</v>
      </c>
      <c r="AF454" s="3" t="s">
        <v>190</v>
      </c>
    </row>
    <row r="455" spans="1:32" ht="16.5" customHeight="1">
      <c r="A455" s="4" t="s">
        <v>306</v>
      </c>
      <c r="B455" s="4" t="s">
        <v>56</v>
      </c>
      <c r="C455" s="4" t="s">
        <v>56</v>
      </c>
      <c r="D455" s="4" t="s">
        <v>116</v>
      </c>
      <c r="E455" s="4" t="s">
        <v>3250</v>
      </c>
      <c r="F455" s="4" t="s">
        <v>3251</v>
      </c>
      <c r="G455" s="4" t="s">
        <v>250</v>
      </c>
      <c r="H455" s="6">
        <v>46080</v>
      </c>
      <c r="I455" s="6">
        <v>46064.384942129633</v>
      </c>
      <c r="J455" s="4" t="s">
        <v>3252</v>
      </c>
      <c r="K455" s="4" t="s">
        <v>1892</v>
      </c>
      <c r="L455">
        <v>6</v>
      </c>
      <c r="M455" s="6">
        <v>46105</v>
      </c>
      <c r="N455" s="4" t="s">
        <v>1893</v>
      </c>
      <c r="O455">
        <v>0</v>
      </c>
      <c r="P455" s="4" t="s">
        <v>24</v>
      </c>
      <c r="Q455" s="4" t="s">
        <v>1893</v>
      </c>
      <c r="R455" s="6">
        <v>46118</v>
      </c>
      <c r="S455" s="4" t="s">
        <v>190</v>
      </c>
      <c r="T455" s="4" t="s">
        <v>190</v>
      </c>
      <c r="U455">
        <v>0</v>
      </c>
      <c r="V455" s="4" t="s">
        <v>1901</v>
      </c>
      <c r="W455" s="4" t="s">
        <v>190</v>
      </c>
      <c r="X455" s="6">
        <v>46132</v>
      </c>
      <c r="Y455" s="4" t="s">
        <v>190</v>
      </c>
      <c r="Z455" s="4" t="s">
        <v>190</v>
      </c>
      <c r="AA455">
        <v>0</v>
      </c>
      <c r="AB455" s="4" t="s">
        <v>1895</v>
      </c>
      <c r="AC455" s="4" t="s">
        <v>190</v>
      </c>
      <c r="AD455" s="4" t="s">
        <v>190</v>
      </c>
      <c r="AE455" s="4" t="s">
        <v>190</v>
      </c>
      <c r="AF455" s="4" t="s">
        <v>190</v>
      </c>
    </row>
    <row r="456" spans="1:32" ht="16.5" customHeight="1">
      <c r="A456" s="3" t="s">
        <v>580</v>
      </c>
      <c r="B456" s="3" t="s">
        <v>56</v>
      </c>
      <c r="C456" s="3" t="s">
        <v>56</v>
      </c>
      <c r="D456" s="3" t="s">
        <v>1923</v>
      </c>
      <c r="E456" s="3" t="s">
        <v>3253</v>
      </c>
      <c r="F456" s="3" t="s">
        <v>3254</v>
      </c>
      <c r="G456" s="3" t="s">
        <v>584</v>
      </c>
      <c r="H456" s="5">
        <v>46081</v>
      </c>
      <c r="I456" s="5">
        <v>46098.711481481485</v>
      </c>
      <c r="J456" s="3" t="s">
        <v>3255</v>
      </c>
      <c r="K456" s="3" t="s">
        <v>1892</v>
      </c>
      <c r="L456">
        <v>6</v>
      </c>
      <c r="M456" s="5">
        <v>46104</v>
      </c>
      <c r="N456" s="3" t="s">
        <v>1893</v>
      </c>
      <c r="O456">
        <v>0</v>
      </c>
      <c r="P456" s="3" t="s">
        <v>24</v>
      </c>
      <c r="Q456" s="3" t="s">
        <v>1893</v>
      </c>
      <c r="R456" s="5">
        <v>46118</v>
      </c>
      <c r="S456" s="3" t="s">
        <v>190</v>
      </c>
      <c r="T456" s="3" t="s">
        <v>190</v>
      </c>
      <c r="U456">
        <v>0</v>
      </c>
      <c r="V456" s="3" t="s">
        <v>1956</v>
      </c>
      <c r="W456" s="3" t="s">
        <v>190</v>
      </c>
      <c r="X456" s="5">
        <v>46132</v>
      </c>
      <c r="Y456" s="3" t="s">
        <v>190</v>
      </c>
      <c r="Z456" s="3" t="s">
        <v>190</v>
      </c>
      <c r="AA456">
        <v>0</v>
      </c>
      <c r="AB456" s="3" t="s">
        <v>1895</v>
      </c>
      <c r="AC456" s="3" t="s">
        <v>190</v>
      </c>
      <c r="AD456" s="3" t="s">
        <v>190</v>
      </c>
      <c r="AE456" s="3" t="s">
        <v>190</v>
      </c>
      <c r="AF456" s="3" t="s">
        <v>190</v>
      </c>
    </row>
    <row r="457" spans="1:32" ht="16.5" customHeight="1">
      <c r="A457" s="4" t="s">
        <v>580</v>
      </c>
      <c r="B457" s="4" t="s">
        <v>56</v>
      </c>
      <c r="C457" s="4" t="s">
        <v>56</v>
      </c>
      <c r="D457" s="4" t="s">
        <v>1923</v>
      </c>
      <c r="E457" s="4" t="s">
        <v>3256</v>
      </c>
      <c r="F457" s="4" t="s">
        <v>3257</v>
      </c>
      <c r="G457" s="4" t="s">
        <v>584</v>
      </c>
      <c r="H457" s="6">
        <v>46045</v>
      </c>
      <c r="I457" s="6">
        <v>46062.642685185187</v>
      </c>
      <c r="J457" s="4" t="s">
        <v>3258</v>
      </c>
      <c r="K457" s="4" t="s">
        <v>1892</v>
      </c>
      <c r="L457">
        <v>6</v>
      </c>
      <c r="M457" s="6"/>
      <c r="N457" s="4" t="s">
        <v>190</v>
      </c>
      <c r="O457">
        <v>0</v>
      </c>
      <c r="P457" s="4" t="s">
        <v>24</v>
      </c>
      <c r="Q457" s="4" t="s">
        <v>190</v>
      </c>
      <c r="R457" s="6">
        <v>46118</v>
      </c>
      <c r="S457" s="4" t="s">
        <v>190</v>
      </c>
      <c r="T457" s="4" t="s">
        <v>190</v>
      </c>
      <c r="U457">
        <v>0</v>
      </c>
      <c r="V457" s="4" t="s">
        <v>1901</v>
      </c>
      <c r="W457" s="4" t="s">
        <v>190</v>
      </c>
      <c r="X457" s="6">
        <v>46132</v>
      </c>
      <c r="Y457" s="4" t="s">
        <v>190</v>
      </c>
      <c r="Z457" s="4" t="s">
        <v>190</v>
      </c>
      <c r="AA457">
        <v>0</v>
      </c>
      <c r="AB457" s="4" t="s">
        <v>1895</v>
      </c>
      <c r="AC457" s="4" t="s">
        <v>190</v>
      </c>
      <c r="AD457" s="4" t="s">
        <v>190</v>
      </c>
      <c r="AE457" s="4" t="s">
        <v>190</v>
      </c>
      <c r="AF457" s="4" t="s">
        <v>190</v>
      </c>
    </row>
    <row r="458" spans="1:32" ht="16.5" customHeight="1">
      <c r="A458" s="3" t="s">
        <v>580</v>
      </c>
      <c r="B458" s="3" t="s">
        <v>2727</v>
      </c>
      <c r="C458" s="3" t="s">
        <v>2728</v>
      </c>
      <c r="D458" s="3" t="s">
        <v>25</v>
      </c>
      <c r="E458" s="3" t="s">
        <v>3259</v>
      </c>
      <c r="F458" s="3" t="s">
        <v>3260</v>
      </c>
      <c r="G458" s="3" t="s">
        <v>583</v>
      </c>
      <c r="H458" s="5">
        <v>46059</v>
      </c>
      <c r="I458" s="5">
        <v>46055.61005787037</v>
      </c>
      <c r="J458" s="3" t="s">
        <v>3261</v>
      </c>
      <c r="K458" s="3" t="s">
        <v>1892</v>
      </c>
      <c r="L458">
        <v>6</v>
      </c>
      <c r="M458" s="5">
        <v>46104</v>
      </c>
      <c r="N458" s="3" t="s">
        <v>1893</v>
      </c>
      <c r="O458">
        <v>0</v>
      </c>
      <c r="P458" s="3" t="s">
        <v>24</v>
      </c>
      <c r="Q458" s="3" t="s">
        <v>1893</v>
      </c>
      <c r="R458" s="5">
        <v>46118</v>
      </c>
      <c r="S458" s="3" t="s">
        <v>190</v>
      </c>
      <c r="T458" s="3" t="s">
        <v>190</v>
      </c>
      <c r="U458">
        <v>0</v>
      </c>
      <c r="V458" s="3" t="s">
        <v>1956</v>
      </c>
      <c r="W458" s="3" t="s">
        <v>190</v>
      </c>
      <c r="X458" s="5">
        <v>46132</v>
      </c>
      <c r="Y458" s="3" t="s">
        <v>190</v>
      </c>
      <c r="Z458" s="3" t="s">
        <v>190</v>
      </c>
      <c r="AA458">
        <v>0</v>
      </c>
      <c r="AB458" s="3" t="s">
        <v>1895</v>
      </c>
      <c r="AC458" s="3" t="s">
        <v>190</v>
      </c>
      <c r="AD458" s="3" t="s">
        <v>190</v>
      </c>
      <c r="AE458" s="3" t="s">
        <v>190</v>
      </c>
      <c r="AF458" s="3" t="s">
        <v>190</v>
      </c>
    </row>
    <row r="459" spans="1:32" ht="16.5" customHeight="1">
      <c r="A459" s="4" t="s">
        <v>275</v>
      </c>
      <c r="B459" s="4" t="s">
        <v>1985</v>
      </c>
      <c r="C459" s="4" t="s">
        <v>1986</v>
      </c>
      <c r="D459" s="4" t="s">
        <v>25</v>
      </c>
      <c r="E459" s="4" t="s">
        <v>3262</v>
      </c>
      <c r="F459" s="4" t="s">
        <v>3263</v>
      </c>
      <c r="G459" s="4" t="s">
        <v>512</v>
      </c>
      <c r="H459" s="6">
        <v>46081</v>
      </c>
      <c r="I459" s="6">
        <v>46048.382557870369</v>
      </c>
      <c r="J459" s="4" t="s">
        <v>698</v>
      </c>
      <c r="K459" s="4" t="s">
        <v>1892</v>
      </c>
      <c r="L459">
        <v>6</v>
      </c>
      <c r="M459" s="6">
        <v>46107</v>
      </c>
      <c r="N459" s="4" t="s">
        <v>1900</v>
      </c>
      <c r="O459">
        <v>0</v>
      </c>
      <c r="P459" s="4" t="s">
        <v>24</v>
      </c>
      <c r="Q459" s="4" t="s">
        <v>1900</v>
      </c>
      <c r="R459" s="6">
        <v>46118</v>
      </c>
      <c r="S459" s="4" t="s">
        <v>190</v>
      </c>
      <c r="T459" s="4" t="s">
        <v>190</v>
      </c>
      <c r="U459">
        <v>0</v>
      </c>
      <c r="V459" s="4" t="s">
        <v>1983</v>
      </c>
      <c r="W459" s="4" t="s">
        <v>190</v>
      </c>
      <c r="X459" s="6">
        <v>46132</v>
      </c>
      <c r="Y459" s="4" t="s">
        <v>190</v>
      </c>
      <c r="Z459" s="4" t="s">
        <v>190</v>
      </c>
      <c r="AA459">
        <v>0</v>
      </c>
      <c r="AB459" s="4" t="s">
        <v>1984</v>
      </c>
      <c r="AC459" s="4" t="s">
        <v>190</v>
      </c>
      <c r="AD459" s="4" t="s">
        <v>190</v>
      </c>
      <c r="AE459" s="4" t="s">
        <v>190</v>
      </c>
      <c r="AF459" s="4" t="s">
        <v>190</v>
      </c>
    </row>
    <row r="460" spans="1:32" ht="16.5" customHeight="1">
      <c r="A460" s="3" t="s">
        <v>275</v>
      </c>
      <c r="B460" s="3" t="s">
        <v>2225</v>
      </c>
      <c r="C460" s="3" t="s">
        <v>2603</v>
      </c>
      <c r="D460" s="3" t="s">
        <v>25</v>
      </c>
      <c r="E460" s="3" t="s">
        <v>3264</v>
      </c>
      <c r="F460" s="3" t="s">
        <v>3265</v>
      </c>
      <c r="G460" s="3" t="s">
        <v>512</v>
      </c>
      <c r="H460" s="5">
        <v>46044</v>
      </c>
      <c r="I460" s="5">
        <v>46051.590983796297</v>
      </c>
      <c r="J460" s="3" t="s">
        <v>509</v>
      </c>
      <c r="K460" s="3" t="s">
        <v>1892</v>
      </c>
      <c r="L460">
        <v>6</v>
      </c>
      <c r="M460" s="5">
        <v>46108</v>
      </c>
      <c r="N460" s="3" t="s">
        <v>1900</v>
      </c>
      <c r="O460">
        <v>0</v>
      </c>
      <c r="P460" s="3" t="s">
        <v>24</v>
      </c>
      <c r="Q460" s="3" t="s">
        <v>1893</v>
      </c>
      <c r="R460" s="5">
        <v>46118</v>
      </c>
      <c r="S460" s="3" t="s">
        <v>190</v>
      </c>
      <c r="T460" s="3" t="s">
        <v>190</v>
      </c>
      <c r="U460">
        <v>0</v>
      </c>
      <c r="V460" s="3" t="s">
        <v>1983</v>
      </c>
      <c r="W460" s="3" t="s">
        <v>190</v>
      </c>
      <c r="X460" s="5">
        <v>46132</v>
      </c>
      <c r="Y460" s="3" t="s">
        <v>190</v>
      </c>
      <c r="Z460" s="3" t="s">
        <v>190</v>
      </c>
      <c r="AA460">
        <v>0</v>
      </c>
      <c r="AB460" s="3" t="s">
        <v>1984</v>
      </c>
      <c r="AC460" s="3" t="s">
        <v>190</v>
      </c>
      <c r="AD460" s="3" t="s">
        <v>190</v>
      </c>
      <c r="AE460" s="3" t="s">
        <v>190</v>
      </c>
      <c r="AF460" s="3" t="s">
        <v>190</v>
      </c>
    </row>
    <row r="461" spans="1:32" ht="16.5" customHeight="1">
      <c r="A461" s="4" t="s">
        <v>275</v>
      </c>
      <c r="B461" s="4" t="s">
        <v>2225</v>
      </c>
      <c r="C461" s="4" t="s">
        <v>2603</v>
      </c>
      <c r="D461" s="4" t="s">
        <v>25</v>
      </c>
      <c r="E461" s="4" t="s">
        <v>3266</v>
      </c>
      <c r="F461" s="4" t="s">
        <v>3267</v>
      </c>
      <c r="G461" s="4" t="s">
        <v>512</v>
      </c>
      <c r="H461" s="6">
        <v>46042</v>
      </c>
      <c r="I461" s="6">
        <v>46051.590428240743</v>
      </c>
      <c r="J461" s="4" t="s">
        <v>3268</v>
      </c>
      <c r="K461" s="4" t="s">
        <v>1892</v>
      </c>
      <c r="L461">
        <v>6</v>
      </c>
      <c r="M461" s="6">
        <v>46108</v>
      </c>
      <c r="N461" s="4" t="s">
        <v>1893</v>
      </c>
      <c r="O461">
        <v>0</v>
      </c>
      <c r="P461" s="4" t="s">
        <v>24</v>
      </c>
      <c r="Q461" s="4" t="s">
        <v>1893</v>
      </c>
      <c r="R461" s="6">
        <v>46118</v>
      </c>
      <c r="S461" s="4" t="s">
        <v>190</v>
      </c>
      <c r="T461" s="4" t="s">
        <v>190</v>
      </c>
      <c r="U461">
        <v>0</v>
      </c>
      <c r="V461" s="4" t="s">
        <v>1983</v>
      </c>
      <c r="W461" s="4" t="s">
        <v>190</v>
      </c>
      <c r="X461" s="6">
        <v>46132</v>
      </c>
      <c r="Y461" s="4" t="s">
        <v>190</v>
      </c>
      <c r="Z461" s="4" t="s">
        <v>190</v>
      </c>
      <c r="AA461">
        <v>0</v>
      </c>
      <c r="AB461" s="4" t="s">
        <v>1984</v>
      </c>
      <c r="AC461" s="4" t="s">
        <v>190</v>
      </c>
      <c r="AD461" s="4" t="s">
        <v>190</v>
      </c>
      <c r="AE461" s="4" t="s">
        <v>190</v>
      </c>
      <c r="AF461" s="4" t="s">
        <v>190</v>
      </c>
    </row>
    <row r="462" spans="1:32" ht="16.5" customHeight="1">
      <c r="A462" s="3" t="s">
        <v>184</v>
      </c>
      <c r="B462" s="3" t="s">
        <v>1989</v>
      </c>
      <c r="C462" s="3" t="s">
        <v>2241</v>
      </c>
      <c r="D462" s="3" t="s">
        <v>25</v>
      </c>
      <c r="E462" s="3" t="s">
        <v>3269</v>
      </c>
      <c r="F462" s="3" t="s">
        <v>3270</v>
      </c>
      <c r="G462" s="3" t="s">
        <v>496</v>
      </c>
      <c r="H462" s="5">
        <v>46017</v>
      </c>
      <c r="I462" s="5">
        <v>46107.25136574074</v>
      </c>
      <c r="J462" s="3" t="s">
        <v>3271</v>
      </c>
      <c r="K462" s="3" t="s">
        <v>1892</v>
      </c>
      <c r="L462">
        <v>6</v>
      </c>
      <c r="M462" s="5">
        <v>46107</v>
      </c>
      <c r="N462" s="3" t="s">
        <v>1893</v>
      </c>
      <c r="O462">
        <v>0</v>
      </c>
      <c r="P462" s="3" t="s">
        <v>24</v>
      </c>
      <c r="Q462" s="3" t="s">
        <v>1893</v>
      </c>
      <c r="R462" s="5">
        <v>46118</v>
      </c>
      <c r="S462" s="3" t="s">
        <v>190</v>
      </c>
      <c r="T462" s="3" t="s">
        <v>190</v>
      </c>
      <c r="U462">
        <v>0</v>
      </c>
      <c r="V462" s="3" t="s">
        <v>1901</v>
      </c>
      <c r="W462" s="3" t="s">
        <v>190</v>
      </c>
      <c r="X462" s="5">
        <v>46132</v>
      </c>
      <c r="Y462" s="3" t="s">
        <v>190</v>
      </c>
      <c r="Z462" s="3" t="s">
        <v>190</v>
      </c>
      <c r="AA462">
        <v>0</v>
      </c>
      <c r="AB462" s="3" t="s">
        <v>1895</v>
      </c>
      <c r="AC462" s="3" t="s">
        <v>190</v>
      </c>
      <c r="AD462" s="3" t="s">
        <v>190</v>
      </c>
      <c r="AE462" s="3" t="s">
        <v>190</v>
      </c>
      <c r="AF462" s="3" t="s">
        <v>190</v>
      </c>
    </row>
    <row r="463" spans="1:32" ht="16.5" customHeight="1">
      <c r="A463" s="4" t="s">
        <v>184</v>
      </c>
      <c r="B463" s="4" t="s">
        <v>1989</v>
      </c>
      <c r="C463" s="4" t="s">
        <v>2241</v>
      </c>
      <c r="D463" s="4" t="s">
        <v>25</v>
      </c>
      <c r="E463" s="4" t="s">
        <v>3272</v>
      </c>
      <c r="F463" s="4" t="s">
        <v>3273</v>
      </c>
      <c r="G463" s="4" t="s">
        <v>1291</v>
      </c>
      <c r="H463" s="6">
        <v>46017</v>
      </c>
      <c r="I463" s="6">
        <v>45999</v>
      </c>
      <c r="J463" s="4" t="s">
        <v>1739</v>
      </c>
      <c r="K463" s="4" t="s">
        <v>1892</v>
      </c>
      <c r="L463">
        <v>6</v>
      </c>
      <c r="M463" s="6">
        <v>46107</v>
      </c>
      <c r="N463" s="4" t="s">
        <v>1900</v>
      </c>
      <c r="O463">
        <v>0</v>
      </c>
      <c r="P463" s="4" t="s">
        <v>24</v>
      </c>
      <c r="Q463" s="4" t="s">
        <v>1900</v>
      </c>
      <c r="R463" s="6">
        <v>46118</v>
      </c>
      <c r="S463" s="4" t="s">
        <v>190</v>
      </c>
      <c r="T463" s="4" t="s">
        <v>190</v>
      </c>
      <c r="U463">
        <v>0</v>
      </c>
      <c r="V463" s="4" t="s">
        <v>1901</v>
      </c>
      <c r="W463" s="4" t="s">
        <v>190</v>
      </c>
      <c r="X463" s="6">
        <v>46132</v>
      </c>
      <c r="Y463" s="4" t="s">
        <v>190</v>
      </c>
      <c r="Z463" s="4" t="s">
        <v>190</v>
      </c>
      <c r="AA463">
        <v>0</v>
      </c>
      <c r="AB463" s="4" t="s">
        <v>1895</v>
      </c>
      <c r="AC463" s="4" t="s">
        <v>190</v>
      </c>
      <c r="AD463" s="4" t="s">
        <v>190</v>
      </c>
      <c r="AE463" s="4" t="s">
        <v>190</v>
      </c>
      <c r="AF463" s="4" t="s">
        <v>190</v>
      </c>
    </row>
    <row r="464" spans="1:32" ht="16.5" customHeight="1">
      <c r="A464" s="3" t="s">
        <v>184</v>
      </c>
      <c r="B464" s="3" t="s">
        <v>1989</v>
      </c>
      <c r="C464" s="3" t="s">
        <v>2244</v>
      </c>
      <c r="D464" s="3" t="s">
        <v>25</v>
      </c>
      <c r="E464" s="3" t="s">
        <v>3274</v>
      </c>
      <c r="F464" s="3" t="s">
        <v>3275</v>
      </c>
      <c r="G464" s="3" t="s">
        <v>496</v>
      </c>
      <c r="H464" s="5">
        <v>46073</v>
      </c>
      <c r="I464" s="5">
        <v>46107.721412037034</v>
      </c>
      <c r="J464" s="3" t="s">
        <v>3276</v>
      </c>
      <c r="K464" s="3" t="s">
        <v>1892</v>
      </c>
      <c r="L464">
        <v>6</v>
      </c>
      <c r="M464" s="5">
        <v>46107</v>
      </c>
      <c r="N464" s="3" t="s">
        <v>1893</v>
      </c>
      <c r="O464">
        <v>0</v>
      </c>
      <c r="P464" s="3" t="s">
        <v>24</v>
      </c>
      <c r="Q464" s="3" t="s">
        <v>1893</v>
      </c>
      <c r="R464" s="5">
        <v>46118</v>
      </c>
      <c r="S464" s="3" t="s">
        <v>190</v>
      </c>
      <c r="T464" s="3" t="s">
        <v>190</v>
      </c>
      <c r="U464">
        <v>0</v>
      </c>
      <c r="V464" s="3" t="s">
        <v>1901</v>
      </c>
      <c r="W464" s="3" t="s">
        <v>190</v>
      </c>
      <c r="X464" s="5">
        <v>46132</v>
      </c>
      <c r="Y464" s="3" t="s">
        <v>190</v>
      </c>
      <c r="Z464" s="3" t="s">
        <v>190</v>
      </c>
      <c r="AA464">
        <v>0</v>
      </c>
      <c r="AB464" s="3" t="s">
        <v>1895</v>
      </c>
      <c r="AC464" s="3" t="s">
        <v>190</v>
      </c>
      <c r="AD464" s="3" t="s">
        <v>190</v>
      </c>
      <c r="AE464" s="3" t="s">
        <v>190</v>
      </c>
      <c r="AF464" s="3" t="s">
        <v>190</v>
      </c>
    </row>
    <row r="465" spans="1:32" ht="16.5" customHeight="1">
      <c r="A465" s="4" t="s">
        <v>974</v>
      </c>
      <c r="B465" s="4" t="s">
        <v>2003</v>
      </c>
      <c r="C465" s="4" t="s">
        <v>2004</v>
      </c>
      <c r="D465" s="4" t="s">
        <v>25</v>
      </c>
      <c r="E465" s="4" t="s">
        <v>3277</v>
      </c>
      <c r="F465" s="4" t="s">
        <v>3278</v>
      </c>
      <c r="G465" s="4" t="s">
        <v>23</v>
      </c>
      <c r="H465" s="6">
        <v>46115</v>
      </c>
      <c r="I465" s="6"/>
      <c r="J465" s="4" t="s">
        <v>3279</v>
      </c>
      <c r="K465" s="4" t="s">
        <v>1892</v>
      </c>
      <c r="L465">
        <v>6</v>
      </c>
      <c r="M465" s="6"/>
      <c r="N465" s="4" t="s">
        <v>190</v>
      </c>
      <c r="O465">
        <v>0</v>
      </c>
      <c r="P465" s="4" t="s">
        <v>24</v>
      </c>
      <c r="Q465" s="4" t="s">
        <v>190</v>
      </c>
      <c r="R465" s="6">
        <v>46118</v>
      </c>
      <c r="S465" s="4" t="s">
        <v>190</v>
      </c>
      <c r="T465" s="4" t="s">
        <v>190</v>
      </c>
      <c r="U465">
        <v>0</v>
      </c>
      <c r="V465" s="4" t="s">
        <v>1894</v>
      </c>
      <c r="W465" s="4" t="s">
        <v>190</v>
      </c>
      <c r="X465" s="6">
        <v>46121</v>
      </c>
      <c r="Y465" s="4" t="s">
        <v>190</v>
      </c>
      <c r="Z465" s="4" t="s">
        <v>190</v>
      </c>
      <c r="AA465">
        <v>0</v>
      </c>
      <c r="AB465" s="4" t="s">
        <v>1895</v>
      </c>
      <c r="AC465" s="4" t="s">
        <v>190</v>
      </c>
      <c r="AD465" s="4" t="s">
        <v>190</v>
      </c>
      <c r="AE465" s="4" t="s">
        <v>190</v>
      </c>
      <c r="AF465" s="4" t="s">
        <v>190</v>
      </c>
    </row>
    <row r="466" spans="1:32" ht="16.5" customHeight="1">
      <c r="A466" s="3" t="s">
        <v>974</v>
      </c>
      <c r="B466" s="3" t="s">
        <v>2003</v>
      </c>
      <c r="C466" s="3" t="s">
        <v>2004</v>
      </c>
      <c r="D466" s="3" t="s">
        <v>25</v>
      </c>
      <c r="E466" s="3" t="s">
        <v>3280</v>
      </c>
      <c r="F466" s="3" t="s">
        <v>3281</v>
      </c>
      <c r="G466" s="3" t="s">
        <v>23</v>
      </c>
      <c r="H466" s="5">
        <v>46115</v>
      </c>
      <c r="I466" s="5"/>
      <c r="J466" s="3" t="s">
        <v>3282</v>
      </c>
      <c r="K466" s="3" t="s">
        <v>1892</v>
      </c>
      <c r="L466">
        <v>6</v>
      </c>
      <c r="M466" s="5"/>
      <c r="N466" s="3" t="s">
        <v>190</v>
      </c>
      <c r="O466">
        <v>0</v>
      </c>
      <c r="P466" s="3" t="s">
        <v>24</v>
      </c>
      <c r="Q466" s="3" t="s">
        <v>190</v>
      </c>
      <c r="R466" s="5">
        <v>46120</v>
      </c>
      <c r="S466" s="3" t="s">
        <v>190</v>
      </c>
      <c r="T466" s="3" t="s">
        <v>190</v>
      </c>
      <c r="U466">
        <v>0</v>
      </c>
      <c r="V466" s="3" t="s">
        <v>1894</v>
      </c>
      <c r="W466" s="3" t="s">
        <v>190</v>
      </c>
      <c r="X466" s="5">
        <v>46121</v>
      </c>
      <c r="Y466" s="3" t="s">
        <v>190</v>
      </c>
      <c r="Z466" s="3" t="s">
        <v>190</v>
      </c>
      <c r="AA466">
        <v>0</v>
      </c>
      <c r="AB466" s="3" t="s">
        <v>1895</v>
      </c>
      <c r="AC466" s="3" t="s">
        <v>190</v>
      </c>
      <c r="AD466" s="3" t="s">
        <v>190</v>
      </c>
      <c r="AE466" s="3" t="s">
        <v>190</v>
      </c>
      <c r="AF466" s="3" t="s">
        <v>190</v>
      </c>
    </row>
    <row r="467" spans="1:32" ht="16.5" customHeight="1">
      <c r="A467" s="4" t="s">
        <v>46</v>
      </c>
      <c r="B467" s="4" t="s">
        <v>2008</v>
      </c>
      <c r="C467" s="4" t="s">
        <v>2009</v>
      </c>
      <c r="D467" s="4" t="s">
        <v>25</v>
      </c>
      <c r="E467" s="4" t="s">
        <v>3283</v>
      </c>
      <c r="F467" s="4" t="s">
        <v>3284</v>
      </c>
      <c r="G467" s="4" t="s">
        <v>50</v>
      </c>
      <c r="H467" s="6">
        <v>46031</v>
      </c>
      <c r="I467" s="6">
        <v>46027.481817129628</v>
      </c>
      <c r="J467" s="4" t="s">
        <v>3285</v>
      </c>
      <c r="K467" s="4" t="s">
        <v>1892</v>
      </c>
      <c r="L467">
        <v>6</v>
      </c>
      <c r="M467" s="6">
        <v>46105</v>
      </c>
      <c r="N467" s="4" t="s">
        <v>1893</v>
      </c>
      <c r="O467">
        <v>0</v>
      </c>
      <c r="P467" s="4" t="s">
        <v>24</v>
      </c>
      <c r="Q467" s="4" t="s">
        <v>1893</v>
      </c>
      <c r="R467" s="6">
        <v>46118</v>
      </c>
      <c r="S467" s="4" t="s">
        <v>190</v>
      </c>
      <c r="T467" s="4" t="s">
        <v>190</v>
      </c>
      <c r="U467">
        <v>0</v>
      </c>
      <c r="V467" s="4" t="s">
        <v>2013</v>
      </c>
      <c r="W467" s="4" t="s">
        <v>190</v>
      </c>
      <c r="X467" s="6">
        <v>46132</v>
      </c>
      <c r="Y467" s="4" t="s">
        <v>190</v>
      </c>
      <c r="Z467" s="4" t="s">
        <v>190</v>
      </c>
      <c r="AA467">
        <v>0</v>
      </c>
      <c r="AB467" s="4" t="s">
        <v>1895</v>
      </c>
      <c r="AC467" s="4" t="s">
        <v>190</v>
      </c>
      <c r="AD467" s="4" t="s">
        <v>190</v>
      </c>
      <c r="AE467" s="4" t="s">
        <v>190</v>
      </c>
      <c r="AF467" s="4" t="s">
        <v>190</v>
      </c>
    </row>
    <row r="468" spans="1:32" ht="16.5" customHeight="1">
      <c r="A468" s="3" t="s">
        <v>46</v>
      </c>
      <c r="B468" s="3" t="s">
        <v>2008</v>
      </c>
      <c r="C468" s="3" t="s">
        <v>2256</v>
      </c>
      <c r="D468" s="3" t="s">
        <v>25</v>
      </c>
      <c r="E468" s="3" t="s">
        <v>3286</v>
      </c>
      <c r="F468" s="3" t="s">
        <v>3287</v>
      </c>
      <c r="G468" s="3" t="s">
        <v>50</v>
      </c>
      <c r="H468" s="5">
        <v>46031</v>
      </c>
      <c r="I468" s="5">
        <v>46029.680069444446</v>
      </c>
      <c r="J468" s="3" t="s">
        <v>3288</v>
      </c>
      <c r="K468" s="3" t="s">
        <v>1892</v>
      </c>
      <c r="L468">
        <v>6</v>
      </c>
      <c r="M468" s="5">
        <v>46105</v>
      </c>
      <c r="N468" s="3" t="s">
        <v>1893</v>
      </c>
      <c r="O468">
        <v>0</v>
      </c>
      <c r="P468" s="3" t="s">
        <v>24</v>
      </c>
      <c r="Q468" s="3" t="s">
        <v>1893</v>
      </c>
      <c r="R468" s="5">
        <v>46118</v>
      </c>
      <c r="S468" s="3" t="s">
        <v>190</v>
      </c>
      <c r="T468" s="3" t="s">
        <v>190</v>
      </c>
      <c r="U468">
        <v>0</v>
      </c>
      <c r="V468" s="3" t="s">
        <v>2013</v>
      </c>
      <c r="W468" s="3" t="s">
        <v>190</v>
      </c>
      <c r="X468" s="5">
        <v>46132</v>
      </c>
      <c r="Y468" s="3" t="s">
        <v>190</v>
      </c>
      <c r="Z468" s="3" t="s">
        <v>190</v>
      </c>
      <c r="AA468">
        <v>0</v>
      </c>
      <c r="AB468" s="3" t="s">
        <v>1895</v>
      </c>
      <c r="AC468" s="3" t="s">
        <v>190</v>
      </c>
      <c r="AD468" s="3" t="s">
        <v>190</v>
      </c>
      <c r="AE468" s="3" t="s">
        <v>190</v>
      </c>
      <c r="AF468" s="3" t="s">
        <v>190</v>
      </c>
    </row>
    <row r="469" spans="1:32" ht="16.5" customHeight="1">
      <c r="A469" s="4" t="s">
        <v>46</v>
      </c>
      <c r="B469" s="4" t="s">
        <v>2008</v>
      </c>
      <c r="C469" s="4" t="s">
        <v>2256</v>
      </c>
      <c r="D469" s="4" t="s">
        <v>25</v>
      </c>
      <c r="E469" s="4" t="s">
        <v>3289</v>
      </c>
      <c r="F469" s="4" t="s">
        <v>3290</v>
      </c>
      <c r="G469" s="4" t="s">
        <v>49</v>
      </c>
      <c r="H469" s="6">
        <v>46045</v>
      </c>
      <c r="I469" s="6">
        <v>46043.608206018522</v>
      </c>
      <c r="J469" s="4" t="s">
        <v>162</v>
      </c>
      <c r="K469" s="4" t="s">
        <v>1892</v>
      </c>
      <c r="L469">
        <v>6</v>
      </c>
      <c r="M469" s="6">
        <v>46105</v>
      </c>
      <c r="N469" s="4" t="s">
        <v>1900</v>
      </c>
      <c r="O469">
        <v>0</v>
      </c>
      <c r="P469" s="4" t="s">
        <v>24</v>
      </c>
      <c r="Q469" s="4" t="s">
        <v>1900</v>
      </c>
      <c r="R469" s="6">
        <v>46118</v>
      </c>
      <c r="S469" s="4" t="s">
        <v>190</v>
      </c>
      <c r="T469" s="4" t="s">
        <v>190</v>
      </c>
      <c r="U469">
        <v>0</v>
      </c>
      <c r="V469" s="4" t="s">
        <v>2013</v>
      </c>
      <c r="W469" s="4" t="s">
        <v>190</v>
      </c>
      <c r="X469" s="6">
        <v>46132</v>
      </c>
      <c r="Y469" s="4" t="s">
        <v>190</v>
      </c>
      <c r="Z469" s="4" t="s">
        <v>190</v>
      </c>
      <c r="AA469">
        <v>0</v>
      </c>
      <c r="AB469" s="4" t="s">
        <v>1895</v>
      </c>
      <c r="AC469" s="4" t="s">
        <v>190</v>
      </c>
      <c r="AD469" s="4" t="s">
        <v>190</v>
      </c>
      <c r="AE469" s="4" t="s">
        <v>190</v>
      </c>
      <c r="AF469" s="4" t="s">
        <v>190</v>
      </c>
    </row>
    <row r="470" spans="1:32" ht="16.5" customHeight="1">
      <c r="A470" s="3" t="s">
        <v>46</v>
      </c>
      <c r="B470" s="3" t="s">
        <v>56</v>
      </c>
      <c r="C470" s="3" t="s">
        <v>56</v>
      </c>
      <c r="D470" s="3" t="s">
        <v>116</v>
      </c>
      <c r="E470" s="3" t="s">
        <v>3291</v>
      </c>
      <c r="F470" s="3" t="s">
        <v>3292</v>
      </c>
      <c r="G470" s="3" t="s">
        <v>49</v>
      </c>
      <c r="H470" s="5">
        <v>46080</v>
      </c>
      <c r="I470" s="5">
        <v>46079</v>
      </c>
      <c r="J470" s="3" t="s">
        <v>153</v>
      </c>
      <c r="K470" s="3" t="s">
        <v>1892</v>
      </c>
      <c r="L470">
        <v>6</v>
      </c>
      <c r="M470" s="5">
        <v>46108</v>
      </c>
      <c r="N470" s="3" t="s">
        <v>1900</v>
      </c>
      <c r="O470">
        <v>0</v>
      </c>
      <c r="P470" s="3" t="s">
        <v>24</v>
      </c>
      <c r="Q470" s="3" t="s">
        <v>1900</v>
      </c>
      <c r="R470" s="5">
        <v>46112</v>
      </c>
      <c r="S470" s="3" t="s">
        <v>190</v>
      </c>
      <c r="T470" s="3" t="s">
        <v>190</v>
      </c>
      <c r="U470">
        <v>0</v>
      </c>
      <c r="V470" s="3" t="s">
        <v>2013</v>
      </c>
      <c r="W470" s="3" t="s">
        <v>190</v>
      </c>
      <c r="X470" s="5">
        <v>46114</v>
      </c>
      <c r="Y470" s="3" t="s">
        <v>190</v>
      </c>
      <c r="Z470" s="3" t="s">
        <v>190</v>
      </c>
      <c r="AA470">
        <v>0</v>
      </c>
      <c r="AB470" s="3" t="s">
        <v>1895</v>
      </c>
      <c r="AC470" s="3" t="s">
        <v>190</v>
      </c>
      <c r="AD470" s="3" t="s">
        <v>190</v>
      </c>
      <c r="AE470" s="3" t="s">
        <v>190</v>
      </c>
      <c r="AF470" s="3" t="s">
        <v>190</v>
      </c>
    </row>
    <row r="471" spans="1:32" ht="16.5" customHeight="1">
      <c r="A471" s="4" t="s">
        <v>46</v>
      </c>
      <c r="B471" s="4" t="s">
        <v>56</v>
      </c>
      <c r="C471" s="4" t="s">
        <v>56</v>
      </c>
      <c r="D471" s="4" t="s">
        <v>116</v>
      </c>
      <c r="E471" s="4" t="s">
        <v>3293</v>
      </c>
      <c r="F471" s="4" t="s">
        <v>3294</v>
      </c>
      <c r="G471" s="4" t="s">
        <v>49</v>
      </c>
      <c r="H471" s="6">
        <v>46080</v>
      </c>
      <c r="I471" s="6">
        <v>46079</v>
      </c>
      <c r="J471" s="4" t="s">
        <v>151</v>
      </c>
      <c r="K471" s="4" t="s">
        <v>1892</v>
      </c>
      <c r="L471">
        <v>6</v>
      </c>
      <c r="M471" s="6">
        <v>46108</v>
      </c>
      <c r="N471" s="4" t="s">
        <v>1900</v>
      </c>
      <c r="O471">
        <v>0</v>
      </c>
      <c r="P471" s="4" t="s">
        <v>24</v>
      </c>
      <c r="Q471" s="4" t="s">
        <v>1900</v>
      </c>
      <c r="R471" s="6">
        <v>46112</v>
      </c>
      <c r="S471" s="4" t="s">
        <v>190</v>
      </c>
      <c r="T471" s="4" t="s">
        <v>190</v>
      </c>
      <c r="U471">
        <v>0</v>
      </c>
      <c r="V471" s="4" t="s">
        <v>2013</v>
      </c>
      <c r="W471" s="4" t="s">
        <v>190</v>
      </c>
      <c r="X471" s="6">
        <v>46114</v>
      </c>
      <c r="Y471" s="4" t="s">
        <v>190</v>
      </c>
      <c r="Z471" s="4" t="s">
        <v>190</v>
      </c>
      <c r="AA471">
        <v>0</v>
      </c>
      <c r="AB471" s="4" t="s">
        <v>1895</v>
      </c>
      <c r="AC471" s="4" t="s">
        <v>190</v>
      </c>
      <c r="AD471" s="4" t="s">
        <v>190</v>
      </c>
      <c r="AE471" s="4" t="s">
        <v>190</v>
      </c>
      <c r="AF471" s="4" t="s">
        <v>190</v>
      </c>
    </row>
    <row r="472" spans="1:32" ht="16.5" customHeight="1">
      <c r="A472" s="3" t="s">
        <v>19</v>
      </c>
      <c r="B472" s="3" t="s">
        <v>2017</v>
      </c>
      <c r="C472" s="3" t="s">
        <v>2025</v>
      </c>
      <c r="D472" s="3" t="s">
        <v>25</v>
      </c>
      <c r="E472" s="3" t="s">
        <v>3295</v>
      </c>
      <c r="F472" s="3" t="s">
        <v>3296</v>
      </c>
      <c r="G472" s="3" t="s">
        <v>23</v>
      </c>
      <c r="H472" s="5">
        <v>46059</v>
      </c>
      <c r="I472" s="5">
        <v>46059</v>
      </c>
      <c r="J472" s="3" t="s">
        <v>3297</v>
      </c>
      <c r="K472" s="3" t="s">
        <v>1892</v>
      </c>
      <c r="L472">
        <v>6</v>
      </c>
      <c r="M472" s="5"/>
      <c r="N472" s="3" t="s">
        <v>190</v>
      </c>
      <c r="O472">
        <v>0</v>
      </c>
      <c r="P472" s="3" t="s">
        <v>24</v>
      </c>
      <c r="Q472" s="3" t="s">
        <v>190</v>
      </c>
      <c r="R472" s="5">
        <v>46118</v>
      </c>
      <c r="S472" s="3" t="s">
        <v>190</v>
      </c>
      <c r="T472" s="3" t="s">
        <v>190</v>
      </c>
      <c r="U472">
        <v>0</v>
      </c>
      <c r="V472" s="3" t="s">
        <v>1901</v>
      </c>
      <c r="W472" s="3" t="s">
        <v>190</v>
      </c>
      <c r="X472" s="5">
        <v>46132</v>
      </c>
      <c r="Y472" s="3" t="s">
        <v>190</v>
      </c>
      <c r="Z472" s="3" t="s">
        <v>190</v>
      </c>
      <c r="AA472">
        <v>0</v>
      </c>
      <c r="AB472" s="3" t="s">
        <v>1895</v>
      </c>
      <c r="AC472" s="3" t="s">
        <v>190</v>
      </c>
      <c r="AD472" s="3" t="s">
        <v>190</v>
      </c>
      <c r="AE472" s="3" t="s">
        <v>190</v>
      </c>
      <c r="AF472" s="3" t="s">
        <v>190</v>
      </c>
    </row>
    <row r="473" spans="1:32" ht="16.5" customHeight="1">
      <c r="A473" s="4" t="s">
        <v>19</v>
      </c>
      <c r="B473" s="4" t="s">
        <v>2017</v>
      </c>
      <c r="C473" s="4" t="s">
        <v>2272</v>
      </c>
      <c r="D473" s="4" t="s">
        <v>25</v>
      </c>
      <c r="E473" s="4" t="s">
        <v>3298</v>
      </c>
      <c r="F473" s="4" t="s">
        <v>3299</v>
      </c>
      <c r="G473" s="4" t="s">
        <v>50</v>
      </c>
      <c r="H473" s="6">
        <v>46066</v>
      </c>
      <c r="I473" s="6">
        <v>46059</v>
      </c>
      <c r="J473" s="4" t="s">
        <v>3300</v>
      </c>
      <c r="K473" s="4" t="s">
        <v>1892</v>
      </c>
      <c r="L473">
        <v>6</v>
      </c>
      <c r="M473" s="6"/>
      <c r="N473" s="4" t="s">
        <v>190</v>
      </c>
      <c r="O473">
        <v>0</v>
      </c>
      <c r="P473" s="4" t="s">
        <v>24</v>
      </c>
      <c r="Q473" s="4" t="s">
        <v>190</v>
      </c>
      <c r="R473" s="6">
        <v>46118</v>
      </c>
      <c r="S473" s="4" t="s">
        <v>190</v>
      </c>
      <c r="T473" s="4" t="s">
        <v>190</v>
      </c>
      <c r="U473">
        <v>0</v>
      </c>
      <c r="V473" s="4" t="s">
        <v>1901</v>
      </c>
      <c r="W473" s="4" t="s">
        <v>190</v>
      </c>
      <c r="X473" s="6">
        <v>46132</v>
      </c>
      <c r="Y473" s="4" t="s">
        <v>190</v>
      </c>
      <c r="Z473" s="4" t="s">
        <v>190</v>
      </c>
      <c r="AA473">
        <v>0</v>
      </c>
      <c r="AB473" s="4" t="s">
        <v>1895</v>
      </c>
      <c r="AC473" s="4" t="s">
        <v>190</v>
      </c>
      <c r="AD473" s="4" t="s">
        <v>190</v>
      </c>
      <c r="AE473" s="4" t="s">
        <v>190</v>
      </c>
      <c r="AF473" s="4" t="s">
        <v>190</v>
      </c>
    </row>
    <row r="474" spans="1:32" ht="16.5" customHeight="1">
      <c r="A474" s="3" t="s">
        <v>19</v>
      </c>
      <c r="B474" s="3" t="s">
        <v>2017</v>
      </c>
      <c r="C474" s="3" t="s">
        <v>2029</v>
      </c>
      <c r="D474" s="3" t="s">
        <v>25</v>
      </c>
      <c r="E474" s="3" t="s">
        <v>3301</v>
      </c>
      <c r="F474" s="3" t="s">
        <v>3302</v>
      </c>
      <c r="G474" s="3" t="s">
        <v>23</v>
      </c>
      <c r="H474" s="5">
        <v>46077</v>
      </c>
      <c r="I474" s="5"/>
      <c r="J474" s="3" t="s">
        <v>3303</v>
      </c>
      <c r="K474" s="3" t="s">
        <v>1892</v>
      </c>
      <c r="L474">
        <v>6</v>
      </c>
      <c r="M474" s="5"/>
      <c r="N474" s="3" t="s">
        <v>190</v>
      </c>
      <c r="O474">
        <v>0</v>
      </c>
      <c r="P474" s="3" t="s">
        <v>24</v>
      </c>
      <c r="Q474" s="3" t="s">
        <v>190</v>
      </c>
      <c r="R474" s="5">
        <v>46118</v>
      </c>
      <c r="S474" s="3" t="s">
        <v>190</v>
      </c>
      <c r="T474" s="3" t="s">
        <v>190</v>
      </c>
      <c r="U474">
        <v>0</v>
      </c>
      <c r="V474" s="3" t="s">
        <v>1901</v>
      </c>
      <c r="W474" s="3" t="s">
        <v>190</v>
      </c>
      <c r="X474" s="5">
        <v>46132</v>
      </c>
      <c r="Y474" s="3" t="s">
        <v>190</v>
      </c>
      <c r="Z474" s="3" t="s">
        <v>190</v>
      </c>
      <c r="AA474">
        <v>0</v>
      </c>
      <c r="AB474" s="3" t="s">
        <v>1895</v>
      </c>
      <c r="AC474" s="3" t="s">
        <v>190</v>
      </c>
      <c r="AD474" s="3" t="s">
        <v>190</v>
      </c>
      <c r="AE474" s="3" t="s">
        <v>190</v>
      </c>
      <c r="AF474" s="3" t="s">
        <v>190</v>
      </c>
    </row>
    <row r="475" spans="1:32" ht="16.5" customHeight="1">
      <c r="A475" s="4" t="s">
        <v>19</v>
      </c>
      <c r="B475" s="4" t="s">
        <v>2017</v>
      </c>
      <c r="C475" s="4" t="s">
        <v>2029</v>
      </c>
      <c r="D475" s="4" t="s">
        <v>25</v>
      </c>
      <c r="E475" s="4" t="s">
        <v>3304</v>
      </c>
      <c r="F475" s="4" t="s">
        <v>3305</v>
      </c>
      <c r="G475" s="4" t="s">
        <v>50</v>
      </c>
      <c r="H475" s="6">
        <v>46066</v>
      </c>
      <c r="I475" s="6">
        <v>46059</v>
      </c>
      <c r="J475" s="4" t="s">
        <v>3306</v>
      </c>
      <c r="K475" s="4" t="s">
        <v>1892</v>
      </c>
      <c r="L475">
        <v>6</v>
      </c>
      <c r="M475" s="6"/>
      <c r="N475" s="4" t="s">
        <v>190</v>
      </c>
      <c r="O475">
        <v>0</v>
      </c>
      <c r="P475" s="4" t="s">
        <v>24</v>
      </c>
      <c r="Q475" s="4" t="s">
        <v>190</v>
      </c>
      <c r="R475" s="6">
        <v>46118</v>
      </c>
      <c r="S475" s="4" t="s">
        <v>190</v>
      </c>
      <c r="T475" s="4" t="s">
        <v>190</v>
      </c>
      <c r="U475">
        <v>0</v>
      </c>
      <c r="V475" s="4" t="s">
        <v>1901</v>
      </c>
      <c r="W475" s="4" t="s">
        <v>190</v>
      </c>
      <c r="X475" s="6">
        <v>46132</v>
      </c>
      <c r="Y475" s="4" t="s">
        <v>190</v>
      </c>
      <c r="Z475" s="4" t="s">
        <v>190</v>
      </c>
      <c r="AA475">
        <v>0</v>
      </c>
      <c r="AB475" s="4" t="s">
        <v>1895</v>
      </c>
      <c r="AC475" s="4" t="s">
        <v>190</v>
      </c>
      <c r="AD475" s="4" t="s">
        <v>190</v>
      </c>
      <c r="AE475" s="4" t="s">
        <v>190</v>
      </c>
      <c r="AF475" s="4" t="s">
        <v>190</v>
      </c>
    </row>
    <row r="476" spans="1:32" ht="16.5" customHeight="1">
      <c r="A476" s="3" t="s">
        <v>19</v>
      </c>
      <c r="B476" s="3" t="s">
        <v>2045</v>
      </c>
      <c r="C476" s="3" t="s">
        <v>2046</v>
      </c>
      <c r="D476" s="3" t="s">
        <v>25</v>
      </c>
      <c r="E476" s="3" t="s">
        <v>3307</v>
      </c>
      <c r="F476" s="3" t="s">
        <v>3308</v>
      </c>
      <c r="G476" s="3" t="s">
        <v>23</v>
      </c>
      <c r="H476" s="5">
        <v>46031</v>
      </c>
      <c r="I476" s="5">
        <v>46059</v>
      </c>
      <c r="J476" s="3" t="s">
        <v>3309</v>
      </c>
      <c r="K476" s="3" t="s">
        <v>1892</v>
      </c>
      <c r="L476">
        <v>6</v>
      </c>
      <c r="M476" s="5">
        <v>46106</v>
      </c>
      <c r="N476" s="3" t="s">
        <v>1893</v>
      </c>
      <c r="O476">
        <v>0</v>
      </c>
      <c r="P476" s="3" t="s">
        <v>24</v>
      </c>
      <c r="Q476" s="3" t="s">
        <v>1893</v>
      </c>
      <c r="R476" s="5">
        <v>46118</v>
      </c>
      <c r="S476" s="3" t="s">
        <v>190</v>
      </c>
      <c r="T476" s="3" t="s">
        <v>190</v>
      </c>
      <c r="U476">
        <v>0</v>
      </c>
      <c r="V476" s="3" t="s">
        <v>1901</v>
      </c>
      <c r="W476" s="3" t="s">
        <v>190</v>
      </c>
      <c r="X476" s="5">
        <v>46132</v>
      </c>
      <c r="Y476" s="3" t="s">
        <v>190</v>
      </c>
      <c r="Z476" s="3" t="s">
        <v>190</v>
      </c>
      <c r="AA476">
        <v>0</v>
      </c>
      <c r="AB476" s="3" t="s">
        <v>1895</v>
      </c>
      <c r="AC476" s="3" t="s">
        <v>190</v>
      </c>
      <c r="AD476" s="3" t="s">
        <v>190</v>
      </c>
      <c r="AE476" s="3" t="s">
        <v>190</v>
      </c>
      <c r="AF476" s="3" t="s">
        <v>190</v>
      </c>
    </row>
    <row r="477" spans="1:32" ht="16.5" customHeight="1">
      <c r="A477" s="4" t="s">
        <v>19</v>
      </c>
      <c r="B477" s="4" t="s">
        <v>2045</v>
      </c>
      <c r="C477" s="4" t="s">
        <v>2056</v>
      </c>
      <c r="D477" s="4" t="s">
        <v>25</v>
      </c>
      <c r="E477" s="4" t="s">
        <v>3310</v>
      </c>
      <c r="F477" s="4" t="s">
        <v>3311</v>
      </c>
      <c r="G477" s="4" t="s">
        <v>23</v>
      </c>
      <c r="H477" s="6">
        <v>46038</v>
      </c>
      <c r="I477" s="6">
        <v>46059</v>
      </c>
      <c r="J477" s="4" t="s">
        <v>3312</v>
      </c>
      <c r="K477" s="4" t="s">
        <v>1892</v>
      </c>
      <c r="L477">
        <v>6</v>
      </c>
      <c r="M477" s="6">
        <v>46106</v>
      </c>
      <c r="N477" s="4" t="s">
        <v>1893</v>
      </c>
      <c r="O477">
        <v>0</v>
      </c>
      <c r="P477" s="4" t="s">
        <v>24</v>
      </c>
      <c r="Q477" s="4" t="s">
        <v>1893</v>
      </c>
      <c r="R477" s="6">
        <v>46118</v>
      </c>
      <c r="S477" s="4" t="s">
        <v>190</v>
      </c>
      <c r="T477" s="4" t="s">
        <v>190</v>
      </c>
      <c r="U477">
        <v>0</v>
      </c>
      <c r="V477" s="4" t="s">
        <v>1901</v>
      </c>
      <c r="W477" s="4" t="s">
        <v>190</v>
      </c>
      <c r="X477" s="6">
        <v>46132</v>
      </c>
      <c r="Y477" s="4" t="s">
        <v>190</v>
      </c>
      <c r="Z477" s="4" t="s">
        <v>190</v>
      </c>
      <c r="AA477">
        <v>0</v>
      </c>
      <c r="AB477" s="4" t="s">
        <v>1895</v>
      </c>
      <c r="AC477" s="4" t="s">
        <v>190</v>
      </c>
      <c r="AD477" s="4" t="s">
        <v>190</v>
      </c>
      <c r="AE477" s="4" t="s">
        <v>190</v>
      </c>
      <c r="AF477" s="4" t="s">
        <v>190</v>
      </c>
    </row>
    <row r="478" spans="1:32" ht="16.5" customHeight="1">
      <c r="A478" s="3" t="s">
        <v>19</v>
      </c>
      <c r="B478" s="3" t="s">
        <v>2045</v>
      </c>
      <c r="C478" s="3" t="s">
        <v>2069</v>
      </c>
      <c r="D478" s="3" t="s">
        <v>25</v>
      </c>
      <c r="E478" s="3" t="s">
        <v>3313</v>
      </c>
      <c r="F478" s="3" t="s">
        <v>3314</v>
      </c>
      <c r="G478" s="3" t="s">
        <v>50</v>
      </c>
      <c r="H478" s="5">
        <v>46045</v>
      </c>
      <c r="I478" s="5">
        <v>46059</v>
      </c>
      <c r="J478" s="3" t="s">
        <v>103</v>
      </c>
      <c r="K478" s="3" t="s">
        <v>1892</v>
      </c>
      <c r="L478">
        <v>6</v>
      </c>
      <c r="M478" s="5">
        <v>46106</v>
      </c>
      <c r="N478" s="3" t="s">
        <v>1900</v>
      </c>
      <c r="O478">
        <v>0</v>
      </c>
      <c r="P478" s="3" t="s">
        <v>24</v>
      </c>
      <c r="Q478" s="3" t="s">
        <v>1900</v>
      </c>
      <c r="R478" s="5">
        <v>46118</v>
      </c>
      <c r="S478" s="3" t="s">
        <v>190</v>
      </c>
      <c r="T478" s="3" t="s">
        <v>190</v>
      </c>
      <c r="U478">
        <v>0</v>
      </c>
      <c r="V478" s="3" t="s">
        <v>1901</v>
      </c>
      <c r="W478" s="3" t="s">
        <v>190</v>
      </c>
      <c r="X478" s="5">
        <v>46132</v>
      </c>
      <c r="Y478" s="3" t="s">
        <v>190</v>
      </c>
      <c r="Z478" s="3" t="s">
        <v>190</v>
      </c>
      <c r="AA478">
        <v>0</v>
      </c>
      <c r="AB478" s="3" t="s">
        <v>1895</v>
      </c>
      <c r="AC478" s="3" t="s">
        <v>190</v>
      </c>
      <c r="AD478" s="3" t="s">
        <v>190</v>
      </c>
      <c r="AE478" s="3" t="s">
        <v>190</v>
      </c>
      <c r="AF478" s="3" t="s">
        <v>190</v>
      </c>
    </row>
    <row r="479" spans="1:32" ht="16.5" customHeight="1">
      <c r="A479" s="4" t="s">
        <v>19</v>
      </c>
      <c r="B479" s="4" t="s">
        <v>56</v>
      </c>
      <c r="C479" s="4" t="s">
        <v>190</v>
      </c>
      <c r="D479" s="4" t="s">
        <v>116</v>
      </c>
      <c r="E479" s="4" t="s">
        <v>3315</v>
      </c>
      <c r="F479" s="4" t="s">
        <v>3316</v>
      </c>
      <c r="G479" s="4" t="s">
        <v>23</v>
      </c>
      <c r="H479" s="6">
        <v>46045</v>
      </c>
      <c r="I479" s="6">
        <v>46063.659953703704</v>
      </c>
      <c r="J479" s="4" t="s">
        <v>3317</v>
      </c>
      <c r="K479" s="4" t="s">
        <v>1892</v>
      </c>
      <c r="L479">
        <v>6</v>
      </c>
      <c r="M479" s="6">
        <v>46108</v>
      </c>
      <c r="N479" s="4" t="s">
        <v>1893</v>
      </c>
      <c r="O479">
        <v>0</v>
      </c>
      <c r="P479" s="4" t="s">
        <v>24</v>
      </c>
      <c r="Q479" s="4" t="s">
        <v>1893</v>
      </c>
      <c r="R479" s="6">
        <v>46118</v>
      </c>
      <c r="S479" s="4" t="s">
        <v>190</v>
      </c>
      <c r="T479" s="4" t="s">
        <v>190</v>
      </c>
      <c r="U479">
        <v>0</v>
      </c>
      <c r="V479" s="4" t="s">
        <v>1901</v>
      </c>
      <c r="W479" s="4" t="s">
        <v>190</v>
      </c>
      <c r="X479" s="6">
        <v>46132</v>
      </c>
      <c r="Y479" s="4" t="s">
        <v>190</v>
      </c>
      <c r="Z479" s="4" t="s">
        <v>190</v>
      </c>
      <c r="AA479">
        <v>0</v>
      </c>
      <c r="AB479" s="4" t="s">
        <v>1895</v>
      </c>
      <c r="AC479" s="4" t="s">
        <v>190</v>
      </c>
      <c r="AD479" s="4" t="s">
        <v>190</v>
      </c>
      <c r="AE479" s="4" t="s">
        <v>190</v>
      </c>
      <c r="AF479" s="4" t="s">
        <v>190</v>
      </c>
    </row>
    <row r="480" spans="1:32" ht="16.5" customHeight="1">
      <c r="A480" s="3" t="s">
        <v>19</v>
      </c>
      <c r="B480" s="3" t="s">
        <v>56</v>
      </c>
      <c r="C480" s="3" t="s">
        <v>190</v>
      </c>
      <c r="D480" s="3" t="s">
        <v>116</v>
      </c>
      <c r="E480" s="3" t="s">
        <v>3318</v>
      </c>
      <c r="F480" s="3" t="s">
        <v>3319</v>
      </c>
      <c r="G480" s="3" t="s">
        <v>50</v>
      </c>
      <c r="H480" s="5">
        <v>46052</v>
      </c>
      <c r="I480" s="5">
        <v>46063.660324074073</v>
      </c>
      <c r="J480" s="3" t="s">
        <v>3320</v>
      </c>
      <c r="K480" s="3" t="s">
        <v>1892</v>
      </c>
      <c r="L480">
        <v>6</v>
      </c>
      <c r="M480" s="5">
        <v>46108</v>
      </c>
      <c r="N480" s="3" t="s">
        <v>1893</v>
      </c>
      <c r="O480">
        <v>0</v>
      </c>
      <c r="P480" s="3" t="s">
        <v>24</v>
      </c>
      <c r="Q480" s="3" t="s">
        <v>1893</v>
      </c>
      <c r="R480" s="5">
        <v>46118</v>
      </c>
      <c r="S480" s="3" t="s">
        <v>190</v>
      </c>
      <c r="T480" s="3" t="s">
        <v>190</v>
      </c>
      <c r="U480">
        <v>0</v>
      </c>
      <c r="V480" s="3" t="s">
        <v>1901</v>
      </c>
      <c r="W480" s="3" t="s">
        <v>190</v>
      </c>
      <c r="X480" s="5">
        <v>46132</v>
      </c>
      <c r="Y480" s="3" t="s">
        <v>190</v>
      </c>
      <c r="Z480" s="3" t="s">
        <v>190</v>
      </c>
      <c r="AA480">
        <v>0</v>
      </c>
      <c r="AB480" s="3" t="s">
        <v>1895</v>
      </c>
      <c r="AC480" s="3" t="s">
        <v>190</v>
      </c>
      <c r="AD480" s="3" t="s">
        <v>190</v>
      </c>
      <c r="AE480" s="3" t="s">
        <v>190</v>
      </c>
      <c r="AF480" s="3" t="s">
        <v>190</v>
      </c>
    </row>
    <row r="481" spans="1:32" ht="16.5" customHeight="1">
      <c r="A481" s="4" t="s">
        <v>19</v>
      </c>
      <c r="B481" s="4" t="s">
        <v>56</v>
      </c>
      <c r="C481" s="4" t="s">
        <v>190</v>
      </c>
      <c r="D481" s="4" t="s">
        <v>116</v>
      </c>
      <c r="E481" s="4" t="s">
        <v>3321</v>
      </c>
      <c r="F481" s="4" t="s">
        <v>3322</v>
      </c>
      <c r="G481" s="4" t="s">
        <v>50</v>
      </c>
      <c r="H481" s="6">
        <v>46059</v>
      </c>
      <c r="I481" s="6">
        <v>46063.660416666666</v>
      </c>
      <c r="J481" s="4" t="s">
        <v>3323</v>
      </c>
      <c r="K481" s="4" t="s">
        <v>1892</v>
      </c>
      <c r="L481">
        <v>6</v>
      </c>
      <c r="M481" s="6">
        <v>46108</v>
      </c>
      <c r="N481" s="4" t="s">
        <v>1893</v>
      </c>
      <c r="O481">
        <v>0</v>
      </c>
      <c r="P481" s="4" t="s">
        <v>24</v>
      </c>
      <c r="Q481" s="4" t="s">
        <v>1893</v>
      </c>
      <c r="R481" s="6">
        <v>46118</v>
      </c>
      <c r="S481" s="4" t="s">
        <v>190</v>
      </c>
      <c r="T481" s="4" t="s">
        <v>190</v>
      </c>
      <c r="U481">
        <v>0</v>
      </c>
      <c r="V481" s="4" t="s">
        <v>1901</v>
      </c>
      <c r="W481" s="4" t="s">
        <v>190</v>
      </c>
      <c r="X481" s="6">
        <v>46132</v>
      </c>
      <c r="Y481" s="4" t="s">
        <v>190</v>
      </c>
      <c r="Z481" s="4" t="s">
        <v>190</v>
      </c>
      <c r="AA481">
        <v>0</v>
      </c>
      <c r="AB481" s="4" t="s">
        <v>1895</v>
      </c>
      <c r="AC481" s="4" t="s">
        <v>190</v>
      </c>
      <c r="AD481" s="4" t="s">
        <v>190</v>
      </c>
      <c r="AE481" s="4" t="s">
        <v>190</v>
      </c>
      <c r="AF481" s="4" t="s">
        <v>190</v>
      </c>
    </row>
    <row r="482" spans="1:32" ht="16.5" customHeight="1">
      <c r="A482" s="3" t="s">
        <v>19</v>
      </c>
      <c r="B482" s="3" t="s">
        <v>56</v>
      </c>
      <c r="C482" s="3" t="s">
        <v>190</v>
      </c>
      <c r="D482" s="3" t="s">
        <v>116</v>
      </c>
      <c r="E482" s="3" t="s">
        <v>3324</v>
      </c>
      <c r="F482" s="3" t="s">
        <v>3325</v>
      </c>
      <c r="G482" s="3" t="s">
        <v>23</v>
      </c>
      <c r="H482" s="5">
        <v>46059</v>
      </c>
      <c r="I482" s="5">
        <v>46063.660196759258</v>
      </c>
      <c r="J482" s="3" t="s">
        <v>3326</v>
      </c>
      <c r="K482" s="3" t="s">
        <v>1892</v>
      </c>
      <c r="L482">
        <v>6</v>
      </c>
      <c r="M482" s="5">
        <v>46108</v>
      </c>
      <c r="N482" s="3" t="s">
        <v>1893</v>
      </c>
      <c r="O482">
        <v>0</v>
      </c>
      <c r="P482" s="3" t="s">
        <v>24</v>
      </c>
      <c r="Q482" s="3" t="s">
        <v>1893</v>
      </c>
      <c r="R482" s="5">
        <v>46118</v>
      </c>
      <c r="S482" s="3" t="s">
        <v>190</v>
      </c>
      <c r="T482" s="3" t="s">
        <v>190</v>
      </c>
      <c r="U482">
        <v>0</v>
      </c>
      <c r="V482" s="3" t="s">
        <v>1901</v>
      </c>
      <c r="W482" s="3" t="s">
        <v>190</v>
      </c>
      <c r="X482" s="5">
        <v>46132</v>
      </c>
      <c r="Y482" s="3" t="s">
        <v>190</v>
      </c>
      <c r="Z482" s="3" t="s">
        <v>190</v>
      </c>
      <c r="AA482">
        <v>0</v>
      </c>
      <c r="AB482" s="3" t="s">
        <v>1895</v>
      </c>
      <c r="AC482" s="3" t="s">
        <v>190</v>
      </c>
      <c r="AD482" s="3" t="s">
        <v>190</v>
      </c>
      <c r="AE482" s="3" t="s">
        <v>190</v>
      </c>
      <c r="AF482" s="3" t="s">
        <v>190</v>
      </c>
    </row>
    <row r="483" spans="1:32" ht="16.5" customHeight="1">
      <c r="A483" s="4" t="s">
        <v>216</v>
      </c>
      <c r="B483" s="4" t="s">
        <v>2088</v>
      </c>
      <c r="C483" s="4" t="s">
        <v>2660</v>
      </c>
      <c r="D483" s="4" t="s">
        <v>25</v>
      </c>
      <c r="E483" s="4" t="s">
        <v>3327</v>
      </c>
      <c r="F483" s="4" t="s">
        <v>2660</v>
      </c>
      <c r="G483" s="4" t="s">
        <v>220</v>
      </c>
      <c r="H483" s="6">
        <v>46052</v>
      </c>
      <c r="I483" s="6">
        <v>46052.39943287037</v>
      </c>
      <c r="J483" s="4" t="s">
        <v>3328</v>
      </c>
      <c r="K483" s="4" t="s">
        <v>1892</v>
      </c>
      <c r="L483">
        <v>6</v>
      </c>
      <c r="M483" s="6">
        <v>46105</v>
      </c>
      <c r="N483" s="4" t="s">
        <v>1893</v>
      </c>
      <c r="O483">
        <v>0</v>
      </c>
      <c r="P483" s="4" t="s">
        <v>24</v>
      </c>
      <c r="Q483" s="4" t="s">
        <v>1893</v>
      </c>
      <c r="R483" s="6">
        <v>46118</v>
      </c>
      <c r="S483" s="4" t="s">
        <v>190</v>
      </c>
      <c r="T483" s="4" t="s">
        <v>190</v>
      </c>
      <c r="U483">
        <v>0</v>
      </c>
      <c r="V483" s="4" t="s">
        <v>1901</v>
      </c>
      <c r="W483" s="4" t="s">
        <v>190</v>
      </c>
      <c r="X483" s="6">
        <v>46132</v>
      </c>
      <c r="Y483" s="4" t="s">
        <v>190</v>
      </c>
      <c r="Z483" s="4" t="s">
        <v>190</v>
      </c>
      <c r="AA483">
        <v>0</v>
      </c>
      <c r="AB483" s="4" t="s">
        <v>1895</v>
      </c>
      <c r="AC483" s="4" t="s">
        <v>190</v>
      </c>
      <c r="AD483" s="4" t="s">
        <v>190</v>
      </c>
      <c r="AE483" s="4" t="s">
        <v>190</v>
      </c>
      <c r="AF483" s="4" t="s">
        <v>190</v>
      </c>
    </row>
    <row r="484" spans="1:32" ht="16.5" customHeight="1">
      <c r="A484" s="3" t="s">
        <v>216</v>
      </c>
      <c r="B484" s="3" t="s">
        <v>2088</v>
      </c>
      <c r="C484" s="3" t="s">
        <v>2660</v>
      </c>
      <c r="D484" s="3" t="s">
        <v>25</v>
      </c>
      <c r="E484" s="3" t="s">
        <v>3329</v>
      </c>
      <c r="F484" s="3" t="s">
        <v>3330</v>
      </c>
      <c r="G484" s="3" t="s">
        <v>220</v>
      </c>
      <c r="H484" s="5">
        <v>46066</v>
      </c>
      <c r="I484" s="5">
        <v>46072.368935185186</v>
      </c>
      <c r="J484" s="3" t="s">
        <v>1844</v>
      </c>
      <c r="K484" s="3" t="s">
        <v>1892</v>
      </c>
      <c r="L484">
        <v>6</v>
      </c>
      <c r="M484" s="5">
        <v>46105</v>
      </c>
      <c r="N484" s="3" t="s">
        <v>1900</v>
      </c>
      <c r="O484">
        <v>0</v>
      </c>
      <c r="P484" s="3" t="s">
        <v>24</v>
      </c>
      <c r="Q484" s="3" t="s">
        <v>1893</v>
      </c>
      <c r="R484" s="5">
        <v>46118</v>
      </c>
      <c r="S484" s="3" t="s">
        <v>190</v>
      </c>
      <c r="T484" s="3" t="s">
        <v>190</v>
      </c>
      <c r="U484">
        <v>0</v>
      </c>
      <c r="V484" s="3" t="s">
        <v>1901</v>
      </c>
      <c r="W484" s="3" t="s">
        <v>190</v>
      </c>
      <c r="X484" s="5">
        <v>46132</v>
      </c>
      <c r="Y484" s="3" t="s">
        <v>190</v>
      </c>
      <c r="Z484" s="3" t="s">
        <v>190</v>
      </c>
      <c r="AA484">
        <v>0</v>
      </c>
      <c r="AB484" s="3" t="s">
        <v>1895</v>
      </c>
      <c r="AC484" s="3" t="s">
        <v>190</v>
      </c>
      <c r="AD484" s="3" t="s">
        <v>190</v>
      </c>
      <c r="AE484" s="3" t="s">
        <v>190</v>
      </c>
      <c r="AF484" s="3" t="s">
        <v>190</v>
      </c>
    </row>
    <row r="485" spans="1:32" ht="16.5" customHeight="1">
      <c r="A485" s="4" t="s">
        <v>216</v>
      </c>
      <c r="B485" s="4" t="s">
        <v>2088</v>
      </c>
      <c r="C485" s="4" t="s">
        <v>3331</v>
      </c>
      <c r="D485" s="4" t="s">
        <v>25</v>
      </c>
      <c r="E485" s="4" t="s">
        <v>3332</v>
      </c>
      <c r="F485" s="4" t="s">
        <v>3331</v>
      </c>
      <c r="G485" s="4" t="s">
        <v>220</v>
      </c>
      <c r="H485" s="6">
        <v>46038</v>
      </c>
      <c r="I485" s="6">
        <v>46029.3747337963</v>
      </c>
      <c r="J485" s="4" t="s">
        <v>3333</v>
      </c>
      <c r="K485" s="4" t="s">
        <v>1892</v>
      </c>
      <c r="L485">
        <v>6</v>
      </c>
      <c r="M485" s="6">
        <v>46105</v>
      </c>
      <c r="N485" s="4" t="s">
        <v>1893</v>
      </c>
      <c r="O485">
        <v>0</v>
      </c>
      <c r="P485" s="4" t="s">
        <v>24</v>
      </c>
      <c r="Q485" s="4" t="s">
        <v>1893</v>
      </c>
      <c r="R485" s="6">
        <v>46118</v>
      </c>
      <c r="S485" s="4" t="s">
        <v>190</v>
      </c>
      <c r="T485" s="4" t="s">
        <v>190</v>
      </c>
      <c r="U485">
        <v>0</v>
      </c>
      <c r="V485" s="4" t="s">
        <v>1901</v>
      </c>
      <c r="W485" s="4" t="s">
        <v>190</v>
      </c>
      <c r="X485" s="6">
        <v>46132</v>
      </c>
      <c r="Y485" s="4" t="s">
        <v>190</v>
      </c>
      <c r="Z485" s="4" t="s">
        <v>190</v>
      </c>
      <c r="AA485">
        <v>0</v>
      </c>
      <c r="AB485" s="4" t="s">
        <v>1895</v>
      </c>
      <c r="AC485" s="4" t="s">
        <v>190</v>
      </c>
      <c r="AD485" s="4" t="s">
        <v>190</v>
      </c>
      <c r="AE485" s="4" t="s">
        <v>190</v>
      </c>
      <c r="AF485" s="4" t="s">
        <v>190</v>
      </c>
    </row>
    <row r="486" spans="1:32" ht="16.5" customHeight="1">
      <c r="A486" s="3" t="s">
        <v>216</v>
      </c>
      <c r="B486" s="3" t="s">
        <v>2088</v>
      </c>
      <c r="C486" s="3" t="s">
        <v>3334</v>
      </c>
      <c r="D486" s="3" t="s">
        <v>25</v>
      </c>
      <c r="E486" s="3" t="s">
        <v>3335</v>
      </c>
      <c r="F486" s="3" t="s">
        <v>3334</v>
      </c>
      <c r="G486" s="3" t="s">
        <v>220</v>
      </c>
      <c r="H486" s="5">
        <v>46031</v>
      </c>
      <c r="I486" s="5">
        <v>46029.374409722222</v>
      </c>
      <c r="J486" s="3" t="s">
        <v>718</v>
      </c>
      <c r="K486" s="3" t="s">
        <v>1892</v>
      </c>
      <c r="L486">
        <v>6</v>
      </c>
      <c r="M486" s="5">
        <v>46105</v>
      </c>
      <c r="N486" s="3" t="s">
        <v>1900</v>
      </c>
      <c r="O486">
        <v>0</v>
      </c>
      <c r="P486" s="3" t="s">
        <v>24</v>
      </c>
      <c r="Q486" s="3" t="s">
        <v>1893</v>
      </c>
      <c r="R486" s="5">
        <v>46118</v>
      </c>
      <c r="S486" s="3" t="s">
        <v>190</v>
      </c>
      <c r="T486" s="3" t="s">
        <v>190</v>
      </c>
      <c r="U486">
        <v>0</v>
      </c>
      <c r="V486" s="3" t="s">
        <v>1901</v>
      </c>
      <c r="W486" s="3" t="s">
        <v>190</v>
      </c>
      <c r="X486" s="5">
        <v>46132</v>
      </c>
      <c r="Y486" s="3" t="s">
        <v>190</v>
      </c>
      <c r="Z486" s="3" t="s">
        <v>190</v>
      </c>
      <c r="AA486">
        <v>0</v>
      </c>
      <c r="AB486" s="3" t="s">
        <v>1895</v>
      </c>
      <c r="AC486" s="3" t="s">
        <v>190</v>
      </c>
      <c r="AD486" s="3" t="s">
        <v>190</v>
      </c>
      <c r="AE486" s="3" t="s">
        <v>190</v>
      </c>
      <c r="AF486" s="3" t="s">
        <v>190</v>
      </c>
    </row>
    <row r="487" spans="1:32" ht="16.5" customHeight="1">
      <c r="A487" s="4" t="s">
        <v>216</v>
      </c>
      <c r="B487" s="4" t="s">
        <v>2092</v>
      </c>
      <c r="C487" s="4" t="s">
        <v>3041</v>
      </c>
      <c r="D487" s="4" t="s">
        <v>25</v>
      </c>
      <c r="E487" s="4" t="s">
        <v>3336</v>
      </c>
      <c r="F487" s="4" t="s">
        <v>3041</v>
      </c>
      <c r="G487" s="4" t="s">
        <v>225</v>
      </c>
      <c r="H487" s="6">
        <v>46093</v>
      </c>
      <c r="I487" s="6">
        <v>46087.43476851852</v>
      </c>
      <c r="J487" s="4" t="s">
        <v>3337</v>
      </c>
      <c r="K487" s="4" t="s">
        <v>1892</v>
      </c>
      <c r="L487">
        <v>6</v>
      </c>
      <c r="M487" s="6">
        <v>46105</v>
      </c>
      <c r="N487" s="4" t="s">
        <v>1893</v>
      </c>
      <c r="O487">
        <v>0</v>
      </c>
      <c r="P487" s="4" t="s">
        <v>24</v>
      </c>
      <c r="Q487" s="4" t="s">
        <v>1893</v>
      </c>
      <c r="R487" s="6">
        <v>46118</v>
      </c>
      <c r="S487" s="4" t="s">
        <v>190</v>
      </c>
      <c r="T487" s="4" t="s">
        <v>190</v>
      </c>
      <c r="U487">
        <v>0</v>
      </c>
      <c r="V487" s="4" t="s">
        <v>1901</v>
      </c>
      <c r="W487" s="4" t="s">
        <v>190</v>
      </c>
      <c r="X487" s="6">
        <v>46132</v>
      </c>
      <c r="Y487" s="4" t="s">
        <v>190</v>
      </c>
      <c r="Z487" s="4" t="s">
        <v>190</v>
      </c>
      <c r="AA487">
        <v>0</v>
      </c>
      <c r="AB487" s="4" t="s">
        <v>1895</v>
      </c>
      <c r="AC487" s="4" t="s">
        <v>190</v>
      </c>
      <c r="AD487" s="4" t="s">
        <v>190</v>
      </c>
      <c r="AE487" s="4" t="s">
        <v>190</v>
      </c>
      <c r="AF487" s="4" t="s">
        <v>190</v>
      </c>
    </row>
    <row r="488" spans="1:32" ht="16.5" customHeight="1">
      <c r="A488" s="3" t="s">
        <v>216</v>
      </c>
      <c r="B488" s="3" t="s">
        <v>56</v>
      </c>
      <c r="C488" s="3" t="s">
        <v>56</v>
      </c>
      <c r="D488" s="3" t="s">
        <v>116</v>
      </c>
      <c r="E488" s="3" t="s">
        <v>3338</v>
      </c>
      <c r="F488" s="3" t="s">
        <v>3339</v>
      </c>
      <c r="G488" s="3" t="s">
        <v>220</v>
      </c>
      <c r="H488" s="5">
        <v>46051</v>
      </c>
      <c r="I488" s="5">
        <v>46050.596342592595</v>
      </c>
      <c r="J488" s="3" t="s">
        <v>3340</v>
      </c>
      <c r="K488" s="3" t="s">
        <v>1892</v>
      </c>
      <c r="L488">
        <v>6</v>
      </c>
      <c r="M488" s="5">
        <v>46105</v>
      </c>
      <c r="N488" s="3" t="s">
        <v>1893</v>
      </c>
      <c r="O488">
        <v>0</v>
      </c>
      <c r="P488" s="3" t="s">
        <v>24</v>
      </c>
      <c r="Q488" s="3" t="s">
        <v>1893</v>
      </c>
      <c r="R488" s="5">
        <v>46118</v>
      </c>
      <c r="S488" s="3" t="s">
        <v>190</v>
      </c>
      <c r="T488" s="3" t="s">
        <v>190</v>
      </c>
      <c r="U488">
        <v>0</v>
      </c>
      <c r="V488" s="3" t="s">
        <v>1901</v>
      </c>
      <c r="W488" s="3" t="s">
        <v>190</v>
      </c>
      <c r="X488" s="5">
        <v>46132</v>
      </c>
      <c r="Y488" s="3" t="s">
        <v>190</v>
      </c>
      <c r="Z488" s="3" t="s">
        <v>190</v>
      </c>
      <c r="AA488">
        <v>0</v>
      </c>
      <c r="AB488" s="3" t="s">
        <v>1895</v>
      </c>
      <c r="AC488" s="3" t="s">
        <v>190</v>
      </c>
      <c r="AD488" s="3" t="s">
        <v>190</v>
      </c>
      <c r="AE488" s="3" t="s">
        <v>190</v>
      </c>
      <c r="AF488" s="3" t="s">
        <v>190</v>
      </c>
    </row>
    <row r="489" spans="1:32" ht="16.5" customHeight="1">
      <c r="A489" s="4" t="s">
        <v>261</v>
      </c>
      <c r="B489" s="4" t="s">
        <v>56</v>
      </c>
      <c r="C489" s="4" t="s">
        <v>56</v>
      </c>
      <c r="D489" s="4" t="s">
        <v>1795</v>
      </c>
      <c r="E489" s="4" t="s">
        <v>3341</v>
      </c>
      <c r="F489" s="4" t="s">
        <v>3342</v>
      </c>
      <c r="G489" s="4" t="s">
        <v>219</v>
      </c>
      <c r="H489" s="6">
        <v>46066</v>
      </c>
      <c r="I489" s="6">
        <v>46065.498194444444</v>
      </c>
      <c r="J489" s="4" t="s">
        <v>3343</v>
      </c>
      <c r="K489" s="4" t="s">
        <v>1892</v>
      </c>
      <c r="L489">
        <v>6</v>
      </c>
      <c r="M489" s="6"/>
      <c r="N489" s="4" t="s">
        <v>190</v>
      </c>
      <c r="O489">
        <v>0</v>
      </c>
      <c r="P489" s="4" t="s">
        <v>24</v>
      </c>
      <c r="Q489" s="4" t="s">
        <v>190</v>
      </c>
      <c r="R489" s="6">
        <v>46118</v>
      </c>
      <c r="S489" s="4" t="s">
        <v>190</v>
      </c>
      <c r="T489" s="4" t="s">
        <v>190</v>
      </c>
      <c r="U489">
        <v>0</v>
      </c>
      <c r="V489" s="4" t="s">
        <v>1901</v>
      </c>
      <c r="W489" s="4" t="s">
        <v>190</v>
      </c>
      <c r="X489" s="6">
        <v>46132</v>
      </c>
      <c r="Y489" s="4" t="s">
        <v>190</v>
      </c>
      <c r="Z489" s="4" t="s">
        <v>190</v>
      </c>
      <c r="AA489">
        <v>0</v>
      </c>
      <c r="AB489" s="4" t="s">
        <v>1895</v>
      </c>
      <c r="AC489" s="4" t="s">
        <v>190</v>
      </c>
      <c r="AD489" s="4" t="s">
        <v>190</v>
      </c>
      <c r="AE489" s="4" t="s">
        <v>190</v>
      </c>
      <c r="AF489" s="4" t="s">
        <v>190</v>
      </c>
    </row>
    <row r="490" spans="1:32" ht="16.5" customHeight="1">
      <c r="A490" s="3" t="s">
        <v>261</v>
      </c>
      <c r="B490" s="3" t="s">
        <v>56</v>
      </c>
      <c r="C490" s="3" t="s">
        <v>56</v>
      </c>
      <c r="D490" s="3" t="s">
        <v>1795</v>
      </c>
      <c r="E490" s="3" t="s">
        <v>3344</v>
      </c>
      <c r="F490" s="3" t="s">
        <v>3345</v>
      </c>
      <c r="G490" s="3" t="s">
        <v>219</v>
      </c>
      <c r="H490" s="5">
        <v>46066</v>
      </c>
      <c r="I490" s="5">
        <v>46065.498229166667</v>
      </c>
      <c r="J490" s="3" t="s">
        <v>3346</v>
      </c>
      <c r="K490" s="3" t="s">
        <v>1892</v>
      </c>
      <c r="L490">
        <v>6</v>
      </c>
      <c r="M490" s="5"/>
      <c r="N490" s="3" t="s">
        <v>190</v>
      </c>
      <c r="O490">
        <v>0</v>
      </c>
      <c r="P490" s="3" t="s">
        <v>24</v>
      </c>
      <c r="Q490" s="3" t="s">
        <v>190</v>
      </c>
      <c r="R490" s="5">
        <v>46118</v>
      </c>
      <c r="S490" s="3" t="s">
        <v>190</v>
      </c>
      <c r="T490" s="3" t="s">
        <v>190</v>
      </c>
      <c r="U490">
        <v>0</v>
      </c>
      <c r="V490" s="3" t="s">
        <v>1901</v>
      </c>
      <c r="W490" s="3" t="s">
        <v>190</v>
      </c>
      <c r="X490" s="5">
        <v>46132</v>
      </c>
      <c r="Y490" s="3" t="s">
        <v>190</v>
      </c>
      <c r="Z490" s="3" t="s">
        <v>190</v>
      </c>
      <c r="AA490">
        <v>0</v>
      </c>
      <c r="AB490" s="3" t="s">
        <v>1895</v>
      </c>
      <c r="AC490" s="3" t="s">
        <v>190</v>
      </c>
      <c r="AD490" s="3" t="s">
        <v>190</v>
      </c>
      <c r="AE490" s="3" t="s">
        <v>190</v>
      </c>
      <c r="AF490" s="3" t="s">
        <v>190</v>
      </c>
    </row>
    <row r="491" spans="1:32" ht="16.5" customHeight="1">
      <c r="A491" s="4" t="s">
        <v>261</v>
      </c>
      <c r="B491" s="4" t="s">
        <v>56</v>
      </c>
      <c r="C491" s="4" t="s">
        <v>56</v>
      </c>
      <c r="D491" s="4" t="s">
        <v>1795</v>
      </c>
      <c r="E491" s="4" t="s">
        <v>3347</v>
      </c>
      <c r="F491" s="4" t="s">
        <v>3348</v>
      </c>
      <c r="G491" s="4" t="s">
        <v>219</v>
      </c>
      <c r="H491" s="6">
        <v>46066</v>
      </c>
      <c r="I491" s="6">
        <v>46065.498368055552</v>
      </c>
      <c r="J491" s="4" t="s">
        <v>3349</v>
      </c>
      <c r="K491" s="4" t="s">
        <v>1892</v>
      </c>
      <c r="L491">
        <v>6</v>
      </c>
      <c r="M491" s="6"/>
      <c r="N491" s="4" t="s">
        <v>190</v>
      </c>
      <c r="O491">
        <v>0</v>
      </c>
      <c r="P491" s="4" t="s">
        <v>24</v>
      </c>
      <c r="Q491" s="4" t="s">
        <v>190</v>
      </c>
      <c r="R491" s="6">
        <v>46118</v>
      </c>
      <c r="S491" s="4" t="s">
        <v>190</v>
      </c>
      <c r="T491" s="4" t="s">
        <v>190</v>
      </c>
      <c r="U491">
        <v>0</v>
      </c>
      <c r="V491" s="4" t="s">
        <v>1901</v>
      </c>
      <c r="W491" s="4" t="s">
        <v>190</v>
      </c>
      <c r="X491" s="6">
        <v>46132</v>
      </c>
      <c r="Y491" s="4" t="s">
        <v>190</v>
      </c>
      <c r="Z491" s="4" t="s">
        <v>190</v>
      </c>
      <c r="AA491">
        <v>0</v>
      </c>
      <c r="AB491" s="4" t="s">
        <v>1895</v>
      </c>
      <c r="AC491" s="4" t="s">
        <v>190</v>
      </c>
      <c r="AD491" s="4" t="s">
        <v>190</v>
      </c>
      <c r="AE491" s="4" t="s">
        <v>190</v>
      </c>
      <c r="AF491" s="4" t="s">
        <v>190</v>
      </c>
    </row>
    <row r="492" spans="1:32" ht="16.5" customHeight="1">
      <c r="A492" s="3" t="s">
        <v>261</v>
      </c>
      <c r="B492" s="3" t="s">
        <v>56</v>
      </c>
      <c r="C492" s="3" t="s">
        <v>56</v>
      </c>
      <c r="D492" s="3" t="s">
        <v>1795</v>
      </c>
      <c r="E492" s="3" t="s">
        <v>3350</v>
      </c>
      <c r="F492" s="3" t="s">
        <v>3351</v>
      </c>
      <c r="G492" s="3" t="s">
        <v>219</v>
      </c>
      <c r="H492" s="5">
        <v>46066</v>
      </c>
      <c r="I492" s="5">
        <v>46065.498391203706</v>
      </c>
      <c r="J492" s="3" t="s">
        <v>3352</v>
      </c>
      <c r="K492" s="3" t="s">
        <v>1892</v>
      </c>
      <c r="L492">
        <v>6</v>
      </c>
      <c r="M492" s="5"/>
      <c r="N492" s="3" t="s">
        <v>190</v>
      </c>
      <c r="O492">
        <v>0</v>
      </c>
      <c r="P492" s="3" t="s">
        <v>24</v>
      </c>
      <c r="Q492" s="3" t="s">
        <v>190</v>
      </c>
      <c r="R492" s="5">
        <v>46118</v>
      </c>
      <c r="S492" s="3" t="s">
        <v>190</v>
      </c>
      <c r="T492" s="3" t="s">
        <v>190</v>
      </c>
      <c r="U492">
        <v>0</v>
      </c>
      <c r="V492" s="3" t="s">
        <v>1901</v>
      </c>
      <c r="W492" s="3" t="s">
        <v>190</v>
      </c>
      <c r="X492" s="5">
        <v>46132</v>
      </c>
      <c r="Y492" s="3" t="s">
        <v>190</v>
      </c>
      <c r="Z492" s="3" t="s">
        <v>190</v>
      </c>
      <c r="AA492">
        <v>0</v>
      </c>
      <c r="AB492" s="3" t="s">
        <v>1895</v>
      </c>
      <c r="AC492" s="3" t="s">
        <v>190</v>
      </c>
      <c r="AD492" s="3" t="s">
        <v>190</v>
      </c>
      <c r="AE492" s="3" t="s">
        <v>190</v>
      </c>
      <c r="AF492" s="3" t="s">
        <v>190</v>
      </c>
    </row>
    <row r="493" spans="1:32" ht="16.5" customHeight="1">
      <c r="A493" s="4" t="s">
        <v>261</v>
      </c>
      <c r="B493" s="4" t="s">
        <v>56</v>
      </c>
      <c r="C493" s="4" t="s">
        <v>56</v>
      </c>
      <c r="D493" s="4" t="s">
        <v>1795</v>
      </c>
      <c r="E493" s="4" t="s">
        <v>3353</v>
      </c>
      <c r="F493" s="4" t="s">
        <v>3354</v>
      </c>
      <c r="G493" s="4" t="s">
        <v>219</v>
      </c>
      <c r="H493" s="6">
        <v>46066</v>
      </c>
      <c r="I493" s="6">
        <v>46065.498425925929</v>
      </c>
      <c r="J493" s="4" t="s">
        <v>3355</v>
      </c>
      <c r="K493" s="4" t="s">
        <v>1892</v>
      </c>
      <c r="L493">
        <v>6</v>
      </c>
      <c r="M493" s="6"/>
      <c r="N493" s="4" t="s">
        <v>190</v>
      </c>
      <c r="O493">
        <v>0</v>
      </c>
      <c r="P493" s="4" t="s">
        <v>24</v>
      </c>
      <c r="Q493" s="4" t="s">
        <v>190</v>
      </c>
      <c r="R493" s="6">
        <v>46118</v>
      </c>
      <c r="S493" s="4" t="s">
        <v>190</v>
      </c>
      <c r="T493" s="4" t="s">
        <v>190</v>
      </c>
      <c r="U493">
        <v>0</v>
      </c>
      <c r="V493" s="4" t="s">
        <v>1901</v>
      </c>
      <c r="W493" s="4" t="s">
        <v>190</v>
      </c>
      <c r="X493" s="6">
        <v>46132</v>
      </c>
      <c r="Y493" s="4" t="s">
        <v>190</v>
      </c>
      <c r="Z493" s="4" t="s">
        <v>190</v>
      </c>
      <c r="AA493">
        <v>0</v>
      </c>
      <c r="AB493" s="4" t="s">
        <v>1895</v>
      </c>
      <c r="AC493" s="4" t="s">
        <v>190</v>
      </c>
      <c r="AD493" s="4" t="s">
        <v>190</v>
      </c>
      <c r="AE493" s="4" t="s">
        <v>190</v>
      </c>
      <c r="AF493" s="4" t="s">
        <v>190</v>
      </c>
    </row>
    <row r="494" spans="1:32" ht="16.5" customHeight="1">
      <c r="A494" s="3" t="s">
        <v>261</v>
      </c>
      <c r="B494" s="3" t="s">
        <v>56</v>
      </c>
      <c r="C494" s="3" t="s">
        <v>56</v>
      </c>
      <c r="D494" s="3" t="s">
        <v>1795</v>
      </c>
      <c r="E494" s="3" t="s">
        <v>3356</v>
      </c>
      <c r="F494" s="3" t="s">
        <v>3357</v>
      </c>
      <c r="G494" s="3" t="s">
        <v>219</v>
      </c>
      <c r="H494" s="5">
        <v>46080</v>
      </c>
      <c r="I494" s="5">
        <v>46065.498865740738</v>
      </c>
      <c r="J494" s="3" t="s">
        <v>3358</v>
      </c>
      <c r="K494" s="3" t="s">
        <v>1892</v>
      </c>
      <c r="L494">
        <v>6</v>
      </c>
      <c r="M494" s="5"/>
      <c r="N494" s="3" t="s">
        <v>190</v>
      </c>
      <c r="O494">
        <v>0</v>
      </c>
      <c r="P494" s="3" t="s">
        <v>24</v>
      </c>
      <c r="Q494" s="3" t="s">
        <v>190</v>
      </c>
      <c r="R494" s="5">
        <v>46118</v>
      </c>
      <c r="S494" s="3" t="s">
        <v>190</v>
      </c>
      <c r="T494" s="3" t="s">
        <v>190</v>
      </c>
      <c r="U494">
        <v>0</v>
      </c>
      <c r="V494" s="3" t="s">
        <v>1901</v>
      </c>
      <c r="W494" s="3" t="s">
        <v>190</v>
      </c>
      <c r="X494" s="5">
        <v>46132</v>
      </c>
      <c r="Y494" s="3" t="s">
        <v>190</v>
      </c>
      <c r="Z494" s="3" t="s">
        <v>190</v>
      </c>
      <c r="AA494">
        <v>0</v>
      </c>
      <c r="AB494" s="3" t="s">
        <v>1895</v>
      </c>
      <c r="AC494" s="3" t="s">
        <v>190</v>
      </c>
      <c r="AD494" s="3" t="s">
        <v>190</v>
      </c>
      <c r="AE494" s="3" t="s">
        <v>190</v>
      </c>
      <c r="AF494" s="3" t="s">
        <v>190</v>
      </c>
    </row>
    <row r="495" spans="1:32" ht="16.5" customHeight="1">
      <c r="A495" s="4" t="s">
        <v>261</v>
      </c>
      <c r="B495" s="4" t="s">
        <v>56</v>
      </c>
      <c r="C495" s="4" t="s">
        <v>56</v>
      </c>
      <c r="D495" s="4" t="s">
        <v>1795</v>
      </c>
      <c r="E495" s="4" t="s">
        <v>3359</v>
      </c>
      <c r="F495" s="4" t="s">
        <v>3360</v>
      </c>
      <c r="G495" s="4" t="s">
        <v>219</v>
      </c>
      <c r="H495" s="6">
        <v>46066</v>
      </c>
      <c r="I495" s="6">
        <v>46065.497881944444</v>
      </c>
      <c r="J495" s="4" t="s">
        <v>3361</v>
      </c>
      <c r="K495" s="4" t="s">
        <v>1892</v>
      </c>
      <c r="L495">
        <v>6</v>
      </c>
      <c r="M495" s="6"/>
      <c r="N495" s="4" t="s">
        <v>190</v>
      </c>
      <c r="O495">
        <v>0</v>
      </c>
      <c r="P495" s="4" t="s">
        <v>24</v>
      </c>
      <c r="Q495" s="4" t="s">
        <v>190</v>
      </c>
      <c r="R495" s="6">
        <v>46118</v>
      </c>
      <c r="S495" s="4" t="s">
        <v>190</v>
      </c>
      <c r="T495" s="4" t="s">
        <v>190</v>
      </c>
      <c r="U495">
        <v>0</v>
      </c>
      <c r="V495" s="4" t="s">
        <v>1901</v>
      </c>
      <c r="W495" s="4" t="s">
        <v>190</v>
      </c>
      <c r="X495" s="6">
        <v>46132</v>
      </c>
      <c r="Y495" s="4" t="s">
        <v>190</v>
      </c>
      <c r="Z495" s="4" t="s">
        <v>190</v>
      </c>
      <c r="AA495">
        <v>0</v>
      </c>
      <c r="AB495" s="4" t="s">
        <v>1895</v>
      </c>
      <c r="AC495" s="4" t="s">
        <v>190</v>
      </c>
      <c r="AD495" s="4" t="s">
        <v>190</v>
      </c>
      <c r="AE495" s="4" t="s">
        <v>190</v>
      </c>
      <c r="AF495" s="4" t="s">
        <v>190</v>
      </c>
    </row>
    <row r="496" spans="1:32" ht="16.5" customHeight="1">
      <c r="A496" s="3" t="s">
        <v>261</v>
      </c>
      <c r="B496" s="3" t="s">
        <v>3362</v>
      </c>
      <c r="C496" s="3" t="s">
        <v>3363</v>
      </c>
      <c r="D496" s="3" t="s">
        <v>25</v>
      </c>
      <c r="E496" s="3" t="s">
        <v>3364</v>
      </c>
      <c r="F496" s="3" t="s">
        <v>3365</v>
      </c>
      <c r="G496" s="3" t="s">
        <v>219</v>
      </c>
      <c r="H496" s="5">
        <v>45863</v>
      </c>
      <c r="I496" s="5">
        <v>45931.590509259258</v>
      </c>
      <c r="J496" s="3" t="s">
        <v>484</v>
      </c>
      <c r="K496" s="3" t="s">
        <v>1892</v>
      </c>
      <c r="L496">
        <v>6</v>
      </c>
      <c r="M496" s="5">
        <v>46106</v>
      </c>
      <c r="N496" s="3" t="s">
        <v>1900</v>
      </c>
      <c r="O496">
        <v>0</v>
      </c>
      <c r="P496" s="3" t="s">
        <v>221</v>
      </c>
      <c r="Q496" s="3" t="s">
        <v>1900</v>
      </c>
      <c r="R496" s="5">
        <v>46118</v>
      </c>
      <c r="S496" s="3" t="s">
        <v>190</v>
      </c>
      <c r="T496" s="3" t="s">
        <v>190</v>
      </c>
      <c r="U496">
        <v>0</v>
      </c>
      <c r="V496" s="3" t="s">
        <v>1901</v>
      </c>
      <c r="W496" s="3" t="s">
        <v>190</v>
      </c>
      <c r="X496" s="5">
        <v>46132</v>
      </c>
      <c r="Y496" s="3" t="s">
        <v>190</v>
      </c>
      <c r="Z496" s="3" t="s">
        <v>190</v>
      </c>
      <c r="AA496">
        <v>0</v>
      </c>
      <c r="AB496" s="3" t="s">
        <v>1895</v>
      </c>
      <c r="AC496" s="3" t="s">
        <v>190</v>
      </c>
      <c r="AD496" s="3" t="s">
        <v>190</v>
      </c>
      <c r="AE496" s="3" t="s">
        <v>190</v>
      </c>
      <c r="AF496" s="3" t="s">
        <v>190</v>
      </c>
    </row>
    <row r="497" spans="1:32" ht="16.5" customHeight="1">
      <c r="A497" s="4" t="s">
        <v>261</v>
      </c>
      <c r="B497" s="4" t="s">
        <v>2095</v>
      </c>
      <c r="C497" s="4" t="s">
        <v>2857</v>
      </c>
      <c r="D497" s="4" t="s">
        <v>25</v>
      </c>
      <c r="E497" s="4" t="s">
        <v>3366</v>
      </c>
      <c r="F497" s="4" t="s">
        <v>3367</v>
      </c>
      <c r="G497" s="4" t="s">
        <v>264</v>
      </c>
      <c r="H497" s="6">
        <v>46072</v>
      </c>
      <c r="I497" s="6">
        <v>46072.599131944444</v>
      </c>
      <c r="J497" s="4" t="s">
        <v>3368</v>
      </c>
      <c r="K497" s="4" t="s">
        <v>1892</v>
      </c>
      <c r="L497">
        <v>6</v>
      </c>
      <c r="M497" s="6">
        <v>46104</v>
      </c>
      <c r="N497" s="4" t="s">
        <v>1893</v>
      </c>
      <c r="O497">
        <v>0</v>
      </c>
      <c r="P497" s="4" t="s">
        <v>24</v>
      </c>
      <c r="Q497" s="4" t="s">
        <v>1893</v>
      </c>
      <c r="R497" s="6">
        <v>46118</v>
      </c>
      <c r="S497" s="4" t="s">
        <v>190</v>
      </c>
      <c r="T497" s="4" t="s">
        <v>190</v>
      </c>
      <c r="U497">
        <v>0</v>
      </c>
      <c r="V497" s="4" t="s">
        <v>1901</v>
      </c>
      <c r="W497" s="4" t="s">
        <v>190</v>
      </c>
      <c r="X497" s="6">
        <v>46132</v>
      </c>
      <c r="Y497" s="4" t="s">
        <v>190</v>
      </c>
      <c r="Z497" s="4" t="s">
        <v>190</v>
      </c>
      <c r="AA497">
        <v>0</v>
      </c>
      <c r="AB497" s="4" t="s">
        <v>1895</v>
      </c>
      <c r="AC497" s="4" t="s">
        <v>190</v>
      </c>
      <c r="AD497" s="4" t="s">
        <v>190</v>
      </c>
      <c r="AE497" s="4" t="s">
        <v>190</v>
      </c>
      <c r="AF497" s="4" t="s">
        <v>190</v>
      </c>
    </row>
    <row r="498" spans="1:32" ht="16.5" customHeight="1">
      <c r="A498" s="3" t="s">
        <v>111</v>
      </c>
      <c r="B498" s="3" t="s">
        <v>3369</v>
      </c>
      <c r="C498" s="3" t="s">
        <v>3370</v>
      </c>
      <c r="D498" s="3" t="s">
        <v>25</v>
      </c>
      <c r="E498" s="3" t="s">
        <v>3371</v>
      </c>
      <c r="F498" s="3" t="s">
        <v>3372</v>
      </c>
      <c r="G498" s="3" t="s">
        <v>369</v>
      </c>
      <c r="H498" s="5">
        <v>46037</v>
      </c>
      <c r="I498" s="5">
        <v>46037.544131944444</v>
      </c>
      <c r="J498" s="3" t="s">
        <v>3373</v>
      </c>
      <c r="K498" s="3" t="s">
        <v>1892</v>
      </c>
      <c r="L498">
        <v>6</v>
      </c>
      <c r="M498" s="5">
        <v>46104</v>
      </c>
      <c r="N498" s="3" t="s">
        <v>1893</v>
      </c>
      <c r="O498">
        <v>0</v>
      </c>
      <c r="P498" s="3" t="s">
        <v>24</v>
      </c>
      <c r="Q498" s="3" t="s">
        <v>1893</v>
      </c>
      <c r="R498" s="5">
        <v>46118</v>
      </c>
      <c r="S498" s="3" t="s">
        <v>190</v>
      </c>
      <c r="T498" s="3" t="s">
        <v>190</v>
      </c>
      <c r="U498">
        <v>0</v>
      </c>
      <c r="V498" s="3" t="s">
        <v>1794</v>
      </c>
      <c r="W498" s="3" t="s">
        <v>190</v>
      </c>
      <c r="X498" s="5">
        <v>46132</v>
      </c>
      <c r="Y498" s="3" t="s">
        <v>190</v>
      </c>
      <c r="Z498" s="3" t="s">
        <v>190</v>
      </c>
      <c r="AA498">
        <v>0</v>
      </c>
      <c r="AB498" s="3" t="s">
        <v>1895</v>
      </c>
      <c r="AC498" s="3" t="s">
        <v>190</v>
      </c>
      <c r="AD498" s="3" t="s">
        <v>190</v>
      </c>
      <c r="AE498" s="3" t="s">
        <v>190</v>
      </c>
      <c r="AF498" s="3" t="s">
        <v>190</v>
      </c>
    </row>
    <row r="499" spans="1:32" ht="16.5" customHeight="1">
      <c r="A499" s="4" t="s">
        <v>111</v>
      </c>
      <c r="B499" s="4" t="s">
        <v>3369</v>
      </c>
      <c r="C499" s="4" t="s">
        <v>3370</v>
      </c>
      <c r="D499" s="4" t="s">
        <v>25</v>
      </c>
      <c r="E499" s="4" t="s">
        <v>3374</v>
      </c>
      <c r="F499" s="4" t="s">
        <v>3375</v>
      </c>
      <c r="G499" s="4" t="s">
        <v>369</v>
      </c>
      <c r="H499" s="6">
        <v>46065</v>
      </c>
      <c r="I499" s="6">
        <v>46065.440324074072</v>
      </c>
      <c r="J499" s="4" t="s">
        <v>3376</v>
      </c>
      <c r="K499" s="4" t="s">
        <v>1892</v>
      </c>
      <c r="L499">
        <v>6</v>
      </c>
      <c r="M499" s="6">
        <v>46104</v>
      </c>
      <c r="N499" s="4" t="s">
        <v>1893</v>
      </c>
      <c r="O499">
        <v>0</v>
      </c>
      <c r="P499" s="4" t="s">
        <v>24</v>
      </c>
      <c r="Q499" s="4" t="s">
        <v>1893</v>
      </c>
      <c r="R499" s="6">
        <v>46118</v>
      </c>
      <c r="S499" s="4" t="s">
        <v>190</v>
      </c>
      <c r="T499" s="4" t="s">
        <v>190</v>
      </c>
      <c r="U499">
        <v>0</v>
      </c>
      <c r="V499" s="4" t="s">
        <v>1794</v>
      </c>
      <c r="W499" s="4" t="s">
        <v>190</v>
      </c>
      <c r="X499" s="6">
        <v>46132</v>
      </c>
      <c r="Y499" s="4" t="s">
        <v>190</v>
      </c>
      <c r="Z499" s="4" t="s">
        <v>190</v>
      </c>
      <c r="AA499">
        <v>0</v>
      </c>
      <c r="AB499" s="4" t="s">
        <v>1895</v>
      </c>
      <c r="AC499" s="4" t="s">
        <v>190</v>
      </c>
      <c r="AD499" s="4" t="s">
        <v>190</v>
      </c>
      <c r="AE499" s="4" t="s">
        <v>190</v>
      </c>
      <c r="AF499" s="4" t="s">
        <v>190</v>
      </c>
    </row>
    <row r="500" spans="1:32" ht="16.5" customHeight="1">
      <c r="A500" s="3" t="s">
        <v>111</v>
      </c>
      <c r="B500" s="3" t="s">
        <v>2125</v>
      </c>
      <c r="C500" s="3" t="s">
        <v>3377</v>
      </c>
      <c r="D500" s="3" t="s">
        <v>25</v>
      </c>
      <c r="E500" s="3" t="s">
        <v>3378</v>
      </c>
      <c r="F500" s="3" t="s">
        <v>3379</v>
      </c>
      <c r="G500" s="3" t="s">
        <v>369</v>
      </c>
      <c r="H500" s="5">
        <v>46051</v>
      </c>
      <c r="I500" s="5">
        <v>46051.608055555553</v>
      </c>
      <c r="J500" s="3" t="s">
        <v>1749</v>
      </c>
      <c r="K500" s="3" t="s">
        <v>1892</v>
      </c>
      <c r="L500">
        <v>6</v>
      </c>
      <c r="M500" s="5">
        <v>46104</v>
      </c>
      <c r="N500" s="3" t="s">
        <v>1900</v>
      </c>
      <c r="O500">
        <v>0</v>
      </c>
      <c r="P500" s="3" t="s">
        <v>24</v>
      </c>
      <c r="Q500" s="3" t="s">
        <v>1893</v>
      </c>
      <c r="R500" s="5">
        <v>46118</v>
      </c>
      <c r="S500" s="3" t="s">
        <v>190</v>
      </c>
      <c r="T500" s="3" t="s">
        <v>190</v>
      </c>
      <c r="U500">
        <v>0</v>
      </c>
      <c r="V500" s="3" t="s">
        <v>1794</v>
      </c>
      <c r="W500" s="3" t="s">
        <v>190</v>
      </c>
      <c r="X500" s="5">
        <v>46132</v>
      </c>
      <c r="Y500" s="3" t="s">
        <v>190</v>
      </c>
      <c r="Z500" s="3" t="s">
        <v>190</v>
      </c>
      <c r="AA500">
        <v>0</v>
      </c>
      <c r="AB500" s="3" t="s">
        <v>1895</v>
      </c>
      <c r="AC500" s="3" t="s">
        <v>190</v>
      </c>
      <c r="AD500" s="3" t="s">
        <v>190</v>
      </c>
      <c r="AE500" s="3" t="s">
        <v>190</v>
      </c>
      <c r="AF500" s="3" t="s">
        <v>190</v>
      </c>
    </row>
    <row r="501" spans="1:32" ht="16.5" customHeight="1">
      <c r="A501" s="4" t="s">
        <v>33</v>
      </c>
      <c r="B501" s="4" t="s">
        <v>2562</v>
      </c>
      <c r="C501" s="4" t="s">
        <v>2563</v>
      </c>
      <c r="D501" s="4" t="s">
        <v>25</v>
      </c>
      <c r="E501" s="4" t="s">
        <v>3380</v>
      </c>
      <c r="F501" s="4" t="s">
        <v>3381</v>
      </c>
      <c r="G501" s="4" t="s">
        <v>37</v>
      </c>
      <c r="H501" s="6">
        <v>46011</v>
      </c>
      <c r="I501" s="6">
        <v>46017.523518518516</v>
      </c>
      <c r="J501" s="4" t="s">
        <v>3382</v>
      </c>
      <c r="K501" s="4" t="s">
        <v>1892</v>
      </c>
      <c r="L501">
        <v>6</v>
      </c>
      <c r="M501" s="6">
        <v>46104</v>
      </c>
      <c r="N501" s="4" t="s">
        <v>1893</v>
      </c>
      <c r="O501">
        <v>0</v>
      </c>
      <c r="P501" s="4" t="s">
        <v>24</v>
      </c>
      <c r="Q501" s="4" t="s">
        <v>1893</v>
      </c>
      <c r="R501" s="6">
        <v>46118</v>
      </c>
      <c r="S501" s="4" t="s">
        <v>190</v>
      </c>
      <c r="T501" s="4" t="s">
        <v>190</v>
      </c>
      <c r="U501">
        <v>0</v>
      </c>
      <c r="V501" s="4" t="s">
        <v>1794</v>
      </c>
      <c r="W501" s="4" t="s">
        <v>190</v>
      </c>
      <c r="X501" s="6">
        <v>46132</v>
      </c>
      <c r="Y501" s="4" t="s">
        <v>190</v>
      </c>
      <c r="Z501" s="4" t="s">
        <v>190</v>
      </c>
      <c r="AA501">
        <v>0</v>
      </c>
      <c r="AB501" s="4" t="s">
        <v>1895</v>
      </c>
      <c r="AC501" s="4" t="s">
        <v>190</v>
      </c>
      <c r="AD501" s="4" t="s">
        <v>190</v>
      </c>
      <c r="AE501" s="4" t="s">
        <v>190</v>
      </c>
      <c r="AF501" s="4" t="s">
        <v>190</v>
      </c>
    </row>
    <row r="502" spans="1:32" ht="16.5" customHeight="1">
      <c r="A502" s="3" t="s">
        <v>33</v>
      </c>
      <c r="B502" s="3" t="s">
        <v>2562</v>
      </c>
      <c r="C502" s="3" t="s">
        <v>2563</v>
      </c>
      <c r="D502" s="3" t="s">
        <v>25</v>
      </c>
      <c r="E502" s="3" t="s">
        <v>3383</v>
      </c>
      <c r="F502" s="3" t="s">
        <v>3384</v>
      </c>
      <c r="G502" s="3" t="s">
        <v>37</v>
      </c>
      <c r="H502" s="5">
        <v>46021</v>
      </c>
      <c r="I502" s="5">
        <v>46010.72142361111</v>
      </c>
      <c r="J502" s="3" t="s">
        <v>3385</v>
      </c>
      <c r="K502" s="3" t="s">
        <v>1892</v>
      </c>
      <c r="L502">
        <v>6</v>
      </c>
      <c r="M502" s="5">
        <v>46104</v>
      </c>
      <c r="N502" s="3" t="s">
        <v>1893</v>
      </c>
      <c r="O502">
        <v>0</v>
      </c>
      <c r="P502" s="3" t="s">
        <v>24</v>
      </c>
      <c r="Q502" s="3" t="s">
        <v>1893</v>
      </c>
      <c r="R502" s="5">
        <v>46118</v>
      </c>
      <c r="S502" s="3" t="s">
        <v>190</v>
      </c>
      <c r="T502" s="3" t="s">
        <v>190</v>
      </c>
      <c r="U502">
        <v>0</v>
      </c>
      <c r="V502" s="3" t="s">
        <v>1794</v>
      </c>
      <c r="W502" s="3" t="s">
        <v>190</v>
      </c>
      <c r="X502" s="5">
        <v>46132</v>
      </c>
      <c r="Y502" s="3" t="s">
        <v>190</v>
      </c>
      <c r="Z502" s="3" t="s">
        <v>190</v>
      </c>
      <c r="AA502">
        <v>0</v>
      </c>
      <c r="AB502" s="3" t="s">
        <v>1895</v>
      </c>
      <c r="AC502" s="3" t="s">
        <v>190</v>
      </c>
      <c r="AD502" s="3" t="s">
        <v>190</v>
      </c>
      <c r="AE502" s="3" t="s">
        <v>190</v>
      </c>
      <c r="AF502" s="3" t="s">
        <v>190</v>
      </c>
    </row>
    <row r="503" spans="1:32" ht="16.5" customHeight="1">
      <c r="A503" s="4" t="s">
        <v>33</v>
      </c>
      <c r="B503" s="4" t="s">
        <v>2870</v>
      </c>
      <c r="C503" s="4" t="s">
        <v>3386</v>
      </c>
      <c r="D503" s="4" t="s">
        <v>25</v>
      </c>
      <c r="E503" s="4" t="s">
        <v>3387</v>
      </c>
      <c r="F503" s="4" t="s">
        <v>3388</v>
      </c>
      <c r="G503" s="4" t="s">
        <v>37</v>
      </c>
      <c r="H503" s="6">
        <v>46021</v>
      </c>
      <c r="I503" s="6">
        <v>46035.391701388886</v>
      </c>
      <c r="J503" s="4" t="s">
        <v>3389</v>
      </c>
      <c r="K503" s="4" t="s">
        <v>1892</v>
      </c>
      <c r="L503">
        <v>6</v>
      </c>
      <c r="M503" s="6">
        <v>46104</v>
      </c>
      <c r="N503" s="4" t="s">
        <v>1893</v>
      </c>
      <c r="O503">
        <v>0</v>
      </c>
      <c r="P503" s="4" t="s">
        <v>24</v>
      </c>
      <c r="Q503" s="4" t="s">
        <v>1893</v>
      </c>
      <c r="R503" s="6">
        <v>46118</v>
      </c>
      <c r="S503" s="4" t="s">
        <v>190</v>
      </c>
      <c r="T503" s="4" t="s">
        <v>190</v>
      </c>
      <c r="U503">
        <v>0</v>
      </c>
      <c r="V503" s="4" t="s">
        <v>1794</v>
      </c>
      <c r="W503" s="4" t="s">
        <v>190</v>
      </c>
      <c r="X503" s="6">
        <v>46132</v>
      </c>
      <c r="Y503" s="4" t="s">
        <v>190</v>
      </c>
      <c r="Z503" s="4" t="s">
        <v>190</v>
      </c>
      <c r="AA503">
        <v>0</v>
      </c>
      <c r="AB503" s="4" t="s">
        <v>1895</v>
      </c>
      <c r="AC503" s="4" t="s">
        <v>190</v>
      </c>
      <c r="AD503" s="4" t="s">
        <v>190</v>
      </c>
      <c r="AE503" s="4" t="s">
        <v>190</v>
      </c>
      <c r="AF503" s="4" t="s">
        <v>190</v>
      </c>
    </row>
  </sheetData>
  <phoneticPr fontId="5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Sheet1</vt:lpstr>
      <vt:lpstr>Sheet4</vt:lpstr>
      <vt:lpstr>분석결과</vt:lpstr>
      <vt:lpstr>Sheet2</vt:lpstr>
      <vt:lpstr>Iteration2_3_테스트 결함20260401</vt:lpstr>
      <vt:lpstr>Iteration2_3_테스트 결과20260401</vt:lpstr>
      <vt:lpstr>'Iteration2_3_테스트 결과20260401'!ExternalData_1</vt:lpstr>
      <vt:lpstr>'Iteration2_3_테스트 결함20260401'!ExternalData_2</vt:lpstr>
      <vt:lpstr>f_list</vt:lpstr>
      <vt:lpstr>tag</vt:lpstr>
      <vt:lpstr>Test_list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IIS-IDT-N-0077-U</dc:creator>
  <cp:lastModifiedBy>양수정</cp:lastModifiedBy>
  <dcterms:created xsi:type="dcterms:W3CDTF">2026-04-01T08:14:30Z</dcterms:created>
  <dcterms:modified xsi:type="dcterms:W3CDTF">2026-04-02T05:58:04Z</dcterms:modified>
</cp:coreProperties>
</file>